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önetici Özeti" sheetId="1" state="visible" r:id="rId1"/>
    <sheet xmlns:r="http://schemas.openxmlformats.org/officeDocument/2006/relationships" name="Listeler" sheetId="2" state="visible" r:id="rId2"/>
    <sheet xmlns:r="http://schemas.openxmlformats.org/officeDocument/2006/relationships" name="Hesap" sheetId="3" state="visible" r:id="rId3"/>
    <sheet xmlns:r="http://schemas.openxmlformats.org/officeDocument/2006/relationships" name="İş Planı" sheetId="4" state="visible" r:id="rId4"/>
    <sheet xmlns:r="http://schemas.openxmlformats.org/officeDocument/2006/relationships" name="Gantt Haftalık" sheetId="5" state="visible" r:id="rId5"/>
    <sheet xmlns:r="http://schemas.openxmlformats.org/officeDocument/2006/relationships" name="Gantt Aylık" sheetId="6" state="visible" r:id="rId6"/>
    <sheet xmlns:r="http://schemas.openxmlformats.org/officeDocument/2006/relationships" name="Kılavuz" sheetId="7" state="visible" r:id="rId7"/>
  </sheets>
  <definedNames>
    <definedName name="_xlnm.Print_Area" localSheetId="0">'Yönetici Özeti'!$A$1:$BF$160</definedName>
    <definedName name="_xlnm._FilterDatabase" localSheetId="3" hidden="1">'İş Planı'!$A$4:$Q$204</definedName>
    <definedName name="_xlnm.Print_Titles" localSheetId="3">'İş Planı'!$4:$4</definedName>
    <definedName name="_xlnm.Print_Titles" localSheetId="4">'Gantt Haftalık'!$3:$4</definedName>
    <definedName name="_xlnm.Print_Titles" localSheetId="5">'Gantt Aylık'!$3:$4</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DD.MM"/>
  </numFmts>
  <fonts count="23">
    <font>
      <name val="Calibri"/>
      <family val="2"/>
      <color theme="1"/>
      <sz val="11"/>
      <scheme val="minor"/>
    </font>
    <font>
      <name val="Arial"/>
      <b val="1"/>
      <color rgb="00FFFFFF"/>
      <sz val="14"/>
    </font>
    <font>
      <name val="Arial"/>
      <b val="1"/>
      <color rgb="00FFFFFF"/>
      <sz val="10"/>
    </font>
    <font>
      <name val="Arial"/>
      <color rgb="001F2933"/>
      <sz val="10"/>
    </font>
    <font>
      <name val="Arial"/>
      <color rgb="005B6B7C"/>
      <sz val="9"/>
    </font>
    <font>
      <name val="Arial"/>
      <i val="1"/>
      <color rgb="005B6B7C"/>
      <sz val="9"/>
    </font>
    <font>
      <name val="Arial"/>
      <b val="1"/>
      <color rgb="00FFFFFF"/>
      <sz val="15"/>
    </font>
    <font>
      <name val="Arial"/>
      <color rgb="005B6B7C"/>
      <sz val="10"/>
    </font>
    <font>
      <name val="Arial"/>
      <b val="1"/>
      <color rgb="00FFFFFF"/>
      <sz val="9"/>
    </font>
    <font>
      <name val="Arial"/>
      <b val="1"/>
      <color rgb="001F2933"/>
      <sz val="8"/>
    </font>
    <font>
      <name val="Arial"/>
      <b val="1"/>
      <color rgb="00FFFFFF"/>
      <sz val="18"/>
    </font>
    <font>
      <name val="Arial"/>
      <color rgb="00FFFFFF"/>
      <sz val="9"/>
    </font>
    <font>
      <name val="Arial"/>
      <b val="1"/>
      <color rgb="005B6B7C"/>
      <sz val="8"/>
    </font>
    <font>
      <name val="Arial"/>
      <b val="1"/>
      <color rgb="002E75B6"/>
      <sz val="22"/>
    </font>
    <font>
      <name val="Arial"/>
      <color rgb="005B6B7C"/>
      <sz val="7"/>
    </font>
    <font>
      <name val="Arial"/>
      <b val="1"/>
      <color rgb="005B6B7C"/>
      <sz val="22"/>
    </font>
    <font>
      <name val="Arial"/>
      <b val="1"/>
      <color rgb="00E8A33D"/>
      <sz val="22"/>
    </font>
    <font>
      <name val="Arial"/>
      <b val="1"/>
      <color rgb="000E7A50"/>
      <sz val="22"/>
    </font>
    <font>
      <name val="Arial"/>
      <b val="1"/>
      <color rgb="00F0736B"/>
      <sz val="22"/>
    </font>
    <font>
      <name val="Arial"/>
      <b val="1"/>
      <color rgb="001E5A8A"/>
      <sz val="22"/>
    </font>
    <font>
      <name val="Arial"/>
      <b val="1"/>
      <color rgb="001E5A8A"/>
      <sz val="11"/>
    </font>
    <font>
      <name val="Arial"/>
      <i val="1"/>
      <color rgb="005B6B7C"/>
      <sz val="8"/>
    </font>
    <font>
      <name val="Arial"/>
      <b val="1"/>
      <color rgb="001E5A8A"/>
      <sz val="10"/>
    </font>
  </fonts>
  <fills count="12">
    <fill>
      <patternFill/>
    </fill>
    <fill>
      <patternFill patternType="gray125"/>
    </fill>
    <fill>
      <patternFill patternType="solid">
        <fgColor rgb="001E5A8A"/>
      </patternFill>
    </fill>
    <fill>
      <patternFill patternType="solid">
        <fgColor rgb="002E75B6"/>
      </patternFill>
    </fill>
    <fill>
      <patternFill patternType="solid">
        <fgColor rgb="00FFFFFF"/>
      </patternFill>
    </fill>
    <fill>
      <patternFill patternType="solid">
        <fgColor rgb="00F2F4F7"/>
      </patternFill>
    </fill>
    <fill>
      <patternFill patternType="solid">
        <fgColor rgb="00EEF4FA"/>
      </patternFill>
    </fill>
    <fill>
      <patternFill patternType="solid">
        <fgColor rgb="00FCFCFB"/>
      </patternFill>
    </fill>
    <fill>
      <patternFill patternType="solid">
        <fgColor rgb="008A94A6"/>
      </patternFill>
    </fill>
    <fill>
      <patternFill patternType="solid">
        <fgColor rgb="00E8A33D"/>
      </patternFill>
    </fill>
    <fill>
      <patternFill patternType="solid">
        <fgColor rgb="000E7A50"/>
      </patternFill>
    </fill>
    <fill>
      <patternFill patternType="solid">
        <fgColor rgb="00F0736B"/>
      </patternFill>
    </fill>
  </fills>
  <borders count="32">
    <border>
      <left/>
      <right/>
      <top/>
      <bottom/>
      <diagonal/>
    </border>
    <border>
      <left style="thin">
        <color rgb="00D9DEE5"/>
      </left>
      <right style="thin">
        <color rgb="00D9DEE5"/>
      </right>
      <top style="thin">
        <color rgb="00D9DEE5"/>
      </top>
      <bottom style="thin">
        <color rgb="00D9DEE5"/>
      </bottom>
    </border>
    <border>
      <left style="thin">
        <color rgb="00D9DEE5"/>
      </left>
      <right/>
      <top/>
      <bottom/>
      <diagonal/>
    </border>
    <border>
      <left style="thin">
        <color rgb="00D9DEE5"/>
      </left>
      <right style="thin">
        <color rgb="00D9DEE5"/>
      </right>
      <top/>
      <bottom/>
      <diagonal/>
    </border>
    <border>
      <left style="thin">
        <color rgb="00D9DEE5"/>
      </left>
      <right style="thin">
        <color rgb="00D9DEE5"/>
      </right>
      <top/>
      <bottom style="thin">
        <color rgb="00D9DEE5"/>
      </bottom>
      <diagonal/>
    </border>
    <border>
      <left style="thin">
        <color rgb="00D9DEE5"/>
      </left>
      <top style="thick">
        <color rgb="002E75B6"/>
      </top>
    </border>
    <border>
      <left style="thin">
        <color rgb="00D9DEE5"/>
      </left>
    </border>
    <border>
      <left style="thin">
        <color rgb="00D9DEE5"/>
      </left>
      <bottom style="thin">
        <color rgb="00D9DEE5"/>
      </bottom>
    </border>
    <border>
      <top style="thick">
        <color rgb="002E75B6"/>
      </top>
    </border>
    <border/>
    <border>
      <bottom style="thin">
        <color rgb="00D9DEE5"/>
      </bottom>
    </border>
    <border>
      <right style="thin">
        <color rgb="00D9DEE5"/>
      </right>
      <top style="thick">
        <color rgb="002E75B6"/>
      </top>
    </border>
    <border>
      <right style="thin">
        <color rgb="00D9DEE5"/>
      </right>
    </border>
    <border>
      <right style="thin">
        <color rgb="00D9DEE5"/>
      </right>
      <bottom style="thin">
        <color rgb="00D9DEE5"/>
      </bottom>
    </border>
    <border>
      <left style="thin">
        <color rgb="00D9DEE5"/>
      </left>
      <right style="thin">
        <color rgb="00D9DEE5"/>
      </right>
    </border>
    <border>
      <left/>
      <right style="thin">
        <color rgb="00D9DEE5"/>
      </right>
      <top/>
      <bottom/>
      <diagonal/>
    </border>
    <border>
      <left style="thin">
        <color rgb="00D9DEE5"/>
      </left>
      <top style="thick">
        <color rgb="005B6B7C"/>
      </top>
    </border>
    <border>
      <top style="thick">
        <color rgb="005B6B7C"/>
      </top>
    </border>
    <border>
      <right style="thin">
        <color rgb="00D9DEE5"/>
      </right>
      <top style="thick">
        <color rgb="005B6B7C"/>
      </top>
    </border>
    <border>
      <left style="thin">
        <color rgb="00D9DEE5"/>
      </left>
      <top style="thick">
        <color rgb="00E8A33D"/>
      </top>
    </border>
    <border>
      <top style="thick">
        <color rgb="00E8A33D"/>
      </top>
    </border>
    <border>
      <right style="thin">
        <color rgb="00D9DEE5"/>
      </right>
      <top style="thick">
        <color rgb="00E8A33D"/>
      </top>
    </border>
    <border>
      <left style="thin">
        <color rgb="00D9DEE5"/>
      </left>
      <top style="thick">
        <color rgb="000E7A50"/>
      </top>
    </border>
    <border>
      <top style="thick">
        <color rgb="000E7A50"/>
      </top>
    </border>
    <border>
      <right style="thin">
        <color rgb="00D9DEE5"/>
      </right>
      <top style="thick">
        <color rgb="000E7A50"/>
      </top>
    </border>
    <border>
      <left style="thin">
        <color rgb="00D9DEE5"/>
      </left>
      <top style="thick">
        <color rgb="00F0736B"/>
      </top>
    </border>
    <border>
      <top style="thick">
        <color rgb="00F0736B"/>
      </top>
    </border>
    <border>
      <right style="thin">
        <color rgb="00D9DEE5"/>
      </right>
      <top style="thick">
        <color rgb="00F0736B"/>
      </top>
    </border>
    <border>
      <left style="thin">
        <color rgb="00D9DEE5"/>
      </left>
      <top style="thick">
        <color rgb="001E5A8A"/>
      </top>
    </border>
    <border>
      <top style="thick">
        <color rgb="001E5A8A"/>
      </top>
    </border>
    <border>
      <right style="thin">
        <color rgb="00D9DEE5"/>
      </right>
      <top style="thick">
        <color rgb="001E5A8A"/>
      </top>
    </border>
    <border>
      <bottom style="medium">
        <color rgb="002E75B6"/>
      </bottom>
    </border>
  </borders>
  <cellStyleXfs count="1">
    <xf numFmtId="0" fontId="0" fillId="0" borderId="0"/>
  </cellStyleXfs>
  <cellXfs count="87">
    <xf numFmtId="0" fontId="0" fillId="0" borderId="0" pivotButton="0" quotePrefix="0" xfId="0"/>
    <xf numFmtId="0" fontId="10" fillId="2" borderId="0" applyAlignment="1" pivotButton="0" quotePrefix="0" xfId="0">
      <alignment horizontal="left" vertical="center" indent="2"/>
    </xf>
    <xf numFmtId="0" fontId="0" fillId="2" borderId="0" pivotButton="0" quotePrefix="0" xfId="0"/>
    <xf numFmtId="0" fontId="11" fillId="3" borderId="0" applyAlignment="1" pivotButton="0" quotePrefix="0" xfId="0">
      <alignment horizontal="left" vertical="center" indent="2"/>
    </xf>
    <xf numFmtId="0" fontId="0" fillId="3" borderId="0" pivotButton="0" quotePrefix="0" xfId="0"/>
    <xf numFmtId="0" fontId="0" fillId="4" borderId="5" pivotButton="0" quotePrefix="0" xfId="0"/>
    <xf numFmtId="0" fontId="0" fillId="4" borderId="8" pivotButton="0" quotePrefix="0" xfId="0"/>
    <xf numFmtId="0" fontId="0" fillId="4" borderId="11" pivotButton="0" quotePrefix="0" xfId="0"/>
    <xf numFmtId="0" fontId="0" fillId="4" borderId="16" pivotButton="0" quotePrefix="0" xfId="0"/>
    <xf numFmtId="0" fontId="0" fillId="4" borderId="17" pivotButton="0" quotePrefix="0" xfId="0"/>
    <xf numFmtId="0" fontId="0" fillId="4" borderId="18" pivotButton="0" quotePrefix="0" xfId="0"/>
    <xf numFmtId="0" fontId="0" fillId="4" borderId="19" pivotButton="0" quotePrefix="0" xfId="0"/>
    <xf numFmtId="0" fontId="0" fillId="4" borderId="20" pivotButton="0" quotePrefix="0" xfId="0"/>
    <xf numFmtId="0" fontId="0" fillId="4" borderId="21" pivotButton="0" quotePrefix="0" xfId="0"/>
    <xf numFmtId="0" fontId="0" fillId="4" borderId="22" pivotButton="0" quotePrefix="0" xfId="0"/>
    <xf numFmtId="0" fontId="0" fillId="4" borderId="23" pivotButton="0" quotePrefix="0" xfId="0"/>
    <xf numFmtId="0" fontId="0" fillId="4" borderId="24" pivotButton="0" quotePrefix="0" xfId="0"/>
    <xf numFmtId="0" fontId="0" fillId="4" borderId="25" pivotButton="0" quotePrefix="0" xfId="0"/>
    <xf numFmtId="0" fontId="0" fillId="4" borderId="26" pivotButton="0" quotePrefix="0" xfId="0"/>
    <xf numFmtId="0" fontId="0" fillId="4" borderId="27" pivotButton="0" quotePrefix="0" xfId="0"/>
    <xf numFmtId="0" fontId="0" fillId="4" borderId="28" pivotButton="0" quotePrefix="0" xfId="0"/>
    <xf numFmtId="0" fontId="0" fillId="4" borderId="29" pivotButton="0" quotePrefix="0" xfId="0"/>
    <xf numFmtId="0" fontId="0" fillId="4" borderId="30" pivotButton="0" quotePrefix="0" xfId="0"/>
    <xf numFmtId="0" fontId="12" fillId="4" borderId="14" applyAlignment="1" pivotButton="0" quotePrefix="0" xfId="0">
      <alignment horizontal="center" vertical="center"/>
    </xf>
    <xf numFmtId="0" fontId="0" fillId="0" borderId="15" pivotButton="0" quotePrefix="0" xfId="0"/>
    <xf numFmtId="1" fontId="13" fillId="4" borderId="14" applyAlignment="1" pivotButton="0" quotePrefix="0" xfId="0">
      <alignment horizontal="center" vertical="center"/>
    </xf>
    <xf numFmtId="1" fontId="15" fillId="4" borderId="14" applyAlignment="1" pivotButton="0" quotePrefix="0" xfId="0">
      <alignment horizontal="center" vertical="center"/>
    </xf>
    <xf numFmtId="1" fontId="16" fillId="4" borderId="14" applyAlignment="1" pivotButton="0" quotePrefix="0" xfId="0">
      <alignment horizontal="center" vertical="center"/>
    </xf>
    <xf numFmtId="1" fontId="17" fillId="4" borderId="14" applyAlignment="1" pivotButton="0" quotePrefix="0" xfId="0">
      <alignment horizontal="center" vertical="center"/>
    </xf>
    <xf numFmtId="1" fontId="18" fillId="4" borderId="14" applyAlignment="1" pivotButton="0" quotePrefix="0" xfId="0">
      <alignment horizontal="center" vertical="center"/>
    </xf>
    <xf numFmtId="9" fontId="19" fillId="4" borderId="14" applyAlignment="1" pivotButton="0" quotePrefix="0" xfId="0">
      <alignment horizontal="center" vertical="center"/>
    </xf>
    <xf numFmtId="0" fontId="0" fillId="0" borderId="2" pivotButton="0" quotePrefix="0" xfId="0"/>
    <xf numFmtId="0" fontId="14" fillId="4" borderId="14" applyAlignment="1" pivotButton="0" quotePrefix="0" xfId="0">
      <alignment horizontal="center" vertical="center"/>
    </xf>
    <xf numFmtId="0" fontId="0" fillId="4" borderId="7" pivotButton="0" quotePrefix="0" xfId="0"/>
    <xf numFmtId="0" fontId="0" fillId="4" borderId="10" pivotButton="0" quotePrefix="0" xfId="0"/>
    <xf numFmtId="0" fontId="0" fillId="4" borderId="13" pivotButton="0" quotePrefix="0" xfId="0"/>
    <xf numFmtId="0" fontId="20" fillId="0" borderId="31" applyAlignment="1" pivotButton="0" quotePrefix="0" xfId="0">
      <alignment horizontal="left" vertical="center" indent="1"/>
    </xf>
    <xf numFmtId="0" fontId="0" fillId="0" borderId="31" pivotButton="0" quotePrefix="0" xfId="0"/>
    <xf numFmtId="0" fontId="21" fillId="4" borderId="0" applyAlignment="1" pivotButton="0" quotePrefix="0" xfId="0">
      <alignment horizontal="left" vertical="center" indent="1"/>
    </xf>
    <xf numFmtId="0" fontId="0" fillId="4" borderId="0" pivotButton="0" quotePrefix="0" xfId="0"/>
    <xf numFmtId="0" fontId="21" fillId="0" borderId="0" applyAlignment="1" pivotButton="0" quotePrefix="0" xfId="0">
      <alignment horizontal="left" vertical="center" indent="1"/>
    </xf>
    <xf numFmtId="0" fontId="22" fillId="0" borderId="0" pivotButton="0" quotePrefix="0" xfId="0"/>
    <xf numFmtId="0" fontId="0" fillId="8" borderId="0" pivotButton="0" quotePrefix="0" xfId="0"/>
    <xf numFmtId="0" fontId="3" fillId="0" borderId="0" applyAlignment="1" pivotButton="0" quotePrefix="0" xfId="0">
      <alignment horizontal="left" vertical="center"/>
    </xf>
    <xf numFmtId="0" fontId="0" fillId="9" borderId="0" pivotButton="0" quotePrefix="0" xfId="0"/>
    <xf numFmtId="0" fontId="0" fillId="10" borderId="0" pivotButton="0" quotePrefix="0" xfId="0"/>
    <xf numFmtId="0" fontId="0" fillId="11"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xf>
    <xf numFmtId="0" fontId="3" fillId="4" borderId="1" applyAlignment="1" pivotButton="0" quotePrefix="0" xfId="0">
      <alignment horizontal="left" vertical="center"/>
    </xf>
    <xf numFmtId="0" fontId="4" fillId="0" borderId="0" applyAlignment="1" pivotButton="0" quotePrefix="0" xfId="0">
      <alignment horizontal="left" vertical="top" wrapText="1"/>
    </xf>
    <xf numFmtId="0" fontId="5" fillId="0" borderId="0" pivotButton="0" quotePrefix="0" xfId="0"/>
    <xf numFmtId="0" fontId="2" fillId="2" borderId="0" pivotButton="0" quotePrefix="0" xfId="0"/>
    <xf numFmtId="165" fontId="0" fillId="0" borderId="0" pivotButton="0" quotePrefix="0" xfId="0"/>
    <xf numFmtId="1" fontId="0" fillId="0" borderId="0" pivotButton="0" quotePrefix="0" xfId="0"/>
    <xf numFmtId="166" fontId="0" fillId="0" borderId="0" pivotButton="0" quotePrefix="0" xfId="0"/>
    <xf numFmtId="9" fontId="0" fillId="0" borderId="0" pivotButton="0" quotePrefix="0" xfId="0"/>
    <xf numFmtId="0" fontId="6" fillId="2" borderId="0" applyAlignment="1" pivotButton="0" quotePrefix="0" xfId="0">
      <alignment horizontal="left" vertical="center" indent="1"/>
    </xf>
    <xf numFmtId="0" fontId="5" fillId="0" borderId="0" applyAlignment="1" pivotButton="0" quotePrefix="0" xfId="0">
      <alignment horizontal="left" vertical="center" indent="1"/>
    </xf>
    <xf numFmtId="0" fontId="2" fillId="3" borderId="1" applyAlignment="1" pivotButton="0" quotePrefix="0" xfId="0">
      <alignment horizontal="center" vertical="center" wrapText="1"/>
    </xf>
    <xf numFmtId="0" fontId="7" fillId="5" borderId="1" applyAlignment="1" pivotButton="0" quotePrefix="0" xfId="0">
      <alignment horizontal="center" vertical="center"/>
    </xf>
    <xf numFmtId="0" fontId="3" fillId="4" borderId="1" applyAlignment="1" pivotButton="0" quotePrefix="0" xfId="0">
      <alignment horizontal="left" vertical="top" wrapText="1"/>
    </xf>
    <xf numFmtId="0" fontId="3" fillId="4" borderId="1" applyAlignment="1" pivotButton="0" quotePrefix="0" xfId="0">
      <alignment horizontal="center" vertical="center"/>
    </xf>
    <xf numFmtId="165" fontId="3" fillId="4" borderId="1" applyAlignment="1" pivotButton="0" quotePrefix="0" xfId="0">
      <alignment horizontal="center" vertical="center"/>
    </xf>
    <xf numFmtId="1" fontId="7" fillId="5" borderId="1" applyAlignment="1" pivotButton="0" quotePrefix="0" xfId="0">
      <alignment horizontal="center" vertical="center"/>
    </xf>
    <xf numFmtId="1" fontId="3" fillId="4" borderId="1" applyAlignment="1" pivotButton="0" quotePrefix="0" xfId="0">
      <alignment horizontal="center" vertical="center"/>
    </xf>
    <xf numFmtId="165" fontId="7" fillId="5" borderId="1" applyAlignment="1" pivotButton="0" quotePrefix="0" xfId="0">
      <alignment horizontal="center" vertical="center"/>
    </xf>
    <xf numFmtId="9" fontId="3" fillId="4" borderId="1" applyAlignment="1" pivotButton="0" quotePrefix="0" xfId="0">
      <alignment horizontal="center" vertical="center"/>
    </xf>
    <xf numFmtId="0" fontId="7" fillId="5" borderId="1" applyAlignment="1" pivotButton="0" quotePrefix="0" xfId="0">
      <alignment horizontal="left" vertical="center"/>
    </xf>
    <xf numFmtId="0" fontId="8" fillId="3" borderId="1" applyAlignment="1" pivotButton="0" quotePrefix="0" xfId="0">
      <alignment horizontal="center" vertical="center"/>
    </xf>
    <xf numFmtId="0" fontId="0" fillId="3" borderId="1" pivotButton="0" quotePrefix="0" xfId="0"/>
    <xf numFmtId="0" fontId="8" fillId="2" borderId="1" applyAlignment="1" pivotButton="0" quotePrefix="0" xfId="0">
      <alignment horizontal="center" vertical="center"/>
    </xf>
    <xf numFmtId="0" fontId="0" fillId="2" borderId="1" pivotButton="0" quotePrefix="0" xfId="0"/>
    <xf numFmtId="0" fontId="0" fillId="0" borderId="4" pivotButton="0" quotePrefix="0" xfId="0"/>
    <xf numFmtId="166" fontId="9" fillId="6" borderId="1" applyAlignment="1" pivotButton="0" quotePrefix="0" xfId="0">
      <alignment horizontal="center" vertical="center"/>
    </xf>
    <xf numFmtId="0" fontId="0" fillId="7" borderId="1" pivotButton="0" quotePrefix="0" xfId="0"/>
    <xf numFmtId="0" fontId="22"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8" borderId="1" pivotButton="0" quotePrefix="0" xfId="0"/>
    <xf numFmtId="0" fontId="3" fillId="0" borderId="0" pivotButton="0" quotePrefix="0" xfId="0"/>
    <xf numFmtId="0" fontId="0" fillId="9" borderId="1" pivotButton="0" quotePrefix="0" xfId="0"/>
    <xf numFmtId="0" fontId="0" fillId="10" borderId="1" pivotButton="0" quotePrefix="0" xfId="0"/>
    <xf numFmtId="0" fontId="0" fillId="11" borderId="1" pivotButton="0" quotePrefix="0" xfId="0"/>
    <xf numFmtId="0" fontId="0" fillId="5" borderId="1" pivotButton="0" quotePrefix="0" xfId="0"/>
    <xf numFmtId="0" fontId="7" fillId="0" borderId="0" pivotButton="0" quotePrefix="0" xfId="0"/>
    <xf numFmtId="0" fontId="0" fillId="4" borderId="1" pivotButton="0" quotePrefix="0" xfId="0"/>
    <xf numFmtId="0" fontId="21" fillId="0" borderId="0" applyAlignment="1" pivotButton="0" quotePrefix="0" xfId="0">
      <alignment horizontal="left" vertical="top" wrapText="1"/>
    </xf>
  </cellXfs>
  <cellStyles count="1">
    <cellStyle name="Normal" xfId="0" builtinId="0" hidden="0"/>
  </cellStyles>
  <dxfs count="13">
    <dxf>
      <font>
        <name val="Arial"/>
        <b val="1"/>
        <color rgb="008A94A6"/>
        <sz val="10"/>
      </font>
      <fill>
        <patternFill patternType="solid">
          <fgColor rgb="00E7EAEF"/>
        </patternFill>
      </fill>
    </dxf>
    <dxf>
      <font>
        <name val="Arial"/>
        <b val="1"/>
        <color rgb="00E8A33D"/>
        <sz val="10"/>
      </font>
      <fill>
        <patternFill patternType="solid">
          <fgColor rgb="00FBEBCF"/>
        </patternFill>
      </fill>
    </dxf>
    <dxf>
      <font>
        <name val="Arial"/>
        <b val="1"/>
        <color rgb="000E7A50"/>
        <sz val="10"/>
      </font>
      <fill>
        <patternFill patternType="solid">
          <fgColor rgb="00CFE6DB"/>
        </patternFill>
      </fill>
    </dxf>
    <dxf>
      <font>
        <name val="Arial"/>
        <b val="1"/>
        <color rgb="00F0736B"/>
        <sz val="10"/>
      </font>
      <fill>
        <patternFill patternType="solid">
          <fgColor rgb="00FBDBD9"/>
        </patternFill>
      </fill>
    </dxf>
    <dxf>
      <font>
        <name val="Arial"/>
        <b val="1"/>
        <color rgb="00B3261E"/>
        <sz val="10"/>
      </font>
    </dxf>
    <dxf>
      <font>
        <name val="Arial"/>
        <b val="1"/>
        <color rgb="009A6512"/>
        <sz val="10"/>
      </font>
    </dxf>
    <dxf>
      <font>
        <name val="Arial"/>
        <b val="1"/>
        <color rgb="00B3261E"/>
        <sz val="10"/>
      </font>
      <fill>
        <patternFill patternType="solid">
          <fgColor rgb="00FBDBD9"/>
        </patternFill>
      </fill>
    </dxf>
    <dxf>
      <fill>
        <patternFill patternType="solid">
          <fgColor rgb="00FDF0EF"/>
        </patternFill>
      </fill>
    </dxf>
    <dxf>
      <fill>
        <patternFill patternType="solid">
          <fgColor rgb="008A94A6"/>
        </patternFill>
      </fill>
    </dxf>
    <dxf>
      <fill>
        <patternFill patternType="solid">
          <fgColor rgb="00E8A33D"/>
        </patternFill>
      </fill>
    </dxf>
    <dxf>
      <fill>
        <patternFill patternType="solid">
          <fgColor rgb="000E7A50"/>
        </patternFill>
      </fill>
    </dxf>
    <dxf>
      <fill>
        <patternFill patternType="solid">
          <fgColor rgb="00F0736B"/>
        </patternFill>
      </fill>
    </dxf>
    <dxf>
      <border>
        <left style="medium">
          <color rgb="00B3261E"/>
        </left>
        <right style="medium">
          <color rgb="00B3261E"/>
        </right>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plotArea>
      <doughnutChart>
        <varyColors val="1"/>
        <ser>
          <idx val="0"/>
          <order val="0"/>
          <tx>
            <strRef>
              <f>'Hesap'!F1</f>
            </strRef>
          </tx>
          <spPr>
            <a:ln xmlns:a="http://schemas.openxmlformats.org/drawingml/2006/main">
              <a:prstDash val="solid"/>
            </a:ln>
          </spPr>
          <dPt>
            <idx val="0"/>
            <spPr>
              <a:solidFill xmlns:a="http://schemas.openxmlformats.org/drawingml/2006/main">
                <a:srgbClr val="8A94A6"/>
              </a:solidFill>
              <a:ln xmlns:a="http://schemas.openxmlformats.org/drawingml/2006/main" w="19050">
                <a:solidFill>
                  <a:srgbClr val="FFFFFF"/>
                </a:solidFill>
                <a:prstDash val="solid"/>
              </a:ln>
            </spPr>
          </dPt>
          <dPt>
            <idx val="1"/>
            <spPr>
              <a:solidFill xmlns:a="http://schemas.openxmlformats.org/drawingml/2006/main">
                <a:srgbClr val="E8A33D"/>
              </a:solidFill>
              <a:ln xmlns:a="http://schemas.openxmlformats.org/drawingml/2006/main" w="19050">
                <a:solidFill>
                  <a:srgbClr val="FFFFFF"/>
                </a:solidFill>
                <a:prstDash val="solid"/>
              </a:ln>
            </spPr>
          </dPt>
          <dPt>
            <idx val="2"/>
            <spPr>
              <a:solidFill xmlns:a="http://schemas.openxmlformats.org/drawingml/2006/main">
                <a:srgbClr val="0E7A50"/>
              </a:solidFill>
              <a:ln xmlns:a="http://schemas.openxmlformats.org/drawingml/2006/main" w="19050">
                <a:solidFill>
                  <a:srgbClr val="FFFFFF"/>
                </a:solidFill>
                <a:prstDash val="solid"/>
              </a:ln>
            </spPr>
          </dPt>
          <dPt>
            <idx val="3"/>
            <spPr>
              <a:solidFill xmlns:a="http://schemas.openxmlformats.org/drawingml/2006/main">
                <a:srgbClr val="F0736B"/>
              </a:solidFill>
              <a:ln xmlns:a="http://schemas.openxmlformats.org/drawingml/2006/main" w="19050">
                <a:solidFill>
                  <a:srgbClr val="FFFFFF"/>
                </a:solidFill>
                <a:prstDash val="solid"/>
              </a:ln>
            </spPr>
          </dPt>
          <cat>
            <numRef>
              <f>'Hesap'!$E$2:$E$5</f>
            </numRef>
          </cat>
          <val>
            <numRef>
              <f>'Hesap'!$F$2:$F$5</f>
            </numRef>
          </val>
        </ser>
        <dLbls>
          <showLegendKey val="0"/>
          <showVal val="1"/>
          <showCatName val="0"/>
          <showSerName val="0"/>
          <showPercent val="0"/>
          <showBubbleSize val="0"/>
        </dLbls>
        <firstSliceAng val="0"/>
        <holeSize val="58"/>
      </doughnutChart>
    </plotArea>
    <legend>
      <legendPos val="b"/>
      <overlay val="0"/>
    </legend>
    <plotVisOnly val="0"/>
    <dispBlanksAs val="gap"/>
  </chart>
</chartSpace>
</file>

<file path=xl/charts/chart2.xml><?xml version="1.0" encoding="utf-8"?>
<chartSpace xmlns="http://schemas.openxmlformats.org/drawingml/2006/chart">
  <chart>
    <plotArea>
      <barChart>
        <barDir val="col"/>
        <grouping val="clustered"/>
        <ser>
          <idx val="0"/>
          <order val="0"/>
          <tx>
            <strRef>
              <f>'Hesap'!J1</f>
            </strRef>
          </tx>
          <spPr>
            <a:solidFill xmlns:a="http://schemas.openxmlformats.org/drawingml/2006/main">
              <a:srgbClr val="2E75B6"/>
            </a:solidFill>
            <a:ln xmlns:a="http://schemas.openxmlformats.org/drawingml/2006/main">
              <a:prstDash val="solid"/>
            </a:ln>
          </spPr>
          <cat>
            <numRef>
              <f>'Hesap'!$H$2:$H$13</f>
            </numRef>
          </cat>
          <val>
            <numRef>
              <f>'Hesap'!$J$2:$J$13</f>
            </numRef>
          </val>
        </ser>
        <dLbls>
          <showLegendKey val="0"/>
          <showVal val="1"/>
          <showCatName val="0"/>
          <showSerName val="0"/>
          <showPercent val="0"/>
          <showBubbleSize val="0"/>
        </dLbls>
        <gapWidth val="45"/>
        <axId val="10"/>
        <axId val="100"/>
      </barChart>
      <catAx>
        <axId val="10"/>
        <scaling>
          <orientation val="minMax"/>
        </scaling>
        <axPos val="l"/>
        <majorTickMark val="none"/>
        <minorTickMark val="none"/>
        <crossAx val="100"/>
        <lblOffset val="100"/>
      </catAx>
      <valAx>
        <axId val="100"/>
        <scaling>
          <orientation val="minMax"/>
          <min val="0"/>
        </scaling>
        <axPos val="l"/>
        <majorGridlines>
          <spPr>
            <a:ln xmlns:a="http://schemas.openxmlformats.org/drawingml/2006/main" w="9525">
              <a:solidFill>
                <a:srgbClr val="EDEFF2"/>
              </a:solidFill>
              <a:prstDash val="solid"/>
            </a:ln>
          </spPr>
        </majorGridlines>
        <majorTickMark val="none"/>
        <minorTickMark val="none"/>
        <crossAx val="10"/>
      </valAx>
    </plotArea>
    <plotVisOnly val="0"/>
    <dispBlanksAs val="gap"/>
  </chart>
</chartSpace>
</file>

<file path=xl/charts/chart3.xml><?xml version="1.0" encoding="utf-8"?>
<chartSpace xmlns="http://schemas.openxmlformats.org/drawingml/2006/chart">
  <chart>
    <plotArea>
      <lineChart>
        <grouping val="standard"/>
        <ser>
          <idx val="0"/>
          <order val="0"/>
          <tx>
            <strRef>
              <f>'Hesap'!AC1</f>
            </strRef>
          </tx>
          <spPr>
            <a:ln xmlns:a="http://schemas.openxmlformats.org/drawingml/2006/main" w="22225">
              <a:solidFill>
                <a:srgbClr val="5B8FC7"/>
              </a:solidFill>
              <a:prstDash val="dash"/>
            </a:ln>
          </spPr>
          <marker>
            <symbol val="none"/>
            <spPr>
              <a:ln xmlns:a="http://schemas.openxmlformats.org/drawingml/2006/main">
                <a:prstDash val="solid"/>
              </a:ln>
            </spPr>
          </marker>
          <cat>
            <numRef>
              <f>'Hesap'!$AB$2:$AB$53</f>
            </numRef>
          </cat>
          <val>
            <numRef>
              <f>'Hesap'!$AC$2:$AC$53</f>
            </numRef>
          </val>
          <smooth val="0"/>
        </ser>
        <ser>
          <idx val="1"/>
          <order val="1"/>
          <tx>
            <strRef>
              <f>'Hesap'!AD1</f>
            </strRef>
          </tx>
          <spPr>
            <a:ln xmlns:a="http://schemas.openxmlformats.org/drawingml/2006/main" w="28575">
              <a:solidFill>
                <a:srgbClr val="0E7A50"/>
              </a:solidFill>
              <a:prstDash val="solid"/>
            </a:ln>
          </spPr>
          <marker>
            <symbol val="none"/>
            <spPr>
              <a:ln xmlns:a="http://schemas.openxmlformats.org/drawingml/2006/main">
                <a:prstDash val="solid"/>
              </a:ln>
            </spPr>
          </marker>
          <cat>
            <numRef>
              <f>'Hesap'!$AB$2:$AB$53</f>
            </numRef>
          </cat>
          <val>
            <numRef>
              <f>'Hesap'!$AD$2:$AD$53</f>
            </numRef>
          </val>
          <smooth val="0"/>
        </ser>
        <axId val="10"/>
        <axId val="100"/>
      </lineChart>
      <catAx>
        <axId val="10"/>
        <scaling>
          <orientation val="minMax"/>
        </scaling>
        <axPos val="l"/>
        <majorTickMark val="none"/>
        <minorTickMark val="none"/>
        <crossAx val="100"/>
        <lblOffset val="100"/>
        <tickLblSkip val="4"/>
        <tickMarkSkip val="4"/>
      </catAx>
      <valAx>
        <axId val="100"/>
        <scaling>
          <orientation val="minMax"/>
          <min val="0"/>
        </scaling>
        <axPos val="l"/>
        <majorGridlines>
          <spPr>
            <a:ln xmlns:a="http://schemas.openxmlformats.org/drawingml/2006/main" w="9525">
              <a:solidFill>
                <a:srgbClr val="EDEFF2"/>
              </a:solidFill>
              <a:prstDash val="solid"/>
            </a:ln>
          </spPr>
        </majorGridlines>
        <majorTickMark val="none"/>
        <minorTickMark val="none"/>
        <crossAx val="10"/>
      </valAx>
    </plotArea>
    <legend>
      <legendPos val="b"/>
      <overlay val="0"/>
    </legend>
    <plotVisOnly val="0"/>
    <dispBlanksAs val="gap"/>
  </chart>
</chartSpace>
</file>

<file path=xl/charts/chart4.xml><?xml version="1.0" encoding="utf-8"?>
<chartSpace xmlns="http://schemas.openxmlformats.org/drawingml/2006/chart">
  <chart>
    <plotArea>
      <lineChart>
        <grouping val="standard"/>
        <ser>
          <idx val="0"/>
          <order val="0"/>
          <tx>
            <strRef>
              <f>'Hesap'!AH1</f>
            </strRef>
          </tx>
          <spPr>
            <a:ln xmlns:a="http://schemas.openxmlformats.org/drawingml/2006/main" w="22225">
              <a:solidFill>
                <a:srgbClr val="5B8FC7"/>
              </a:solidFill>
              <a:prstDash val="dash"/>
            </a:ln>
          </spPr>
          <marker>
            <symbol val="none"/>
            <spPr>
              <a:ln xmlns:a="http://schemas.openxmlformats.org/drawingml/2006/main">
                <a:prstDash val="solid"/>
              </a:ln>
            </spPr>
          </marker>
          <cat>
            <numRef>
              <f>'Hesap'!$AF$2:$AF$13</f>
            </numRef>
          </cat>
          <val>
            <numRef>
              <f>'Hesap'!$AH$2:$AH$13</f>
            </numRef>
          </val>
          <smooth val="0"/>
        </ser>
        <ser>
          <idx val="1"/>
          <order val="1"/>
          <tx>
            <strRef>
              <f>'Hesap'!AI1</f>
            </strRef>
          </tx>
          <spPr>
            <a:ln xmlns:a="http://schemas.openxmlformats.org/drawingml/2006/main" w="28575">
              <a:solidFill>
                <a:srgbClr val="0E7A50"/>
              </a:solidFill>
              <a:prstDash val="solid"/>
            </a:ln>
          </spPr>
          <marker>
            <symbol val="none"/>
            <spPr>
              <a:ln xmlns:a="http://schemas.openxmlformats.org/drawingml/2006/main">
                <a:prstDash val="solid"/>
              </a:ln>
            </spPr>
          </marker>
          <cat>
            <numRef>
              <f>'Hesap'!$AF$2:$AF$13</f>
            </numRef>
          </cat>
          <val>
            <numRef>
              <f>'Hesap'!$AI$2:$AI$13</f>
            </numRef>
          </val>
          <smooth val="0"/>
        </ser>
        <axId val="10"/>
        <axId val="100"/>
      </lineChart>
      <catAx>
        <axId val="10"/>
        <scaling>
          <orientation val="minMax"/>
        </scaling>
        <axPos val="l"/>
        <majorTickMark val="none"/>
        <minorTickMark val="none"/>
        <crossAx val="100"/>
        <lblOffset val="100"/>
      </catAx>
      <valAx>
        <axId val="100"/>
        <scaling>
          <orientation val="minMax"/>
          <min val="0"/>
        </scaling>
        <axPos val="l"/>
        <majorGridlines>
          <spPr>
            <a:ln xmlns:a="http://schemas.openxmlformats.org/drawingml/2006/main" w="9525">
              <a:solidFill>
                <a:srgbClr val="EDEFF2"/>
              </a:solidFill>
              <a:prstDash val="solid"/>
            </a:ln>
          </spPr>
        </majorGridlines>
        <majorTickMark val="none"/>
        <minorTickMark val="none"/>
        <crossAx val="10"/>
      </valAx>
    </plotArea>
    <legend>
      <legendPos val="b"/>
      <overlay val="0"/>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Tamamlanan İşler</a:t>
            </a:r>
          </a:p>
        </rich>
      </tx>
    </title>
    <plotArea>
      <barChart>
        <barDir val="bar"/>
        <grouping val="clustered"/>
        <ser>
          <idx val="0"/>
          <order val="0"/>
          <tx>
            <strRef>
              <f>'Hesap'!X1</f>
            </strRef>
          </tx>
          <spPr>
            <a:solidFill xmlns:a="http://schemas.openxmlformats.org/drawingml/2006/main">
              <a:srgbClr val="0E7A50"/>
            </a:solidFill>
            <a:ln xmlns:a="http://schemas.openxmlformats.org/drawingml/2006/main">
              <a:prstDash val="solid"/>
            </a:ln>
          </spPr>
          <cat>
            <numRef>
              <f>'Hesap'!$W$2:$W$21</f>
            </numRef>
          </cat>
          <val>
            <numRef>
              <f>'Hesap'!$X$2:$X$21</f>
            </numRef>
          </val>
        </ser>
        <dLbls>
          <showLegendKey val="0"/>
          <showVal val="1"/>
          <showCatName val="0"/>
          <showSerName val="0"/>
          <showPercent val="0"/>
          <showBubbleSize val="0"/>
        </dLbls>
        <gapWidth val="40"/>
        <axId val="10"/>
        <axId val="100"/>
      </barChart>
      <catAx>
        <axId val="10"/>
        <scaling>
          <orientation val="minMax"/>
          <min val="0"/>
        </scaling>
        <axPos val="l"/>
        <majorTickMark val="none"/>
        <minorTickMark val="none"/>
        <crossAx val="100"/>
        <lblOffset val="100"/>
      </catAx>
      <valAx>
        <axId val="100"/>
        <scaling>
          <orientation val="minMax"/>
        </scaling>
        <axPos val="l"/>
        <majorGridlines/>
        <majorTickMark val="none"/>
        <minorTickMark val="none"/>
        <crossAx val="10"/>
      </valAx>
    </plotArea>
    <plotVisOnly val="0"/>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Devam Eden İşler</a:t>
            </a:r>
          </a:p>
        </rich>
      </tx>
    </title>
    <plotArea>
      <barChart>
        <barDir val="bar"/>
        <grouping val="clustered"/>
        <ser>
          <idx val="0"/>
          <order val="0"/>
          <tx>
            <strRef>
              <f>'Hesap'!Y1</f>
            </strRef>
          </tx>
          <spPr>
            <a:solidFill xmlns:a="http://schemas.openxmlformats.org/drawingml/2006/main">
              <a:srgbClr val="E8A33D"/>
            </a:solidFill>
            <a:ln xmlns:a="http://schemas.openxmlformats.org/drawingml/2006/main">
              <a:prstDash val="solid"/>
            </a:ln>
          </spPr>
          <cat>
            <numRef>
              <f>'Hesap'!$W$2:$W$21</f>
            </numRef>
          </cat>
          <val>
            <numRef>
              <f>'Hesap'!$Y$2:$Y$21</f>
            </numRef>
          </val>
        </ser>
        <dLbls>
          <showLegendKey val="0"/>
          <showVal val="1"/>
          <showCatName val="0"/>
          <showSerName val="0"/>
          <showPercent val="0"/>
          <showBubbleSize val="0"/>
        </dLbls>
        <gapWidth val="40"/>
        <axId val="10"/>
        <axId val="100"/>
      </barChart>
      <catAx>
        <axId val="10"/>
        <scaling>
          <orientation val="minMax"/>
          <min val="0"/>
        </scaling>
        <axPos val="l"/>
        <majorTickMark val="none"/>
        <minorTickMark val="none"/>
        <crossAx val="100"/>
        <lblOffset val="100"/>
      </catAx>
      <valAx>
        <axId val="100"/>
        <scaling>
          <orientation val="minMax"/>
        </scaling>
        <axPos val="l"/>
        <majorGridlines/>
        <majorTickMark val="none"/>
        <minorTickMark val="none"/>
        <crossAx val="10"/>
      </valAx>
    </plotArea>
    <plotVisOnly val="0"/>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Süresi Geçen İşler</a:t>
            </a:r>
          </a:p>
        </rich>
      </tx>
    </title>
    <plotArea>
      <barChart>
        <barDir val="bar"/>
        <grouping val="clustered"/>
        <ser>
          <idx val="0"/>
          <order val="0"/>
          <tx>
            <strRef>
              <f>'Hesap'!Z1</f>
            </strRef>
          </tx>
          <spPr>
            <a:solidFill xmlns:a="http://schemas.openxmlformats.org/drawingml/2006/main">
              <a:srgbClr val="F0736B"/>
            </a:solidFill>
            <a:ln xmlns:a="http://schemas.openxmlformats.org/drawingml/2006/main">
              <a:prstDash val="solid"/>
            </a:ln>
          </spPr>
          <cat>
            <numRef>
              <f>'Hesap'!$W$2:$W$21</f>
            </numRef>
          </cat>
          <val>
            <numRef>
              <f>'Hesap'!$Z$2:$Z$21</f>
            </numRef>
          </val>
        </ser>
        <dLbls>
          <showLegendKey val="0"/>
          <showVal val="1"/>
          <showCatName val="0"/>
          <showSerName val="0"/>
          <showPercent val="0"/>
          <showBubbleSize val="0"/>
        </dLbls>
        <gapWidth val="40"/>
        <axId val="10"/>
        <axId val="100"/>
      </barChart>
      <catAx>
        <axId val="10"/>
        <scaling>
          <orientation val="minMax"/>
          <min val="0"/>
        </scaling>
        <axPos val="l"/>
        <majorTickMark val="none"/>
        <minorTickMark val="none"/>
        <crossAx val="100"/>
        <lblOffset val="100"/>
      </catAx>
      <valAx>
        <axId val="100"/>
        <scaling>
          <orientation val="minMax"/>
        </scaling>
        <axPos val="l"/>
        <majorGridlines/>
        <majorTickMark val="none"/>
        <minorTickMark val="none"/>
        <crossAx val="10"/>
      </valAx>
    </plotArea>
    <plotVisOnly val="0"/>
    <dispBlanksAs val="gap"/>
  </chart>
</chartSpace>
</file>

<file path=xl/charts/chart8.xml><?xml version="1.0" encoding="utf-8"?>
<chartSpace xmlns="http://schemas.openxmlformats.org/drawingml/2006/chart">
  <chart>
    <plotArea>
      <barChart>
        <barDir val="bar"/>
        <grouping val="stacked"/>
        <ser>
          <idx val="0"/>
          <order val="0"/>
          <tx>
            <strRef>
              <f>'Hesap'!AL1</f>
            </strRef>
          </tx>
          <spPr>
            <a:solidFill xmlns:a="http://schemas.openxmlformats.org/drawingml/2006/main">
              <a:srgbClr val="5B8FC7"/>
            </a:solidFill>
            <a:ln xmlns:a="http://schemas.openxmlformats.org/drawingml/2006/main">
              <a:prstDash val="solid"/>
            </a:ln>
          </spPr>
          <cat>
            <numRef>
              <f>'Hesap'!$AK$2:$AK$21</f>
            </numRef>
          </cat>
          <val>
            <numRef>
              <f>'Hesap'!$AL$2:$AL$21</f>
            </numRef>
          </val>
        </ser>
        <ser>
          <idx val="1"/>
          <order val="1"/>
          <tx>
            <strRef>
              <f>'Hesap'!AM1</f>
            </strRef>
          </tx>
          <spPr>
            <a:solidFill xmlns:a="http://schemas.openxmlformats.org/drawingml/2006/main">
              <a:srgbClr val="F0736B"/>
            </a:solidFill>
            <a:ln xmlns:a="http://schemas.openxmlformats.org/drawingml/2006/main">
              <a:prstDash val="solid"/>
            </a:ln>
          </spPr>
          <cat>
            <numRef>
              <f>'Hesap'!$AK$2:$AK$21</f>
            </numRef>
          </cat>
          <val>
            <numRef>
              <f>'Hesap'!$AM$2:$AM$21</f>
            </numRef>
          </val>
        </ser>
        <dLbls>
          <showLegendKey val="0"/>
          <showVal val="1"/>
          <showCatName val="0"/>
          <showSerName val="0"/>
          <showPercent val="0"/>
          <showBubbleSize val="0"/>
        </dLbls>
        <gapWidth val="40"/>
        <overlap val="100"/>
        <axId val="10"/>
        <axId val="100"/>
      </barChart>
      <catAx>
        <axId val="10"/>
        <scaling>
          <orientation val="minMax"/>
          <min val="0"/>
        </scaling>
        <axPos val="l"/>
        <majorTickMark val="none"/>
        <minorTickMark val="none"/>
        <crossAx val="100"/>
        <lblOffset val="100"/>
      </catAx>
      <valAx>
        <axId val="100"/>
        <scaling>
          <orientation val="minMax"/>
        </scaling>
        <axPos val="l"/>
        <majorGridlines/>
        <majorTickMark val="none"/>
        <minorTickMark val="none"/>
        <crossAx val="10"/>
      </valAx>
    </plotArea>
    <legend>
      <legendPos val="b"/>
      <overlay val="0"/>
    </legend>
    <plotVisOnly val="0"/>
    <dispBlanksAs val="gap"/>
  </chart>
</chartSpace>
</file>

<file path=xl/charts/chart9.xml><?xml version="1.0" encoding="utf-8"?>
<chartSpace xmlns="http://schemas.openxmlformats.org/drawingml/2006/chart">
  <chart>
    <plotArea>
      <barChart>
        <barDir val="bar"/>
        <grouping val="clustered"/>
        <ser>
          <idx val="0"/>
          <order val="0"/>
          <tx>
            <strRef>
              <f>'Hesap'!N1</f>
            </strRef>
          </tx>
          <spPr>
            <a:solidFill xmlns:a="http://schemas.openxmlformats.org/drawingml/2006/main">
              <a:srgbClr val="F0736B"/>
            </a:solidFill>
            <a:ln xmlns:a="http://schemas.openxmlformats.org/drawingml/2006/main">
              <a:prstDash val="solid"/>
            </a:ln>
          </spPr>
          <cat>
            <numRef>
              <f>'Hesap'!$M$2:$M$11</f>
            </numRef>
          </cat>
          <val>
            <numRef>
              <f>'Hesap'!$N$2:$N$11</f>
            </numRef>
          </val>
        </ser>
        <dLbls>
          <showLegendKey val="0"/>
          <showVal val="1"/>
          <showCatName val="0"/>
          <showSerName val="0"/>
          <showPercent val="0"/>
          <showBubbleSize val="0"/>
        </dLbls>
        <gapWidth val="45"/>
        <axId val="10"/>
        <axId val="100"/>
      </barChart>
      <catAx>
        <axId val="10"/>
        <scaling>
          <orientation val="minMax"/>
          <min val="0"/>
        </scaling>
        <axPos val="l"/>
        <majorTickMark val="none"/>
        <minorTickMark val="none"/>
        <crossAx val="100"/>
        <lblOffset val="100"/>
      </catAx>
      <valAx>
        <axId val="100"/>
        <scaling>
          <orientation val="minMax"/>
        </scaling>
        <axPos val="l"/>
        <majorGridlines/>
        <majorTickMark val="none"/>
        <minorTickMark val="none"/>
        <crossAx val="10"/>
      </valAx>
    </plotArea>
    <plotVisOnly val="0"/>
    <dispBlanksAs val="gap"/>
  </chart>
</chartSpace>
</file>

<file path=xl/comments/comment1.xml><?xml version="1.0" encoding="utf-8"?>
<comments xmlns="http://schemas.openxmlformats.org/spreadsheetml/2006/main">
  <authors>
    <author>Şablon</author>
  </authors>
  <commentList>
    <comment ref="H4" authorId="0" shapeId="0">
      <text>
        <t>Tarihleri gg.aa.yyyy biçiminde girin (örn. 15.03.2026).</t>
      </text>
    </comment>
    <comment ref="K4" authorId="0" shapeId="0">
      <text>
        <t>Gecikme gün sayısı. Revize Bitiş = Bitiş + Gecikme.</t>
      </text>
    </comment>
    <comment ref="M4" authorId="0" shapeId="0">
      <text>
        <t>Durumu belirleyen tek elle girdi: 100% yazıldığında iş Tamamlandı sayılır ve tarihi geçmiş olsa bile Gecikmiş'e düşmez.</t>
      </text>
    </comment>
    <comment ref="N4" authorId="0" shapeId="0">
      <text>
        <t>Formüllü sütun - elle doldurulmaz. Sırayla: İlerleme %100 ise Tamamlandı; değilse Revize Bitiş tarihi geçmişse Gecikmiş; değilse ilerleme başlamış veya Başlangıç tarihi gelmişse Devam Ediyor; hiçbiri değilse Planlanan. Bir işi kapatmak için İlerleme % hücresine 100% yazın.</t>
      </text>
    </comment>
    <comment ref="P4" authorId="0" shapeId="0">
      <text>
        <t>Toplantı kararları, aksiyon notları, referans verilen rapor adları vb. serbest metin alanı.</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drawing1.xml><?xml version="1.0" encoding="utf-8"?>
<wsDr xmlns="http://schemas.openxmlformats.org/drawingml/2006/spreadsheetDrawing">
  <oneCellAnchor>
    <from>
      <col>1</col>
      <colOff>0</colOff>
      <row>17</row>
      <rowOff>0</rowOff>
    </from>
    <ext cx="3456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17</row>
      <rowOff>0</rowOff>
    </from>
    <ext cx="756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37</row>
      <rowOff>0</rowOff>
    </from>
    <ext cx="1152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59</row>
      <rowOff>0</rowOff>
    </from>
    <ext cx="1152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81</row>
      <rowOff>0</rowOff>
    </from>
    <ext cx="3744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17</col>
      <colOff>0</colOff>
      <row>81</row>
      <rowOff>0</rowOff>
    </from>
    <ext cx="3744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33</col>
      <colOff>0</colOff>
      <row>81</row>
      <rowOff>0</rowOff>
    </from>
    <ext cx="3744000" cy="396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col>
      <colOff>0</colOff>
      <row>107</row>
      <rowOff>0</rowOff>
    </from>
    <ext cx="11520000" cy="396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col>
      <colOff>0</colOff>
      <row>133</row>
      <rowOff>0</rowOff>
    </from>
    <ext cx="11520000" cy="3384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Z157"/>
  <sheetViews>
    <sheetView showGridLines="0" workbookViewId="0">
      <selection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2.9" customWidth="1" min="7" max="7"/>
    <col width="2.9" customWidth="1" min="8" max="8"/>
    <col width="2.9" customWidth="1" min="9" max="9"/>
    <col width="2.9" customWidth="1" min="10" max="10"/>
    <col width="2.9" customWidth="1" min="11" max="11"/>
    <col width="2.9" customWidth="1" min="12" max="12"/>
    <col width="2.9" customWidth="1" min="13" max="13"/>
    <col width="2.9" customWidth="1" min="14" max="14"/>
    <col width="2.9" customWidth="1" min="15" max="15"/>
    <col width="2.9" customWidth="1" min="16" max="16"/>
    <col width="2.9" customWidth="1" min="17" max="17"/>
    <col width="2.9" customWidth="1" min="18" max="18"/>
    <col width="2.9" customWidth="1" min="19" max="19"/>
    <col width="2.9" customWidth="1" min="20" max="20"/>
    <col width="2.9" customWidth="1" min="21" max="21"/>
    <col width="2.9" customWidth="1" min="22" max="22"/>
    <col width="2.9" customWidth="1" min="23" max="23"/>
    <col width="2.9" customWidth="1" min="24" max="24"/>
    <col width="2.9" customWidth="1" min="25" max="25"/>
    <col width="2.9" customWidth="1" min="26" max="26"/>
    <col width="2.9" customWidth="1" min="27" max="27"/>
    <col width="2.9" customWidth="1" min="28" max="28"/>
    <col width="2.9" customWidth="1" min="29" max="29"/>
    <col width="2.9" customWidth="1" min="30" max="30"/>
    <col width="2.9" customWidth="1" min="31" max="31"/>
    <col width="2.9" customWidth="1" min="32" max="32"/>
    <col width="2.9" customWidth="1" min="33" max="33"/>
    <col width="2.9" customWidth="1" min="34" max="34"/>
    <col width="2.9" customWidth="1" min="35" max="35"/>
    <col width="2.9" customWidth="1" min="36" max="36"/>
    <col width="2.9" customWidth="1" min="37" max="37"/>
    <col width="2.9" customWidth="1" min="38" max="38"/>
    <col width="2.9" customWidth="1" min="39" max="39"/>
    <col width="2.9" customWidth="1" min="40" max="40"/>
    <col width="2.9" customWidth="1" min="41" max="41"/>
    <col width="2.9" customWidth="1" min="42" max="42"/>
    <col width="2.9" customWidth="1" min="43" max="43"/>
    <col width="2.9" customWidth="1" min="44" max="44"/>
    <col width="2.9" customWidth="1" min="45" max="45"/>
    <col width="2.9" customWidth="1" min="46" max="46"/>
    <col width="2.9" customWidth="1" min="47" max="47"/>
    <col width="2.9" customWidth="1" min="48" max="48"/>
    <col width="2.9" customWidth="1" min="49" max="49"/>
    <col width="2.9" customWidth="1" min="50" max="50"/>
    <col width="2.9" customWidth="1" min="51" max="51"/>
    <col width="2.9" customWidth="1" min="52" max="52"/>
  </cols>
  <sheetData>
    <row r="1" ht="15" customHeight="1">
      <c r="A1" s="1" t="inlineStr">
        <is>
          <t>2026 YILLIK İŞ PLANI  -  YÖNETİCİ ÖZETİ</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row>
    <row r="2" ht="15" customHeight="1">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row>
    <row r="3" ht="15"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row>
    <row r="4" ht="15" customHeight="1">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row>
    <row r="5" ht="18" customHeight="1">
      <c r="A5" s="3" t="inlineStr">
        <is>
          <t>Yönetim Beyanı  |  BIGR  |  Buluts  |  Dış Hizmet ve Süreç Denetimleri        Tüm değerler 'İş Planı' sayfasından otomatik hesaplanır.</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row>
    <row r="6" ht="15" customHeight="1"/>
    <row r="7" ht="15" customHeight="1">
      <c r="B7" s="5" t="n"/>
      <c r="C7" s="6" t="n"/>
      <c r="D7" s="6" t="n"/>
      <c r="E7" s="6" t="n"/>
      <c r="F7" s="6" t="n"/>
      <c r="G7" s="6" t="n"/>
      <c r="H7" s="7" t="n"/>
      <c r="J7" s="8" t="n"/>
      <c r="K7" s="9" t="n"/>
      <c r="L7" s="9" t="n"/>
      <c r="M7" s="9" t="n"/>
      <c r="N7" s="9" t="n"/>
      <c r="O7" s="9" t="n"/>
      <c r="P7" s="10" t="n"/>
      <c r="R7" s="11" t="n"/>
      <c r="S7" s="12" t="n"/>
      <c r="T7" s="12" t="n"/>
      <c r="U7" s="12" t="n"/>
      <c r="V7" s="12" t="n"/>
      <c r="W7" s="12" t="n"/>
      <c r="X7" s="13" t="n"/>
      <c r="Z7" s="14" t="n"/>
      <c r="AA7" s="15" t="n"/>
      <c r="AB7" s="15" t="n"/>
      <c r="AC7" s="15" t="n"/>
      <c r="AD7" s="15" t="n"/>
      <c r="AE7" s="15" t="n"/>
      <c r="AF7" s="16" t="n"/>
      <c r="AH7" s="17" t="n"/>
      <c r="AI7" s="18" t="n"/>
      <c r="AJ7" s="18" t="n"/>
      <c r="AK7" s="18" t="n"/>
      <c r="AL7" s="18" t="n"/>
      <c r="AM7" s="18" t="n"/>
      <c r="AN7" s="19" t="n"/>
      <c r="AP7" s="20" t="n"/>
      <c r="AQ7" s="21" t="n"/>
      <c r="AR7" s="21" t="n"/>
      <c r="AS7" s="21" t="n"/>
      <c r="AT7" s="21" t="n"/>
      <c r="AU7" s="21" t="n"/>
      <c r="AV7" s="22" t="n"/>
    </row>
    <row r="8" ht="15" customHeight="1">
      <c r="B8" s="23" t="inlineStr">
        <is>
          <t>TOPLAM İŞ KALEMİ</t>
        </is>
      </c>
      <c r="H8" s="24" t="n"/>
      <c r="J8" s="23" t="inlineStr">
        <is>
          <t>PLANLANAN</t>
        </is>
      </c>
      <c r="P8" s="24" t="n"/>
      <c r="R8" s="23" t="inlineStr">
        <is>
          <t>DEVAM EDİYOR</t>
        </is>
      </c>
      <c r="X8" s="24" t="n"/>
      <c r="Z8" s="23" t="inlineStr">
        <is>
          <t>TAMAMLANDI</t>
        </is>
      </c>
      <c r="AF8" s="24" t="n"/>
      <c r="AH8" s="23" t="inlineStr">
        <is>
          <t>GECİKMİŞ</t>
        </is>
      </c>
      <c r="AN8" s="24" t="n"/>
      <c r="AP8" s="23" t="inlineStr">
        <is>
          <t>GENEL İLERLEME</t>
        </is>
      </c>
      <c r="AV8" s="24" t="n"/>
    </row>
    <row r="9" ht="20" customHeight="1">
      <c r="B9" s="25">
        <f>Hesap!$U$2</f>
        <v/>
      </c>
      <c r="H9" s="24" t="n"/>
      <c r="J9" s="26">
        <f>Hesap!$U$6</f>
        <v/>
      </c>
      <c r="P9" s="24" t="n"/>
      <c r="R9" s="27">
        <f>Hesap!$U$4</f>
        <v/>
      </c>
      <c r="X9" s="24" t="n"/>
      <c r="Z9" s="28">
        <f>Hesap!$U$3</f>
        <v/>
      </c>
      <c r="AF9" s="24" t="n"/>
      <c r="AH9" s="29">
        <f>Hesap!$U$5</f>
        <v/>
      </c>
      <c r="AN9" s="24" t="n"/>
      <c r="AP9" s="30">
        <f>Hesap!$U$7</f>
        <v/>
      </c>
      <c r="AV9" s="24" t="n"/>
    </row>
    <row r="10" ht="14" customHeight="1">
      <c r="B10" s="31" t="n"/>
      <c r="H10" s="24" t="n"/>
      <c r="J10" s="31" t="n"/>
      <c r="P10" s="24" t="n"/>
      <c r="R10" s="31" t="n"/>
      <c r="X10" s="24" t="n"/>
      <c r="Z10" s="31" t="n"/>
      <c r="AF10" s="24" t="n"/>
      <c r="AH10" s="31" t="n"/>
      <c r="AN10" s="24" t="n"/>
      <c r="AP10" s="31" t="n"/>
      <c r="AV10" s="24" t="n"/>
    </row>
    <row r="11" ht="15" customHeight="1">
      <c r="B11" s="32" t="inlineStr">
        <is>
          <t>Plandaki toplam satır</t>
        </is>
      </c>
      <c r="H11" s="24" t="n"/>
      <c r="J11" s="32" t="inlineStr">
        <is>
          <t>Henüz başlamamış</t>
        </is>
      </c>
      <c r="P11" s="24" t="n"/>
      <c r="R11" s="32" t="inlineStr">
        <is>
          <t>Açık çalışma</t>
        </is>
      </c>
      <c r="X11" s="24" t="n"/>
      <c r="Z11" s="32" t="inlineStr">
        <is>
          <t>Kapanan iş sayısı</t>
        </is>
      </c>
      <c r="AF11" s="24" t="n"/>
      <c r="AH11" s="32" t="inlineStr">
        <is>
          <t>Süresi geçmiş - otomatik</t>
        </is>
      </c>
      <c r="AN11" s="24" t="n"/>
      <c r="AP11" s="32" t="inlineStr">
        <is>
          <t>Ağırlıksız ortalama</t>
        </is>
      </c>
      <c r="AV11" s="24" t="n"/>
    </row>
    <row r="12" ht="15" customHeight="1">
      <c r="B12" s="33" t="n"/>
      <c r="C12" s="34" t="n"/>
      <c r="D12" s="34" t="n"/>
      <c r="E12" s="34" t="n"/>
      <c r="F12" s="34" t="n"/>
      <c r="G12" s="34" t="n"/>
      <c r="H12" s="35" t="n"/>
      <c r="J12" s="33" t="n"/>
      <c r="K12" s="34" t="n"/>
      <c r="L12" s="34" t="n"/>
      <c r="M12" s="34" t="n"/>
      <c r="N12" s="34" t="n"/>
      <c r="O12" s="34" t="n"/>
      <c r="P12" s="35" t="n"/>
      <c r="R12" s="33" t="n"/>
      <c r="S12" s="34" t="n"/>
      <c r="T12" s="34" t="n"/>
      <c r="U12" s="34" t="n"/>
      <c r="V12" s="34" t="n"/>
      <c r="W12" s="34" t="n"/>
      <c r="X12" s="35" t="n"/>
      <c r="Z12" s="33" t="n"/>
      <c r="AA12" s="34" t="n"/>
      <c r="AB12" s="34" t="n"/>
      <c r="AC12" s="34" t="n"/>
      <c r="AD12" s="34" t="n"/>
      <c r="AE12" s="34" t="n"/>
      <c r="AF12" s="35" t="n"/>
      <c r="AH12" s="33" t="n"/>
      <c r="AI12" s="34" t="n"/>
      <c r="AJ12" s="34" t="n"/>
      <c r="AK12" s="34" t="n"/>
      <c r="AL12" s="34" t="n"/>
      <c r="AM12" s="34" t="n"/>
      <c r="AN12" s="35" t="n"/>
      <c r="AP12" s="33" t="n"/>
      <c r="AQ12" s="34" t="n"/>
      <c r="AR12" s="34" t="n"/>
      <c r="AS12" s="34" t="n"/>
      <c r="AT12" s="34" t="n"/>
      <c r="AU12" s="34" t="n"/>
      <c r="AV12" s="35" t="n"/>
    </row>
    <row r="13" ht="15" customHeight="1"/>
    <row r="14" ht="15" customHeight="1"/>
    <row r="15" ht="15" customHeight="1">
      <c r="B15" s="36" t="inlineStr">
        <is>
          <t>DURUM DAĞILIMI</t>
        </is>
      </c>
      <c r="C15" s="37" t="n"/>
      <c r="D15" s="37" t="n"/>
      <c r="E15" s="37" t="n"/>
      <c r="F15" s="37" t="n"/>
      <c r="G15" s="37" t="n"/>
      <c r="H15" s="37" t="n"/>
      <c r="I15" s="37" t="n"/>
      <c r="J15" s="37" t="n"/>
      <c r="K15" s="37" t="n"/>
      <c r="L15" s="37" t="n"/>
      <c r="M15" s="37" t="n"/>
      <c r="N15" s="37" t="n"/>
      <c r="O15" s="37" t="n"/>
      <c r="P15" s="37" t="n"/>
      <c r="Q15" s="37" t="n"/>
      <c r="S15" s="36" t="inlineStr">
        <is>
          <t>AYLIK İŞ YÜKÜ</t>
        </is>
      </c>
      <c r="T15" s="37" t="n"/>
      <c r="U15" s="37" t="n"/>
      <c r="V15" s="37" t="n"/>
      <c r="W15" s="37" t="n"/>
      <c r="X15" s="37" t="n"/>
      <c r="Y15" s="37" t="n"/>
      <c r="Z15" s="37" t="n"/>
      <c r="AA15" s="37" t="n"/>
      <c r="AB15" s="37" t="n"/>
      <c r="AC15" s="37" t="n"/>
      <c r="AD15" s="37" t="n"/>
      <c r="AE15" s="37" t="n"/>
      <c r="AF15" s="37" t="n"/>
      <c r="AG15" s="37" t="n"/>
      <c r="AH15" s="37" t="n"/>
      <c r="AI15" s="37" t="n"/>
      <c r="AJ15" s="37" t="n"/>
      <c r="AK15" s="37" t="n"/>
      <c r="AL15" s="37" t="n"/>
      <c r="AM15" s="37" t="n"/>
      <c r="AN15" s="37" t="n"/>
      <c r="AO15" s="37" t="n"/>
      <c r="AP15" s="37" t="n"/>
      <c r="AQ15" s="37" t="n"/>
      <c r="AR15" s="37" t="n"/>
      <c r="AS15" s="37" t="n"/>
      <c r="AT15" s="37" t="n"/>
      <c r="AU15" s="37" t="n"/>
      <c r="AV15" s="37" t="n"/>
      <c r="AW15" s="37" t="n"/>
      <c r="AX15" s="37" t="n"/>
      <c r="AY15" s="37" t="n"/>
      <c r="AZ15" s="37" t="n"/>
    </row>
    <row r="16" ht="15" customHeight="1">
      <c r="B16" s="38" t="inlineStr">
        <is>
          <t>Durum (Otomatik) sütununa göre</t>
        </is>
      </c>
      <c r="C16" s="39" t="n"/>
      <c r="D16" s="39" t="n"/>
      <c r="E16" s="39" t="n"/>
      <c r="F16" s="39" t="n"/>
      <c r="G16" s="39" t="n"/>
      <c r="H16" s="39" t="n"/>
      <c r="I16" s="39" t="n"/>
      <c r="J16" s="39" t="n"/>
      <c r="K16" s="39" t="n"/>
      <c r="L16" s="39" t="n"/>
      <c r="M16" s="39" t="n"/>
      <c r="N16" s="39" t="n"/>
      <c r="O16" s="39" t="n"/>
      <c r="P16" s="39" t="n"/>
      <c r="Q16" s="39" t="n"/>
      <c r="S16" s="38" t="inlineStr">
        <is>
          <t>Her ayda aktif (başlamış ve bitmemiş) iş kalemi sayısı</t>
        </is>
      </c>
      <c r="T16" s="39" t="n"/>
      <c r="U16" s="39" t="n"/>
      <c r="V16" s="39" t="n"/>
      <c r="W16" s="39" t="n"/>
      <c r="X16" s="39" t="n"/>
      <c r="Y16" s="39" t="n"/>
      <c r="Z16" s="39" t="n"/>
      <c r="AA16" s="39" t="n"/>
      <c r="AB16" s="39" t="n"/>
      <c r="AC16" s="39" t="n"/>
      <c r="AD16" s="39" t="n"/>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39" t="n"/>
      <c r="AZ16" s="39" t="n"/>
    </row>
    <row r="17" ht="15" customHeight="1">
      <c r="B17" s="39" t="n"/>
      <c r="C17" s="39" t="n"/>
      <c r="D17" s="39" t="n"/>
      <c r="E17" s="39" t="n"/>
      <c r="F17" s="39" t="n"/>
      <c r="G17" s="39" t="n"/>
      <c r="H17" s="39" t="n"/>
      <c r="I17" s="39" t="n"/>
      <c r="J17" s="39" t="n"/>
      <c r="K17" s="39" t="n"/>
      <c r="L17" s="39" t="n"/>
      <c r="M17" s="39" t="n"/>
      <c r="N17" s="39" t="n"/>
      <c r="O17" s="39" t="n"/>
      <c r="P17" s="39" t="n"/>
      <c r="Q17" s="39" t="n"/>
      <c r="S17" s="39" t="n"/>
      <c r="T17" s="39"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row>
    <row r="18" ht="15" customHeight="1">
      <c r="B18" s="39" t="n"/>
      <c r="C18" s="39" t="n"/>
      <c r="D18" s="39" t="n"/>
      <c r="E18" s="39" t="n"/>
      <c r="F18" s="39" t="n"/>
      <c r="G18" s="39" t="n"/>
      <c r="H18" s="39" t="n"/>
      <c r="I18" s="39" t="n"/>
      <c r="J18" s="39" t="n"/>
      <c r="K18" s="39" t="n"/>
      <c r="L18" s="39" t="n"/>
      <c r="M18" s="39" t="n"/>
      <c r="N18" s="39" t="n"/>
      <c r="O18" s="39" t="n"/>
      <c r="P18" s="39" t="n"/>
      <c r="Q18" s="39" t="n"/>
      <c r="S18" s="39" t="n"/>
      <c r="T18" s="39"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row>
    <row r="19" ht="15" customHeight="1">
      <c r="B19" s="39" t="n"/>
      <c r="C19" s="39" t="n"/>
      <c r="D19" s="39" t="n"/>
      <c r="E19" s="39" t="n"/>
      <c r="F19" s="39" t="n"/>
      <c r="G19" s="39" t="n"/>
      <c r="H19" s="39" t="n"/>
      <c r="I19" s="39" t="n"/>
      <c r="J19" s="39" t="n"/>
      <c r="K19" s="39" t="n"/>
      <c r="L19" s="39" t="n"/>
      <c r="M19" s="39" t="n"/>
      <c r="N19" s="39" t="n"/>
      <c r="O19" s="39" t="n"/>
      <c r="P19" s="39" t="n"/>
      <c r="Q19" s="39" t="n"/>
      <c r="S19" s="39" t="n"/>
      <c r="T19" s="39"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row>
    <row r="20" ht="15" customHeight="1">
      <c r="B20" s="39" t="n"/>
      <c r="C20" s="39" t="n"/>
      <c r="D20" s="39" t="n"/>
      <c r="E20" s="39" t="n"/>
      <c r="F20" s="39" t="n"/>
      <c r="G20" s="39" t="n"/>
      <c r="H20" s="39" t="n"/>
      <c r="I20" s="39" t="n"/>
      <c r="J20" s="39" t="n"/>
      <c r="K20" s="39" t="n"/>
      <c r="L20" s="39" t="n"/>
      <c r="M20" s="39" t="n"/>
      <c r="N20" s="39" t="n"/>
      <c r="O20" s="39" t="n"/>
      <c r="P20" s="39" t="n"/>
      <c r="Q20" s="39" t="n"/>
      <c r="S20" s="39" t="n"/>
      <c r="T20" s="39" t="n"/>
      <c r="U20" s="39" t="n"/>
      <c r="V20" s="39" t="n"/>
      <c r="W20" s="39" t="n"/>
      <c r="X20" s="39" t="n"/>
      <c r="Y20" s="39" t="n"/>
      <c r="Z20" s="39" t="n"/>
      <c r="AA20" s="39" t="n"/>
      <c r="AB20" s="39" t="n"/>
      <c r="AC20" s="39" t="n"/>
      <c r="AD20" s="39" t="n"/>
      <c r="AE20" s="39" t="n"/>
      <c r="AF20" s="39" t="n"/>
      <c r="AG20" s="39" t="n"/>
      <c r="AH20" s="39" t="n"/>
      <c r="AI20" s="39" t="n"/>
      <c r="AJ20" s="39" t="n"/>
      <c r="AK20" s="39" t="n"/>
      <c r="AL20" s="39" t="n"/>
      <c r="AM20" s="39" t="n"/>
      <c r="AN20" s="39" t="n"/>
      <c r="AO20" s="39" t="n"/>
      <c r="AP20" s="39" t="n"/>
      <c r="AQ20" s="39" t="n"/>
      <c r="AR20" s="39" t="n"/>
      <c r="AS20" s="39" t="n"/>
      <c r="AT20" s="39" t="n"/>
      <c r="AU20" s="39" t="n"/>
      <c r="AV20" s="39" t="n"/>
      <c r="AW20" s="39" t="n"/>
      <c r="AX20" s="39" t="n"/>
      <c r="AY20" s="39" t="n"/>
      <c r="AZ20" s="39" t="n"/>
    </row>
    <row r="21" ht="15" customHeight="1">
      <c r="B21" s="39" t="n"/>
      <c r="C21" s="39" t="n"/>
      <c r="D21" s="39" t="n"/>
      <c r="E21" s="39" t="n"/>
      <c r="F21" s="39" t="n"/>
      <c r="G21" s="39" t="n"/>
      <c r="H21" s="39" t="n"/>
      <c r="I21" s="39" t="n"/>
      <c r="J21" s="39" t="n"/>
      <c r="K21" s="39" t="n"/>
      <c r="L21" s="39" t="n"/>
      <c r="M21" s="39" t="n"/>
      <c r="N21" s="39" t="n"/>
      <c r="O21" s="39" t="n"/>
      <c r="P21" s="39" t="n"/>
      <c r="Q21" s="39" t="n"/>
      <c r="S21" s="39" t="n"/>
      <c r="T21" s="39" t="n"/>
      <c r="U21" s="39" t="n"/>
      <c r="V21" s="39" t="n"/>
      <c r="W21" s="39" t="n"/>
      <c r="X21" s="39" t="n"/>
      <c r="Y21" s="39" t="n"/>
      <c r="Z21" s="39" t="n"/>
      <c r="AA21" s="39" t="n"/>
      <c r="AB21" s="39" t="n"/>
      <c r="AC21" s="39" t="n"/>
      <c r="AD21" s="39" t="n"/>
      <c r="AE21" s="39" t="n"/>
      <c r="AF21" s="39" t="n"/>
      <c r="AG21" s="39" t="n"/>
      <c r="AH21" s="39" t="n"/>
      <c r="AI21" s="39" t="n"/>
      <c r="AJ21" s="39" t="n"/>
      <c r="AK21" s="39" t="n"/>
      <c r="AL21" s="39" t="n"/>
      <c r="AM21" s="39" t="n"/>
      <c r="AN21" s="39" t="n"/>
      <c r="AO21" s="39" t="n"/>
      <c r="AP21" s="39" t="n"/>
      <c r="AQ21" s="39" t="n"/>
      <c r="AR21" s="39" t="n"/>
      <c r="AS21" s="39" t="n"/>
      <c r="AT21" s="39" t="n"/>
      <c r="AU21" s="39" t="n"/>
      <c r="AV21" s="39" t="n"/>
      <c r="AW21" s="39" t="n"/>
      <c r="AX21" s="39" t="n"/>
      <c r="AY21" s="39" t="n"/>
      <c r="AZ21" s="39" t="n"/>
    </row>
    <row r="22" ht="15" customHeight="1">
      <c r="B22" s="39" t="n"/>
      <c r="C22" s="39" t="n"/>
      <c r="D22" s="39" t="n"/>
      <c r="E22" s="39" t="n"/>
      <c r="F22" s="39" t="n"/>
      <c r="G22" s="39" t="n"/>
      <c r="H22" s="39" t="n"/>
      <c r="I22" s="39" t="n"/>
      <c r="J22" s="39" t="n"/>
      <c r="K22" s="39" t="n"/>
      <c r="L22" s="39" t="n"/>
      <c r="M22" s="39" t="n"/>
      <c r="N22" s="39" t="n"/>
      <c r="O22" s="39" t="n"/>
      <c r="P22" s="39" t="n"/>
      <c r="Q22" s="39" t="n"/>
      <c r="S22" s="39" t="n"/>
      <c r="T22" s="39" t="n"/>
      <c r="U22" s="39" t="n"/>
      <c r="V22" s="39" t="n"/>
      <c r="W22" s="39" t="n"/>
      <c r="X22" s="39" t="n"/>
      <c r="Y22" s="39" t="n"/>
      <c r="Z22" s="39" t="n"/>
      <c r="AA22" s="39" t="n"/>
      <c r="AB22" s="39" t="n"/>
      <c r="AC22" s="39" t="n"/>
      <c r="AD22" s="39" t="n"/>
      <c r="AE22" s="39" t="n"/>
      <c r="AF22" s="39" t="n"/>
      <c r="AG22" s="39" t="n"/>
      <c r="AH22" s="39" t="n"/>
      <c r="AI22" s="39" t="n"/>
      <c r="AJ22" s="39" t="n"/>
      <c r="AK22" s="39" t="n"/>
      <c r="AL22" s="39" t="n"/>
      <c r="AM22" s="39" t="n"/>
      <c r="AN22" s="39" t="n"/>
      <c r="AO22" s="39" t="n"/>
      <c r="AP22" s="39" t="n"/>
      <c r="AQ22" s="39" t="n"/>
      <c r="AR22" s="39" t="n"/>
      <c r="AS22" s="39" t="n"/>
      <c r="AT22" s="39" t="n"/>
      <c r="AU22" s="39" t="n"/>
      <c r="AV22" s="39" t="n"/>
      <c r="AW22" s="39" t="n"/>
      <c r="AX22" s="39" t="n"/>
      <c r="AY22" s="39" t="n"/>
      <c r="AZ22" s="39" t="n"/>
    </row>
    <row r="23" ht="15" customHeight="1">
      <c r="B23" s="39" t="n"/>
      <c r="C23" s="39" t="n"/>
      <c r="D23" s="39" t="n"/>
      <c r="E23" s="39" t="n"/>
      <c r="F23" s="39" t="n"/>
      <c r="G23" s="39" t="n"/>
      <c r="H23" s="39" t="n"/>
      <c r="I23" s="39" t="n"/>
      <c r="J23" s="39" t="n"/>
      <c r="K23" s="39" t="n"/>
      <c r="L23" s="39" t="n"/>
      <c r="M23" s="39" t="n"/>
      <c r="N23" s="39" t="n"/>
      <c r="O23" s="39" t="n"/>
      <c r="P23" s="39" t="n"/>
      <c r="Q23" s="39" t="n"/>
      <c r="S23" s="39" t="n"/>
      <c r="T23" s="39" t="n"/>
      <c r="U23" s="39" t="n"/>
      <c r="V23" s="39" t="n"/>
      <c r="W23" s="39" t="n"/>
      <c r="X23" s="39" t="n"/>
      <c r="Y23" s="39" t="n"/>
      <c r="Z23" s="39" t="n"/>
      <c r="AA23" s="39" t="n"/>
      <c r="AB23" s="39" t="n"/>
      <c r="AC23" s="39" t="n"/>
      <c r="AD23" s="39" t="n"/>
      <c r="AE23" s="39" t="n"/>
      <c r="AF23" s="39" t="n"/>
      <c r="AG23" s="39" t="n"/>
      <c r="AH23" s="39" t="n"/>
      <c r="AI23" s="39" t="n"/>
      <c r="AJ23" s="39" t="n"/>
      <c r="AK23" s="39" t="n"/>
      <c r="AL23" s="39" t="n"/>
      <c r="AM23" s="39" t="n"/>
      <c r="AN23" s="39" t="n"/>
      <c r="AO23" s="39" t="n"/>
      <c r="AP23" s="39" t="n"/>
      <c r="AQ23" s="39" t="n"/>
      <c r="AR23" s="39" t="n"/>
      <c r="AS23" s="39" t="n"/>
      <c r="AT23" s="39" t="n"/>
      <c r="AU23" s="39" t="n"/>
      <c r="AV23" s="39" t="n"/>
      <c r="AW23" s="39" t="n"/>
      <c r="AX23" s="39" t="n"/>
      <c r="AY23" s="39" t="n"/>
      <c r="AZ23" s="39" t="n"/>
    </row>
    <row r="24" ht="15" customHeight="1">
      <c r="B24" s="39" t="n"/>
      <c r="C24" s="39" t="n"/>
      <c r="D24" s="39" t="n"/>
      <c r="E24" s="39" t="n"/>
      <c r="F24" s="39" t="n"/>
      <c r="G24" s="39" t="n"/>
      <c r="H24" s="39" t="n"/>
      <c r="I24" s="39" t="n"/>
      <c r="J24" s="39" t="n"/>
      <c r="K24" s="39" t="n"/>
      <c r="L24" s="39" t="n"/>
      <c r="M24" s="39" t="n"/>
      <c r="N24" s="39" t="n"/>
      <c r="O24" s="39" t="n"/>
      <c r="P24" s="39" t="n"/>
      <c r="Q24" s="39" t="n"/>
      <c r="S24" s="39" t="n"/>
      <c r="T24" s="39" t="n"/>
      <c r="U24" s="39" t="n"/>
      <c r="V24" s="39" t="n"/>
      <c r="W24" s="39" t="n"/>
      <c r="X24" s="39" t="n"/>
      <c r="Y24" s="39" t="n"/>
      <c r="Z24" s="39" t="n"/>
      <c r="AA24" s="39" t="n"/>
      <c r="AB24" s="39" t="n"/>
      <c r="AC24" s="39" t="n"/>
      <c r="AD24" s="39" t="n"/>
      <c r="AE24" s="39" t="n"/>
      <c r="AF24" s="39" t="n"/>
      <c r="AG24" s="39" t="n"/>
      <c r="AH24" s="39" t="n"/>
      <c r="AI24" s="39" t="n"/>
      <c r="AJ24" s="39" t="n"/>
      <c r="AK24" s="39" t="n"/>
      <c r="AL24" s="39" t="n"/>
      <c r="AM24" s="39" t="n"/>
      <c r="AN24" s="39" t="n"/>
      <c r="AO24" s="39" t="n"/>
      <c r="AP24" s="39" t="n"/>
      <c r="AQ24" s="39" t="n"/>
      <c r="AR24" s="39" t="n"/>
      <c r="AS24" s="39" t="n"/>
      <c r="AT24" s="39" t="n"/>
      <c r="AU24" s="39" t="n"/>
      <c r="AV24" s="39" t="n"/>
      <c r="AW24" s="39" t="n"/>
      <c r="AX24" s="39" t="n"/>
      <c r="AY24" s="39" t="n"/>
      <c r="AZ24" s="39" t="n"/>
    </row>
    <row r="25" ht="15" customHeight="1">
      <c r="B25" s="39" t="n"/>
      <c r="C25" s="39" t="n"/>
      <c r="D25" s="39" t="n"/>
      <c r="E25" s="39" t="n"/>
      <c r="F25" s="39" t="n"/>
      <c r="G25" s="39" t="n"/>
      <c r="H25" s="39" t="n"/>
      <c r="I25" s="39" t="n"/>
      <c r="J25" s="39" t="n"/>
      <c r="K25" s="39" t="n"/>
      <c r="L25" s="39" t="n"/>
      <c r="M25" s="39" t="n"/>
      <c r="N25" s="39" t="n"/>
      <c r="O25" s="39" t="n"/>
      <c r="P25" s="39" t="n"/>
      <c r="Q25" s="39" t="n"/>
      <c r="S25" s="39" t="n"/>
      <c r="T25" s="39" t="n"/>
      <c r="U25" s="39" t="n"/>
      <c r="V25" s="39" t="n"/>
      <c r="W25" s="39" t="n"/>
      <c r="X25" s="39" t="n"/>
      <c r="Y25" s="39" t="n"/>
      <c r="Z25" s="39" t="n"/>
      <c r="AA25" s="39" t="n"/>
      <c r="AB25" s="39" t="n"/>
      <c r="AC25" s="39" t="n"/>
      <c r="AD25" s="39" t="n"/>
      <c r="AE25" s="39" t="n"/>
      <c r="AF25" s="39" t="n"/>
      <c r="AG25" s="39" t="n"/>
      <c r="AH25" s="39" t="n"/>
      <c r="AI25" s="39" t="n"/>
      <c r="AJ25" s="39" t="n"/>
      <c r="AK25" s="39" t="n"/>
      <c r="AL25" s="39" t="n"/>
      <c r="AM25" s="39" t="n"/>
      <c r="AN25" s="39" t="n"/>
      <c r="AO25" s="39" t="n"/>
      <c r="AP25" s="39" t="n"/>
      <c r="AQ25" s="39" t="n"/>
      <c r="AR25" s="39" t="n"/>
      <c r="AS25" s="39" t="n"/>
      <c r="AT25" s="39" t="n"/>
      <c r="AU25" s="39" t="n"/>
      <c r="AV25" s="39" t="n"/>
      <c r="AW25" s="39" t="n"/>
      <c r="AX25" s="39" t="n"/>
      <c r="AY25" s="39" t="n"/>
      <c r="AZ25" s="39" t="n"/>
    </row>
    <row r="26" ht="15" customHeight="1">
      <c r="B26" s="39" t="n"/>
      <c r="C26" s="39" t="n"/>
      <c r="D26" s="39" t="n"/>
      <c r="E26" s="39" t="n"/>
      <c r="F26" s="39" t="n"/>
      <c r="G26" s="39" t="n"/>
      <c r="H26" s="39" t="n"/>
      <c r="I26" s="39" t="n"/>
      <c r="J26" s="39" t="n"/>
      <c r="K26" s="39" t="n"/>
      <c r="L26" s="39" t="n"/>
      <c r="M26" s="39" t="n"/>
      <c r="N26" s="39" t="n"/>
      <c r="O26" s="39" t="n"/>
      <c r="P26" s="39" t="n"/>
      <c r="Q26" s="39" t="n"/>
      <c r="S26" s="39" t="n"/>
      <c r="T26" s="39"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row>
    <row r="27" ht="15" customHeight="1">
      <c r="B27" s="39" t="n"/>
      <c r="C27" s="39" t="n"/>
      <c r="D27" s="39" t="n"/>
      <c r="E27" s="39" t="n"/>
      <c r="F27" s="39" t="n"/>
      <c r="G27" s="39" t="n"/>
      <c r="H27" s="39" t="n"/>
      <c r="I27" s="39" t="n"/>
      <c r="J27" s="39" t="n"/>
      <c r="K27" s="39" t="n"/>
      <c r="L27" s="39" t="n"/>
      <c r="M27" s="39" t="n"/>
      <c r="N27" s="39" t="n"/>
      <c r="O27" s="39" t="n"/>
      <c r="P27" s="39" t="n"/>
      <c r="Q27" s="39" t="n"/>
      <c r="S27" s="39" t="n"/>
      <c r="T27" s="39"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row>
    <row r="28" ht="15" customHeight="1">
      <c r="B28" s="39" t="n"/>
      <c r="C28" s="39" t="n"/>
      <c r="D28" s="39" t="n"/>
      <c r="E28" s="39" t="n"/>
      <c r="F28" s="39" t="n"/>
      <c r="G28" s="39" t="n"/>
      <c r="H28" s="39" t="n"/>
      <c r="I28" s="39" t="n"/>
      <c r="J28" s="39" t="n"/>
      <c r="K28" s="39" t="n"/>
      <c r="L28" s="39" t="n"/>
      <c r="M28" s="39" t="n"/>
      <c r="N28" s="39" t="n"/>
      <c r="O28" s="39" t="n"/>
      <c r="P28" s="39" t="n"/>
      <c r="Q28" s="39" t="n"/>
      <c r="S28" s="39" t="n"/>
      <c r="T28" s="39"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row>
    <row r="29" ht="15" customHeight="1">
      <c r="B29" s="39" t="n"/>
      <c r="C29" s="39" t="n"/>
      <c r="D29" s="39" t="n"/>
      <c r="E29" s="39" t="n"/>
      <c r="F29" s="39" t="n"/>
      <c r="G29" s="39" t="n"/>
      <c r="H29" s="39" t="n"/>
      <c r="I29" s="39" t="n"/>
      <c r="J29" s="39" t="n"/>
      <c r="K29" s="39" t="n"/>
      <c r="L29" s="39" t="n"/>
      <c r="M29" s="39" t="n"/>
      <c r="N29" s="39" t="n"/>
      <c r="O29" s="39" t="n"/>
      <c r="P29" s="39" t="n"/>
      <c r="Q29" s="39" t="n"/>
      <c r="S29" s="39" t="n"/>
      <c r="T29" s="39" t="n"/>
      <c r="U29" s="39" t="n"/>
      <c r="V29" s="39" t="n"/>
      <c r="W29" s="39" t="n"/>
      <c r="X29" s="39" t="n"/>
      <c r="Y29" s="39" t="n"/>
      <c r="Z29" s="39" t="n"/>
      <c r="AA29" s="39" t="n"/>
      <c r="AB29" s="39" t="n"/>
      <c r="AC29" s="39" t="n"/>
      <c r="AD29" s="39" t="n"/>
      <c r="AE29" s="39" t="n"/>
      <c r="AF29" s="39" t="n"/>
      <c r="AG29" s="39" t="n"/>
      <c r="AH29" s="39" t="n"/>
      <c r="AI29" s="39" t="n"/>
      <c r="AJ29" s="39" t="n"/>
      <c r="AK29" s="39" t="n"/>
      <c r="AL29" s="39" t="n"/>
      <c r="AM29" s="39" t="n"/>
      <c r="AN29" s="39" t="n"/>
      <c r="AO29" s="39" t="n"/>
      <c r="AP29" s="39" t="n"/>
      <c r="AQ29" s="39" t="n"/>
      <c r="AR29" s="39" t="n"/>
      <c r="AS29" s="39" t="n"/>
      <c r="AT29" s="39" t="n"/>
      <c r="AU29" s="39" t="n"/>
      <c r="AV29" s="39" t="n"/>
      <c r="AW29" s="39" t="n"/>
      <c r="AX29" s="39" t="n"/>
      <c r="AY29" s="39" t="n"/>
      <c r="AZ29" s="39" t="n"/>
    </row>
    <row r="30" ht="15" customHeight="1">
      <c r="B30" s="39" t="n"/>
      <c r="C30" s="39" t="n"/>
      <c r="D30" s="39" t="n"/>
      <c r="E30" s="39" t="n"/>
      <c r="F30" s="39" t="n"/>
      <c r="G30" s="39" t="n"/>
      <c r="H30" s="39" t="n"/>
      <c r="I30" s="39" t="n"/>
      <c r="J30" s="39" t="n"/>
      <c r="K30" s="39" t="n"/>
      <c r="L30" s="39" t="n"/>
      <c r="M30" s="39" t="n"/>
      <c r="N30" s="39" t="n"/>
      <c r="O30" s="39" t="n"/>
      <c r="P30" s="39" t="n"/>
      <c r="Q30" s="39" t="n"/>
      <c r="S30" s="39" t="n"/>
      <c r="T30" s="39" t="n"/>
      <c r="U30" s="39" t="n"/>
      <c r="V30" s="39" t="n"/>
      <c r="W30" s="39" t="n"/>
      <c r="X30" s="39" t="n"/>
      <c r="Y30" s="39" t="n"/>
      <c r="Z30" s="39" t="n"/>
      <c r="AA30" s="39" t="n"/>
      <c r="AB30" s="39" t="n"/>
      <c r="AC30" s="39" t="n"/>
      <c r="AD30" s="39" t="n"/>
      <c r="AE30" s="39" t="n"/>
      <c r="AF30" s="39" t="n"/>
      <c r="AG30" s="39" t="n"/>
      <c r="AH30" s="39" t="n"/>
      <c r="AI30" s="39" t="n"/>
      <c r="AJ30" s="39" t="n"/>
      <c r="AK30" s="39" t="n"/>
      <c r="AL30" s="39" t="n"/>
      <c r="AM30" s="39" t="n"/>
      <c r="AN30" s="39" t="n"/>
      <c r="AO30" s="39" t="n"/>
      <c r="AP30" s="39" t="n"/>
      <c r="AQ30" s="39" t="n"/>
      <c r="AR30" s="39" t="n"/>
      <c r="AS30" s="39" t="n"/>
      <c r="AT30" s="39" t="n"/>
      <c r="AU30" s="39" t="n"/>
      <c r="AV30" s="39" t="n"/>
      <c r="AW30" s="39" t="n"/>
      <c r="AX30" s="39" t="n"/>
      <c r="AY30" s="39" t="n"/>
      <c r="AZ30" s="39" t="n"/>
    </row>
    <row r="31" ht="15" customHeight="1">
      <c r="B31" s="39" t="n"/>
      <c r="C31" s="39" t="n"/>
      <c r="D31" s="39" t="n"/>
      <c r="E31" s="39" t="n"/>
      <c r="F31" s="39" t="n"/>
      <c r="G31" s="39" t="n"/>
      <c r="H31" s="39" t="n"/>
      <c r="I31" s="39" t="n"/>
      <c r="J31" s="39" t="n"/>
      <c r="K31" s="39" t="n"/>
      <c r="L31" s="39" t="n"/>
      <c r="M31" s="39" t="n"/>
      <c r="N31" s="39" t="n"/>
      <c r="O31" s="39" t="n"/>
      <c r="P31" s="39" t="n"/>
      <c r="Q31" s="39" t="n"/>
      <c r="S31" s="39" t="n"/>
      <c r="T31" s="39" t="n"/>
      <c r="U31" s="39" t="n"/>
      <c r="V31" s="39" t="n"/>
      <c r="W31" s="39" t="n"/>
      <c r="X31" s="39" t="n"/>
      <c r="Y31" s="39" t="n"/>
      <c r="Z31" s="39" t="n"/>
      <c r="AA31" s="39" t="n"/>
      <c r="AB31" s="39" t="n"/>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39" t="n"/>
      <c r="AZ31" s="39" t="n"/>
    </row>
    <row r="32" ht="15" customHeight="1">
      <c r="B32" s="39" t="n"/>
      <c r="C32" s="39" t="n"/>
      <c r="D32" s="39" t="n"/>
      <c r="E32" s="39" t="n"/>
      <c r="F32" s="39" t="n"/>
      <c r="G32" s="39" t="n"/>
      <c r="H32" s="39" t="n"/>
      <c r="I32" s="39" t="n"/>
      <c r="J32" s="39" t="n"/>
      <c r="K32" s="39" t="n"/>
      <c r="L32" s="39" t="n"/>
      <c r="M32" s="39" t="n"/>
      <c r="N32" s="39" t="n"/>
      <c r="O32" s="39" t="n"/>
      <c r="P32" s="39" t="n"/>
      <c r="Q32" s="39" t="n"/>
      <c r="S32" s="39" t="n"/>
      <c r="T32" s="39" t="n"/>
      <c r="U32" s="39" t="n"/>
      <c r="V32" s="39" t="n"/>
      <c r="W32" s="39" t="n"/>
      <c r="X32" s="39" t="n"/>
      <c r="Y32" s="39" t="n"/>
      <c r="Z32" s="39" t="n"/>
      <c r="AA32" s="39" t="n"/>
      <c r="AB32" s="39" t="n"/>
      <c r="AC32" s="39" t="n"/>
      <c r="AD32" s="39" t="n"/>
      <c r="AE32" s="39" t="n"/>
      <c r="AF32" s="39" t="n"/>
      <c r="AG32" s="39" t="n"/>
      <c r="AH32" s="39" t="n"/>
      <c r="AI32" s="39" t="n"/>
      <c r="AJ32" s="39" t="n"/>
      <c r="AK32" s="39" t="n"/>
      <c r="AL32" s="39" t="n"/>
      <c r="AM32" s="39" t="n"/>
      <c r="AN32" s="39" t="n"/>
      <c r="AO32" s="39" t="n"/>
      <c r="AP32" s="39" t="n"/>
      <c r="AQ32" s="39" t="n"/>
      <c r="AR32" s="39" t="n"/>
      <c r="AS32" s="39" t="n"/>
      <c r="AT32" s="39" t="n"/>
      <c r="AU32" s="39" t="n"/>
      <c r="AV32" s="39" t="n"/>
      <c r="AW32" s="39" t="n"/>
      <c r="AX32" s="39" t="n"/>
      <c r="AY32" s="39" t="n"/>
      <c r="AZ32" s="39" t="n"/>
    </row>
    <row r="33" ht="15" customHeight="1">
      <c r="B33" s="39" t="n"/>
      <c r="C33" s="39" t="n"/>
      <c r="D33" s="39" t="n"/>
      <c r="E33" s="39" t="n"/>
      <c r="F33" s="39" t="n"/>
      <c r="G33" s="39" t="n"/>
      <c r="H33" s="39" t="n"/>
      <c r="I33" s="39" t="n"/>
      <c r="J33" s="39" t="n"/>
      <c r="K33" s="39" t="n"/>
      <c r="L33" s="39" t="n"/>
      <c r="M33" s="39" t="n"/>
      <c r="N33" s="39" t="n"/>
      <c r="O33" s="39" t="n"/>
      <c r="P33" s="39" t="n"/>
      <c r="Q33" s="39" t="n"/>
      <c r="S33" s="39" t="n"/>
      <c r="T33" s="39" t="n"/>
      <c r="U33" s="39" t="n"/>
      <c r="V33" s="39" t="n"/>
      <c r="W33" s="39" t="n"/>
      <c r="X33" s="39" t="n"/>
      <c r="Y33" s="39" t="n"/>
      <c r="Z33" s="39" t="n"/>
      <c r="AA33" s="39" t="n"/>
      <c r="AB33" s="39" t="n"/>
      <c r="AC33" s="39" t="n"/>
      <c r="AD33" s="39" t="n"/>
      <c r="AE33" s="39" t="n"/>
      <c r="AF33" s="39" t="n"/>
      <c r="AG33" s="39" t="n"/>
      <c r="AH33" s="39" t="n"/>
      <c r="AI33" s="39" t="n"/>
      <c r="AJ33" s="39" t="n"/>
      <c r="AK33" s="39" t="n"/>
      <c r="AL33" s="39" t="n"/>
      <c r="AM33" s="39" t="n"/>
      <c r="AN33" s="39" t="n"/>
      <c r="AO33" s="39" t="n"/>
      <c r="AP33" s="39" t="n"/>
      <c r="AQ33" s="39" t="n"/>
      <c r="AR33" s="39" t="n"/>
      <c r="AS33" s="39" t="n"/>
      <c r="AT33" s="39" t="n"/>
      <c r="AU33" s="39" t="n"/>
      <c r="AV33" s="39" t="n"/>
      <c r="AW33" s="39" t="n"/>
      <c r="AX33" s="39" t="n"/>
      <c r="AY33" s="39" t="n"/>
      <c r="AZ33" s="39" t="n"/>
    </row>
    <row r="34" ht="15" customHeight="1"/>
    <row r="35" ht="15" customHeight="1">
      <c r="B35" s="36" t="inlineStr">
        <is>
          <t>HAFTALIK İLERLEME EĞRİSİ</t>
        </is>
      </c>
      <c r="C35" s="37" t="n"/>
      <c r="D35" s="37" t="n"/>
      <c r="E35" s="37" t="n"/>
      <c r="F35" s="37" t="n"/>
      <c r="G35" s="37" t="n"/>
      <c r="H35" s="37" t="n"/>
      <c r="I35" s="37" t="n"/>
      <c r="J35" s="37" t="n"/>
      <c r="K35" s="37" t="n"/>
      <c r="L35" s="37" t="n"/>
      <c r="M35" s="37" t="n"/>
      <c r="N35" s="37" t="n"/>
      <c r="O35" s="37" t="n"/>
      <c r="P35" s="37" t="n"/>
      <c r="Q35" s="37" t="n"/>
      <c r="R35" s="37" t="n"/>
      <c r="S35" s="37" t="n"/>
      <c r="T35" s="37" t="n"/>
      <c r="U35" s="37" t="n"/>
      <c r="V35" s="37" t="n"/>
      <c r="W35" s="37"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37" t="n"/>
      <c r="AT35" s="37" t="n"/>
      <c r="AU35" s="37" t="n"/>
      <c r="AV35" s="37" t="n"/>
      <c r="AW35" s="37" t="n"/>
      <c r="AX35" s="37" t="n"/>
      <c r="AY35" s="37" t="n"/>
      <c r="AZ35" s="37" t="n"/>
    </row>
    <row r="36" ht="15" customHeight="1">
      <c r="B36" s="40" t="inlineStr">
        <is>
          <t>Kümülatif: o haftanın sonuna kadar bitmesi planlanan iş sayısı ile bunlardan tamamlananların sayısı</t>
        </is>
      </c>
    </row>
    <row r="37" ht="15" customHeight="1">
      <c r="B37" s="39" t="n"/>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row>
    <row r="38" ht="15" customHeight="1">
      <c r="B38" s="39" t="n"/>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39" t="n"/>
      <c r="AA38" s="39" t="n"/>
      <c r="AB38" s="39" t="n"/>
      <c r="AC38" s="39" t="n"/>
      <c r="AD38" s="39" t="n"/>
      <c r="AE38" s="39" t="n"/>
      <c r="AF38" s="39" t="n"/>
      <c r="AG38" s="39" t="n"/>
      <c r="AH38" s="39" t="n"/>
      <c r="AI38" s="39" t="n"/>
      <c r="AJ38" s="39" t="n"/>
      <c r="AK38" s="39" t="n"/>
      <c r="AL38" s="39" t="n"/>
      <c r="AM38" s="39" t="n"/>
      <c r="AN38" s="39" t="n"/>
      <c r="AO38" s="39" t="n"/>
      <c r="AP38" s="39" t="n"/>
      <c r="AQ38" s="39" t="n"/>
      <c r="AR38" s="39" t="n"/>
      <c r="AS38" s="39" t="n"/>
      <c r="AT38" s="39" t="n"/>
      <c r="AU38" s="39" t="n"/>
      <c r="AV38" s="39" t="n"/>
      <c r="AW38" s="39" t="n"/>
      <c r="AX38" s="39" t="n"/>
      <c r="AY38" s="39" t="n"/>
      <c r="AZ38" s="39" t="n"/>
    </row>
    <row r="39" ht="15" customHeight="1">
      <c r="B39" s="39" t="n"/>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39" t="n"/>
      <c r="AA39" s="39" t="n"/>
      <c r="AB39" s="39" t="n"/>
      <c r="AC39" s="39" t="n"/>
      <c r="AD39" s="39" t="n"/>
      <c r="AE39" s="39" t="n"/>
      <c r="AF39" s="39" t="n"/>
      <c r="AG39" s="39" t="n"/>
      <c r="AH39" s="39" t="n"/>
      <c r="AI39" s="39" t="n"/>
      <c r="AJ39" s="39" t="n"/>
      <c r="AK39" s="39" t="n"/>
      <c r="AL39" s="39" t="n"/>
      <c r="AM39" s="39" t="n"/>
      <c r="AN39" s="39" t="n"/>
      <c r="AO39" s="39" t="n"/>
      <c r="AP39" s="39" t="n"/>
      <c r="AQ39" s="39" t="n"/>
      <c r="AR39" s="39" t="n"/>
      <c r="AS39" s="39" t="n"/>
      <c r="AT39" s="39" t="n"/>
      <c r="AU39" s="39" t="n"/>
      <c r="AV39" s="39" t="n"/>
      <c r="AW39" s="39" t="n"/>
      <c r="AX39" s="39" t="n"/>
      <c r="AY39" s="39" t="n"/>
      <c r="AZ39" s="39" t="n"/>
    </row>
    <row r="40" ht="15" customHeight="1">
      <c r="B40" s="39" t="n"/>
      <c r="C40" s="39" t="n"/>
      <c r="D40" s="39" t="n"/>
      <c r="E40" s="39" t="n"/>
      <c r="F40" s="39" t="n"/>
      <c r="G40" s="39" t="n"/>
      <c r="H40" s="39" t="n"/>
      <c r="I40" s="39" t="n"/>
      <c r="J40" s="39" t="n"/>
      <c r="K40" s="39" t="n"/>
      <c r="L40" s="39" t="n"/>
      <c r="M40" s="39" t="n"/>
      <c r="N40" s="39" t="n"/>
      <c r="O40" s="39" t="n"/>
      <c r="P40" s="39" t="n"/>
      <c r="Q40" s="39" t="n"/>
      <c r="R40" s="39" t="n"/>
      <c r="S40" s="39" t="n"/>
      <c r="T40" s="39" t="n"/>
      <c r="U40" s="39" t="n"/>
      <c r="V40" s="39" t="n"/>
      <c r="W40" s="39" t="n"/>
      <c r="X40" s="39" t="n"/>
      <c r="Y40" s="39" t="n"/>
      <c r="Z40" s="39" t="n"/>
      <c r="AA40" s="39" t="n"/>
      <c r="AB40" s="39" t="n"/>
      <c r="AC40" s="39" t="n"/>
      <c r="AD40" s="39" t="n"/>
      <c r="AE40" s="39" t="n"/>
      <c r="AF40" s="39" t="n"/>
      <c r="AG40" s="39" t="n"/>
      <c r="AH40" s="39" t="n"/>
      <c r="AI40" s="39" t="n"/>
      <c r="AJ40" s="39" t="n"/>
      <c r="AK40" s="39" t="n"/>
      <c r="AL40" s="39" t="n"/>
      <c r="AM40" s="39" t="n"/>
      <c r="AN40" s="39" t="n"/>
      <c r="AO40" s="39" t="n"/>
      <c r="AP40" s="39" t="n"/>
      <c r="AQ40" s="39" t="n"/>
      <c r="AR40" s="39" t="n"/>
      <c r="AS40" s="39" t="n"/>
      <c r="AT40" s="39" t="n"/>
      <c r="AU40" s="39" t="n"/>
      <c r="AV40" s="39" t="n"/>
      <c r="AW40" s="39" t="n"/>
      <c r="AX40" s="39" t="n"/>
      <c r="AY40" s="39" t="n"/>
      <c r="AZ40" s="39" t="n"/>
    </row>
    <row r="41" ht="15" customHeight="1">
      <c r="B41" s="39" t="n"/>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c r="AA41" s="39" t="n"/>
      <c r="AB41" s="39" t="n"/>
      <c r="AC41" s="39" t="n"/>
      <c r="AD41" s="39" t="n"/>
      <c r="AE41" s="39" t="n"/>
      <c r="AF41" s="39" t="n"/>
      <c r="AG41" s="39" t="n"/>
      <c r="AH41" s="39" t="n"/>
      <c r="AI41" s="39" t="n"/>
      <c r="AJ41" s="39" t="n"/>
      <c r="AK41" s="39" t="n"/>
      <c r="AL41" s="39" t="n"/>
      <c r="AM41" s="39" t="n"/>
      <c r="AN41" s="39" t="n"/>
      <c r="AO41" s="39" t="n"/>
      <c r="AP41" s="39" t="n"/>
      <c r="AQ41" s="39" t="n"/>
      <c r="AR41" s="39" t="n"/>
      <c r="AS41" s="39" t="n"/>
      <c r="AT41" s="39" t="n"/>
      <c r="AU41" s="39" t="n"/>
      <c r="AV41" s="39" t="n"/>
      <c r="AW41" s="39" t="n"/>
      <c r="AX41" s="39" t="n"/>
      <c r="AY41" s="39" t="n"/>
      <c r="AZ41" s="39" t="n"/>
    </row>
    <row r="42" ht="15" customHeight="1">
      <c r="B42" s="39" t="n"/>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row>
    <row r="43" ht="15" customHeight="1">
      <c r="B43" s="39" t="n"/>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row>
    <row r="44" ht="15" customHeight="1">
      <c r="B44" s="39" t="n"/>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row>
    <row r="45" ht="15" customHeight="1">
      <c r="B45" s="39" t="n"/>
      <c r="C45" s="39"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row>
    <row r="46" ht="15" customHeight="1">
      <c r="B46" s="39" t="n"/>
      <c r="C46" s="39" t="n"/>
      <c r="D46" s="39" t="n"/>
      <c r="E46" s="39" t="n"/>
      <c r="F46" s="39" t="n"/>
      <c r="G46" s="39" t="n"/>
      <c r="H46" s="39" t="n"/>
      <c r="I46" s="39" t="n"/>
      <c r="J46" s="39" t="n"/>
      <c r="K46" s="39" t="n"/>
      <c r="L46" s="39" t="n"/>
      <c r="M46" s="39" t="n"/>
      <c r="N46" s="39" t="n"/>
      <c r="O46" s="39" t="n"/>
      <c r="P46" s="39" t="n"/>
      <c r="Q46" s="39" t="n"/>
      <c r="R46" s="39" t="n"/>
      <c r="S46" s="39" t="n"/>
      <c r="T46" s="39"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row>
    <row r="47" ht="15" customHeight="1">
      <c r="B47" s="39" t="n"/>
      <c r="C47" s="39" t="n"/>
      <c r="D47" s="39" t="n"/>
      <c r="E47" s="39" t="n"/>
      <c r="F47" s="39" t="n"/>
      <c r="G47" s="39" t="n"/>
      <c r="H47" s="39" t="n"/>
      <c r="I47" s="39" t="n"/>
      <c r="J47" s="39" t="n"/>
      <c r="K47" s="39" t="n"/>
      <c r="L47" s="39" t="n"/>
      <c r="M47" s="39" t="n"/>
      <c r="N47" s="39" t="n"/>
      <c r="O47" s="39" t="n"/>
      <c r="P47" s="39" t="n"/>
      <c r="Q47" s="39" t="n"/>
      <c r="R47" s="39" t="n"/>
      <c r="S47" s="39" t="n"/>
      <c r="T47" s="39" t="n"/>
      <c r="U47" s="39" t="n"/>
      <c r="V47" s="39" t="n"/>
      <c r="W47" s="39" t="n"/>
      <c r="X47" s="39" t="n"/>
      <c r="Y47" s="39" t="n"/>
      <c r="Z47" s="39" t="n"/>
      <c r="AA47" s="39" t="n"/>
      <c r="AB47" s="39" t="n"/>
      <c r="AC47" s="39" t="n"/>
      <c r="AD47" s="39" t="n"/>
      <c r="AE47" s="39" t="n"/>
      <c r="AF47" s="39" t="n"/>
      <c r="AG47" s="39" t="n"/>
      <c r="AH47" s="39" t="n"/>
      <c r="AI47" s="39" t="n"/>
      <c r="AJ47" s="39" t="n"/>
      <c r="AK47" s="39" t="n"/>
      <c r="AL47" s="39" t="n"/>
      <c r="AM47" s="39" t="n"/>
      <c r="AN47" s="39" t="n"/>
      <c r="AO47" s="39" t="n"/>
      <c r="AP47" s="39" t="n"/>
      <c r="AQ47" s="39" t="n"/>
      <c r="AR47" s="39" t="n"/>
      <c r="AS47" s="39" t="n"/>
      <c r="AT47" s="39" t="n"/>
      <c r="AU47" s="39" t="n"/>
      <c r="AV47" s="39" t="n"/>
      <c r="AW47" s="39" t="n"/>
      <c r="AX47" s="39" t="n"/>
      <c r="AY47" s="39" t="n"/>
      <c r="AZ47" s="39" t="n"/>
    </row>
    <row r="48" ht="15" customHeight="1">
      <c r="B48" s="39" t="n"/>
      <c r="C48" s="39" t="n"/>
      <c r="D48" s="39" t="n"/>
      <c r="E48" s="39" t="n"/>
      <c r="F48" s="39" t="n"/>
      <c r="G48" s="39" t="n"/>
      <c r="H48" s="39" t="n"/>
      <c r="I48" s="39" t="n"/>
      <c r="J48" s="39" t="n"/>
      <c r="K48" s="39" t="n"/>
      <c r="L48" s="39" t="n"/>
      <c r="M48" s="39" t="n"/>
      <c r="N48" s="39" t="n"/>
      <c r="O48" s="39" t="n"/>
      <c r="P48" s="39" t="n"/>
      <c r="Q48" s="39" t="n"/>
      <c r="R48" s="39" t="n"/>
      <c r="S48" s="39" t="n"/>
      <c r="T48" s="39" t="n"/>
      <c r="U48" s="39" t="n"/>
      <c r="V48" s="39" t="n"/>
      <c r="W48" s="39" t="n"/>
      <c r="X48" s="39" t="n"/>
      <c r="Y48" s="39" t="n"/>
      <c r="Z48" s="39" t="n"/>
      <c r="AA48" s="39" t="n"/>
      <c r="AB48" s="39" t="n"/>
      <c r="AC48" s="39" t="n"/>
      <c r="AD48" s="39" t="n"/>
      <c r="AE48" s="39" t="n"/>
      <c r="AF48" s="39" t="n"/>
      <c r="AG48" s="39" t="n"/>
      <c r="AH48" s="39" t="n"/>
      <c r="AI48" s="39" t="n"/>
      <c r="AJ48" s="39" t="n"/>
      <c r="AK48" s="39" t="n"/>
      <c r="AL48" s="39" t="n"/>
      <c r="AM48" s="39" t="n"/>
      <c r="AN48" s="39" t="n"/>
      <c r="AO48" s="39" t="n"/>
      <c r="AP48" s="39" t="n"/>
      <c r="AQ48" s="39" t="n"/>
      <c r="AR48" s="39" t="n"/>
      <c r="AS48" s="39" t="n"/>
      <c r="AT48" s="39" t="n"/>
      <c r="AU48" s="39" t="n"/>
      <c r="AV48" s="39" t="n"/>
      <c r="AW48" s="39" t="n"/>
      <c r="AX48" s="39" t="n"/>
      <c r="AY48" s="39" t="n"/>
      <c r="AZ48" s="39" t="n"/>
    </row>
    <row r="49" ht="15" customHeight="1">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39" t="n"/>
      <c r="AA49" s="39" t="n"/>
      <c r="AB49" s="39" t="n"/>
      <c r="AC49" s="39" t="n"/>
      <c r="AD49" s="39" t="n"/>
      <c r="AE49" s="39" t="n"/>
      <c r="AF49" s="39" t="n"/>
      <c r="AG49" s="39" t="n"/>
      <c r="AH49" s="39" t="n"/>
      <c r="AI49" s="39" t="n"/>
      <c r="AJ49" s="39" t="n"/>
      <c r="AK49" s="39" t="n"/>
      <c r="AL49" s="39" t="n"/>
      <c r="AM49" s="39" t="n"/>
      <c r="AN49" s="39" t="n"/>
      <c r="AO49" s="39" t="n"/>
      <c r="AP49" s="39" t="n"/>
      <c r="AQ49" s="39" t="n"/>
      <c r="AR49" s="39" t="n"/>
      <c r="AS49" s="39" t="n"/>
      <c r="AT49" s="39" t="n"/>
      <c r="AU49" s="39" t="n"/>
      <c r="AV49" s="39" t="n"/>
      <c r="AW49" s="39" t="n"/>
      <c r="AX49" s="39" t="n"/>
      <c r="AY49" s="39" t="n"/>
      <c r="AZ49" s="39" t="n"/>
    </row>
    <row r="50" ht="15" customHeight="1">
      <c r="B50" s="39" t="n"/>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39" t="n"/>
      <c r="AE50" s="39" t="n"/>
      <c r="AF50" s="39" t="n"/>
      <c r="AG50" s="39" t="n"/>
      <c r="AH50" s="39" t="n"/>
      <c r="AI50" s="39" t="n"/>
      <c r="AJ50" s="39" t="n"/>
      <c r="AK50" s="39" t="n"/>
      <c r="AL50" s="39" t="n"/>
      <c r="AM50" s="39" t="n"/>
      <c r="AN50" s="39" t="n"/>
      <c r="AO50" s="39" t="n"/>
      <c r="AP50" s="39" t="n"/>
      <c r="AQ50" s="39" t="n"/>
      <c r="AR50" s="39" t="n"/>
      <c r="AS50" s="39" t="n"/>
      <c r="AT50" s="39" t="n"/>
      <c r="AU50" s="39" t="n"/>
      <c r="AV50" s="39" t="n"/>
      <c r="AW50" s="39" t="n"/>
      <c r="AX50" s="39" t="n"/>
      <c r="AY50" s="39" t="n"/>
      <c r="AZ50" s="39" t="n"/>
    </row>
    <row r="51" ht="15" customHeight="1">
      <c r="B51" s="39" t="n"/>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39" t="n"/>
      <c r="AD51" s="39" t="n"/>
      <c r="AE51" s="39" t="n"/>
      <c r="AF51" s="39" t="n"/>
      <c r="AG51" s="39" t="n"/>
      <c r="AH51" s="39" t="n"/>
      <c r="AI51" s="39" t="n"/>
      <c r="AJ51" s="39" t="n"/>
      <c r="AK51" s="39" t="n"/>
      <c r="AL51" s="39" t="n"/>
      <c r="AM51" s="39" t="n"/>
      <c r="AN51" s="39" t="n"/>
      <c r="AO51" s="39" t="n"/>
      <c r="AP51" s="39" t="n"/>
      <c r="AQ51" s="39" t="n"/>
      <c r="AR51" s="39" t="n"/>
      <c r="AS51" s="39" t="n"/>
      <c r="AT51" s="39" t="n"/>
      <c r="AU51" s="39" t="n"/>
      <c r="AV51" s="39" t="n"/>
      <c r="AW51" s="39" t="n"/>
      <c r="AX51" s="39" t="n"/>
      <c r="AY51" s="39" t="n"/>
      <c r="AZ51" s="39" t="n"/>
    </row>
    <row r="52" ht="15" customHeight="1">
      <c r="B52" s="39" t="n"/>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c r="AA52" s="39" t="n"/>
      <c r="AB52" s="39" t="n"/>
      <c r="AC52" s="39" t="n"/>
      <c r="AD52" s="39" t="n"/>
      <c r="AE52" s="39" t="n"/>
      <c r="AF52" s="39" t="n"/>
      <c r="AG52" s="39" t="n"/>
      <c r="AH52" s="39" t="n"/>
      <c r="AI52" s="39" t="n"/>
      <c r="AJ52" s="39" t="n"/>
      <c r="AK52" s="39" t="n"/>
      <c r="AL52" s="39" t="n"/>
      <c r="AM52" s="39" t="n"/>
      <c r="AN52" s="39" t="n"/>
      <c r="AO52" s="39" t="n"/>
      <c r="AP52" s="39" t="n"/>
      <c r="AQ52" s="39" t="n"/>
      <c r="AR52" s="39" t="n"/>
      <c r="AS52" s="39" t="n"/>
      <c r="AT52" s="39" t="n"/>
      <c r="AU52" s="39" t="n"/>
      <c r="AV52" s="39" t="n"/>
      <c r="AW52" s="39" t="n"/>
      <c r="AX52" s="39" t="n"/>
      <c r="AY52" s="39" t="n"/>
      <c r="AZ52" s="39" t="n"/>
    </row>
    <row r="53" ht="15" customHeight="1">
      <c r="B53" s="39" t="n"/>
      <c r="C53" s="39" t="n"/>
      <c r="D53" s="39" t="n"/>
      <c r="E53" s="39" t="n"/>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39" t="n"/>
      <c r="AA53" s="39" t="n"/>
      <c r="AB53" s="39" t="n"/>
      <c r="AC53" s="39" t="n"/>
      <c r="AD53" s="39" t="n"/>
      <c r="AE53" s="39" t="n"/>
      <c r="AF53" s="39" t="n"/>
      <c r="AG53" s="39" t="n"/>
      <c r="AH53" s="39" t="n"/>
      <c r="AI53" s="39" t="n"/>
      <c r="AJ53" s="39" t="n"/>
      <c r="AK53" s="39" t="n"/>
      <c r="AL53" s="39" t="n"/>
      <c r="AM53" s="39" t="n"/>
      <c r="AN53" s="39" t="n"/>
      <c r="AO53" s="39" t="n"/>
      <c r="AP53" s="39" t="n"/>
      <c r="AQ53" s="39" t="n"/>
      <c r="AR53" s="39" t="n"/>
      <c r="AS53" s="39" t="n"/>
      <c r="AT53" s="39" t="n"/>
      <c r="AU53" s="39" t="n"/>
      <c r="AV53" s="39" t="n"/>
      <c r="AW53" s="39" t="n"/>
      <c r="AX53" s="39" t="n"/>
      <c r="AY53" s="39" t="n"/>
      <c r="AZ53" s="39" t="n"/>
    </row>
    <row r="54" ht="15" customHeight="1">
      <c r="B54" s="39" t="n"/>
      <c r="C54" s="39" t="n"/>
      <c r="D54" s="39" t="n"/>
      <c r="E54" s="39" t="n"/>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39" t="n"/>
      <c r="AA54" s="39" t="n"/>
      <c r="AB54" s="39" t="n"/>
      <c r="AC54" s="39" t="n"/>
      <c r="AD54" s="39" t="n"/>
      <c r="AE54" s="39" t="n"/>
      <c r="AF54" s="39" t="n"/>
      <c r="AG54" s="39" t="n"/>
      <c r="AH54" s="39" t="n"/>
      <c r="AI54" s="39" t="n"/>
      <c r="AJ54" s="39" t="n"/>
      <c r="AK54" s="39" t="n"/>
      <c r="AL54" s="39" t="n"/>
      <c r="AM54" s="39" t="n"/>
      <c r="AN54" s="39" t="n"/>
      <c r="AO54" s="39" t="n"/>
      <c r="AP54" s="39" t="n"/>
      <c r="AQ54" s="39" t="n"/>
      <c r="AR54" s="39" t="n"/>
      <c r="AS54" s="39" t="n"/>
      <c r="AT54" s="39" t="n"/>
      <c r="AU54" s="39" t="n"/>
      <c r="AV54" s="39" t="n"/>
      <c r="AW54" s="39" t="n"/>
      <c r="AX54" s="39" t="n"/>
      <c r="AY54" s="39" t="n"/>
      <c r="AZ54" s="39" t="n"/>
    </row>
    <row r="55" ht="15" customHeight="1">
      <c r="B55" s="39" t="n"/>
      <c r="C55" s="39" t="n"/>
      <c r="D55" s="39" t="n"/>
      <c r="E55" s="39" t="n"/>
      <c r="F55" s="39" t="n"/>
      <c r="G55" s="39" t="n"/>
      <c r="H55" s="39" t="n"/>
      <c r="I55" s="39" t="n"/>
      <c r="J55" s="39" t="n"/>
      <c r="K55" s="39" t="n"/>
      <c r="L55" s="39" t="n"/>
      <c r="M55" s="39" t="n"/>
      <c r="N55" s="39" t="n"/>
      <c r="O55" s="39" t="n"/>
      <c r="P55" s="39" t="n"/>
      <c r="Q55" s="39" t="n"/>
      <c r="R55" s="39" t="n"/>
      <c r="S55" s="39" t="n"/>
      <c r="T55" s="39" t="n"/>
      <c r="U55" s="39" t="n"/>
      <c r="V55" s="39" t="n"/>
      <c r="W55" s="39" t="n"/>
      <c r="X55" s="39" t="n"/>
      <c r="Y55" s="39" t="n"/>
      <c r="Z55" s="39" t="n"/>
      <c r="AA55" s="39" t="n"/>
      <c r="AB55" s="39" t="n"/>
      <c r="AC55" s="39" t="n"/>
      <c r="AD55" s="39" t="n"/>
      <c r="AE55" s="39" t="n"/>
      <c r="AF55" s="39" t="n"/>
      <c r="AG55" s="39" t="n"/>
      <c r="AH55" s="39" t="n"/>
      <c r="AI55" s="39" t="n"/>
      <c r="AJ55" s="39" t="n"/>
      <c r="AK55" s="39" t="n"/>
      <c r="AL55" s="39" t="n"/>
      <c r="AM55" s="39" t="n"/>
      <c r="AN55" s="39" t="n"/>
      <c r="AO55" s="39" t="n"/>
      <c r="AP55" s="39" t="n"/>
      <c r="AQ55" s="39" t="n"/>
      <c r="AR55" s="39" t="n"/>
      <c r="AS55" s="39" t="n"/>
      <c r="AT55" s="39" t="n"/>
      <c r="AU55" s="39" t="n"/>
      <c r="AV55" s="39" t="n"/>
      <c r="AW55" s="39" t="n"/>
      <c r="AX55" s="39" t="n"/>
      <c r="AY55" s="39" t="n"/>
      <c r="AZ55" s="39" t="n"/>
    </row>
    <row r="56" ht="15" customHeight="1"/>
    <row r="57" ht="15" customHeight="1">
      <c r="B57" s="36" t="inlineStr">
        <is>
          <t>AYLIK İLERLEME EĞRİSİ</t>
        </is>
      </c>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c r="AX57" s="37" t="n"/>
      <c r="AY57" s="37" t="n"/>
      <c r="AZ57" s="37" t="n"/>
    </row>
    <row r="58" ht="15" customHeight="1">
      <c r="B58" s="40" t="inlineStr">
        <is>
          <t>Aynı hesap ayın son gününe göre - yönetim raporlaması için</t>
        </is>
      </c>
    </row>
    <row r="59" ht="15" customHeight="1">
      <c r="B59" s="39" t="n"/>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39" t="n"/>
      <c r="AD59" s="39" t="n"/>
      <c r="AE59" s="39" t="n"/>
      <c r="AF59" s="39" t="n"/>
      <c r="AG59" s="39" t="n"/>
      <c r="AH59" s="39" t="n"/>
      <c r="AI59" s="39" t="n"/>
      <c r="AJ59" s="39" t="n"/>
      <c r="AK59" s="39" t="n"/>
      <c r="AL59" s="39" t="n"/>
      <c r="AM59" s="39" t="n"/>
      <c r="AN59" s="39" t="n"/>
      <c r="AO59" s="39" t="n"/>
      <c r="AP59" s="39" t="n"/>
      <c r="AQ59" s="39" t="n"/>
      <c r="AR59" s="39" t="n"/>
      <c r="AS59" s="39" t="n"/>
      <c r="AT59" s="39" t="n"/>
      <c r="AU59" s="39" t="n"/>
      <c r="AV59" s="39" t="n"/>
      <c r="AW59" s="39" t="n"/>
      <c r="AX59" s="39" t="n"/>
      <c r="AY59" s="39" t="n"/>
      <c r="AZ59" s="39" t="n"/>
    </row>
    <row r="60" ht="15" customHeight="1">
      <c r="B60" s="39" t="n"/>
      <c r="C60" s="39" t="n"/>
      <c r="D60" s="39" t="n"/>
      <c r="E60" s="39" t="n"/>
      <c r="F60" s="39" t="n"/>
      <c r="G60" s="39" t="n"/>
      <c r="H60" s="39" t="n"/>
      <c r="I60" s="39" t="n"/>
      <c r="J60" s="39" t="n"/>
      <c r="K60" s="39" t="n"/>
      <c r="L60" s="39" t="n"/>
      <c r="M60" s="39" t="n"/>
      <c r="N60" s="39" t="n"/>
      <c r="O60" s="39" t="n"/>
      <c r="P60" s="39" t="n"/>
      <c r="Q60" s="39" t="n"/>
      <c r="R60" s="39" t="n"/>
      <c r="S60" s="39" t="n"/>
      <c r="T60" s="39" t="n"/>
      <c r="U60" s="39" t="n"/>
      <c r="V60" s="39" t="n"/>
      <c r="W60" s="39" t="n"/>
      <c r="X60" s="39" t="n"/>
      <c r="Y60" s="39" t="n"/>
      <c r="Z60" s="39" t="n"/>
      <c r="AA60" s="39" t="n"/>
      <c r="AB60" s="39" t="n"/>
      <c r="AC60" s="39" t="n"/>
      <c r="AD60" s="39" t="n"/>
      <c r="AE60" s="39" t="n"/>
      <c r="AF60" s="39" t="n"/>
      <c r="AG60" s="39" t="n"/>
      <c r="AH60" s="39" t="n"/>
      <c r="AI60" s="39" t="n"/>
      <c r="AJ60" s="39" t="n"/>
      <c r="AK60" s="39" t="n"/>
      <c r="AL60" s="39" t="n"/>
      <c r="AM60" s="39" t="n"/>
      <c r="AN60" s="39" t="n"/>
      <c r="AO60" s="39" t="n"/>
      <c r="AP60" s="39" t="n"/>
      <c r="AQ60" s="39" t="n"/>
      <c r="AR60" s="39" t="n"/>
      <c r="AS60" s="39" t="n"/>
      <c r="AT60" s="39" t="n"/>
      <c r="AU60" s="39" t="n"/>
      <c r="AV60" s="39" t="n"/>
      <c r="AW60" s="39" t="n"/>
      <c r="AX60" s="39" t="n"/>
      <c r="AY60" s="39" t="n"/>
      <c r="AZ60" s="39" t="n"/>
    </row>
    <row r="61" ht="15" customHeight="1">
      <c r="B61" s="39" t="n"/>
      <c r="C61" s="39" t="n"/>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c r="AD61" s="39" t="n"/>
      <c r="AE61" s="39" t="n"/>
      <c r="AF61" s="39" t="n"/>
      <c r="AG61" s="39" t="n"/>
      <c r="AH61" s="39" t="n"/>
      <c r="AI61" s="39" t="n"/>
      <c r="AJ61" s="39" t="n"/>
      <c r="AK61" s="39" t="n"/>
      <c r="AL61" s="39" t="n"/>
      <c r="AM61" s="39" t="n"/>
      <c r="AN61" s="39" t="n"/>
      <c r="AO61" s="39" t="n"/>
      <c r="AP61" s="39" t="n"/>
      <c r="AQ61" s="39" t="n"/>
      <c r="AR61" s="39" t="n"/>
      <c r="AS61" s="39" t="n"/>
      <c r="AT61" s="39" t="n"/>
      <c r="AU61" s="39" t="n"/>
      <c r="AV61" s="39" t="n"/>
      <c r="AW61" s="39" t="n"/>
      <c r="AX61" s="39" t="n"/>
      <c r="AY61" s="39" t="n"/>
      <c r="AZ61" s="39" t="n"/>
    </row>
    <row r="62" ht="15" customHeight="1">
      <c r="B62" s="39" t="n"/>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AH62" s="39" t="n"/>
      <c r="AI62" s="39" t="n"/>
      <c r="AJ62" s="39" t="n"/>
      <c r="AK62" s="39" t="n"/>
      <c r="AL62" s="39" t="n"/>
      <c r="AM62" s="39" t="n"/>
      <c r="AN62" s="39" t="n"/>
      <c r="AO62" s="39" t="n"/>
      <c r="AP62" s="39" t="n"/>
      <c r="AQ62" s="39" t="n"/>
      <c r="AR62" s="39" t="n"/>
      <c r="AS62" s="39" t="n"/>
      <c r="AT62" s="39" t="n"/>
      <c r="AU62" s="39" t="n"/>
      <c r="AV62" s="39" t="n"/>
      <c r="AW62" s="39" t="n"/>
      <c r="AX62" s="39" t="n"/>
      <c r="AY62" s="39" t="n"/>
      <c r="AZ62" s="39" t="n"/>
    </row>
    <row r="63" ht="15" customHeight="1">
      <c r="B63" s="3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AH63" s="39" t="n"/>
      <c r="AI63" s="39" t="n"/>
      <c r="AJ63" s="39" t="n"/>
      <c r="AK63" s="39" t="n"/>
      <c r="AL63" s="39" t="n"/>
      <c r="AM63" s="39" t="n"/>
      <c r="AN63" s="39" t="n"/>
      <c r="AO63" s="39" t="n"/>
      <c r="AP63" s="39" t="n"/>
      <c r="AQ63" s="39" t="n"/>
      <c r="AR63" s="39" t="n"/>
      <c r="AS63" s="39" t="n"/>
      <c r="AT63" s="39" t="n"/>
      <c r="AU63" s="39" t="n"/>
      <c r="AV63" s="39" t="n"/>
      <c r="AW63" s="39" t="n"/>
      <c r="AX63" s="39" t="n"/>
      <c r="AY63" s="39" t="n"/>
      <c r="AZ63" s="39" t="n"/>
    </row>
    <row r="64" ht="15" customHeight="1">
      <c r="B64" s="3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AH64" s="39" t="n"/>
      <c r="AI64" s="39" t="n"/>
      <c r="AJ64" s="39" t="n"/>
      <c r="AK64" s="39" t="n"/>
      <c r="AL64" s="39" t="n"/>
      <c r="AM64" s="39" t="n"/>
      <c r="AN64" s="39" t="n"/>
      <c r="AO64" s="39" t="n"/>
      <c r="AP64" s="39" t="n"/>
      <c r="AQ64" s="39" t="n"/>
      <c r="AR64" s="39" t="n"/>
      <c r="AS64" s="39" t="n"/>
      <c r="AT64" s="39" t="n"/>
      <c r="AU64" s="39" t="n"/>
      <c r="AV64" s="39" t="n"/>
      <c r="AW64" s="39" t="n"/>
      <c r="AX64" s="39" t="n"/>
      <c r="AY64" s="39" t="n"/>
      <c r="AZ64" s="39" t="n"/>
    </row>
    <row r="65" ht="15" customHeight="1">
      <c r="B65" s="39" t="n"/>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AH65" s="39" t="n"/>
      <c r="AI65" s="39" t="n"/>
      <c r="AJ65" s="39" t="n"/>
      <c r="AK65" s="39" t="n"/>
      <c r="AL65" s="39" t="n"/>
      <c r="AM65" s="39" t="n"/>
      <c r="AN65" s="39" t="n"/>
      <c r="AO65" s="39" t="n"/>
      <c r="AP65" s="39" t="n"/>
      <c r="AQ65" s="39" t="n"/>
      <c r="AR65" s="39" t="n"/>
      <c r="AS65" s="39" t="n"/>
      <c r="AT65" s="39" t="n"/>
      <c r="AU65" s="39" t="n"/>
      <c r="AV65" s="39" t="n"/>
      <c r="AW65" s="39" t="n"/>
      <c r="AX65" s="39" t="n"/>
      <c r="AY65" s="39" t="n"/>
      <c r="AZ65" s="39" t="n"/>
    </row>
    <row r="66" ht="15" customHeight="1">
      <c r="B66" s="39"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AH66" s="39" t="n"/>
      <c r="AI66" s="39" t="n"/>
      <c r="AJ66" s="39" t="n"/>
      <c r="AK66" s="39" t="n"/>
      <c r="AL66" s="39" t="n"/>
      <c r="AM66" s="39" t="n"/>
      <c r="AN66" s="39" t="n"/>
      <c r="AO66" s="39" t="n"/>
      <c r="AP66" s="39" t="n"/>
      <c r="AQ66" s="39" t="n"/>
      <c r="AR66" s="39" t="n"/>
      <c r="AS66" s="39" t="n"/>
      <c r="AT66" s="39" t="n"/>
      <c r="AU66" s="39" t="n"/>
      <c r="AV66" s="39" t="n"/>
      <c r="AW66" s="39" t="n"/>
      <c r="AX66" s="39" t="n"/>
      <c r="AY66" s="39" t="n"/>
      <c r="AZ66" s="39" t="n"/>
    </row>
    <row r="67" ht="15" customHeight="1">
      <c r="B67" s="3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AH67" s="39" t="n"/>
      <c r="AI67" s="39" t="n"/>
      <c r="AJ67" s="39" t="n"/>
      <c r="AK67" s="39" t="n"/>
      <c r="AL67" s="39" t="n"/>
      <c r="AM67" s="39" t="n"/>
      <c r="AN67" s="39" t="n"/>
      <c r="AO67" s="39" t="n"/>
      <c r="AP67" s="39" t="n"/>
      <c r="AQ67" s="39" t="n"/>
      <c r="AR67" s="39" t="n"/>
      <c r="AS67" s="39" t="n"/>
      <c r="AT67" s="39" t="n"/>
      <c r="AU67" s="39" t="n"/>
      <c r="AV67" s="39" t="n"/>
      <c r="AW67" s="39" t="n"/>
      <c r="AX67" s="39" t="n"/>
      <c r="AY67" s="39" t="n"/>
      <c r="AZ67" s="39" t="n"/>
    </row>
    <row r="68" ht="15" customHeight="1">
      <c r="B68" s="3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AH68" s="39" t="n"/>
      <c r="AI68" s="39" t="n"/>
      <c r="AJ68" s="39" t="n"/>
      <c r="AK68" s="39" t="n"/>
      <c r="AL68" s="39" t="n"/>
      <c r="AM68" s="39" t="n"/>
      <c r="AN68" s="39" t="n"/>
      <c r="AO68" s="39" t="n"/>
      <c r="AP68" s="39" t="n"/>
      <c r="AQ68" s="39" t="n"/>
      <c r="AR68" s="39" t="n"/>
      <c r="AS68" s="39" t="n"/>
      <c r="AT68" s="39" t="n"/>
      <c r="AU68" s="39" t="n"/>
      <c r="AV68" s="39" t="n"/>
      <c r="AW68" s="39" t="n"/>
      <c r="AX68" s="39" t="n"/>
      <c r="AY68" s="39" t="n"/>
      <c r="AZ68" s="39" t="n"/>
    </row>
    <row r="69" ht="15" customHeight="1">
      <c r="B69" s="39" t="n"/>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AH69" s="39" t="n"/>
      <c r="AI69" s="39" t="n"/>
      <c r="AJ69" s="39" t="n"/>
      <c r="AK69" s="39" t="n"/>
      <c r="AL69" s="39" t="n"/>
      <c r="AM69" s="39" t="n"/>
      <c r="AN69" s="39" t="n"/>
      <c r="AO69" s="39" t="n"/>
      <c r="AP69" s="39" t="n"/>
      <c r="AQ69" s="39" t="n"/>
      <c r="AR69" s="39" t="n"/>
      <c r="AS69" s="39" t="n"/>
      <c r="AT69" s="39" t="n"/>
      <c r="AU69" s="39" t="n"/>
      <c r="AV69" s="39" t="n"/>
      <c r="AW69" s="39" t="n"/>
      <c r="AX69" s="39" t="n"/>
      <c r="AY69" s="39" t="n"/>
      <c r="AZ69" s="39" t="n"/>
    </row>
    <row r="70" ht="15" customHeight="1">
      <c r="B70" s="39"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AH70" s="39" t="n"/>
      <c r="AI70" s="39" t="n"/>
      <c r="AJ70" s="39" t="n"/>
      <c r="AK70" s="39" t="n"/>
      <c r="AL70" s="39" t="n"/>
      <c r="AM70" s="39" t="n"/>
      <c r="AN70" s="39" t="n"/>
      <c r="AO70" s="39" t="n"/>
      <c r="AP70" s="39" t="n"/>
      <c r="AQ70" s="39" t="n"/>
      <c r="AR70" s="39" t="n"/>
      <c r="AS70" s="39" t="n"/>
      <c r="AT70" s="39" t="n"/>
      <c r="AU70" s="39" t="n"/>
      <c r="AV70" s="39" t="n"/>
      <c r="AW70" s="39" t="n"/>
      <c r="AX70" s="39" t="n"/>
      <c r="AY70" s="39" t="n"/>
      <c r="AZ70" s="39" t="n"/>
    </row>
    <row r="71" ht="15" customHeight="1">
      <c r="B71" s="3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AH71" s="39" t="n"/>
      <c r="AI71" s="39" t="n"/>
      <c r="AJ71" s="39" t="n"/>
      <c r="AK71" s="39" t="n"/>
      <c r="AL71" s="39" t="n"/>
      <c r="AM71" s="39" t="n"/>
      <c r="AN71" s="39" t="n"/>
      <c r="AO71" s="39" t="n"/>
      <c r="AP71" s="39" t="n"/>
      <c r="AQ71" s="39" t="n"/>
      <c r="AR71" s="39" t="n"/>
      <c r="AS71" s="39" t="n"/>
      <c r="AT71" s="39" t="n"/>
      <c r="AU71" s="39" t="n"/>
      <c r="AV71" s="39" t="n"/>
      <c r="AW71" s="39" t="n"/>
      <c r="AX71" s="39" t="n"/>
      <c r="AY71" s="39" t="n"/>
      <c r="AZ71" s="39" t="n"/>
    </row>
    <row r="72" ht="15" customHeight="1">
      <c r="B72" s="3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AH72" s="39" t="n"/>
      <c r="AI72" s="39" t="n"/>
      <c r="AJ72" s="39" t="n"/>
      <c r="AK72" s="39" t="n"/>
      <c r="AL72" s="39" t="n"/>
      <c r="AM72" s="39" t="n"/>
      <c r="AN72" s="39" t="n"/>
      <c r="AO72" s="39" t="n"/>
      <c r="AP72" s="39" t="n"/>
      <c r="AQ72" s="39" t="n"/>
      <c r="AR72" s="39" t="n"/>
      <c r="AS72" s="39" t="n"/>
      <c r="AT72" s="39" t="n"/>
      <c r="AU72" s="39" t="n"/>
      <c r="AV72" s="39" t="n"/>
      <c r="AW72" s="39" t="n"/>
      <c r="AX72" s="39" t="n"/>
      <c r="AY72" s="39" t="n"/>
      <c r="AZ72" s="39" t="n"/>
    </row>
    <row r="73" ht="15" customHeight="1">
      <c r="B73" s="39" t="n"/>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AH73" s="39" t="n"/>
      <c r="AI73" s="39" t="n"/>
      <c r="AJ73" s="39" t="n"/>
      <c r="AK73" s="39" t="n"/>
      <c r="AL73" s="39" t="n"/>
      <c r="AM73" s="39" t="n"/>
      <c r="AN73" s="39" t="n"/>
      <c r="AO73" s="39" t="n"/>
      <c r="AP73" s="39" t="n"/>
      <c r="AQ73" s="39" t="n"/>
      <c r="AR73" s="39" t="n"/>
      <c r="AS73" s="39" t="n"/>
      <c r="AT73" s="39" t="n"/>
      <c r="AU73" s="39" t="n"/>
      <c r="AV73" s="39" t="n"/>
      <c r="AW73" s="39" t="n"/>
      <c r="AX73" s="39" t="n"/>
      <c r="AY73" s="39" t="n"/>
      <c r="AZ73" s="39" t="n"/>
    </row>
    <row r="74" ht="15" customHeight="1">
      <c r="B74" s="39"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AH74" s="39" t="n"/>
      <c r="AI74" s="39" t="n"/>
      <c r="AJ74" s="39" t="n"/>
      <c r="AK74" s="39" t="n"/>
      <c r="AL74" s="39" t="n"/>
      <c r="AM74" s="39" t="n"/>
      <c r="AN74" s="39" t="n"/>
      <c r="AO74" s="39" t="n"/>
      <c r="AP74" s="39" t="n"/>
      <c r="AQ74" s="39" t="n"/>
      <c r="AR74" s="39" t="n"/>
      <c r="AS74" s="39" t="n"/>
      <c r="AT74" s="39" t="n"/>
      <c r="AU74" s="39" t="n"/>
      <c r="AV74" s="39" t="n"/>
      <c r="AW74" s="39" t="n"/>
      <c r="AX74" s="39" t="n"/>
      <c r="AY74" s="39" t="n"/>
      <c r="AZ74" s="39" t="n"/>
    </row>
    <row r="75" ht="15" customHeight="1">
      <c r="B75" s="39" t="n"/>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AH75" s="39" t="n"/>
      <c r="AI75" s="39" t="n"/>
      <c r="AJ75" s="39" t="n"/>
      <c r="AK75" s="39" t="n"/>
      <c r="AL75" s="39" t="n"/>
      <c r="AM75" s="39" t="n"/>
      <c r="AN75" s="39" t="n"/>
      <c r="AO75" s="39" t="n"/>
      <c r="AP75" s="39" t="n"/>
      <c r="AQ75" s="39" t="n"/>
      <c r="AR75" s="39" t="n"/>
      <c r="AS75" s="39" t="n"/>
      <c r="AT75" s="39" t="n"/>
      <c r="AU75" s="39" t="n"/>
      <c r="AV75" s="39" t="n"/>
      <c r="AW75" s="39" t="n"/>
      <c r="AX75" s="39" t="n"/>
      <c r="AY75" s="39" t="n"/>
      <c r="AZ75" s="39" t="n"/>
    </row>
    <row r="76" ht="15" customHeight="1">
      <c r="B76" s="39" t="n"/>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AH76" s="39" t="n"/>
      <c r="AI76" s="39" t="n"/>
      <c r="AJ76" s="39" t="n"/>
      <c r="AK76" s="39" t="n"/>
      <c r="AL76" s="39" t="n"/>
      <c r="AM76" s="39" t="n"/>
      <c r="AN76" s="39" t="n"/>
      <c r="AO76" s="39" t="n"/>
      <c r="AP76" s="39" t="n"/>
      <c r="AQ76" s="39" t="n"/>
      <c r="AR76" s="39" t="n"/>
      <c r="AS76" s="39" t="n"/>
      <c r="AT76" s="39" t="n"/>
      <c r="AU76" s="39" t="n"/>
      <c r="AV76" s="39" t="n"/>
      <c r="AW76" s="39" t="n"/>
      <c r="AX76" s="39" t="n"/>
      <c r="AY76" s="39" t="n"/>
      <c r="AZ76" s="39" t="n"/>
    </row>
    <row r="77" ht="15" customHeight="1">
      <c r="B77" s="39" t="n"/>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AH77" s="39" t="n"/>
      <c r="AI77" s="39" t="n"/>
      <c r="AJ77" s="39" t="n"/>
      <c r="AK77" s="39" t="n"/>
      <c r="AL77" s="39" t="n"/>
      <c r="AM77" s="39" t="n"/>
      <c r="AN77" s="39" t="n"/>
      <c r="AO77" s="39" t="n"/>
      <c r="AP77" s="39" t="n"/>
      <c r="AQ77" s="39" t="n"/>
      <c r="AR77" s="39" t="n"/>
      <c r="AS77" s="39" t="n"/>
      <c r="AT77" s="39" t="n"/>
      <c r="AU77" s="39" t="n"/>
      <c r="AV77" s="39" t="n"/>
      <c r="AW77" s="39" t="n"/>
      <c r="AX77" s="39" t="n"/>
      <c r="AY77" s="39" t="n"/>
      <c r="AZ77" s="39" t="n"/>
    </row>
    <row r="78" ht="15" customHeight="1"/>
    <row r="79" ht="15" customHeight="1">
      <c r="B79" s="36" t="inlineStr">
        <is>
          <t>DENETİM BAŞLIĞINA GÖRE İŞ DURUMU</t>
        </is>
      </c>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c r="AX79" s="37" t="n"/>
      <c r="AY79" s="37" t="n"/>
      <c r="AZ79" s="37" t="n"/>
    </row>
    <row r="80" ht="15" customHeight="1">
      <c r="B80" s="40" t="inlineStr">
        <is>
          <t>Yalnızca İş Planı'nda fiilen kullanılan denetim başlıkları listelenir; Listeler sayfasındaki her değişiklik burada anında yansır</t>
        </is>
      </c>
    </row>
    <row r="81" ht="15" customHeight="1">
      <c r="B81" s="3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AH81" s="39" t="n"/>
      <c r="AI81" s="39" t="n"/>
      <c r="AJ81" s="39" t="n"/>
      <c r="AK81" s="39" t="n"/>
      <c r="AL81" s="39" t="n"/>
      <c r="AM81" s="39" t="n"/>
      <c r="AN81" s="39" t="n"/>
      <c r="AO81" s="39" t="n"/>
      <c r="AP81" s="39" t="n"/>
      <c r="AQ81" s="39" t="n"/>
      <c r="AR81" s="39" t="n"/>
      <c r="AS81" s="39" t="n"/>
      <c r="AT81" s="39" t="n"/>
      <c r="AU81" s="39" t="n"/>
      <c r="AV81" s="39" t="n"/>
      <c r="AW81" s="39" t="n"/>
      <c r="AX81" s="39" t="n"/>
      <c r="AY81" s="39" t="n"/>
      <c r="AZ81" s="39" t="n"/>
    </row>
    <row r="82" ht="15" customHeight="1">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AH82" s="39" t="n"/>
      <c r="AI82" s="39" t="n"/>
      <c r="AJ82" s="39" t="n"/>
      <c r="AK82" s="39" t="n"/>
      <c r="AL82" s="39" t="n"/>
      <c r="AM82" s="39" t="n"/>
      <c r="AN82" s="39" t="n"/>
      <c r="AO82" s="39" t="n"/>
      <c r="AP82" s="39" t="n"/>
      <c r="AQ82" s="39" t="n"/>
      <c r="AR82" s="39" t="n"/>
      <c r="AS82" s="39" t="n"/>
      <c r="AT82" s="39" t="n"/>
      <c r="AU82" s="39" t="n"/>
      <c r="AV82" s="39" t="n"/>
      <c r="AW82" s="39" t="n"/>
      <c r="AX82" s="39" t="n"/>
      <c r="AY82" s="39" t="n"/>
      <c r="AZ82" s="39" t="n"/>
    </row>
    <row r="83" ht="15" customHeight="1">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AH83" s="39" t="n"/>
      <c r="AI83" s="39" t="n"/>
      <c r="AJ83" s="39" t="n"/>
      <c r="AK83" s="39" t="n"/>
      <c r="AL83" s="39" t="n"/>
      <c r="AM83" s="39" t="n"/>
      <c r="AN83" s="39" t="n"/>
      <c r="AO83" s="39" t="n"/>
      <c r="AP83" s="39" t="n"/>
      <c r="AQ83" s="39" t="n"/>
      <c r="AR83" s="39" t="n"/>
      <c r="AS83" s="39" t="n"/>
      <c r="AT83" s="39" t="n"/>
      <c r="AU83" s="39" t="n"/>
      <c r="AV83" s="39" t="n"/>
      <c r="AW83" s="39" t="n"/>
      <c r="AX83" s="39" t="n"/>
      <c r="AY83" s="39" t="n"/>
      <c r="AZ83" s="39" t="n"/>
    </row>
    <row r="84" ht="15" customHeight="1">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AH84" s="39" t="n"/>
      <c r="AI84" s="39" t="n"/>
      <c r="AJ84" s="39" t="n"/>
      <c r="AK84" s="39" t="n"/>
      <c r="AL84" s="39" t="n"/>
      <c r="AM84" s="39" t="n"/>
      <c r="AN84" s="39" t="n"/>
      <c r="AO84" s="39" t="n"/>
      <c r="AP84" s="39" t="n"/>
      <c r="AQ84" s="39" t="n"/>
      <c r="AR84" s="39" t="n"/>
      <c r="AS84" s="39" t="n"/>
      <c r="AT84" s="39" t="n"/>
      <c r="AU84" s="39" t="n"/>
      <c r="AV84" s="39" t="n"/>
      <c r="AW84" s="39" t="n"/>
      <c r="AX84" s="39" t="n"/>
      <c r="AY84" s="39" t="n"/>
      <c r="AZ84" s="39" t="n"/>
    </row>
    <row r="85" ht="15" customHeight="1">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AH85" s="39" t="n"/>
      <c r="AI85" s="39" t="n"/>
      <c r="AJ85" s="39" t="n"/>
      <c r="AK85" s="39" t="n"/>
      <c r="AL85" s="39" t="n"/>
      <c r="AM85" s="39" t="n"/>
      <c r="AN85" s="39" t="n"/>
      <c r="AO85" s="39" t="n"/>
      <c r="AP85" s="39" t="n"/>
      <c r="AQ85" s="39" t="n"/>
      <c r="AR85" s="39" t="n"/>
      <c r="AS85" s="39" t="n"/>
      <c r="AT85" s="39" t="n"/>
      <c r="AU85" s="39" t="n"/>
      <c r="AV85" s="39" t="n"/>
      <c r="AW85" s="39" t="n"/>
      <c r="AX85" s="39" t="n"/>
      <c r="AY85" s="39" t="n"/>
      <c r="AZ85" s="39" t="n"/>
    </row>
    <row r="86" ht="15" customHeight="1">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AH86" s="39" t="n"/>
      <c r="AI86" s="39" t="n"/>
      <c r="AJ86" s="39" t="n"/>
      <c r="AK86" s="39" t="n"/>
      <c r="AL86" s="39" t="n"/>
      <c r="AM86" s="39" t="n"/>
      <c r="AN86" s="39" t="n"/>
      <c r="AO86" s="39" t="n"/>
      <c r="AP86" s="39" t="n"/>
      <c r="AQ86" s="39" t="n"/>
      <c r="AR86" s="39" t="n"/>
      <c r="AS86" s="39" t="n"/>
      <c r="AT86" s="39" t="n"/>
      <c r="AU86" s="39" t="n"/>
      <c r="AV86" s="39" t="n"/>
      <c r="AW86" s="39" t="n"/>
      <c r="AX86" s="39" t="n"/>
      <c r="AY86" s="39" t="n"/>
      <c r="AZ86" s="39" t="n"/>
    </row>
    <row r="87" ht="15" customHeight="1">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AH87" s="39" t="n"/>
      <c r="AI87" s="39" t="n"/>
      <c r="AJ87" s="39" t="n"/>
      <c r="AK87" s="39" t="n"/>
      <c r="AL87" s="39" t="n"/>
      <c r="AM87" s="39" t="n"/>
      <c r="AN87" s="39" t="n"/>
      <c r="AO87" s="39" t="n"/>
      <c r="AP87" s="39" t="n"/>
      <c r="AQ87" s="39" t="n"/>
      <c r="AR87" s="39" t="n"/>
      <c r="AS87" s="39" t="n"/>
      <c r="AT87" s="39" t="n"/>
      <c r="AU87" s="39" t="n"/>
      <c r="AV87" s="39" t="n"/>
      <c r="AW87" s="39" t="n"/>
      <c r="AX87" s="39" t="n"/>
      <c r="AY87" s="39" t="n"/>
      <c r="AZ87" s="39" t="n"/>
    </row>
    <row r="88" ht="15" customHeight="1">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AH88" s="39" t="n"/>
      <c r="AI88" s="39" t="n"/>
      <c r="AJ88" s="39" t="n"/>
      <c r="AK88" s="39" t="n"/>
      <c r="AL88" s="39" t="n"/>
      <c r="AM88" s="39" t="n"/>
      <c r="AN88" s="39" t="n"/>
      <c r="AO88" s="39" t="n"/>
      <c r="AP88" s="39" t="n"/>
      <c r="AQ88" s="39" t="n"/>
      <c r="AR88" s="39" t="n"/>
      <c r="AS88" s="39" t="n"/>
      <c r="AT88" s="39" t="n"/>
      <c r="AU88" s="39" t="n"/>
      <c r="AV88" s="39" t="n"/>
      <c r="AW88" s="39" t="n"/>
      <c r="AX88" s="39" t="n"/>
      <c r="AY88" s="39" t="n"/>
      <c r="AZ88" s="39" t="n"/>
    </row>
    <row r="89" ht="15" customHeight="1">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AH89" s="39" t="n"/>
      <c r="AI89" s="39" t="n"/>
      <c r="AJ89" s="39" t="n"/>
      <c r="AK89" s="39" t="n"/>
      <c r="AL89" s="39" t="n"/>
      <c r="AM89" s="39" t="n"/>
      <c r="AN89" s="39" t="n"/>
      <c r="AO89" s="39" t="n"/>
      <c r="AP89" s="39" t="n"/>
      <c r="AQ89" s="39" t="n"/>
      <c r="AR89" s="39" t="n"/>
      <c r="AS89" s="39" t="n"/>
      <c r="AT89" s="39" t="n"/>
      <c r="AU89" s="39" t="n"/>
      <c r="AV89" s="39" t="n"/>
      <c r="AW89" s="39" t="n"/>
      <c r="AX89" s="39" t="n"/>
      <c r="AY89" s="39" t="n"/>
      <c r="AZ89" s="39" t="n"/>
    </row>
    <row r="90" ht="15" customHeight="1">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AH90" s="39" t="n"/>
      <c r="AI90" s="39" t="n"/>
      <c r="AJ90" s="39" t="n"/>
      <c r="AK90" s="39" t="n"/>
      <c r="AL90" s="39" t="n"/>
      <c r="AM90" s="39" t="n"/>
      <c r="AN90" s="39" t="n"/>
      <c r="AO90" s="39" t="n"/>
      <c r="AP90" s="39" t="n"/>
      <c r="AQ90" s="39" t="n"/>
      <c r="AR90" s="39" t="n"/>
      <c r="AS90" s="39" t="n"/>
      <c r="AT90" s="39" t="n"/>
      <c r="AU90" s="39" t="n"/>
      <c r="AV90" s="39" t="n"/>
      <c r="AW90" s="39" t="n"/>
      <c r="AX90" s="39" t="n"/>
      <c r="AY90" s="39" t="n"/>
      <c r="AZ90" s="39" t="n"/>
    </row>
    <row r="91" ht="15" customHeight="1">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AH91" s="39" t="n"/>
      <c r="AI91" s="39" t="n"/>
      <c r="AJ91" s="39" t="n"/>
      <c r="AK91" s="39" t="n"/>
      <c r="AL91" s="39" t="n"/>
      <c r="AM91" s="39" t="n"/>
      <c r="AN91" s="39" t="n"/>
      <c r="AO91" s="39" t="n"/>
      <c r="AP91" s="39" t="n"/>
      <c r="AQ91" s="39" t="n"/>
      <c r="AR91" s="39" t="n"/>
      <c r="AS91" s="39" t="n"/>
      <c r="AT91" s="39" t="n"/>
      <c r="AU91" s="39" t="n"/>
      <c r="AV91" s="39" t="n"/>
      <c r="AW91" s="39" t="n"/>
      <c r="AX91" s="39" t="n"/>
      <c r="AY91" s="39" t="n"/>
      <c r="AZ91" s="39" t="n"/>
    </row>
    <row r="92" ht="15" customHeight="1">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AH92" s="39" t="n"/>
      <c r="AI92" s="39" t="n"/>
      <c r="AJ92" s="39" t="n"/>
      <c r="AK92" s="39" t="n"/>
      <c r="AL92" s="39" t="n"/>
      <c r="AM92" s="39" t="n"/>
      <c r="AN92" s="39" t="n"/>
      <c r="AO92" s="39" t="n"/>
      <c r="AP92" s="39" t="n"/>
      <c r="AQ92" s="39" t="n"/>
      <c r="AR92" s="39" t="n"/>
      <c r="AS92" s="39" t="n"/>
      <c r="AT92" s="39" t="n"/>
      <c r="AU92" s="39" t="n"/>
      <c r="AV92" s="39" t="n"/>
      <c r="AW92" s="39" t="n"/>
      <c r="AX92" s="39" t="n"/>
      <c r="AY92" s="39" t="n"/>
      <c r="AZ92" s="39" t="n"/>
    </row>
    <row r="93" ht="15" customHeight="1">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AH93" s="39" t="n"/>
      <c r="AI93" s="39" t="n"/>
      <c r="AJ93" s="39" t="n"/>
      <c r="AK93" s="39" t="n"/>
      <c r="AL93" s="39" t="n"/>
      <c r="AM93" s="39" t="n"/>
      <c r="AN93" s="39" t="n"/>
      <c r="AO93" s="39" t="n"/>
      <c r="AP93" s="39" t="n"/>
      <c r="AQ93" s="39" t="n"/>
      <c r="AR93" s="39" t="n"/>
      <c r="AS93" s="39" t="n"/>
      <c r="AT93" s="39" t="n"/>
      <c r="AU93" s="39" t="n"/>
      <c r="AV93" s="39" t="n"/>
      <c r="AW93" s="39" t="n"/>
      <c r="AX93" s="39" t="n"/>
      <c r="AY93" s="39" t="n"/>
      <c r="AZ93" s="39" t="n"/>
    </row>
    <row r="94" ht="15" customHeight="1">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AH94" s="39" t="n"/>
      <c r="AI94" s="39" t="n"/>
      <c r="AJ94" s="39" t="n"/>
      <c r="AK94" s="39" t="n"/>
      <c r="AL94" s="39" t="n"/>
      <c r="AM94" s="39" t="n"/>
      <c r="AN94" s="39" t="n"/>
      <c r="AO94" s="39" t="n"/>
      <c r="AP94" s="39" t="n"/>
      <c r="AQ94" s="39" t="n"/>
      <c r="AR94" s="39" t="n"/>
      <c r="AS94" s="39" t="n"/>
      <c r="AT94" s="39" t="n"/>
      <c r="AU94" s="39" t="n"/>
      <c r="AV94" s="39" t="n"/>
      <c r="AW94" s="39" t="n"/>
      <c r="AX94" s="39" t="n"/>
      <c r="AY94" s="39" t="n"/>
      <c r="AZ94" s="39" t="n"/>
    </row>
    <row r="95" ht="15" customHeight="1">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AH95" s="39" t="n"/>
      <c r="AI95" s="39" t="n"/>
      <c r="AJ95" s="39" t="n"/>
      <c r="AK95" s="39" t="n"/>
      <c r="AL95" s="39" t="n"/>
      <c r="AM95" s="39" t="n"/>
      <c r="AN95" s="39" t="n"/>
      <c r="AO95" s="39" t="n"/>
      <c r="AP95" s="39" t="n"/>
      <c r="AQ95" s="39" t="n"/>
      <c r="AR95" s="39" t="n"/>
      <c r="AS95" s="39" t="n"/>
      <c r="AT95" s="39" t="n"/>
      <c r="AU95" s="39" t="n"/>
      <c r="AV95" s="39" t="n"/>
      <c r="AW95" s="39" t="n"/>
      <c r="AX95" s="39" t="n"/>
      <c r="AY95" s="39" t="n"/>
      <c r="AZ95" s="39" t="n"/>
    </row>
    <row r="96" ht="15" customHeight="1">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AH96" s="39" t="n"/>
      <c r="AI96" s="39" t="n"/>
      <c r="AJ96" s="39" t="n"/>
      <c r="AK96" s="39" t="n"/>
      <c r="AL96" s="39" t="n"/>
      <c r="AM96" s="39" t="n"/>
      <c r="AN96" s="39" t="n"/>
      <c r="AO96" s="39" t="n"/>
      <c r="AP96" s="39" t="n"/>
      <c r="AQ96" s="39" t="n"/>
      <c r="AR96" s="39" t="n"/>
      <c r="AS96" s="39" t="n"/>
      <c r="AT96" s="39" t="n"/>
      <c r="AU96" s="39" t="n"/>
      <c r="AV96" s="39" t="n"/>
      <c r="AW96" s="39" t="n"/>
      <c r="AX96" s="39" t="n"/>
      <c r="AY96" s="39" t="n"/>
      <c r="AZ96" s="39" t="n"/>
    </row>
    <row r="97" ht="15" customHeight="1">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AH97" s="39" t="n"/>
      <c r="AI97" s="39" t="n"/>
      <c r="AJ97" s="39" t="n"/>
      <c r="AK97" s="39" t="n"/>
      <c r="AL97" s="39" t="n"/>
      <c r="AM97" s="39" t="n"/>
      <c r="AN97" s="39" t="n"/>
      <c r="AO97" s="39" t="n"/>
      <c r="AP97" s="39" t="n"/>
      <c r="AQ97" s="39" t="n"/>
      <c r="AR97" s="39" t="n"/>
      <c r="AS97" s="39" t="n"/>
      <c r="AT97" s="39" t="n"/>
      <c r="AU97" s="39" t="n"/>
      <c r="AV97" s="39" t="n"/>
      <c r="AW97" s="39" t="n"/>
      <c r="AX97" s="39" t="n"/>
      <c r="AY97" s="39" t="n"/>
      <c r="AZ97" s="39" t="n"/>
    </row>
    <row r="98" ht="15" customHeight="1">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AH98" s="39" t="n"/>
      <c r="AI98" s="39" t="n"/>
      <c r="AJ98" s="39" t="n"/>
      <c r="AK98" s="39" t="n"/>
      <c r="AL98" s="39" t="n"/>
      <c r="AM98" s="39" t="n"/>
      <c r="AN98" s="39" t="n"/>
      <c r="AO98" s="39" t="n"/>
      <c r="AP98" s="39" t="n"/>
      <c r="AQ98" s="39" t="n"/>
      <c r="AR98" s="39" t="n"/>
      <c r="AS98" s="39" t="n"/>
      <c r="AT98" s="39" t="n"/>
      <c r="AU98" s="39" t="n"/>
      <c r="AV98" s="39" t="n"/>
      <c r="AW98" s="39" t="n"/>
      <c r="AX98" s="39" t="n"/>
      <c r="AY98" s="39" t="n"/>
      <c r="AZ98" s="39" t="n"/>
    </row>
    <row r="99" ht="15" customHeight="1">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AH99" s="39" t="n"/>
      <c r="AI99" s="39" t="n"/>
      <c r="AJ99" s="39" t="n"/>
      <c r="AK99" s="39" t="n"/>
      <c r="AL99" s="39" t="n"/>
      <c r="AM99" s="39" t="n"/>
      <c r="AN99" s="39" t="n"/>
      <c r="AO99" s="39" t="n"/>
      <c r="AP99" s="39" t="n"/>
      <c r="AQ99" s="39" t="n"/>
      <c r="AR99" s="39" t="n"/>
      <c r="AS99" s="39" t="n"/>
      <c r="AT99" s="39" t="n"/>
      <c r="AU99" s="39" t="n"/>
      <c r="AV99" s="39" t="n"/>
      <c r="AW99" s="39" t="n"/>
      <c r="AX99" s="39" t="n"/>
      <c r="AY99" s="39" t="n"/>
      <c r="AZ99" s="39" t="n"/>
    </row>
    <row r="100" ht="15" customHeight="1">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AH100" s="39" t="n"/>
      <c r="AI100" s="39" t="n"/>
      <c r="AJ100" s="39" t="n"/>
      <c r="AK100" s="39" t="n"/>
      <c r="AL100" s="39" t="n"/>
      <c r="AM100" s="39" t="n"/>
      <c r="AN100" s="39" t="n"/>
      <c r="AO100" s="39" t="n"/>
      <c r="AP100" s="39" t="n"/>
      <c r="AQ100" s="39" t="n"/>
      <c r="AR100" s="39" t="n"/>
      <c r="AS100" s="39" t="n"/>
      <c r="AT100" s="39" t="n"/>
      <c r="AU100" s="39" t="n"/>
      <c r="AV100" s="39" t="n"/>
      <c r="AW100" s="39" t="n"/>
      <c r="AX100" s="39" t="n"/>
      <c r="AY100" s="39" t="n"/>
      <c r="AZ100" s="39" t="n"/>
    </row>
    <row r="101" ht="15" customHeight="1">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39" t="n"/>
      <c r="AA101" s="39" t="n"/>
      <c r="AB101" s="39" t="n"/>
      <c r="AC101" s="39" t="n"/>
      <c r="AD101" s="39" t="n"/>
      <c r="AE101" s="39" t="n"/>
      <c r="AF101" s="39" t="n"/>
      <c r="AG101" s="39" t="n"/>
      <c r="AH101" s="39" t="n"/>
      <c r="AI101" s="39" t="n"/>
      <c r="AJ101" s="39" t="n"/>
      <c r="AK101" s="39" t="n"/>
      <c r="AL101" s="39" t="n"/>
      <c r="AM101" s="39" t="n"/>
      <c r="AN101" s="39" t="n"/>
      <c r="AO101" s="39" t="n"/>
      <c r="AP101" s="39" t="n"/>
      <c r="AQ101" s="39" t="n"/>
      <c r="AR101" s="39" t="n"/>
      <c r="AS101" s="39" t="n"/>
      <c r="AT101" s="39" t="n"/>
      <c r="AU101" s="39" t="n"/>
      <c r="AV101" s="39" t="n"/>
      <c r="AW101" s="39" t="n"/>
      <c r="AX101" s="39" t="n"/>
      <c r="AY101" s="39" t="n"/>
      <c r="AZ101" s="39" t="n"/>
    </row>
    <row r="102" ht="15" customHeight="1">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39" t="n"/>
      <c r="AH102" s="39" t="n"/>
      <c r="AI102" s="39" t="n"/>
      <c r="AJ102" s="39" t="n"/>
      <c r="AK102" s="39" t="n"/>
      <c r="AL102" s="39" t="n"/>
      <c r="AM102" s="39" t="n"/>
      <c r="AN102" s="39" t="n"/>
      <c r="AO102" s="39" t="n"/>
      <c r="AP102" s="39" t="n"/>
      <c r="AQ102" s="39" t="n"/>
      <c r="AR102" s="39" t="n"/>
      <c r="AS102" s="39" t="n"/>
      <c r="AT102" s="39" t="n"/>
      <c r="AU102" s="39" t="n"/>
      <c r="AV102" s="39" t="n"/>
      <c r="AW102" s="39" t="n"/>
      <c r="AX102" s="39" t="n"/>
      <c r="AY102" s="39" t="n"/>
      <c r="AZ102" s="39" t="n"/>
    </row>
    <row r="103" ht="15" customHeight="1">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39" t="n"/>
      <c r="AE103" s="39" t="n"/>
      <c r="AF103" s="39" t="n"/>
      <c r="AG103" s="39" t="n"/>
      <c r="AH103" s="39" t="n"/>
      <c r="AI103" s="39" t="n"/>
      <c r="AJ103" s="39" t="n"/>
      <c r="AK103" s="39" t="n"/>
      <c r="AL103" s="39" t="n"/>
      <c r="AM103" s="39" t="n"/>
      <c r="AN103" s="39" t="n"/>
      <c r="AO103" s="39" t="n"/>
      <c r="AP103" s="39" t="n"/>
      <c r="AQ103" s="39" t="n"/>
      <c r="AR103" s="39" t="n"/>
      <c r="AS103" s="39" t="n"/>
      <c r="AT103" s="39" t="n"/>
      <c r="AU103" s="39" t="n"/>
      <c r="AV103" s="39" t="n"/>
      <c r="AW103" s="39" t="n"/>
      <c r="AX103" s="39" t="n"/>
      <c r="AY103" s="39" t="n"/>
      <c r="AZ103" s="39" t="n"/>
    </row>
    <row r="104" ht="15" customHeight="1"/>
    <row r="105" ht="15" customHeight="1">
      <c r="B105" s="36" t="inlineStr">
        <is>
          <t>KİŞİ BAZLI İŞ YÜKÜ</t>
        </is>
      </c>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c r="AX105" s="37" t="n"/>
      <c r="AY105" s="37" t="n"/>
      <c r="AZ105" s="37" t="n"/>
    </row>
    <row r="106" ht="15" customHeight="1">
      <c r="B106" s="40" t="inlineStr">
        <is>
          <t>Sorumlu 1-3 sütunlarının tamamı sayılır; tamamlanan işler hariçtir. Kırmızı bölüm o kişinin süresi geçmiş işlerini gösterir</t>
        </is>
      </c>
    </row>
    <row r="107" ht="15" customHeight="1">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39" t="n"/>
      <c r="AA107" s="39" t="n"/>
      <c r="AB107" s="39" t="n"/>
      <c r="AC107" s="39" t="n"/>
      <c r="AD107" s="39" t="n"/>
      <c r="AE107" s="39" t="n"/>
      <c r="AF107" s="39" t="n"/>
      <c r="AG107" s="39" t="n"/>
      <c r="AH107" s="39" t="n"/>
      <c r="AI107" s="39" t="n"/>
      <c r="AJ107" s="39" t="n"/>
      <c r="AK107" s="39" t="n"/>
      <c r="AL107" s="39" t="n"/>
      <c r="AM107" s="39" t="n"/>
      <c r="AN107" s="39" t="n"/>
      <c r="AO107" s="39" t="n"/>
      <c r="AP107" s="39" t="n"/>
      <c r="AQ107" s="39" t="n"/>
      <c r="AR107" s="39" t="n"/>
      <c r="AS107" s="39" t="n"/>
      <c r="AT107" s="39" t="n"/>
      <c r="AU107" s="39" t="n"/>
      <c r="AV107" s="39" t="n"/>
      <c r="AW107" s="39" t="n"/>
      <c r="AX107" s="39" t="n"/>
      <c r="AY107" s="39" t="n"/>
      <c r="AZ107" s="39" t="n"/>
    </row>
    <row r="108" ht="15" customHeight="1">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c r="AM108" s="39" t="n"/>
      <c r="AN108" s="39" t="n"/>
      <c r="AO108" s="39" t="n"/>
      <c r="AP108" s="39" t="n"/>
      <c r="AQ108" s="39" t="n"/>
      <c r="AR108" s="39" t="n"/>
      <c r="AS108" s="39" t="n"/>
      <c r="AT108" s="39" t="n"/>
      <c r="AU108" s="39" t="n"/>
      <c r="AV108" s="39" t="n"/>
      <c r="AW108" s="39" t="n"/>
      <c r="AX108" s="39" t="n"/>
      <c r="AY108" s="39" t="n"/>
      <c r="AZ108" s="39" t="n"/>
    </row>
    <row r="109" ht="15" customHeight="1">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39" t="n"/>
      <c r="AA109" s="39" t="n"/>
      <c r="AB109" s="39" t="n"/>
      <c r="AC109" s="39" t="n"/>
      <c r="AD109" s="39" t="n"/>
      <c r="AE109" s="39" t="n"/>
      <c r="AF109" s="39" t="n"/>
      <c r="AG109" s="39" t="n"/>
      <c r="AH109" s="39" t="n"/>
      <c r="AI109" s="39" t="n"/>
      <c r="AJ109" s="39" t="n"/>
      <c r="AK109" s="39" t="n"/>
      <c r="AL109" s="39" t="n"/>
      <c r="AM109" s="39" t="n"/>
      <c r="AN109" s="39" t="n"/>
      <c r="AO109" s="39" t="n"/>
      <c r="AP109" s="39" t="n"/>
      <c r="AQ109" s="39" t="n"/>
      <c r="AR109" s="39" t="n"/>
      <c r="AS109" s="39" t="n"/>
      <c r="AT109" s="39" t="n"/>
      <c r="AU109" s="39" t="n"/>
      <c r="AV109" s="39" t="n"/>
      <c r="AW109" s="39" t="n"/>
      <c r="AX109" s="39" t="n"/>
      <c r="AY109" s="39" t="n"/>
      <c r="AZ109" s="39" t="n"/>
    </row>
    <row r="110" ht="15" customHeight="1">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39" t="n"/>
      <c r="AA110" s="39" t="n"/>
      <c r="AB110" s="39" t="n"/>
      <c r="AC110" s="39" t="n"/>
      <c r="AD110" s="39" t="n"/>
      <c r="AE110" s="39" t="n"/>
      <c r="AF110" s="39" t="n"/>
      <c r="AG110" s="39" t="n"/>
      <c r="AH110" s="39" t="n"/>
      <c r="AI110" s="39" t="n"/>
      <c r="AJ110" s="39" t="n"/>
      <c r="AK110" s="39" t="n"/>
      <c r="AL110" s="39" t="n"/>
      <c r="AM110" s="39" t="n"/>
      <c r="AN110" s="39" t="n"/>
      <c r="AO110" s="39" t="n"/>
      <c r="AP110" s="39" t="n"/>
      <c r="AQ110" s="39" t="n"/>
      <c r="AR110" s="39" t="n"/>
      <c r="AS110" s="39" t="n"/>
      <c r="AT110" s="39" t="n"/>
      <c r="AU110" s="39" t="n"/>
      <c r="AV110" s="39" t="n"/>
      <c r="AW110" s="39" t="n"/>
      <c r="AX110" s="39" t="n"/>
      <c r="AY110" s="39" t="n"/>
      <c r="AZ110" s="39" t="n"/>
    </row>
    <row r="111" ht="15" customHeight="1">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39" t="n"/>
      <c r="AA111" s="39" t="n"/>
      <c r="AB111" s="39" t="n"/>
      <c r="AC111" s="39" t="n"/>
      <c r="AD111" s="39" t="n"/>
      <c r="AE111" s="39" t="n"/>
      <c r="AF111" s="39" t="n"/>
      <c r="AG111" s="39" t="n"/>
      <c r="AH111" s="39" t="n"/>
      <c r="AI111" s="39" t="n"/>
      <c r="AJ111" s="39" t="n"/>
      <c r="AK111" s="39" t="n"/>
      <c r="AL111" s="39" t="n"/>
      <c r="AM111" s="39" t="n"/>
      <c r="AN111" s="39" t="n"/>
      <c r="AO111" s="39" t="n"/>
      <c r="AP111" s="39" t="n"/>
      <c r="AQ111" s="39" t="n"/>
      <c r="AR111" s="39" t="n"/>
      <c r="AS111" s="39" t="n"/>
      <c r="AT111" s="39" t="n"/>
      <c r="AU111" s="39" t="n"/>
      <c r="AV111" s="39" t="n"/>
      <c r="AW111" s="39" t="n"/>
      <c r="AX111" s="39" t="n"/>
      <c r="AY111" s="39" t="n"/>
      <c r="AZ111" s="39" t="n"/>
    </row>
    <row r="112" ht="15" customHeight="1">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39" t="n"/>
      <c r="AA112" s="39" t="n"/>
      <c r="AB112" s="39" t="n"/>
      <c r="AC112" s="39" t="n"/>
      <c r="AD112" s="39" t="n"/>
      <c r="AE112" s="39" t="n"/>
      <c r="AF112" s="39" t="n"/>
      <c r="AG112" s="39" t="n"/>
      <c r="AH112" s="39" t="n"/>
      <c r="AI112" s="39" t="n"/>
      <c r="AJ112" s="39" t="n"/>
      <c r="AK112" s="39" t="n"/>
      <c r="AL112" s="39" t="n"/>
      <c r="AM112" s="39" t="n"/>
      <c r="AN112" s="39" t="n"/>
      <c r="AO112" s="39" t="n"/>
      <c r="AP112" s="39" t="n"/>
      <c r="AQ112" s="39" t="n"/>
      <c r="AR112" s="39" t="n"/>
      <c r="AS112" s="39" t="n"/>
      <c r="AT112" s="39" t="n"/>
      <c r="AU112" s="39" t="n"/>
      <c r="AV112" s="39" t="n"/>
      <c r="AW112" s="39" t="n"/>
      <c r="AX112" s="39" t="n"/>
      <c r="AY112" s="39" t="n"/>
      <c r="AZ112" s="39" t="n"/>
    </row>
    <row r="113" ht="15" customHeight="1">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39" t="n"/>
      <c r="AK113" s="39" t="n"/>
      <c r="AL113" s="39" t="n"/>
      <c r="AM113" s="39" t="n"/>
      <c r="AN113" s="39" t="n"/>
      <c r="AO113" s="39" t="n"/>
      <c r="AP113" s="39" t="n"/>
      <c r="AQ113" s="39" t="n"/>
      <c r="AR113" s="39" t="n"/>
      <c r="AS113" s="39" t="n"/>
      <c r="AT113" s="39" t="n"/>
      <c r="AU113" s="39" t="n"/>
      <c r="AV113" s="39" t="n"/>
      <c r="AW113" s="39" t="n"/>
      <c r="AX113" s="39" t="n"/>
      <c r="AY113" s="39" t="n"/>
      <c r="AZ113" s="39" t="n"/>
    </row>
    <row r="114" ht="15" customHeight="1">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39" t="n"/>
      <c r="AA114" s="39" t="n"/>
      <c r="AB114" s="39" t="n"/>
      <c r="AC114" s="39" t="n"/>
      <c r="AD114" s="39" t="n"/>
      <c r="AE114" s="39" t="n"/>
      <c r="AF114" s="39" t="n"/>
      <c r="AG114" s="39" t="n"/>
      <c r="AH114" s="39" t="n"/>
      <c r="AI114" s="39" t="n"/>
      <c r="AJ114" s="39" t="n"/>
      <c r="AK114" s="39" t="n"/>
      <c r="AL114" s="39" t="n"/>
      <c r="AM114" s="39" t="n"/>
      <c r="AN114" s="39" t="n"/>
      <c r="AO114" s="39" t="n"/>
      <c r="AP114" s="39" t="n"/>
      <c r="AQ114" s="39" t="n"/>
      <c r="AR114" s="39" t="n"/>
      <c r="AS114" s="39" t="n"/>
      <c r="AT114" s="39" t="n"/>
      <c r="AU114" s="39" t="n"/>
      <c r="AV114" s="39" t="n"/>
      <c r="AW114" s="39" t="n"/>
      <c r="AX114" s="39" t="n"/>
      <c r="AY114" s="39" t="n"/>
      <c r="AZ114" s="39" t="n"/>
    </row>
    <row r="115" ht="15" customHeight="1">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39" t="n"/>
      <c r="AK115" s="39" t="n"/>
      <c r="AL115" s="39" t="n"/>
      <c r="AM115" s="39" t="n"/>
      <c r="AN115" s="39" t="n"/>
      <c r="AO115" s="39" t="n"/>
      <c r="AP115" s="39" t="n"/>
      <c r="AQ115" s="39" t="n"/>
      <c r="AR115" s="39" t="n"/>
      <c r="AS115" s="39" t="n"/>
      <c r="AT115" s="39" t="n"/>
      <c r="AU115" s="39" t="n"/>
      <c r="AV115" s="39" t="n"/>
      <c r="AW115" s="39" t="n"/>
      <c r="AX115" s="39" t="n"/>
      <c r="AY115" s="39" t="n"/>
      <c r="AZ115" s="39" t="n"/>
    </row>
    <row r="116" ht="15" customHeight="1">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row>
    <row r="117" ht="15" customHeight="1">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39" t="n"/>
      <c r="AK117" s="39" t="n"/>
      <c r="AL117" s="39" t="n"/>
      <c r="AM117" s="39" t="n"/>
      <c r="AN117" s="39" t="n"/>
      <c r="AO117" s="39" t="n"/>
      <c r="AP117" s="39" t="n"/>
      <c r="AQ117" s="39" t="n"/>
      <c r="AR117" s="39" t="n"/>
      <c r="AS117" s="39" t="n"/>
      <c r="AT117" s="39" t="n"/>
      <c r="AU117" s="39" t="n"/>
      <c r="AV117" s="39" t="n"/>
      <c r="AW117" s="39" t="n"/>
      <c r="AX117" s="39" t="n"/>
      <c r="AY117" s="39" t="n"/>
      <c r="AZ117" s="39" t="n"/>
    </row>
    <row r="118" ht="15" customHeight="1">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39" t="n"/>
      <c r="AA118" s="39" t="n"/>
      <c r="AB118" s="39" t="n"/>
      <c r="AC118" s="39" t="n"/>
      <c r="AD118" s="39" t="n"/>
      <c r="AE118" s="39" t="n"/>
      <c r="AF118" s="39" t="n"/>
      <c r="AG118" s="39" t="n"/>
      <c r="AH118" s="39" t="n"/>
      <c r="AI118" s="39" t="n"/>
      <c r="AJ118" s="39" t="n"/>
      <c r="AK118" s="39" t="n"/>
      <c r="AL118" s="39" t="n"/>
      <c r="AM118" s="39" t="n"/>
      <c r="AN118" s="39" t="n"/>
      <c r="AO118" s="39" t="n"/>
      <c r="AP118" s="39" t="n"/>
      <c r="AQ118" s="39" t="n"/>
      <c r="AR118" s="39" t="n"/>
      <c r="AS118" s="39" t="n"/>
      <c r="AT118" s="39" t="n"/>
      <c r="AU118" s="39" t="n"/>
      <c r="AV118" s="39" t="n"/>
      <c r="AW118" s="39" t="n"/>
      <c r="AX118" s="39" t="n"/>
      <c r="AY118" s="39" t="n"/>
      <c r="AZ118" s="39" t="n"/>
    </row>
    <row r="119" ht="15" customHeight="1">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39" t="n"/>
      <c r="AA119" s="39" t="n"/>
      <c r="AB119" s="39" t="n"/>
      <c r="AC119" s="39" t="n"/>
      <c r="AD119" s="39" t="n"/>
      <c r="AE119" s="39" t="n"/>
      <c r="AF119" s="39" t="n"/>
      <c r="AG119" s="39" t="n"/>
      <c r="AH119" s="39" t="n"/>
      <c r="AI119" s="39" t="n"/>
      <c r="AJ119" s="39" t="n"/>
      <c r="AK119" s="39" t="n"/>
      <c r="AL119" s="39" t="n"/>
      <c r="AM119" s="39" t="n"/>
      <c r="AN119" s="39" t="n"/>
      <c r="AO119" s="39" t="n"/>
      <c r="AP119" s="39" t="n"/>
      <c r="AQ119" s="39" t="n"/>
      <c r="AR119" s="39" t="n"/>
      <c r="AS119" s="39" t="n"/>
      <c r="AT119" s="39" t="n"/>
      <c r="AU119" s="39" t="n"/>
      <c r="AV119" s="39" t="n"/>
      <c r="AW119" s="39" t="n"/>
      <c r="AX119" s="39" t="n"/>
      <c r="AY119" s="39" t="n"/>
      <c r="AZ119" s="39" t="n"/>
    </row>
    <row r="120" ht="15" customHeight="1">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39" t="n"/>
      <c r="AA120" s="39" t="n"/>
      <c r="AB120" s="39" t="n"/>
      <c r="AC120" s="39" t="n"/>
      <c r="AD120" s="39" t="n"/>
      <c r="AE120" s="39" t="n"/>
      <c r="AF120" s="39" t="n"/>
      <c r="AG120" s="39" t="n"/>
      <c r="AH120" s="39" t="n"/>
      <c r="AI120" s="39" t="n"/>
      <c r="AJ120" s="39" t="n"/>
      <c r="AK120" s="39" t="n"/>
      <c r="AL120" s="39" t="n"/>
      <c r="AM120" s="39" t="n"/>
      <c r="AN120" s="39" t="n"/>
      <c r="AO120" s="39" t="n"/>
      <c r="AP120" s="39" t="n"/>
      <c r="AQ120" s="39" t="n"/>
      <c r="AR120" s="39" t="n"/>
      <c r="AS120" s="39" t="n"/>
      <c r="AT120" s="39" t="n"/>
      <c r="AU120" s="39" t="n"/>
      <c r="AV120" s="39" t="n"/>
      <c r="AW120" s="39" t="n"/>
      <c r="AX120" s="39" t="n"/>
      <c r="AY120" s="39" t="n"/>
      <c r="AZ120" s="39" t="n"/>
    </row>
    <row r="121" ht="15" customHeight="1">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39" t="n"/>
      <c r="AA121" s="39" t="n"/>
      <c r="AB121" s="39" t="n"/>
      <c r="AC121" s="39" t="n"/>
      <c r="AD121" s="39" t="n"/>
      <c r="AE121" s="39" t="n"/>
      <c r="AF121" s="39" t="n"/>
      <c r="AG121" s="39" t="n"/>
      <c r="AH121" s="39" t="n"/>
      <c r="AI121" s="39" t="n"/>
      <c r="AJ121" s="39" t="n"/>
      <c r="AK121" s="39" t="n"/>
      <c r="AL121" s="39" t="n"/>
      <c r="AM121" s="39" t="n"/>
      <c r="AN121" s="39" t="n"/>
      <c r="AO121" s="39" t="n"/>
      <c r="AP121" s="39" t="n"/>
      <c r="AQ121" s="39" t="n"/>
      <c r="AR121" s="39" t="n"/>
      <c r="AS121" s="39" t="n"/>
      <c r="AT121" s="39" t="n"/>
      <c r="AU121" s="39" t="n"/>
      <c r="AV121" s="39" t="n"/>
      <c r="AW121" s="39" t="n"/>
      <c r="AX121" s="39" t="n"/>
      <c r="AY121" s="39" t="n"/>
      <c r="AZ121" s="39" t="n"/>
    </row>
    <row r="122" ht="15" customHeight="1">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39" t="n"/>
      <c r="AA122" s="39" t="n"/>
      <c r="AB122" s="39" t="n"/>
      <c r="AC122" s="39" t="n"/>
      <c r="AD122" s="39" t="n"/>
      <c r="AE122" s="39" t="n"/>
      <c r="AF122" s="39" t="n"/>
      <c r="AG122" s="39" t="n"/>
      <c r="AH122" s="39" t="n"/>
      <c r="AI122" s="39" t="n"/>
      <c r="AJ122" s="39" t="n"/>
      <c r="AK122" s="39" t="n"/>
      <c r="AL122" s="39" t="n"/>
      <c r="AM122" s="39" t="n"/>
      <c r="AN122" s="39" t="n"/>
      <c r="AO122" s="39" t="n"/>
      <c r="AP122" s="39" t="n"/>
      <c r="AQ122" s="39" t="n"/>
      <c r="AR122" s="39" t="n"/>
      <c r="AS122" s="39" t="n"/>
      <c r="AT122" s="39" t="n"/>
      <c r="AU122" s="39" t="n"/>
      <c r="AV122" s="39" t="n"/>
      <c r="AW122" s="39" t="n"/>
      <c r="AX122" s="39" t="n"/>
      <c r="AY122" s="39" t="n"/>
      <c r="AZ122" s="39" t="n"/>
    </row>
    <row r="123" ht="15" customHeight="1">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c r="AQ123" s="39" t="n"/>
      <c r="AR123" s="39" t="n"/>
      <c r="AS123" s="39" t="n"/>
      <c r="AT123" s="39" t="n"/>
      <c r="AU123" s="39" t="n"/>
      <c r="AV123" s="39" t="n"/>
      <c r="AW123" s="39" t="n"/>
      <c r="AX123" s="39" t="n"/>
      <c r="AY123" s="39" t="n"/>
      <c r="AZ123" s="39" t="n"/>
    </row>
    <row r="124" ht="15" customHeight="1">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c r="AR124" s="39" t="n"/>
      <c r="AS124" s="39" t="n"/>
      <c r="AT124" s="39" t="n"/>
      <c r="AU124" s="39" t="n"/>
      <c r="AV124" s="39" t="n"/>
      <c r="AW124" s="39" t="n"/>
      <c r="AX124" s="39" t="n"/>
      <c r="AY124" s="39" t="n"/>
      <c r="AZ124" s="39" t="n"/>
    </row>
    <row r="125" ht="15" customHeight="1">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39" t="n"/>
      <c r="AA125" s="39" t="n"/>
      <c r="AB125" s="39" t="n"/>
      <c r="AC125" s="39" t="n"/>
      <c r="AD125" s="39" t="n"/>
      <c r="AE125" s="39" t="n"/>
      <c r="AF125" s="39" t="n"/>
      <c r="AG125" s="39" t="n"/>
      <c r="AH125" s="39" t="n"/>
      <c r="AI125" s="39" t="n"/>
      <c r="AJ125" s="39" t="n"/>
      <c r="AK125" s="39" t="n"/>
      <c r="AL125" s="39" t="n"/>
      <c r="AM125" s="39" t="n"/>
      <c r="AN125" s="39" t="n"/>
      <c r="AO125" s="39" t="n"/>
      <c r="AP125" s="39" t="n"/>
      <c r="AQ125" s="39" t="n"/>
      <c r="AR125" s="39" t="n"/>
      <c r="AS125" s="39" t="n"/>
      <c r="AT125" s="39" t="n"/>
      <c r="AU125" s="39" t="n"/>
      <c r="AV125" s="39" t="n"/>
      <c r="AW125" s="39" t="n"/>
      <c r="AX125" s="39" t="n"/>
      <c r="AY125" s="39" t="n"/>
      <c r="AZ125" s="39" t="n"/>
    </row>
    <row r="126" ht="15" customHeight="1">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39" t="n"/>
      <c r="AA126" s="39" t="n"/>
      <c r="AB126" s="39" t="n"/>
      <c r="AC126" s="39" t="n"/>
      <c r="AD126" s="39" t="n"/>
      <c r="AE126" s="39" t="n"/>
      <c r="AF126" s="39" t="n"/>
      <c r="AG126" s="39" t="n"/>
      <c r="AH126" s="39" t="n"/>
      <c r="AI126" s="39" t="n"/>
      <c r="AJ126" s="39" t="n"/>
      <c r="AK126" s="39" t="n"/>
      <c r="AL126" s="39" t="n"/>
      <c r="AM126" s="39" t="n"/>
      <c r="AN126" s="39" t="n"/>
      <c r="AO126" s="39" t="n"/>
      <c r="AP126" s="39" t="n"/>
      <c r="AQ126" s="39" t="n"/>
      <c r="AR126" s="39" t="n"/>
      <c r="AS126" s="39" t="n"/>
      <c r="AT126" s="39" t="n"/>
      <c r="AU126" s="39" t="n"/>
      <c r="AV126" s="39" t="n"/>
      <c r="AW126" s="39" t="n"/>
      <c r="AX126" s="39" t="n"/>
      <c r="AY126" s="39" t="n"/>
      <c r="AZ126" s="39" t="n"/>
    </row>
    <row r="127" ht="15" customHeight="1">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39" t="n"/>
      <c r="AA127" s="39" t="n"/>
      <c r="AB127" s="39" t="n"/>
      <c r="AC127" s="39" t="n"/>
      <c r="AD127" s="39" t="n"/>
      <c r="AE127" s="39" t="n"/>
      <c r="AF127" s="39" t="n"/>
      <c r="AG127" s="39" t="n"/>
      <c r="AH127" s="39" t="n"/>
      <c r="AI127" s="39" t="n"/>
      <c r="AJ127" s="39" t="n"/>
      <c r="AK127" s="39" t="n"/>
      <c r="AL127" s="39" t="n"/>
      <c r="AM127" s="39" t="n"/>
      <c r="AN127" s="39" t="n"/>
      <c r="AO127" s="39" t="n"/>
      <c r="AP127" s="39" t="n"/>
      <c r="AQ127" s="39" t="n"/>
      <c r="AR127" s="39" t="n"/>
      <c r="AS127" s="39" t="n"/>
      <c r="AT127" s="39" t="n"/>
      <c r="AU127" s="39" t="n"/>
      <c r="AV127" s="39" t="n"/>
      <c r="AW127" s="39" t="n"/>
      <c r="AX127" s="39" t="n"/>
      <c r="AY127" s="39" t="n"/>
      <c r="AZ127" s="39" t="n"/>
    </row>
    <row r="128" ht="15" customHeight="1">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39" t="n"/>
      <c r="AK128" s="39" t="n"/>
      <c r="AL128" s="39" t="n"/>
      <c r="AM128" s="39" t="n"/>
      <c r="AN128" s="39" t="n"/>
      <c r="AO128" s="39" t="n"/>
      <c r="AP128" s="39" t="n"/>
      <c r="AQ128" s="39" t="n"/>
      <c r="AR128" s="39" t="n"/>
      <c r="AS128" s="39" t="n"/>
      <c r="AT128" s="39" t="n"/>
      <c r="AU128" s="39" t="n"/>
      <c r="AV128" s="39" t="n"/>
      <c r="AW128" s="39" t="n"/>
      <c r="AX128" s="39" t="n"/>
      <c r="AY128" s="39" t="n"/>
      <c r="AZ128" s="39" t="n"/>
    </row>
    <row r="129" ht="15" customHeight="1">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c r="AR129" s="39" t="n"/>
      <c r="AS129" s="39" t="n"/>
      <c r="AT129" s="39" t="n"/>
      <c r="AU129" s="39" t="n"/>
      <c r="AV129" s="39" t="n"/>
      <c r="AW129" s="39" t="n"/>
      <c r="AX129" s="39" t="n"/>
      <c r="AY129" s="39" t="n"/>
      <c r="AZ129" s="39" t="n"/>
    </row>
    <row r="130" ht="15" customHeight="1"/>
    <row r="131" ht="15" customHeight="1">
      <c r="B131" s="36" t="inlineStr">
        <is>
          <t>GECİKME ANALİZİ</t>
        </is>
      </c>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c r="AX131" s="37" t="n"/>
      <c r="AY131" s="37" t="n"/>
      <c r="AZ131" s="37" t="n"/>
    </row>
    <row r="132" ht="15" customHeight="1">
      <c r="B132" s="40" t="inlineStr">
        <is>
          <t>En yüksek 10 gecikme: elle girilen Gecikme (Gün) ile orijinal Bitiş tarihinin aşımından hangisi büyükse o alınır - gün girilmemiş işler de sayılır</t>
        </is>
      </c>
    </row>
    <row r="133" ht="15" customHeight="1">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39" t="n"/>
      <c r="AA133" s="39" t="n"/>
      <c r="AB133" s="39" t="n"/>
      <c r="AC133" s="39" t="n"/>
      <c r="AD133" s="39" t="n"/>
      <c r="AE133" s="39" t="n"/>
      <c r="AF133" s="39" t="n"/>
      <c r="AG133" s="39" t="n"/>
      <c r="AH133" s="39" t="n"/>
      <c r="AI133" s="39" t="n"/>
      <c r="AJ133" s="39" t="n"/>
      <c r="AK133" s="39" t="n"/>
      <c r="AL133" s="39" t="n"/>
      <c r="AM133" s="39" t="n"/>
      <c r="AN133" s="39" t="n"/>
      <c r="AO133" s="39" t="n"/>
      <c r="AP133" s="39" t="n"/>
      <c r="AQ133" s="39" t="n"/>
      <c r="AR133" s="39" t="n"/>
      <c r="AS133" s="39" t="n"/>
      <c r="AT133" s="39" t="n"/>
      <c r="AU133" s="39" t="n"/>
      <c r="AV133" s="39" t="n"/>
      <c r="AW133" s="39" t="n"/>
      <c r="AX133" s="39" t="n"/>
      <c r="AY133" s="39" t="n"/>
      <c r="AZ133" s="39" t="n"/>
    </row>
    <row r="134" ht="15" customHeight="1">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39" t="n"/>
      <c r="AA134" s="39" t="n"/>
      <c r="AB134" s="39" t="n"/>
      <c r="AC134" s="39" t="n"/>
      <c r="AD134" s="39" t="n"/>
      <c r="AE134" s="39" t="n"/>
      <c r="AF134" s="39" t="n"/>
      <c r="AG134" s="39" t="n"/>
      <c r="AH134" s="39" t="n"/>
      <c r="AI134" s="39" t="n"/>
      <c r="AJ134" s="39" t="n"/>
      <c r="AK134" s="39" t="n"/>
      <c r="AL134" s="39" t="n"/>
      <c r="AM134" s="39" t="n"/>
      <c r="AN134" s="39" t="n"/>
      <c r="AO134" s="39" t="n"/>
      <c r="AP134" s="39" t="n"/>
      <c r="AQ134" s="39" t="n"/>
      <c r="AR134" s="39" t="n"/>
      <c r="AS134" s="39" t="n"/>
      <c r="AT134" s="39" t="n"/>
      <c r="AU134" s="39" t="n"/>
      <c r="AV134" s="39" t="n"/>
      <c r="AW134" s="39" t="n"/>
      <c r="AX134" s="39" t="n"/>
      <c r="AY134" s="39" t="n"/>
      <c r="AZ134" s="39" t="n"/>
    </row>
    <row r="135" ht="15" customHeight="1">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39" t="n"/>
      <c r="AK135" s="39" t="n"/>
      <c r="AL135" s="39" t="n"/>
      <c r="AM135" s="39" t="n"/>
      <c r="AN135" s="39" t="n"/>
      <c r="AO135" s="39" t="n"/>
      <c r="AP135" s="39" t="n"/>
      <c r="AQ135" s="39" t="n"/>
      <c r="AR135" s="39" t="n"/>
      <c r="AS135" s="39" t="n"/>
      <c r="AT135" s="39" t="n"/>
      <c r="AU135" s="39" t="n"/>
      <c r="AV135" s="39" t="n"/>
      <c r="AW135" s="39" t="n"/>
      <c r="AX135" s="39" t="n"/>
      <c r="AY135" s="39" t="n"/>
      <c r="AZ135" s="39" t="n"/>
    </row>
    <row r="136" ht="15" customHeight="1">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39" t="n"/>
      <c r="AA136" s="39" t="n"/>
      <c r="AB136" s="39" t="n"/>
      <c r="AC136" s="39" t="n"/>
      <c r="AD136" s="39" t="n"/>
      <c r="AE136" s="39" t="n"/>
      <c r="AF136" s="39" t="n"/>
      <c r="AG136" s="39" t="n"/>
      <c r="AH136" s="39" t="n"/>
      <c r="AI136" s="39" t="n"/>
      <c r="AJ136" s="39" t="n"/>
      <c r="AK136" s="39" t="n"/>
      <c r="AL136" s="39" t="n"/>
      <c r="AM136" s="39" t="n"/>
      <c r="AN136" s="39" t="n"/>
      <c r="AO136" s="39" t="n"/>
      <c r="AP136" s="39" t="n"/>
      <c r="AQ136" s="39" t="n"/>
      <c r="AR136" s="39" t="n"/>
      <c r="AS136" s="39" t="n"/>
      <c r="AT136" s="39" t="n"/>
      <c r="AU136" s="39" t="n"/>
      <c r="AV136" s="39" t="n"/>
      <c r="AW136" s="39" t="n"/>
      <c r="AX136" s="39" t="n"/>
      <c r="AY136" s="39" t="n"/>
      <c r="AZ136" s="39" t="n"/>
    </row>
    <row r="137" ht="15" customHeight="1">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c r="AR137" s="39" t="n"/>
      <c r="AS137" s="39" t="n"/>
      <c r="AT137" s="39" t="n"/>
      <c r="AU137" s="39" t="n"/>
      <c r="AV137" s="39" t="n"/>
      <c r="AW137" s="39" t="n"/>
      <c r="AX137" s="39" t="n"/>
      <c r="AY137" s="39" t="n"/>
      <c r="AZ137" s="39" t="n"/>
    </row>
    <row r="138" ht="15" customHeight="1">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39" t="n"/>
      <c r="AA138" s="39" t="n"/>
      <c r="AB138" s="39" t="n"/>
      <c r="AC138" s="39" t="n"/>
      <c r="AD138" s="39" t="n"/>
      <c r="AE138" s="39" t="n"/>
      <c r="AF138" s="39" t="n"/>
      <c r="AG138" s="39" t="n"/>
      <c r="AH138" s="39" t="n"/>
      <c r="AI138" s="39" t="n"/>
      <c r="AJ138" s="39" t="n"/>
      <c r="AK138" s="39" t="n"/>
      <c r="AL138" s="39" t="n"/>
      <c r="AM138" s="39" t="n"/>
      <c r="AN138" s="39" t="n"/>
      <c r="AO138" s="39" t="n"/>
      <c r="AP138" s="39" t="n"/>
      <c r="AQ138" s="39" t="n"/>
      <c r="AR138" s="39" t="n"/>
      <c r="AS138" s="39" t="n"/>
      <c r="AT138" s="39" t="n"/>
      <c r="AU138" s="39" t="n"/>
      <c r="AV138" s="39" t="n"/>
      <c r="AW138" s="39" t="n"/>
      <c r="AX138" s="39" t="n"/>
      <c r="AY138" s="39" t="n"/>
      <c r="AZ138" s="39" t="n"/>
    </row>
    <row r="139" ht="15" customHeight="1">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39" t="n"/>
      <c r="AA139" s="39" t="n"/>
      <c r="AB139" s="39" t="n"/>
      <c r="AC139" s="39" t="n"/>
      <c r="AD139" s="39" t="n"/>
      <c r="AE139" s="39" t="n"/>
      <c r="AF139" s="39" t="n"/>
      <c r="AG139" s="39" t="n"/>
      <c r="AH139" s="39" t="n"/>
      <c r="AI139" s="39" t="n"/>
      <c r="AJ139" s="39" t="n"/>
      <c r="AK139" s="39" t="n"/>
      <c r="AL139" s="39" t="n"/>
      <c r="AM139" s="39" t="n"/>
      <c r="AN139" s="39" t="n"/>
      <c r="AO139" s="39" t="n"/>
      <c r="AP139" s="39" t="n"/>
      <c r="AQ139" s="39" t="n"/>
      <c r="AR139" s="39" t="n"/>
      <c r="AS139" s="39" t="n"/>
      <c r="AT139" s="39" t="n"/>
      <c r="AU139" s="39" t="n"/>
      <c r="AV139" s="39" t="n"/>
      <c r="AW139" s="39" t="n"/>
      <c r="AX139" s="39" t="n"/>
      <c r="AY139" s="39" t="n"/>
      <c r="AZ139" s="39" t="n"/>
    </row>
    <row r="140" ht="15" customHeight="1">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c r="AR140" s="39" t="n"/>
      <c r="AS140" s="39" t="n"/>
      <c r="AT140" s="39" t="n"/>
      <c r="AU140" s="39" t="n"/>
      <c r="AV140" s="39" t="n"/>
      <c r="AW140" s="39" t="n"/>
      <c r="AX140" s="39" t="n"/>
      <c r="AY140" s="39" t="n"/>
      <c r="AZ140" s="39" t="n"/>
    </row>
    <row r="141" ht="15" customHeight="1">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39" t="n"/>
      <c r="AA141" s="39" t="n"/>
      <c r="AB141" s="39" t="n"/>
      <c r="AC141" s="39" t="n"/>
      <c r="AD141" s="39" t="n"/>
      <c r="AE141" s="39" t="n"/>
      <c r="AF141" s="39" t="n"/>
      <c r="AG141" s="39" t="n"/>
      <c r="AH141" s="39" t="n"/>
      <c r="AI141" s="39" t="n"/>
      <c r="AJ141" s="39" t="n"/>
      <c r="AK141" s="39" t="n"/>
      <c r="AL141" s="39" t="n"/>
      <c r="AM141" s="39" t="n"/>
      <c r="AN141" s="39" t="n"/>
      <c r="AO141" s="39" t="n"/>
      <c r="AP141" s="39" t="n"/>
      <c r="AQ141" s="39" t="n"/>
      <c r="AR141" s="39" t="n"/>
      <c r="AS141" s="39" t="n"/>
      <c r="AT141" s="39" t="n"/>
      <c r="AU141" s="39" t="n"/>
      <c r="AV141" s="39" t="n"/>
      <c r="AW141" s="39" t="n"/>
      <c r="AX141" s="39" t="n"/>
      <c r="AY141" s="39" t="n"/>
      <c r="AZ141" s="39" t="n"/>
    </row>
    <row r="142" ht="15" customHeight="1">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39" t="n"/>
      <c r="AA142" s="39" t="n"/>
      <c r="AB142" s="39" t="n"/>
      <c r="AC142" s="39" t="n"/>
      <c r="AD142" s="39" t="n"/>
      <c r="AE142" s="39" t="n"/>
      <c r="AF142" s="39" t="n"/>
      <c r="AG142" s="39" t="n"/>
      <c r="AH142" s="39" t="n"/>
      <c r="AI142" s="39" t="n"/>
      <c r="AJ142" s="39" t="n"/>
      <c r="AK142" s="39" t="n"/>
      <c r="AL142" s="39" t="n"/>
      <c r="AM142" s="39" t="n"/>
      <c r="AN142" s="39" t="n"/>
      <c r="AO142" s="39" t="n"/>
      <c r="AP142" s="39" t="n"/>
      <c r="AQ142" s="39" t="n"/>
      <c r="AR142" s="39" t="n"/>
      <c r="AS142" s="39" t="n"/>
      <c r="AT142" s="39" t="n"/>
      <c r="AU142" s="39" t="n"/>
      <c r="AV142" s="39" t="n"/>
      <c r="AW142" s="39" t="n"/>
      <c r="AX142" s="39" t="n"/>
      <c r="AY142" s="39" t="n"/>
      <c r="AZ142" s="39" t="n"/>
    </row>
    <row r="143" ht="15" customHeight="1">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39" t="n"/>
      <c r="AA143" s="39" t="n"/>
      <c r="AB143" s="39" t="n"/>
      <c r="AC143" s="39" t="n"/>
      <c r="AD143" s="39" t="n"/>
      <c r="AE143" s="39" t="n"/>
      <c r="AF143" s="39" t="n"/>
      <c r="AG143" s="39" t="n"/>
      <c r="AH143" s="39" t="n"/>
      <c r="AI143" s="39" t="n"/>
      <c r="AJ143" s="39" t="n"/>
      <c r="AK143" s="39" t="n"/>
      <c r="AL143" s="39" t="n"/>
      <c r="AM143" s="39" t="n"/>
      <c r="AN143" s="39" t="n"/>
      <c r="AO143" s="39" t="n"/>
      <c r="AP143" s="39" t="n"/>
      <c r="AQ143" s="39" t="n"/>
      <c r="AR143" s="39" t="n"/>
      <c r="AS143" s="39" t="n"/>
      <c r="AT143" s="39" t="n"/>
      <c r="AU143" s="39" t="n"/>
      <c r="AV143" s="39" t="n"/>
      <c r="AW143" s="39" t="n"/>
      <c r="AX143" s="39" t="n"/>
      <c r="AY143" s="39" t="n"/>
      <c r="AZ143" s="39" t="n"/>
    </row>
    <row r="144" ht="15" customHeight="1">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39" t="n"/>
      <c r="AA144" s="39" t="n"/>
      <c r="AB144" s="39" t="n"/>
      <c r="AC144" s="39" t="n"/>
      <c r="AD144" s="39" t="n"/>
      <c r="AE144" s="39" t="n"/>
      <c r="AF144" s="39" t="n"/>
      <c r="AG144" s="39" t="n"/>
      <c r="AH144" s="39" t="n"/>
      <c r="AI144" s="39" t="n"/>
      <c r="AJ144" s="39" t="n"/>
      <c r="AK144" s="39" t="n"/>
      <c r="AL144" s="39" t="n"/>
      <c r="AM144" s="39" t="n"/>
      <c r="AN144" s="39" t="n"/>
      <c r="AO144" s="39" t="n"/>
      <c r="AP144" s="39" t="n"/>
      <c r="AQ144" s="39" t="n"/>
      <c r="AR144" s="39" t="n"/>
      <c r="AS144" s="39" t="n"/>
      <c r="AT144" s="39" t="n"/>
      <c r="AU144" s="39" t="n"/>
      <c r="AV144" s="39" t="n"/>
      <c r="AW144" s="39" t="n"/>
      <c r="AX144" s="39" t="n"/>
      <c r="AY144" s="39" t="n"/>
      <c r="AZ144" s="39" t="n"/>
    </row>
    <row r="145" ht="15" customHeight="1">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c r="AR145" s="39" t="n"/>
      <c r="AS145" s="39" t="n"/>
      <c r="AT145" s="39" t="n"/>
      <c r="AU145" s="39" t="n"/>
      <c r="AV145" s="39" t="n"/>
      <c r="AW145" s="39" t="n"/>
      <c r="AX145" s="39" t="n"/>
      <c r="AY145" s="39" t="n"/>
      <c r="AZ145" s="39" t="n"/>
    </row>
    <row r="146" ht="15" customHeight="1">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39" t="n"/>
      <c r="AA146" s="39" t="n"/>
      <c r="AB146" s="39" t="n"/>
      <c r="AC146" s="39" t="n"/>
      <c r="AD146" s="39" t="n"/>
      <c r="AE146" s="39" t="n"/>
      <c r="AF146" s="39" t="n"/>
      <c r="AG146" s="39" t="n"/>
      <c r="AH146" s="39" t="n"/>
      <c r="AI146" s="39" t="n"/>
      <c r="AJ146" s="39" t="n"/>
      <c r="AK146" s="39" t="n"/>
      <c r="AL146" s="39" t="n"/>
      <c r="AM146" s="39" t="n"/>
      <c r="AN146" s="39" t="n"/>
      <c r="AO146" s="39" t="n"/>
      <c r="AP146" s="39" t="n"/>
      <c r="AQ146" s="39" t="n"/>
      <c r="AR146" s="39" t="n"/>
      <c r="AS146" s="39" t="n"/>
      <c r="AT146" s="39" t="n"/>
      <c r="AU146" s="39" t="n"/>
      <c r="AV146" s="39" t="n"/>
      <c r="AW146" s="39" t="n"/>
      <c r="AX146" s="39" t="n"/>
      <c r="AY146" s="39" t="n"/>
      <c r="AZ146" s="39" t="n"/>
    </row>
    <row r="147" ht="15" customHeight="1">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39" t="n"/>
      <c r="AA147" s="39" t="n"/>
      <c r="AB147" s="39" t="n"/>
      <c r="AC147" s="39" t="n"/>
      <c r="AD147" s="39" t="n"/>
      <c r="AE147" s="39" t="n"/>
      <c r="AF147" s="39" t="n"/>
      <c r="AG147" s="39" t="n"/>
      <c r="AH147" s="39" t="n"/>
      <c r="AI147" s="39" t="n"/>
      <c r="AJ147" s="39" t="n"/>
      <c r="AK147" s="39" t="n"/>
      <c r="AL147" s="39" t="n"/>
      <c r="AM147" s="39" t="n"/>
      <c r="AN147" s="39" t="n"/>
      <c r="AO147" s="39" t="n"/>
      <c r="AP147" s="39" t="n"/>
      <c r="AQ147" s="39" t="n"/>
      <c r="AR147" s="39" t="n"/>
      <c r="AS147" s="39" t="n"/>
      <c r="AT147" s="39" t="n"/>
      <c r="AU147" s="39" t="n"/>
      <c r="AV147" s="39" t="n"/>
      <c r="AW147" s="39" t="n"/>
      <c r="AX147" s="39" t="n"/>
      <c r="AY147" s="39" t="n"/>
      <c r="AZ147" s="39" t="n"/>
    </row>
    <row r="148" ht="15" customHeight="1">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39" t="n"/>
      <c r="AA148" s="39" t="n"/>
      <c r="AB148" s="39" t="n"/>
      <c r="AC148" s="39" t="n"/>
      <c r="AD148" s="39" t="n"/>
      <c r="AE148" s="39" t="n"/>
      <c r="AF148" s="39" t="n"/>
      <c r="AG148" s="39" t="n"/>
      <c r="AH148" s="39" t="n"/>
      <c r="AI148" s="39" t="n"/>
      <c r="AJ148" s="39" t="n"/>
      <c r="AK148" s="39" t="n"/>
      <c r="AL148" s="39" t="n"/>
      <c r="AM148" s="39" t="n"/>
      <c r="AN148" s="39" t="n"/>
      <c r="AO148" s="39" t="n"/>
      <c r="AP148" s="39" t="n"/>
      <c r="AQ148" s="39" t="n"/>
      <c r="AR148" s="39" t="n"/>
      <c r="AS148" s="39" t="n"/>
      <c r="AT148" s="39" t="n"/>
      <c r="AU148" s="39" t="n"/>
      <c r="AV148" s="39" t="n"/>
      <c r="AW148" s="39" t="n"/>
      <c r="AX148" s="39" t="n"/>
      <c r="AY148" s="39" t="n"/>
      <c r="AZ148" s="39" t="n"/>
    </row>
    <row r="149" ht="15" customHeight="1">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c r="AR149" s="39" t="n"/>
      <c r="AS149" s="39" t="n"/>
      <c r="AT149" s="39" t="n"/>
      <c r="AU149" s="39" t="n"/>
      <c r="AV149" s="39" t="n"/>
      <c r="AW149" s="39" t="n"/>
      <c r="AX149" s="39" t="n"/>
      <c r="AY149" s="39" t="n"/>
      <c r="AZ149" s="39" t="n"/>
    </row>
    <row r="150" ht="15" customHeight="1">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c r="AR150" s="39" t="n"/>
      <c r="AS150" s="39" t="n"/>
      <c r="AT150" s="39" t="n"/>
      <c r="AU150" s="39" t="n"/>
      <c r="AV150" s="39" t="n"/>
      <c r="AW150" s="39" t="n"/>
      <c r="AX150" s="39" t="n"/>
      <c r="AY150" s="39" t="n"/>
      <c r="AZ150" s="39" t="n"/>
    </row>
    <row r="151" ht="15" customHeight="1">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c r="AM151" s="39" t="n"/>
      <c r="AN151" s="39" t="n"/>
      <c r="AO151" s="39" t="n"/>
      <c r="AP151" s="39" t="n"/>
      <c r="AQ151" s="39" t="n"/>
      <c r="AR151" s="39" t="n"/>
      <c r="AS151" s="39" t="n"/>
      <c r="AT151" s="39" t="n"/>
      <c r="AU151" s="39" t="n"/>
      <c r="AV151" s="39" t="n"/>
      <c r="AW151" s="39" t="n"/>
      <c r="AX151" s="39" t="n"/>
      <c r="AY151" s="39" t="n"/>
      <c r="AZ151" s="39" t="n"/>
    </row>
    <row r="152" ht="15" customHeight="1"/>
    <row r="153" ht="15" customHeight="1">
      <c r="B153" s="41" t="inlineStr">
        <is>
          <t>RENK LEJANDI</t>
        </is>
      </c>
    </row>
    <row r="154" ht="15" customHeight="1">
      <c r="B154" s="42" t="n"/>
      <c r="C154" s="42" t="n"/>
      <c r="E154" s="43" t="inlineStr">
        <is>
          <t>Planlanan</t>
        </is>
      </c>
    </row>
    <row r="155" ht="15" customHeight="1">
      <c r="B155" s="44" t="n"/>
      <c r="C155" s="44" t="n"/>
      <c r="E155" s="43" t="inlineStr">
        <is>
          <t>Devam Ediyor</t>
        </is>
      </c>
    </row>
    <row r="156" ht="15" customHeight="1">
      <c r="B156" s="45" t="n"/>
      <c r="C156" s="45" t="n"/>
      <c r="E156" s="43" t="inlineStr">
        <is>
          <t>Tamamlandı</t>
        </is>
      </c>
    </row>
    <row r="157" ht="15" customHeight="1">
      <c r="B157" s="46" t="n"/>
      <c r="C157" s="46" t="n"/>
      <c r="E157" s="43" t="inlineStr">
        <is>
          <t>Gecikmiş</t>
        </is>
      </c>
    </row>
    <row r="158" ht="15" customHeight="1"/>
    <row r="159" ht="15" customHeight="1"/>
    <row r="160" ht="15" customHeight="1"/>
    <row r="161" ht="15" customHeight="1"/>
    <row r="162" ht="15" customHeight="1"/>
    <row r="163" ht="15" customHeight="1"/>
    <row r="164" ht="15" customHeight="1"/>
  </sheetData>
  <mergeCells count="39">
    <mergeCell ref="AP11:AV11"/>
    <mergeCell ref="AP9:AV10"/>
    <mergeCell ref="B131:AZ131"/>
    <mergeCell ref="E154:T154"/>
    <mergeCell ref="J9:P10"/>
    <mergeCell ref="S15:AZ15"/>
    <mergeCell ref="B105:AZ105"/>
    <mergeCell ref="B58:AZ58"/>
    <mergeCell ref="B15:Q15"/>
    <mergeCell ref="A5:AZ5"/>
    <mergeCell ref="J8:P8"/>
    <mergeCell ref="R8:X8"/>
    <mergeCell ref="AH9:AN10"/>
    <mergeCell ref="B57:AZ57"/>
    <mergeCell ref="B132:AZ132"/>
    <mergeCell ref="B16:Q16"/>
    <mergeCell ref="R11:X11"/>
    <mergeCell ref="A1:AZ4"/>
    <mergeCell ref="Z11:AF11"/>
    <mergeCell ref="S16:AZ16"/>
    <mergeCell ref="B9:H10"/>
    <mergeCell ref="AH8:AN8"/>
    <mergeCell ref="AP8:AV8"/>
    <mergeCell ref="B11:H11"/>
    <mergeCell ref="E156:T156"/>
    <mergeCell ref="B80:AZ80"/>
    <mergeCell ref="B8:H8"/>
    <mergeCell ref="E155:T155"/>
    <mergeCell ref="B36:AZ36"/>
    <mergeCell ref="R9:X10"/>
    <mergeCell ref="Z9:AF10"/>
    <mergeCell ref="B79:AZ79"/>
    <mergeCell ref="B35:AZ35"/>
    <mergeCell ref="B106:AZ106"/>
    <mergeCell ref="J11:P11"/>
    <mergeCell ref="Z8:AF8"/>
    <mergeCell ref="B153:AZ153"/>
    <mergeCell ref="E157:T157"/>
    <mergeCell ref="AH11:AN11"/>
  </mergeCells>
  <pageMargins left="0.75" right="0.75" top="1" bottom="1" header="0.5" footer="0.5"/>
  <pageSetup orientation="landscape"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H51"/>
  <sheetViews>
    <sheetView showGridLines="0" workbookViewId="0">
      <selection activeCell="A1" sqref="A1"/>
    </sheetView>
  </sheetViews>
  <sheetFormatPr baseColWidth="8" defaultRowHeight="15"/>
  <cols>
    <col width="3" customWidth="1" min="1" max="1"/>
    <col width="40" customWidth="1" min="2" max="2"/>
    <col width="2.5" customWidth="1" min="3" max="3"/>
    <col width="22" customWidth="1" min="4" max="4"/>
    <col width="2.5" customWidth="1" min="5" max="5"/>
    <col width="14" customWidth="1" min="6" max="6"/>
    <col width="2.5" customWidth="1" min="7" max="7"/>
    <col width="18" customWidth="1" min="8" max="8"/>
    <col width="2.5" customWidth="1" min="9" max="9"/>
  </cols>
  <sheetData>
    <row r="1" ht="22" customHeight="1">
      <c r="B1" s="47" t="inlineStr">
        <is>
          <t>AÇILIR LİSTE KAYNAKLARI</t>
        </is>
      </c>
      <c r="C1" s="2" t="n"/>
      <c r="D1" s="2" t="n"/>
      <c r="E1" s="2" t="n"/>
      <c r="F1" s="2" t="n"/>
      <c r="G1" s="2" t="n"/>
      <c r="H1" s="2" t="n"/>
    </row>
    <row r="2">
      <c r="B2" s="2" t="n"/>
      <c r="C2" s="2" t="n"/>
      <c r="D2" s="2" t="n"/>
      <c r="E2" s="2" t="n"/>
      <c r="F2" s="2" t="n"/>
      <c r="G2" s="2" t="n"/>
      <c r="H2" s="2" t="n"/>
    </row>
    <row r="3">
      <c r="B3" s="48" t="inlineStr">
        <is>
          <t>Denetim Başlıkları</t>
        </is>
      </c>
      <c r="D3" s="48" t="inlineStr">
        <is>
          <t>Kişiler</t>
        </is>
      </c>
      <c r="F3" s="48" t="inlineStr">
        <is>
          <t>Öncelik</t>
        </is>
      </c>
      <c r="H3" s="48" t="inlineStr">
        <is>
          <t>Durum (referans)</t>
        </is>
      </c>
    </row>
    <row r="4">
      <c r="B4" s="49" t="inlineStr">
        <is>
          <t>Yönetim Beyanı</t>
        </is>
      </c>
      <c r="D4" s="49" t="inlineStr">
        <is>
          <t>Örnek Soyad1</t>
        </is>
      </c>
      <c r="F4" s="49" t="inlineStr">
        <is>
          <t>Yüksek</t>
        </is>
      </c>
      <c r="H4" s="49" t="inlineStr">
        <is>
          <t>Planlanan</t>
        </is>
      </c>
    </row>
    <row r="5">
      <c r="B5" s="49" t="inlineStr">
        <is>
          <t>BIGR</t>
        </is>
      </c>
      <c r="D5" s="49" t="inlineStr">
        <is>
          <t>Örnek Soyad2</t>
        </is>
      </c>
      <c r="F5" s="49" t="inlineStr">
        <is>
          <t>Orta</t>
        </is>
      </c>
      <c r="H5" s="49" t="inlineStr">
        <is>
          <t>Devam Ediyor</t>
        </is>
      </c>
    </row>
    <row r="6">
      <c r="B6" s="49" t="inlineStr">
        <is>
          <t>Buluts</t>
        </is>
      </c>
      <c r="D6" s="49" t="inlineStr">
        <is>
          <t>Örnek Soyad3</t>
        </is>
      </c>
      <c r="F6" s="49" t="inlineStr">
        <is>
          <t>Düşük</t>
        </is>
      </c>
      <c r="H6" s="49" t="inlineStr">
        <is>
          <t>Tamamlandı</t>
        </is>
      </c>
    </row>
    <row r="7">
      <c r="B7" s="49" t="inlineStr">
        <is>
          <t>Firma Teknoloji Dış Hizmet Denetimi</t>
        </is>
      </c>
      <c r="D7" s="49" t="inlineStr">
        <is>
          <t>Örnek Soyad4</t>
        </is>
      </c>
      <c r="F7" s="49" t="n"/>
      <c r="H7" s="49" t="inlineStr">
        <is>
          <t>Gecikmiş</t>
        </is>
      </c>
    </row>
    <row r="8">
      <c r="B8" s="49" t="inlineStr">
        <is>
          <t>WS Entegrasyon Denetimi</t>
        </is>
      </c>
      <c r="D8" s="49" t="inlineStr">
        <is>
          <t>Örnek Soyad5</t>
        </is>
      </c>
      <c r="F8" s="49" t="n"/>
    </row>
    <row r="9">
      <c r="B9" s="49" t="inlineStr">
        <is>
          <t>Süreç Denetimleri</t>
        </is>
      </c>
      <c r="D9" s="49" t="inlineStr">
        <is>
          <t>Örnek Soyad6</t>
        </is>
      </c>
      <c r="F9" s="49" t="n"/>
    </row>
    <row r="10">
      <c r="B10" s="49" t="inlineStr">
        <is>
          <t>Destek Hizmeti Denetimler</t>
        </is>
      </c>
      <c r="D10" s="49" t="inlineStr">
        <is>
          <t>Örnek Soyad7</t>
        </is>
      </c>
      <c r="F10" s="49" t="n"/>
    </row>
    <row r="11">
      <c r="B11" s="49" t="inlineStr">
        <is>
          <t>Rehberlik Faaliyeti</t>
        </is>
      </c>
      <c r="D11" s="49" t="inlineStr">
        <is>
          <t>Örnek Soyad8</t>
        </is>
      </c>
      <c r="F11" s="49" t="n"/>
    </row>
    <row r="12">
      <c r="B12" s="49" t="inlineStr">
        <is>
          <t>MPP-631</t>
        </is>
      </c>
      <c r="D12" s="49" t="inlineStr">
        <is>
          <t>Örnek Soyad9</t>
        </is>
      </c>
      <c r="F12" s="49" t="n"/>
    </row>
    <row r="13">
      <c r="B13" s="49" t="inlineStr">
        <is>
          <t>MPP-102</t>
        </is>
      </c>
      <c r="D13" s="49" t="inlineStr">
        <is>
          <t>Örnek Soyad10</t>
        </is>
      </c>
      <c r="F13" s="49" t="n"/>
    </row>
    <row r="14">
      <c r="B14" s="49" t="inlineStr">
        <is>
          <t>MPP-463</t>
        </is>
      </c>
      <c r="D14" s="49" t="inlineStr">
        <is>
          <t>Örnek Soyad11</t>
        </is>
      </c>
    </row>
    <row r="15">
      <c r="B15" s="49" t="inlineStr">
        <is>
          <t>MPP-370</t>
        </is>
      </c>
      <c r="D15" s="49" t="inlineStr">
        <is>
          <t>Örnek Soyad12</t>
        </is>
      </c>
    </row>
    <row r="16">
      <c r="B16" s="49" t="inlineStr">
        <is>
          <t>Ad-Hoc İşler</t>
        </is>
      </c>
      <c r="D16" s="49" t="inlineStr">
        <is>
          <t>Örnek Soyad13</t>
        </is>
      </c>
    </row>
    <row r="17">
      <c r="B17" s="49" t="inlineStr">
        <is>
          <t>Rutin Faaliyetler</t>
        </is>
      </c>
      <c r="D17" s="49" t="n"/>
    </row>
    <row r="18">
      <c r="B18" s="49" t="inlineStr">
        <is>
          <t>AVM Faz 2 Denetimi</t>
        </is>
      </c>
      <c r="D18" s="49" t="n"/>
    </row>
    <row r="19">
      <c r="B19" s="49" t="inlineStr">
        <is>
          <t>Gündem</t>
        </is>
      </c>
      <c r="D19" s="49" t="n"/>
    </row>
    <row r="20">
      <c r="B20" s="49" t="inlineStr">
        <is>
          <t>Kararlar</t>
        </is>
      </c>
      <c r="D20" s="49" t="n"/>
    </row>
    <row r="21">
      <c r="B21" s="49" t="n"/>
      <c r="D21" s="49" t="n"/>
    </row>
    <row r="22">
      <c r="B22" s="49" t="n"/>
      <c r="D22" s="49" t="n"/>
    </row>
    <row r="23">
      <c r="B23" s="49" t="n"/>
      <c r="D23" s="49" t="n"/>
    </row>
    <row r="24">
      <c r="B24" s="49" t="n"/>
      <c r="D24" s="49" t="n"/>
    </row>
    <row r="25">
      <c r="B25" s="49" t="n"/>
      <c r="D25" s="49" t="n"/>
    </row>
    <row r="26">
      <c r="B26" s="49" t="n"/>
      <c r="D26" s="49" t="n"/>
    </row>
    <row r="27">
      <c r="B27" s="49" t="n"/>
      <c r="D27" s="49" t="n"/>
    </row>
    <row r="28">
      <c r="B28" s="49" t="n"/>
      <c r="D28" s="49" t="n"/>
    </row>
    <row r="29">
      <c r="B29" s="49" t="n"/>
      <c r="D29" s="49" t="n"/>
    </row>
    <row r="30">
      <c r="B30" s="49" t="n"/>
      <c r="D30" s="49" t="n"/>
    </row>
    <row r="31">
      <c r="B31" s="49" t="n"/>
      <c r="D31" s="49" t="n"/>
    </row>
    <row r="32">
      <c r="B32" s="49" t="n"/>
      <c r="D32" s="49" t="n"/>
    </row>
    <row r="33">
      <c r="B33" s="49" t="n"/>
      <c r="D33" s="49" t="n"/>
    </row>
    <row r="34">
      <c r="B34" s="49" t="n"/>
      <c r="D34" s="49" t="n"/>
    </row>
    <row r="35">
      <c r="B35" s="49" t="n"/>
      <c r="D35" s="49" t="n"/>
    </row>
    <row r="36">
      <c r="B36" s="49" t="n"/>
      <c r="D36" s="49" t="n"/>
    </row>
    <row r="37">
      <c r="B37" s="49" t="n"/>
      <c r="D37" s="49" t="n"/>
    </row>
    <row r="38">
      <c r="B38" s="49" t="n"/>
      <c r="D38" s="49" t="n"/>
    </row>
    <row r="39">
      <c r="B39" s="49" t="n"/>
      <c r="D39" s="49" t="n"/>
    </row>
    <row r="40">
      <c r="B40" s="49" t="n"/>
      <c r="D40" s="49" t="n"/>
    </row>
    <row r="41">
      <c r="B41" s="49" t="n"/>
      <c r="D41" s="49" t="n"/>
    </row>
    <row r="42">
      <c r="B42" s="49" t="n"/>
      <c r="D42" s="49" t="n"/>
    </row>
    <row r="43">
      <c r="B43" s="49" t="n"/>
      <c r="D43" s="49" t="n"/>
    </row>
    <row r="46" ht="15" customHeight="1">
      <c r="B46" s="50" t="inlineStr">
        <is>
          <t>Denetim Başlıkları, Kişiler ve Öncelik sütunları 'İş Planı' sayfasındaki açılır listeleri besler. Yeni bir değer eklemek için ilgili sütundaki ilk boş hücreye yazmanız yeterlidir - liste ve Yönetici Özeti'ndeki denetim başlığı grafikleri anında güncellenir.
Durum (referans) sütunu açılır liste DEĞİLDİR: durum, İş Planı'nda İlerleme % ve tarihlerden otomatik hesaplanır. Bu dört ad Gantt renk kurallarına ve Yönetici Özeti formüllerine gömülüdür; buradan değiştirilemez.</t>
        </is>
      </c>
    </row>
    <row r="47" ht="15" customHeight="1"/>
    <row r="48" ht="15" customHeight="1"/>
    <row r="49" ht="15" customHeight="1"/>
    <row r="50" ht="15" customHeight="1"/>
    <row r="51" ht="15" customHeight="1"/>
  </sheetData>
  <mergeCells count="2">
    <mergeCell ref="B1:H2"/>
    <mergeCell ref="B46:H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cols>
    <col width="16" customWidth="1" min="5" max="5"/>
    <col width="8" customWidth="1" min="6" max="6"/>
    <col width="8" customWidth="1" min="8" max="8"/>
    <col width="13" customWidth="1" min="9" max="9"/>
    <col width="10" customWidth="1" min="10" max="10"/>
    <col width="6" customWidth="1" min="12" max="12"/>
    <col width="30" customWidth="1" min="13" max="13"/>
    <col width="14" customWidth="1" min="14" max="14"/>
    <col width="20" customWidth="1" min="18" max="18"/>
    <col width="24" customWidth="1" min="20" max="20"/>
    <col width="10" customWidth="1" min="21" max="21"/>
    <col width="34" customWidth="1" min="23" max="23"/>
    <col width="13" customWidth="1" min="24" max="24"/>
    <col width="13" customWidth="1" min="25" max="25"/>
    <col width="14" customWidth="1" min="26" max="26"/>
    <col width="10" customWidth="1" min="28" max="28"/>
    <col width="17" customWidth="1" min="29" max="29"/>
    <col width="18" customWidth="1" min="30" max="30"/>
    <col width="8" customWidth="1" min="32" max="32"/>
    <col width="13" customWidth="1" min="33" max="33"/>
    <col width="17" customWidth="1" min="34" max="34"/>
    <col width="18" customWidth="1" min="35" max="35"/>
    <col width="24" customWidth="1" min="37" max="37"/>
    <col width="12" customWidth="1" min="38" max="38"/>
    <col width="12" customWidth="1" min="39" max="39"/>
    <col width="8" customWidth="1" min="54" max="54"/>
    <col width="8" customWidth="1" min="56" max="56"/>
  </cols>
  <sheetData>
    <row r="1">
      <c r="A1" s="51" t="inlineStr">
        <is>
          <t>Bu sayfa Yönetici Özeti grafiklerinin veri kaynağıdır. Elle değiştirmeyin; tüm hücreler İş Planı'ndan hesaplanır. İsterseniz sayfa sekmesine sağ tıklayıp gizleyebilirsiniz.</t>
        </is>
      </c>
      <c r="E1" s="52" t="inlineStr">
        <is>
          <t>Durum</t>
        </is>
      </c>
      <c r="F1" s="52" t="inlineStr">
        <is>
          <t>Adet</t>
        </is>
      </c>
      <c r="H1" s="52" t="inlineStr">
        <is>
          <t>Ay</t>
        </is>
      </c>
      <c r="I1" s="52" t="inlineStr">
        <is>
          <t>Ay Başı</t>
        </is>
      </c>
      <c r="J1" s="52" t="inlineStr">
        <is>
          <t>Aktif İş</t>
        </is>
      </c>
      <c r="L1" s="52" t="inlineStr">
        <is>
          <t>Sıra</t>
        </is>
      </c>
      <c r="M1" s="52" t="inlineStr">
        <is>
          <t>İş Kalemi</t>
        </is>
      </c>
      <c r="N1" s="52" t="inlineStr">
        <is>
          <t>Gecikme (Gün)</t>
        </is>
      </c>
      <c r="T1" s="52" t="inlineStr">
        <is>
          <t>KPI</t>
        </is>
      </c>
      <c r="W1" s="52" t="inlineStr">
        <is>
          <t>Denetim Başlığı</t>
        </is>
      </c>
      <c r="X1" s="52" t="inlineStr">
        <is>
          <t>Tamamlanan</t>
        </is>
      </c>
      <c r="Y1" s="52" t="inlineStr">
        <is>
          <t>Devam Eden</t>
        </is>
      </c>
      <c r="Z1" s="52" t="inlineStr">
        <is>
          <t>Gecikmiş</t>
        </is>
      </c>
      <c r="AB1" s="52" t="inlineStr">
        <is>
          <t>Hafta</t>
        </is>
      </c>
      <c r="AC1" s="52" t="inlineStr">
        <is>
          <t>Planlanan (Küm.)</t>
        </is>
      </c>
      <c r="AD1" s="52" t="inlineStr">
        <is>
          <t>Gerçekleşen (Küm.)</t>
        </is>
      </c>
      <c r="AF1" s="52" t="inlineStr">
        <is>
          <t>Ay</t>
        </is>
      </c>
      <c r="AG1" s="52" t="inlineStr">
        <is>
          <t>Ay Sonu</t>
        </is>
      </c>
      <c r="AH1" s="52" t="inlineStr">
        <is>
          <t>Planlanan (Küm.)</t>
        </is>
      </c>
      <c r="AI1" s="52" t="inlineStr">
        <is>
          <t>Gerçekleşen (Küm.)</t>
        </is>
      </c>
      <c r="AK1" s="52" t="inlineStr">
        <is>
          <t>Kişi</t>
        </is>
      </c>
      <c r="AL1" s="52" t="inlineStr">
        <is>
          <t>Açık İş</t>
        </is>
      </c>
      <c r="AM1" s="52" t="inlineStr">
        <is>
          <t>Gecikmiş</t>
        </is>
      </c>
    </row>
    <row r="2">
      <c r="E2" t="inlineStr">
        <is>
          <t>Planlanan</t>
        </is>
      </c>
      <c r="F2">
        <f>COUNTIFS('İş Planı'!$N$5:$N$204,E2,'İş Planı'!$C$5:$C$204,"&lt;&gt;")</f>
        <v/>
      </c>
      <c r="H2" t="inlineStr">
        <is>
          <t>Oca</t>
        </is>
      </c>
      <c r="I2" s="53" t="n">
        <v>46023</v>
      </c>
      <c r="J2">
        <f>SUMPRODUCT(('İş Planı'!$C$5:$C$204&lt;&gt;"")*('İş Planı'!$H$5:$H$204&lt;&gt;"")*('İş Planı'!$I$5:$I$204&lt;&gt;"")*('İş Planı'!$H$5:$H$204&lt;=EOMONTH(I2,0))*('İş Planı'!$L$5:$L$204&gt;=I2))</f>
        <v/>
      </c>
      <c r="L2" t="n">
        <v>10</v>
      </c>
      <c r="M2">
        <f>IFERROR(IF(LARGE($R$5:$R$204,L2)&lt;0.5,"",INDEX('İş Planı'!$C$5:$C$204,MATCH(LARGE($R$5:$R$204,L2),$R$5:$R$204,0))),"")</f>
        <v/>
      </c>
      <c r="N2">
        <f>IFERROR(IF(LARGE($R$5:$R$204,L2)&lt;0.5,0,INT(LARGE($R$5:$R$204,L2))),0)</f>
        <v/>
      </c>
      <c r="T2" t="inlineStr">
        <is>
          <t>Toplam İş Kalemi</t>
        </is>
      </c>
      <c r="U2" s="54">
        <f>COUNTA('İş Planı'!$C$5:$C$204)</f>
        <v/>
      </c>
      <c r="W2">
        <f>IFERROR(INDEX(Listeler!$B$4:$B$43,SMALL($BB$4:$BB$43,22-ROW())),"")</f>
        <v/>
      </c>
      <c r="X2">
        <f>IF($W2="","",COUNTIFS('İş Planı'!$B$5:$B$204,$W2,'İş Planı'!$N$5:$N$204,"Tamamlandı"))</f>
        <v/>
      </c>
      <c r="Y2">
        <f>IF($W2="","",COUNTIFS('İş Planı'!$B$5:$B$204,$W2,'İş Planı'!$N$5:$N$204,"Devam Ediyor"))</f>
        <v/>
      </c>
      <c r="Z2">
        <f>IF($W2="","",COUNTIFS('İş Planı'!$B$5:$B$204,$W2,'İş Planı'!$N$5:$N$204,"Gecikmiş"))</f>
        <v/>
      </c>
      <c r="AB2" s="55" t="n">
        <v>46029</v>
      </c>
      <c r="AC2">
        <f>SUMPRODUCT(('İş Planı'!$C$5:$C$204&lt;&gt;"")*('İş Planı'!$L$5:$L$204&lt;&gt;"")*('İş Planı'!$L$5:$L$204&lt;=AB2))</f>
        <v/>
      </c>
      <c r="AD2">
        <f>SUMPRODUCT(('İş Planı'!$C$5:$C$204&lt;&gt;"")*('İş Planı'!$L$5:$L$204&lt;&gt;"")*('İş Planı'!$L$5:$L$204&lt;=AB2)*('İş Planı'!$N$5:$N$204="Tamamlandı"))</f>
        <v/>
      </c>
      <c r="AF2" t="inlineStr">
        <is>
          <t>Oca</t>
        </is>
      </c>
      <c r="AG2" s="53" t="n">
        <v>46053</v>
      </c>
      <c r="AH2">
        <f>SUMPRODUCT(('İş Planı'!$C$5:$C$204&lt;&gt;"")*('İş Planı'!$L$5:$L$204&lt;&gt;"")*('İş Planı'!$L$5:$L$204&lt;=AG2))</f>
        <v/>
      </c>
      <c r="AI2">
        <f>SUMPRODUCT(('İş Planı'!$C$5:$C$204&lt;&gt;"")*('İş Planı'!$L$5:$L$204&lt;&gt;"")*('İş Planı'!$L$5:$L$204&lt;=AG2)*('İş Planı'!$N$5:$N$204="Tamamlandı"))</f>
        <v/>
      </c>
      <c r="AK2">
        <f>IFERROR(INDEX(Listeler!$D$4:$D$43,SMALL($BD$4:$BD$43,22-ROW())),"")</f>
        <v/>
      </c>
      <c r="AL2">
        <f>IF($AK2="","",COUNTIFS('İş Planı'!$D$5:$D$204,$AK2,'İş Planı'!$N$5:$N$204,"Planlanan")+COUNTIFS('İş Planı'!$E$5:$E$204,$AK2,'İş Planı'!$N$5:$N$204,"Planlanan")+COUNTIFS('İş Planı'!$F$5:$F$204,$AK2,'İş Planı'!$N$5:$N$204,"Planlanan")+COUNTIFS('İş Planı'!$D$5:$D$204,$AK2,'İş Planı'!$N$5:$N$204,"Devam Ediyor")+COUNTIFS('İş Planı'!$E$5:$E$204,$AK2,'İş Planı'!$N$5:$N$204,"Devam Ediyor")+COUNTIFS('İş Planı'!$F$5:$F$204,$AK2,'İş Planı'!$N$5:$N$204,"Devam Ediyor"))</f>
        <v/>
      </c>
      <c r="AM2">
        <f>IF($AK2="","",COUNTIFS('İş Planı'!$D$5:$D$204,$AK2,'İş Planı'!$N$5:$N$204,"Gecikmiş")+COUNTIFS('İş Planı'!$E$5:$E$204,$AK2,'İş Planı'!$N$5:$N$204,"Gecikmiş")+COUNTIFS('İş Planı'!$F$5:$F$204,$AK2,'İş Planı'!$N$5:$N$204,"Gecikmiş"))</f>
        <v/>
      </c>
    </row>
    <row r="3">
      <c r="E3" t="inlineStr">
        <is>
          <t>Devam Ediyor</t>
        </is>
      </c>
      <c r="F3">
        <f>COUNTIFS('İş Planı'!$N$5:$N$204,E3,'İş Planı'!$C$5:$C$204,"&lt;&gt;")</f>
        <v/>
      </c>
      <c r="H3" t="inlineStr">
        <is>
          <t>Şub</t>
        </is>
      </c>
      <c r="I3" s="53" t="n">
        <v>46054</v>
      </c>
      <c r="J3">
        <f>SUMPRODUCT(('İş Planı'!$C$5:$C$204&lt;&gt;"")*('İş Planı'!$H$5:$H$204&lt;&gt;"")*('İş Planı'!$I$5:$I$204&lt;&gt;"")*('İş Planı'!$H$5:$H$204&lt;=EOMONTH(I3,0))*('İş Planı'!$L$5:$L$204&gt;=I3))</f>
        <v/>
      </c>
      <c r="L3" t="n">
        <v>9</v>
      </c>
      <c r="M3">
        <f>IFERROR(IF(LARGE($R$5:$R$204,L3)&lt;0.5,"",INDEX('İş Planı'!$C$5:$C$204,MATCH(LARGE($R$5:$R$204,L3),$R$5:$R$204,0))),"")</f>
        <v/>
      </c>
      <c r="N3">
        <f>IFERROR(IF(LARGE($R$5:$R$204,L3)&lt;0.5,0,INT(LARGE($R$5:$R$204,L3))),0)</f>
        <v/>
      </c>
      <c r="T3" t="inlineStr">
        <is>
          <t>Tamamlandı</t>
        </is>
      </c>
      <c r="U3" s="54">
        <f>F4</f>
        <v/>
      </c>
      <c r="W3">
        <f>IFERROR(INDEX(Listeler!$B$4:$B$43,SMALL($BB$4:$BB$43,22-ROW())),"")</f>
        <v/>
      </c>
      <c r="X3">
        <f>IF($W3="","",COUNTIFS('İş Planı'!$B$5:$B$204,$W3,'İş Planı'!$N$5:$N$204,"Tamamlandı"))</f>
        <v/>
      </c>
      <c r="Y3">
        <f>IF($W3="","",COUNTIFS('İş Planı'!$B$5:$B$204,$W3,'İş Planı'!$N$5:$N$204,"Devam Ediyor"))</f>
        <v/>
      </c>
      <c r="Z3">
        <f>IF($W3="","",COUNTIFS('İş Planı'!$B$5:$B$204,$W3,'İş Planı'!$N$5:$N$204,"Gecikmiş"))</f>
        <v/>
      </c>
      <c r="AB3" s="55" t="n">
        <v>46036</v>
      </c>
      <c r="AC3">
        <f>SUMPRODUCT(('İş Planı'!$C$5:$C$204&lt;&gt;"")*('İş Planı'!$L$5:$L$204&lt;&gt;"")*('İş Planı'!$L$5:$L$204&lt;=AB3))</f>
        <v/>
      </c>
      <c r="AD3">
        <f>SUMPRODUCT(('İş Planı'!$C$5:$C$204&lt;&gt;"")*('İş Planı'!$L$5:$L$204&lt;&gt;"")*('İş Planı'!$L$5:$L$204&lt;=AB3)*('İş Planı'!$N$5:$N$204="Tamamlandı"))</f>
        <v/>
      </c>
      <c r="AF3" t="inlineStr">
        <is>
          <t>Şub</t>
        </is>
      </c>
      <c r="AG3" s="53" t="n">
        <v>46081</v>
      </c>
      <c r="AH3">
        <f>SUMPRODUCT(('İş Planı'!$C$5:$C$204&lt;&gt;"")*('İş Planı'!$L$5:$L$204&lt;&gt;"")*('İş Planı'!$L$5:$L$204&lt;=AG3))</f>
        <v/>
      </c>
      <c r="AI3">
        <f>SUMPRODUCT(('İş Planı'!$C$5:$C$204&lt;&gt;"")*('İş Planı'!$L$5:$L$204&lt;&gt;"")*('İş Planı'!$L$5:$L$204&lt;=AG3)*('İş Planı'!$N$5:$N$204="Tamamlandı"))</f>
        <v/>
      </c>
      <c r="AK3">
        <f>IFERROR(INDEX(Listeler!$D$4:$D$43,SMALL($BD$4:$BD$43,22-ROW())),"")</f>
        <v/>
      </c>
      <c r="AL3">
        <f>IF($AK3="","",COUNTIFS('İş Planı'!$D$5:$D$204,$AK3,'İş Planı'!$N$5:$N$204,"Planlanan")+COUNTIFS('İş Planı'!$E$5:$E$204,$AK3,'İş Planı'!$N$5:$N$204,"Planlanan")+COUNTIFS('İş Planı'!$F$5:$F$204,$AK3,'İş Planı'!$N$5:$N$204,"Planlanan")+COUNTIFS('İş Planı'!$D$5:$D$204,$AK3,'İş Planı'!$N$5:$N$204,"Devam Ediyor")+COUNTIFS('İş Planı'!$E$5:$E$204,$AK3,'İş Planı'!$N$5:$N$204,"Devam Ediyor")+COUNTIFS('İş Planı'!$F$5:$F$204,$AK3,'İş Planı'!$N$5:$N$204,"Devam Ediyor"))</f>
        <v/>
      </c>
      <c r="AM3">
        <f>IF($AK3="","",COUNTIFS('İş Planı'!$D$5:$D$204,$AK3,'İş Planı'!$N$5:$N$204,"Gecikmiş")+COUNTIFS('İş Planı'!$E$5:$E$204,$AK3,'İş Planı'!$N$5:$N$204,"Gecikmiş")+COUNTIFS('İş Planı'!$F$5:$F$204,$AK3,'İş Planı'!$N$5:$N$204,"Gecikmiş"))</f>
        <v/>
      </c>
      <c r="BA3" t="inlineStr">
        <is>
          <t>Kullanılan başlık indeksi (Listeler B4:B43)</t>
        </is>
      </c>
      <c r="BC3" t="inlineStr">
        <is>
          <t>Yükü olan kişi indeksi (Listeler D4:D43)</t>
        </is>
      </c>
    </row>
    <row r="4">
      <c r="E4" t="inlineStr">
        <is>
          <t>Tamamlandı</t>
        </is>
      </c>
      <c r="F4">
        <f>COUNTIFS('İş Planı'!$N$5:$N$204,E4,'İş Planı'!$C$5:$C$204,"&lt;&gt;")</f>
        <v/>
      </c>
      <c r="H4" t="inlineStr">
        <is>
          <t>Mar</t>
        </is>
      </c>
      <c r="I4" s="53" t="n">
        <v>46082</v>
      </c>
      <c r="J4">
        <f>SUMPRODUCT(('İş Planı'!$C$5:$C$204&lt;&gt;"")*('İş Planı'!$H$5:$H$204&lt;&gt;"")*('İş Planı'!$I$5:$I$204&lt;&gt;"")*('İş Planı'!$H$5:$H$204&lt;=EOMONTH(I4,0))*('İş Planı'!$L$5:$L$204&gt;=I4))</f>
        <v/>
      </c>
      <c r="L4" t="n">
        <v>8</v>
      </c>
      <c r="M4">
        <f>IFERROR(IF(LARGE($R$5:$R$204,L4)&lt;0.5,"",INDEX('İş Planı'!$C$5:$C$204,MATCH(LARGE($R$5:$R$204,L4),$R$5:$R$204,0))),"")</f>
        <v/>
      </c>
      <c r="N4">
        <f>IFERROR(IF(LARGE($R$5:$R$204,L4)&lt;0.5,0,INT(LARGE($R$5:$R$204,L4))),0)</f>
        <v/>
      </c>
      <c r="R4" s="52" t="inlineStr">
        <is>
          <t>Fiili gecikme (gün) + sıralama kırıcı</t>
        </is>
      </c>
      <c r="T4" t="inlineStr">
        <is>
          <t>Devam Ediyor</t>
        </is>
      </c>
      <c r="U4" s="54">
        <f>F3</f>
        <v/>
      </c>
      <c r="W4">
        <f>IFERROR(INDEX(Listeler!$B$4:$B$43,SMALL($BB$4:$BB$43,22-ROW())),"")</f>
        <v/>
      </c>
      <c r="X4">
        <f>IF($W4="","",COUNTIFS('İş Planı'!$B$5:$B$204,$W4,'İş Planı'!$N$5:$N$204,"Tamamlandı"))</f>
        <v/>
      </c>
      <c r="Y4">
        <f>IF($W4="","",COUNTIFS('İş Planı'!$B$5:$B$204,$W4,'İş Planı'!$N$5:$N$204,"Devam Ediyor"))</f>
        <v/>
      </c>
      <c r="Z4">
        <f>IF($W4="","",COUNTIFS('İş Planı'!$B$5:$B$204,$W4,'İş Planı'!$N$5:$N$204,"Gecikmiş"))</f>
        <v/>
      </c>
      <c r="AB4" s="55" t="n">
        <v>46043</v>
      </c>
      <c r="AC4">
        <f>SUMPRODUCT(('İş Planı'!$C$5:$C$204&lt;&gt;"")*('İş Planı'!$L$5:$L$204&lt;&gt;"")*('İş Planı'!$L$5:$L$204&lt;=AB4))</f>
        <v/>
      </c>
      <c r="AD4">
        <f>SUMPRODUCT(('İş Planı'!$C$5:$C$204&lt;&gt;"")*('İş Planı'!$L$5:$L$204&lt;&gt;"")*('İş Planı'!$L$5:$L$204&lt;=AB4)*('İş Planı'!$N$5:$N$204="Tamamlandı"))</f>
        <v/>
      </c>
      <c r="AF4" t="inlineStr">
        <is>
          <t>Mar</t>
        </is>
      </c>
      <c r="AG4" s="53" t="n">
        <v>46112</v>
      </c>
      <c r="AH4">
        <f>SUMPRODUCT(('İş Planı'!$C$5:$C$204&lt;&gt;"")*('İş Planı'!$L$5:$L$204&lt;&gt;"")*('İş Planı'!$L$5:$L$204&lt;=AG4))</f>
        <v/>
      </c>
      <c r="AI4">
        <f>SUMPRODUCT(('İş Planı'!$C$5:$C$204&lt;&gt;"")*('İş Planı'!$L$5:$L$204&lt;&gt;"")*('İş Planı'!$L$5:$L$204&lt;=AG4)*('İş Planı'!$N$5:$N$204="Tamamlandı"))</f>
        <v/>
      </c>
      <c r="AK4">
        <f>IFERROR(INDEX(Listeler!$D$4:$D$43,SMALL($BD$4:$BD$43,22-ROW())),"")</f>
        <v/>
      </c>
      <c r="AL4">
        <f>IF($AK4="","",COUNTIFS('İş Planı'!$D$5:$D$204,$AK4,'İş Planı'!$N$5:$N$204,"Planlanan")+COUNTIFS('İş Planı'!$E$5:$E$204,$AK4,'İş Planı'!$N$5:$N$204,"Planlanan")+COUNTIFS('İş Planı'!$F$5:$F$204,$AK4,'İş Planı'!$N$5:$N$204,"Planlanan")+COUNTIFS('İş Planı'!$D$5:$D$204,$AK4,'İş Planı'!$N$5:$N$204,"Devam Ediyor")+COUNTIFS('İş Planı'!$E$5:$E$204,$AK4,'İş Planı'!$N$5:$N$204,"Devam Ediyor")+COUNTIFS('İş Planı'!$F$5:$F$204,$AK4,'İş Planı'!$N$5:$N$204,"Devam Ediyor"))</f>
        <v/>
      </c>
      <c r="AM4">
        <f>IF($AK4="","",COUNTIFS('İş Planı'!$D$5:$D$204,$AK4,'İş Planı'!$N$5:$N$204,"Gecikmiş")+COUNTIFS('İş Planı'!$E$5:$E$204,$AK4,'İş Planı'!$N$5:$N$204,"Gecikmiş")+COUNTIFS('İş Planı'!$F$5:$F$204,$AK4,'İş Planı'!$N$5:$N$204,"Gecikmiş"))</f>
        <v/>
      </c>
      <c r="BB4">
        <f>IF(Listeler!$B4="","",IF(COUNTIF('İş Planı'!$B$5:$B$204,Listeler!$B4)=0,"",ROW()-3))</f>
        <v/>
      </c>
      <c r="BD4">
        <f>IF(Listeler!$D4="","",IF(COUNTIF('İş Planı'!$D$5:$D$204,Listeler!$D4)+COUNTIF('İş Planı'!$E$5:$E$204,Listeler!$D4)+COUNTIF('İş Planı'!$F$5:$F$204,Listeler!$D4)=0,"",ROW()-3))</f>
        <v/>
      </c>
    </row>
    <row r="5">
      <c r="E5" t="inlineStr">
        <is>
          <t>Gecikmiş</t>
        </is>
      </c>
      <c r="F5">
        <f>COUNTIFS('İş Planı'!$N$5:$N$204,E5,'İş Planı'!$C$5:$C$204,"&lt;&gt;")</f>
        <v/>
      </c>
      <c r="H5" t="inlineStr">
        <is>
          <t>Nis</t>
        </is>
      </c>
      <c r="I5" s="53" t="n">
        <v>46113</v>
      </c>
      <c r="J5">
        <f>SUMPRODUCT(('İş Planı'!$C$5:$C$204&lt;&gt;"")*('İş Planı'!$H$5:$H$204&lt;&gt;"")*('İş Planı'!$I$5:$I$204&lt;&gt;"")*('İş Planı'!$H$5:$H$204&lt;=EOMONTH(I5,0))*('İş Planı'!$L$5:$L$204&gt;=I5))</f>
        <v/>
      </c>
      <c r="L5" t="n">
        <v>7</v>
      </c>
      <c r="M5">
        <f>IFERROR(IF(LARGE($R$5:$R$204,L5)&lt;0.5,"",INDEX('İş Planı'!$C$5:$C$204,MATCH(LARGE($R$5:$R$204,L5),$R$5:$R$204,0))),"")</f>
        <v/>
      </c>
      <c r="N5">
        <f>IFERROR(IF(LARGE($R$5:$R$204,L5)&lt;0.5,0,INT(LARGE($R$5:$R$204,L5))),0)</f>
        <v/>
      </c>
      <c r="R5">
        <f>IF('İş Planı'!$C5="","",IF('İş Planı'!$N5="Tamamlandı",N('İş Planı'!$K5),MAX(N('İş Planı'!$K5),IF(AND('İş Planı'!$I5&lt;&gt;"",'İş Planı'!$I5&lt;TODAY()),TODAY()-'İş Planı'!$I5,0)))+ROW()/1000000)</f>
        <v/>
      </c>
      <c r="T5" t="inlineStr">
        <is>
          <t>Gecikmiş</t>
        </is>
      </c>
      <c r="U5" s="54">
        <f>F5</f>
        <v/>
      </c>
      <c r="W5">
        <f>IFERROR(INDEX(Listeler!$B$4:$B$43,SMALL($BB$4:$BB$43,22-ROW())),"")</f>
        <v/>
      </c>
      <c r="X5">
        <f>IF($W5="","",COUNTIFS('İş Planı'!$B$5:$B$204,$W5,'İş Planı'!$N$5:$N$204,"Tamamlandı"))</f>
        <v/>
      </c>
      <c r="Y5">
        <f>IF($W5="","",COUNTIFS('İş Planı'!$B$5:$B$204,$W5,'İş Planı'!$N$5:$N$204,"Devam Ediyor"))</f>
        <v/>
      </c>
      <c r="Z5">
        <f>IF($W5="","",COUNTIFS('İş Planı'!$B$5:$B$204,$W5,'İş Planı'!$N$5:$N$204,"Gecikmiş"))</f>
        <v/>
      </c>
      <c r="AB5" s="55" t="n">
        <v>46050</v>
      </c>
      <c r="AC5">
        <f>SUMPRODUCT(('İş Planı'!$C$5:$C$204&lt;&gt;"")*('İş Planı'!$L$5:$L$204&lt;&gt;"")*('İş Planı'!$L$5:$L$204&lt;=AB5))</f>
        <v/>
      </c>
      <c r="AD5">
        <f>SUMPRODUCT(('İş Planı'!$C$5:$C$204&lt;&gt;"")*('İş Planı'!$L$5:$L$204&lt;&gt;"")*('İş Planı'!$L$5:$L$204&lt;=AB5)*('İş Planı'!$N$5:$N$204="Tamamlandı"))</f>
        <v/>
      </c>
      <c r="AF5" t="inlineStr">
        <is>
          <t>Nis</t>
        </is>
      </c>
      <c r="AG5" s="53" t="n">
        <v>46142</v>
      </c>
      <c r="AH5">
        <f>SUMPRODUCT(('İş Planı'!$C$5:$C$204&lt;&gt;"")*('İş Planı'!$L$5:$L$204&lt;&gt;"")*('İş Planı'!$L$5:$L$204&lt;=AG5))</f>
        <v/>
      </c>
      <c r="AI5">
        <f>SUMPRODUCT(('İş Planı'!$C$5:$C$204&lt;&gt;"")*('İş Planı'!$L$5:$L$204&lt;&gt;"")*('İş Planı'!$L$5:$L$204&lt;=AG5)*('İş Planı'!$N$5:$N$204="Tamamlandı"))</f>
        <v/>
      </c>
      <c r="AK5">
        <f>IFERROR(INDEX(Listeler!$D$4:$D$43,SMALL($BD$4:$BD$43,22-ROW())),"")</f>
        <v/>
      </c>
      <c r="AL5">
        <f>IF($AK5="","",COUNTIFS('İş Planı'!$D$5:$D$204,$AK5,'İş Planı'!$N$5:$N$204,"Planlanan")+COUNTIFS('İş Planı'!$E$5:$E$204,$AK5,'İş Planı'!$N$5:$N$204,"Planlanan")+COUNTIFS('İş Planı'!$F$5:$F$204,$AK5,'İş Planı'!$N$5:$N$204,"Planlanan")+COUNTIFS('İş Planı'!$D$5:$D$204,$AK5,'İş Planı'!$N$5:$N$204,"Devam Ediyor")+COUNTIFS('İş Planı'!$E$5:$E$204,$AK5,'İş Planı'!$N$5:$N$204,"Devam Ediyor")+COUNTIFS('İş Planı'!$F$5:$F$204,$AK5,'İş Planı'!$N$5:$N$204,"Devam Ediyor"))</f>
        <v/>
      </c>
      <c r="AM5">
        <f>IF($AK5="","",COUNTIFS('İş Planı'!$D$5:$D$204,$AK5,'İş Planı'!$N$5:$N$204,"Gecikmiş")+COUNTIFS('İş Planı'!$E$5:$E$204,$AK5,'İş Planı'!$N$5:$N$204,"Gecikmiş")+COUNTIFS('İş Planı'!$F$5:$F$204,$AK5,'İş Planı'!$N$5:$N$204,"Gecikmiş"))</f>
        <v/>
      </c>
      <c r="BB5">
        <f>IF(Listeler!$B5="","",IF(COUNTIF('İş Planı'!$B$5:$B$204,Listeler!$B5)=0,"",ROW()-3))</f>
        <v/>
      </c>
      <c r="BD5">
        <f>IF(Listeler!$D5="","",IF(COUNTIF('İş Planı'!$D$5:$D$204,Listeler!$D5)+COUNTIF('İş Planı'!$E$5:$E$204,Listeler!$D5)+COUNTIF('İş Planı'!$F$5:$F$204,Listeler!$D5)=0,"",ROW()-3))</f>
        <v/>
      </c>
    </row>
    <row r="6">
      <c r="H6" t="inlineStr">
        <is>
          <t>May</t>
        </is>
      </c>
      <c r="I6" s="53" t="n">
        <v>46143</v>
      </c>
      <c r="J6">
        <f>SUMPRODUCT(('İş Planı'!$C$5:$C$204&lt;&gt;"")*('İş Planı'!$H$5:$H$204&lt;&gt;"")*('İş Planı'!$I$5:$I$204&lt;&gt;"")*('İş Planı'!$H$5:$H$204&lt;=EOMONTH(I6,0))*('İş Planı'!$L$5:$L$204&gt;=I6))</f>
        <v/>
      </c>
      <c r="L6" t="n">
        <v>6</v>
      </c>
      <c r="M6">
        <f>IFERROR(IF(LARGE($R$5:$R$204,L6)&lt;0.5,"",INDEX('İş Planı'!$C$5:$C$204,MATCH(LARGE($R$5:$R$204,L6),$R$5:$R$204,0))),"")</f>
        <v/>
      </c>
      <c r="N6">
        <f>IFERROR(IF(LARGE($R$5:$R$204,L6)&lt;0.5,0,INT(LARGE($R$5:$R$204,L6))),0)</f>
        <v/>
      </c>
      <c r="R6">
        <f>IF('İş Planı'!$C6="","",IF('İş Planı'!$N6="Tamamlandı",N('İş Planı'!$K6),MAX(N('İş Planı'!$K6),IF(AND('İş Planı'!$I6&lt;&gt;"",'İş Planı'!$I6&lt;TODAY()),TODAY()-'İş Planı'!$I6,0)))+ROW()/1000000)</f>
        <v/>
      </c>
      <c r="T6" t="inlineStr">
        <is>
          <t>Planlanan</t>
        </is>
      </c>
      <c r="U6" s="54">
        <f>F2</f>
        <v/>
      </c>
      <c r="W6">
        <f>IFERROR(INDEX(Listeler!$B$4:$B$43,SMALL($BB$4:$BB$43,22-ROW())),"")</f>
        <v/>
      </c>
      <c r="X6">
        <f>IF($W6="","",COUNTIFS('İş Planı'!$B$5:$B$204,$W6,'İş Planı'!$N$5:$N$204,"Tamamlandı"))</f>
        <v/>
      </c>
      <c r="Y6">
        <f>IF($W6="","",COUNTIFS('İş Planı'!$B$5:$B$204,$W6,'İş Planı'!$N$5:$N$204,"Devam Ediyor"))</f>
        <v/>
      </c>
      <c r="Z6">
        <f>IF($W6="","",COUNTIFS('İş Planı'!$B$5:$B$204,$W6,'İş Planı'!$N$5:$N$204,"Gecikmiş"))</f>
        <v/>
      </c>
      <c r="AB6" s="55" t="n">
        <v>46057</v>
      </c>
      <c r="AC6">
        <f>SUMPRODUCT(('İş Planı'!$C$5:$C$204&lt;&gt;"")*('İş Planı'!$L$5:$L$204&lt;&gt;"")*('İş Planı'!$L$5:$L$204&lt;=AB6))</f>
        <v/>
      </c>
      <c r="AD6">
        <f>SUMPRODUCT(('İş Planı'!$C$5:$C$204&lt;&gt;"")*('İş Planı'!$L$5:$L$204&lt;&gt;"")*('İş Planı'!$L$5:$L$204&lt;=AB6)*('İş Planı'!$N$5:$N$204="Tamamlandı"))</f>
        <v/>
      </c>
      <c r="AF6" t="inlineStr">
        <is>
          <t>May</t>
        </is>
      </c>
      <c r="AG6" s="53" t="n">
        <v>46173</v>
      </c>
      <c r="AH6">
        <f>SUMPRODUCT(('İş Planı'!$C$5:$C$204&lt;&gt;"")*('İş Planı'!$L$5:$L$204&lt;&gt;"")*('İş Planı'!$L$5:$L$204&lt;=AG6))</f>
        <v/>
      </c>
      <c r="AI6">
        <f>SUMPRODUCT(('İş Planı'!$C$5:$C$204&lt;&gt;"")*('İş Planı'!$L$5:$L$204&lt;&gt;"")*('İş Planı'!$L$5:$L$204&lt;=AG6)*('İş Planı'!$N$5:$N$204="Tamamlandı"))</f>
        <v/>
      </c>
      <c r="AK6">
        <f>IFERROR(INDEX(Listeler!$D$4:$D$43,SMALL($BD$4:$BD$43,22-ROW())),"")</f>
        <v/>
      </c>
      <c r="AL6">
        <f>IF($AK6="","",COUNTIFS('İş Planı'!$D$5:$D$204,$AK6,'İş Planı'!$N$5:$N$204,"Planlanan")+COUNTIFS('İş Planı'!$E$5:$E$204,$AK6,'İş Planı'!$N$5:$N$204,"Planlanan")+COUNTIFS('İş Planı'!$F$5:$F$204,$AK6,'İş Planı'!$N$5:$N$204,"Planlanan")+COUNTIFS('İş Planı'!$D$5:$D$204,$AK6,'İş Planı'!$N$5:$N$204,"Devam Ediyor")+COUNTIFS('İş Planı'!$E$5:$E$204,$AK6,'İş Planı'!$N$5:$N$204,"Devam Ediyor")+COUNTIFS('İş Planı'!$F$5:$F$204,$AK6,'İş Planı'!$N$5:$N$204,"Devam Ediyor"))</f>
        <v/>
      </c>
      <c r="AM6">
        <f>IF($AK6="","",COUNTIFS('İş Planı'!$D$5:$D$204,$AK6,'İş Planı'!$N$5:$N$204,"Gecikmiş")+COUNTIFS('İş Planı'!$E$5:$E$204,$AK6,'İş Planı'!$N$5:$N$204,"Gecikmiş")+COUNTIFS('İş Planı'!$F$5:$F$204,$AK6,'İş Planı'!$N$5:$N$204,"Gecikmiş"))</f>
        <v/>
      </c>
      <c r="BB6">
        <f>IF(Listeler!$B6="","",IF(COUNTIF('İş Planı'!$B$5:$B$204,Listeler!$B6)=0,"",ROW()-3))</f>
        <v/>
      </c>
      <c r="BD6">
        <f>IF(Listeler!$D6="","",IF(COUNTIF('İş Planı'!$D$5:$D$204,Listeler!$D6)+COUNTIF('İş Planı'!$E$5:$E$204,Listeler!$D6)+COUNTIF('İş Planı'!$F$5:$F$204,Listeler!$D6)=0,"",ROW()-3))</f>
        <v/>
      </c>
    </row>
    <row r="7">
      <c r="H7" t="inlineStr">
        <is>
          <t>Haz</t>
        </is>
      </c>
      <c r="I7" s="53" t="n">
        <v>46174</v>
      </c>
      <c r="J7">
        <f>SUMPRODUCT(('İş Planı'!$C$5:$C$204&lt;&gt;"")*('İş Planı'!$H$5:$H$204&lt;&gt;"")*('İş Planı'!$I$5:$I$204&lt;&gt;"")*('İş Planı'!$H$5:$H$204&lt;=EOMONTH(I7,0))*('İş Planı'!$L$5:$L$204&gt;=I7))</f>
        <v/>
      </c>
      <c r="L7" t="n">
        <v>5</v>
      </c>
      <c r="M7">
        <f>IFERROR(IF(LARGE($R$5:$R$204,L7)&lt;0.5,"",INDEX('İş Planı'!$C$5:$C$204,MATCH(LARGE($R$5:$R$204,L7),$R$5:$R$204,0))),"")</f>
        <v/>
      </c>
      <c r="N7">
        <f>IFERROR(IF(LARGE($R$5:$R$204,L7)&lt;0.5,0,INT(LARGE($R$5:$R$204,L7))),0)</f>
        <v/>
      </c>
      <c r="R7">
        <f>IF('İş Planı'!$C7="","",IF('İş Planı'!$N7="Tamamlandı",N('İş Planı'!$K7),MAX(N('İş Planı'!$K7),IF(AND('İş Planı'!$I7&lt;&gt;"",'İş Planı'!$I7&lt;TODAY()),TODAY()-'İş Planı'!$I7,0)))+ROW()/1000000)</f>
        <v/>
      </c>
      <c r="T7" t="inlineStr">
        <is>
          <t>Genel İlerleme</t>
        </is>
      </c>
      <c r="U7" s="56">
        <f>IFERROR(SUMPRODUCT(('İş Planı'!$C$5:$C$204&lt;&gt;"")*('İş Planı'!$M$5:$M$204))/COUNTA('İş Planı'!$C$5:$C$204),0)</f>
        <v/>
      </c>
      <c r="W7">
        <f>IFERROR(INDEX(Listeler!$B$4:$B$43,SMALL($BB$4:$BB$43,22-ROW())),"")</f>
        <v/>
      </c>
      <c r="X7">
        <f>IF($W7="","",COUNTIFS('İş Planı'!$B$5:$B$204,$W7,'İş Planı'!$N$5:$N$204,"Tamamlandı"))</f>
        <v/>
      </c>
      <c r="Y7">
        <f>IF($W7="","",COUNTIFS('İş Planı'!$B$5:$B$204,$W7,'İş Planı'!$N$5:$N$204,"Devam Ediyor"))</f>
        <v/>
      </c>
      <c r="Z7">
        <f>IF($W7="","",COUNTIFS('İş Planı'!$B$5:$B$204,$W7,'İş Planı'!$N$5:$N$204,"Gecikmiş"))</f>
        <v/>
      </c>
      <c r="AB7" s="55" t="n">
        <v>46064</v>
      </c>
      <c r="AC7">
        <f>SUMPRODUCT(('İş Planı'!$C$5:$C$204&lt;&gt;"")*('İş Planı'!$L$5:$L$204&lt;&gt;"")*('İş Planı'!$L$5:$L$204&lt;=AB7))</f>
        <v/>
      </c>
      <c r="AD7">
        <f>SUMPRODUCT(('İş Planı'!$C$5:$C$204&lt;&gt;"")*('İş Planı'!$L$5:$L$204&lt;&gt;"")*('İş Planı'!$L$5:$L$204&lt;=AB7)*('İş Planı'!$N$5:$N$204="Tamamlandı"))</f>
        <v/>
      </c>
      <c r="AF7" t="inlineStr">
        <is>
          <t>Haz</t>
        </is>
      </c>
      <c r="AG7" s="53" t="n">
        <v>46203</v>
      </c>
      <c r="AH7">
        <f>SUMPRODUCT(('İş Planı'!$C$5:$C$204&lt;&gt;"")*('İş Planı'!$L$5:$L$204&lt;&gt;"")*('İş Planı'!$L$5:$L$204&lt;=AG7))</f>
        <v/>
      </c>
      <c r="AI7">
        <f>SUMPRODUCT(('İş Planı'!$C$5:$C$204&lt;&gt;"")*('İş Planı'!$L$5:$L$204&lt;&gt;"")*('İş Planı'!$L$5:$L$204&lt;=AG7)*('İş Planı'!$N$5:$N$204="Tamamlandı"))</f>
        <v/>
      </c>
      <c r="AK7">
        <f>IFERROR(INDEX(Listeler!$D$4:$D$43,SMALL($BD$4:$BD$43,22-ROW())),"")</f>
        <v/>
      </c>
      <c r="AL7">
        <f>IF($AK7="","",COUNTIFS('İş Planı'!$D$5:$D$204,$AK7,'İş Planı'!$N$5:$N$204,"Planlanan")+COUNTIFS('İş Planı'!$E$5:$E$204,$AK7,'İş Planı'!$N$5:$N$204,"Planlanan")+COUNTIFS('İş Planı'!$F$5:$F$204,$AK7,'İş Planı'!$N$5:$N$204,"Planlanan")+COUNTIFS('İş Planı'!$D$5:$D$204,$AK7,'İş Planı'!$N$5:$N$204,"Devam Ediyor")+COUNTIFS('İş Planı'!$E$5:$E$204,$AK7,'İş Planı'!$N$5:$N$204,"Devam Ediyor")+COUNTIFS('İş Planı'!$F$5:$F$204,$AK7,'İş Planı'!$N$5:$N$204,"Devam Ediyor"))</f>
        <v/>
      </c>
      <c r="AM7">
        <f>IF($AK7="","",COUNTIFS('İş Planı'!$D$5:$D$204,$AK7,'İş Planı'!$N$5:$N$204,"Gecikmiş")+COUNTIFS('İş Planı'!$E$5:$E$204,$AK7,'İş Planı'!$N$5:$N$204,"Gecikmiş")+COUNTIFS('İş Planı'!$F$5:$F$204,$AK7,'İş Planı'!$N$5:$N$204,"Gecikmiş"))</f>
        <v/>
      </c>
      <c r="BB7">
        <f>IF(Listeler!$B7="","",IF(COUNTIF('İş Planı'!$B$5:$B$204,Listeler!$B7)=0,"",ROW()-3))</f>
        <v/>
      </c>
      <c r="BD7">
        <f>IF(Listeler!$D7="","",IF(COUNTIF('İş Planı'!$D$5:$D$204,Listeler!$D7)+COUNTIF('İş Planı'!$E$5:$E$204,Listeler!$D7)+COUNTIF('İş Planı'!$F$5:$F$204,Listeler!$D7)=0,"",ROW()-3))</f>
        <v/>
      </c>
    </row>
    <row r="8">
      <c r="H8" t="inlineStr">
        <is>
          <t>Tem</t>
        </is>
      </c>
      <c r="I8" s="53" t="n">
        <v>46204</v>
      </c>
      <c r="J8">
        <f>SUMPRODUCT(('İş Planı'!$C$5:$C$204&lt;&gt;"")*('İş Planı'!$H$5:$H$204&lt;&gt;"")*('İş Planı'!$I$5:$I$204&lt;&gt;"")*('İş Planı'!$H$5:$H$204&lt;=EOMONTH(I8,0))*('İş Planı'!$L$5:$L$204&gt;=I8))</f>
        <v/>
      </c>
      <c r="L8" t="n">
        <v>4</v>
      </c>
      <c r="M8">
        <f>IFERROR(IF(LARGE($R$5:$R$204,L8)&lt;0.5,"",INDEX('İş Planı'!$C$5:$C$204,MATCH(LARGE($R$5:$R$204,L8),$R$5:$R$204,0))),"")</f>
        <v/>
      </c>
      <c r="N8">
        <f>IFERROR(IF(LARGE($R$5:$R$204,L8)&lt;0.5,0,INT(LARGE($R$5:$R$204,L8))),0)</f>
        <v/>
      </c>
      <c r="R8">
        <f>IF('İş Planı'!$C8="","",IF('İş Planı'!$N8="Tamamlandı",N('İş Planı'!$K8),MAX(N('İş Planı'!$K8),IF(AND('İş Planı'!$I8&lt;&gt;"",'İş Planı'!$I8&lt;TODAY()),TODAY()-'İş Planı'!$I8,0)))+ROW()/1000000)</f>
        <v/>
      </c>
      <c r="T8" t="inlineStr">
        <is>
          <t>Toplam Gecikme (Gün)</t>
        </is>
      </c>
      <c r="U8" s="54">
        <f>SUM('İş Planı'!$K$5:$K$204)</f>
        <v/>
      </c>
      <c r="W8">
        <f>IFERROR(INDEX(Listeler!$B$4:$B$43,SMALL($BB$4:$BB$43,22-ROW())),"")</f>
        <v/>
      </c>
      <c r="X8">
        <f>IF($W8="","",COUNTIFS('İş Planı'!$B$5:$B$204,$W8,'İş Planı'!$N$5:$N$204,"Tamamlandı"))</f>
        <v/>
      </c>
      <c r="Y8">
        <f>IF($W8="","",COUNTIFS('İş Planı'!$B$5:$B$204,$W8,'İş Planı'!$N$5:$N$204,"Devam Ediyor"))</f>
        <v/>
      </c>
      <c r="Z8">
        <f>IF($W8="","",COUNTIFS('İş Planı'!$B$5:$B$204,$W8,'İş Planı'!$N$5:$N$204,"Gecikmiş"))</f>
        <v/>
      </c>
      <c r="AB8" s="55" t="n">
        <v>46071</v>
      </c>
      <c r="AC8">
        <f>SUMPRODUCT(('İş Planı'!$C$5:$C$204&lt;&gt;"")*('İş Planı'!$L$5:$L$204&lt;&gt;"")*('İş Planı'!$L$5:$L$204&lt;=AB8))</f>
        <v/>
      </c>
      <c r="AD8">
        <f>SUMPRODUCT(('İş Planı'!$C$5:$C$204&lt;&gt;"")*('İş Planı'!$L$5:$L$204&lt;&gt;"")*('İş Planı'!$L$5:$L$204&lt;=AB8)*('İş Planı'!$N$5:$N$204="Tamamlandı"))</f>
        <v/>
      </c>
      <c r="AF8" t="inlineStr">
        <is>
          <t>Tem</t>
        </is>
      </c>
      <c r="AG8" s="53" t="n">
        <v>46234</v>
      </c>
      <c r="AH8">
        <f>SUMPRODUCT(('İş Planı'!$C$5:$C$204&lt;&gt;"")*('İş Planı'!$L$5:$L$204&lt;&gt;"")*('İş Planı'!$L$5:$L$204&lt;=AG8))</f>
        <v/>
      </c>
      <c r="AI8">
        <f>SUMPRODUCT(('İş Planı'!$C$5:$C$204&lt;&gt;"")*('İş Planı'!$L$5:$L$204&lt;&gt;"")*('İş Planı'!$L$5:$L$204&lt;=AG8)*('İş Planı'!$N$5:$N$204="Tamamlandı"))</f>
        <v/>
      </c>
      <c r="AK8">
        <f>IFERROR(INDEX(Listeler!$D$4:$D$43,SMALL($BD$4:$BD$43,22-ROW())),"")</f>
        <v/>
      </c>
      <c r="AL8">
        <f>IF($AK8="","",COUNTIFS('İş Planı'!$D$5:$D$204,$AK8,'İş Planı'!$N$5:$N$204,"Planlanan")+COUNTIFS('İş Planı'!$E$5:$E$204,$AK8,'İş Planı'!$N$5:$N$204,"Planlanan")+COUNTIFS('İş Planı'!$F$5:$F$204,$AK8,'İş Planı'!$N$5:$N$204,"Planlanan")+COUNTIFS('İş Planı'!$D$5:$D$204,$AK8,'İş Planı'!$N$5:$N$204,"Devam Ediyor")+COUNTIFS('İş Planı'!$E$5:$E$204,$AK8,'İş Planı'!$N$5:$N$204,"Devam Ediyor")+COUNTIFS('İş Planı'!$F$5:$F$204,$AK8,'İş Planı'!$N$5:$N$204,"Devam Ediyor"))</f>
        <v/>
      </c>
      <c r="AM8">
        <f>IF($AK8="","",COUNTIFS('İş Planı'!$D$5:$D$204,$AK8,'İş Planı'!$N$5:$N$204,"Gecikmiş")+COUNTIFS('İş Planı'!$E$5:$E$204,$AK8,'İş Planı'!$N$5:$N$204,"Gecikmiş")+COUNTIFS('İş Planı'!$F$5:$F$204,$AK8,'İş Planı'!$N$5:$N$204,"Gecikmiş"))</f>
        <v/>
      </c>
      <c r="BB8">
        <f>IF(Listeler!$B8="","",IF(COUNTIF('İş Planı'!$B$5:$B$204,Listeler!$B8)=0,"",ROW()-3))</f>
        <v/>
      </c>
      <c r="BD8">
        <f>IF(Listeler!$D8="","",IF(COUNTIF('İş Planı'!$D$5:$D$204,Listeler!$D8)+COUNTIF('İş Planı'!$E$5:$E$204,Listeler!$D8)+COUNTIF('İş Planı'!$F$5:$F$204,Listeler!$D8)=0,"",ROW()-3))</f>
        <v/>
      </c>
    </row>
    <row r="9">
      <c r="H9" t="inlineStr">
        <is>
          <t>Ağu</t>
        </is>
      </c>
      <c r="I9" s="53" t="n">
        <v>46235</v>
      </c>
      <c r="J9">
        <f>SUMPRODUCT(('İş Planı'!$C$5:$C$204&lt;&gt;"")*('İş Planı'!$H$5:$H$204&lt;&gt;"")*('İş Planı'!$I$5:$I$204&lt;&gt;"")*('İş Planı'!$H$5:$H$204&lt;=EOMONTH(I9,0))*('İş Planı'!$L$5:$L$204&gt;=I9))</f>
        <v/>
      </c>
      <c r="L9" t="n">
        <v>3</v>
      </c>
      <c r="M9">
        <f>IFERROR(IF(LARGE($R$5:$R$204,L9)&lt;0.5,"",INDEX('İş Planı'!$C$5:$C$204,MATCH(LARGE($R$5:$R$204,L9),$R$5:$R$204,0))),"")</f>
        <v/>
      </c>
      <c r="N9">
        <f>IFERROR(IF(LARGE($R$5:$R$204,L9)&lt;0.5,0,INT(LARGE($R$5:$R$204,L9))),0)</f>
        <v/>
      </c>
      <c r="R9">
        <f>IF('İş Planı'!$C9="","",IF('İş Planı'!$N9="Tamamlandı",N('İş Planı'!$K9),MAX(N('İş Planı'!$K9),IF(AND('İş Planı'!$I9&lt;&gt;"",'İş Planı'!$I9&lt;TODAY()),TODAY()-'İş Planı'!$I9,0)))+ROW()/1000000)</f>
        <v/>
      </c>
      <c r="W9">
        <f>IFERROR(INDEX(Listeler!$B$4:$B$43,SMALL($BB$4:$BB$43,22-ROW())),"")</f>
        <v/>
      </c>
      <c r="X9">
        <f>IF($W9="","",COUNTIFS('İş Planı'!$B$5:$B$204,$W9,'İş Planı'!$N$5:$N$204,"Tamamlandı"))</f>
        <v/>
      </c>
      <c r="Y9">
        <f>IF($W9="","",COUNTIFS('İş Planı'!$B$5:$B$204,$W9,'İş Planı'!$N$5:$N$204,"Devam Ediyor"))</f>
        <v/>
      </c>
      <c r="Z9">
        <f>IF($W9="","",COUNTIFS('İş Planı'!$B$5:$B$204,$W9,'İş Planı'!$N$5:$N$204,"Gecikmiş"))</f>
        <v/>
      </c>
      <c r="AB9" s="55" t="n">
        <v>46078</v>
      </c>
      <c r="AC9">
        <f>SUMPRODUCT(('İş Planı'!$C$5:$C$204&lt;&gt;"")*('İş Planı'!$L$5:$L$204&lt;&gt;"")*('İş Planı'!$L$5:$L$204&lt;=AB9))</f>
        <v/>
      </c>
      <c r="AD9">
        <f>SUMPRODUCT(('İş Planı'!$C$5:$C$204&lt;&gt;"")*('İş Planı'!$L$5:$L$204&lt;&gt;"")*('İş Planı'!$L$5:$L$204&lt;=AB9)*('İş Planı'!$N$5:$N$204="Tamamlandı"))</f>
        <v/>
      </c>
      <c r="AF9" t="inlineStr">
        <is>
          <t>Ağu</t>
        </is>
      </c>
      <c r="AG9" s="53" t="n">
        <v>46265</v>
      </c>
      <c r="AH9">
        <f>SUMPRODUCT(('İş Planı'!$C$5:$C$204&lt;&gt;"")*('İş Planı'!$L$5:$L$204&lt;&gt;"")*('İş Planı'!$L$5:$L$204&lt;=AG9))</f>
        <v/>
      </c>
      <c r="AI9">
        <f>SUMPRODUCT(('İş Planı'!$C$5:$C$204&lt;&gt;"")*('İş Planı'!$L$5:$L$204&lt;&gt;"")*('İş Planı'!$L$5:$L$204&lt;=AG9)*('İş Planı'!$N$5:$N$204="Tamamlandı"))</f>
        <v/>
      </c>
      <c r="AK9">
        <f>IFERROR(INDEX(Listeler!$D$4:$D$43,SMALL($BD$4:$BD$43,22-ROW())),"")</f>
        <v/>
      </c>
      <c r="AL9">
        <f>IF($AK9="","",COUNTIFS('İş Planı'!$D$5:$D$204,$AK9,'İş Planı'!$N$5:$N$204,"Planlanan")+COUNTIFS('İş Planı'!$E$5:$E$204,$AK9,'İş Planı'!$N$5:$N$204,"Planlanan")+COUNTIFS('İş Planı'!$F$5:$F$204,$AK9,'İş Planı'!$N$5:$N$204,"Planlanan")+COUNTIFS('İş Planı'!$D$5:$D$204,$AK9,'İş Planı'!$N$5:$N$204,"Devam Ediyor")+COUNTIFS('İş Planı'!$E$5:$E$204,$AK9,'İş Planı'!$N$5:$N$204,"Devam Ediyor")+COUNTIFS('İş Planı'!$F$5:$F$204,$AK9,'İş Planı'!$N$5:$N$204,"Devam Ediyor"))</f>
        <v/>
      </c>
      <c r="AM9">
        <f>IF($AK9="","",COUNTIFS('İş Planı'!$D$5:$D$204,$AK9,'İş Planı'!$N$5:$N$204,"Gecikmiş")+COUNTIFS('İş Planı'!$E$5:$E$204,$AK9,'İş Planı'!$N$5:$N$204,"Gecikmiş")+COUNTIFS('İş Planı'!$F$5:$F$204,$AK9,'İş Planı'!$N$5:$N$204,"Gecikmiş"))</f>
        <v/>
      </c>
      <c r="BB9">
        <f>IF(Listeler!$B9="","",IF(COUNTIF('İş Planı'!$B$5:$B$204,Listeler!$B9)=0,"",ROW()-3))</f>
        <v/>
      </c>
      <c r="BD9">
        <f>IF(Listeler!$D9="","",IF(COUNTIF('İş Planı'!$D$5:$D$204,Listeler!$D9)+COUNTIF('İş Planı'!$E$5:$E$204,Listeler!$D9)+COUNTIF('İş Planı'!$F$5:$F$204,Listeler!$D9)=0,"",ROW()-3))</f>
        <v/>
      </c>
    </row>
    <row r="10">
      <c r="H10" t="inlineStr">
        <is>
          <t>Eyl</t>
        </is>
      </c>
      <c r="I10" s="53" t="n">
        <v>46266</v>
      </c>
      <c r="J10">
        <f>SUMPRODUCT(('İş Planı'!$C$5:$C$204&lt;&gt;"")*('İş Planı'!$H$5:$H$204&lt;&gt;"")*('İş Planı'!$I$5:$I$204&lt;&gt;"")*('İş Planı'!$H$5:$H$204&lt;=EOMONTH(I10,0))*('İş Planı'!$L$5:$L$204&gt;=I10))</f>
        <v/>
      </c>
      <c r="L10" t="n">
        <v>2</v>
      </c>
      <c r="M10">
        <f>IFERROR(IF(LARGE($R$5:$R$204,L10)&lt;0.5,"",INDEX('İş Planı'!$C$5:$C$204,MATCH(LARGE($R$5:$R$204,L10),$R$5:$R$204,0))),"")</f>
        <v/>
      </c>
      <c r="N10">
        <f>IFERROR(IF(LARGE($R$5:$R$204,L10)&lt;0.5,0,INT(LARGE($R$5:$R$204,L10))),0)</f>
        <v/>
      </c>
      <c r="R10">
        <f>IF('İş Planı'!$C10="","",IF('İş Planı'!$N10="Tamamlandı",N('İş Planı'!$K10),MAX(N('İş Planı'!$K10),IF(AND('İş Planı'!$I10&lt;&gt;"",'İş Planı'!$I10&lt;TODAY()),TODAY()-'İş Planı'!$I10,0)))+ROW()/1000000)</f>
        <v/>
      </c>
      <c r="W10">
        <f>IFERROR(INDEX(Listeler!$B$4:$B$43,SMALL($BB$4:$BB$43,22-ROW())),"")</f>
        <v/>
      </c>
      <c r="X10">
        <f>IF($W10="","",COUNTIFS('İş Planı'!$B$5:$B$204,$W10,'İş Planı'!$N$5:$N$204,"Tamamlandı"))</f>
        <v/>
      </c>
      <c r="Y10">
        <f>IF($W10="","",COUNTIFS('İş Planı'!$B$5:$B$204,$W10,'İş Planı'!$N$5:$N$204,"Devam Ediyor"))</f>
        <v/>
      </c>
      <c r="Z10">
        <f>IF($W10="","",COUNTIFS('İş Planı'!$B$5:$B$204,$W10,'İş Planı'!$N$5:$N$204,"Gecikmiş"))</f>
        <v/>
      </c>
      <c r="AB10" s="55" t="n">
        <v>46085</v>
      </c>
      <c r="AC10">
        <f>SUMPRODUCT(('İş Planı'!$C$5:$C$204&lt;&gt;"")*('İş Planı'!$L$5:$L$204&lt;&gt;"")*('İş Planı'!$L$5:$L$204&lt;=AB10))</f>
        <v/>
      </c>
      <c r="AD10">
        <f>SUMPRODUCT(('İş Planı'!$C$5:$C$204&lt;&gt;"")*('İş Planı'!$L$5:$L$204&lt;&gt;"")*('İş Planı'!$L$5:$L$204&lt;=AB10)*('İş Planı'!$N$5:$N$204="Tamamlandı"))</f>
        <v/>
      </c>
      <c r="AF10" t="inlineStr">
        <is>
          <t>Eyl</t>
        </is>
      </c>
      <c r="AG10" s="53" t="n">
        <v>46295</v>
      </c>
      <c r="AH10">
        <f>SUMPRODUCT(('İş Planı'!$C$5:$C$204&lt;&gt;"")*('İş Planı'!$L$5:$L$204&lt;&gt;"")*('İş Planı'!$L$5:$L$204&lt;=AG10))</f>
        <v/>
      </c>
      <c r="AI10">
        <f>SUMPRODUCT(('İş Planı'!$C$5:$C$204&lt;&gt;"")*('İş Planı'!$L$5:$L$204&lt;&gt;"")*('İş Planı'!$L$5:$L$204&lt;=AG10)*('İş Planı'!$N$5:$N$204="Tamamlandı"))</f>
        <v/>
      </c>
      <c r="AK10">
        <f>IFERROR(INDEX(Listeler!$D$4:$D$43,SMALL($BD$4:$BD$43,22-ROW())),"")</f>
        <v/>
      </c>
      <c r="AL10">
        <f>IF($AK10="","",COUNTIFS('İş Planı'!$D$5:$D$204,$AK10,'İş Planı'!$N$5:$N$204,"Planlanan")+COUNTIFS('İş Planı'!$E$5:$E$204,$AK10,'İş Planı'!$N$5:$N$204,"Planlanan")+COUNTIFS('İş Planı'!$F$5:$F$204,$AK10,'İş Planı'!$N$5:$N$204,"Planlanan")+COUNTIFS('İş Planı'!$D$5:$D$204,$AK10,'İş Planı'!$N$5:$N$204,"Devam Ediyor")+COUNTIFS('İş Planı'!$E$5:$E$204,$AK10,'İş Planı'!$N$5:$N$204,"Devam Ediyor")+COUNTIFS('İş Planı'!$F$5:$F$204,$AK10,'İş Planı'!$N$5:$N$204,"Devam Ediyor"))</f>
        <v/>
      </c>
      <c r="AM10">
        <f>IF($AK10="","",COUNTIFS('İş Planı'!$D$5:$D$204,$AK10,'İş Planı'!$N$5:$N$204,"Gecikmiş")+COUNTIFS('İş Planı'!$E$5:$E$204,$AK10,'İş Planı'!$N$5:$N$204,"Gecikmiş")+COUNTIFS('İş Planı'!$F$5:$F$204,$AK10,'İş Planı'!$N$5:$N$204,"Gecikmiş"))</f>
        <v/>
      </c>
      <c r="BB10">
        <f>IF(Listeler!$B10="","",IF(COUNTIF('İş Planı'!$B$5:$B$204,Listeler!$B10)=0,"",ROW()-3))</f>
        <v/>
      </c>
      <c r="BD10">
        <f>IF(Listeler!$D10="","",IF(COUNTIF('İş Planı'!$D$5:$D$204,Listeler!$D10)+COUNTIF('İş Planı'!$E$5:$E$204,Listeler!$D10)+COUNTIF('İş Planı'!$F$5:$F$204,Listeler!$D10)=0,"",ROW()-3))</f>
        <v/>
      </c>
    </row>
    <row r="11">
      <c r="H11" t="inlineStr">
        <is>
          <t>Eki</t>
        </is>
      </c>
      <c r="I11" s="53" t="n">
        <v>46296</v>
      </c>
      <c r="J11">
        <f>SUMPRODUCT(('İş Planı'!$C$5:$C$204&lt;&gt;"")*('İş Planı'!$H$5:$H$204&lt;&gt;"")*('İş Planı'!$I$5:$I$204&lt;&gt;"")*('İş Planı'!$H$5:$H$204&lt;=EOMONTH(I11,0))*('İş Planı'!$L$5:$L$204&gt;=I11))</f>
        <v/>
      </c>
      <c r="L11" t="n">
        <v>1</v>
      </c>
      <c r="M11">
        <f>IFERROR(IF(LARGE($R$5:$R$204,L11)&lt;0.5,"",INDEX('İş Planı'!$C$5:$C$204,MATCH(LARGE($R$5:$R$204,L11),$R$5:$R$204,0))),"")</f>
        <v/>
      </c>
      <c r="N11">
        <f>IFERROR(IF(LARGE($R$5:$R$204,L11)&lt;0.5,0,INT(LARGE($R$5:$R$204,L11))),0)</f>
        <v/>
      </c>
      <c r="R11">
        <f>IF('İş Planı'!$C11="","",IF('İş Planı'!$N11="Tamamlandı",N('İş Planı'!$K11),MAX(N('İş Planı'!$K11),IF(AND('İş Planı'!$I11&lt;&gt;"",'İş Planı'!$I11&lt;TODAY()),TODAY()-'İş Planı'!$I11,0)))+ROW()/1000000)</f>
        <v/>
      </c>
      <c r="W11">
        <f>IFERROR(INDEX(Listeler!$B$4:$B$43,SMALL($BB$4:$BB$43,22-ROW())),"")</f>
        <v/>
      </c>
      <c r="X11">
        <f>IF($W11="","",COUNTIFS('İş Planı'!$B$5:$B$204,$W11,'İş Planı'!$N$5:$N$204,"Tamamlandı"))</f>
        <v/>
      </c>
      <c r="Y11">
        <f>IF($W11="","",COUNTIFS('İş Planı'!$B$5:$B$204,$W11,'İş Planı'!$N$5:$N$204,"Devam Ediyor"))</f>
        <v/>
      </c>
      <c r="Z11">
        <f>IF($W11="","",COUNTIFS('İş Planı'!$B$5:$B$204,$W11,'İş Planı'!$N$5:$N$204,"Gecikmiş"))</f>
        <v/>
      </c>
      <c r="AB11" s="55" t="n">
        <v>46092</v>
      </c>
      <c r="AC11">
        <f>SUMPRODUCT(('İş Planı'!$C$5:$C$204&lt;&gt;"")*('İş Planı'!$L$5:$L$204&lt;&gt;"")*('İş Planı'!$L$5:$L$204&lt;=AB11))</f>
        <v/>
      </c>
      <c r="AD11">
        <f>SUMPRODUCT(('İş Planı'!$C$5:$C$204&lt;&gt;"")*('İş Planı'!$L$5:$L$204&lt;&gt;"")*('İş Planı'!$L$5:$L$204&lt;=AB11)*('İş Planı'!$N$5:$N$204="Tamamlandı"))</f>
        <v/>
      </c>
      <c r="AF11" t="inlineStr">
        <is>
          <t>Eki</t>
        </is>
      </c>
      <c r="AG11" s="53" t="n">
        <v>46326</v>
      </c>
      <c r="AH11">
        <f>SUMPRODUCT(('İş Planı'!$C$5:$C$204&lt;&gt;"")*('İş Planı'!$L$5:$L$204&lt;&gt;"")*('İş Planı'!$L$5:$L$204&lt;=AG11))</f>
        <v/>
      </c>
      <c r="AI11">
        <f>SUMPRODUCT(('İş Planı'!$C$5:$C$204&lt;&gt;"")*('İş Planı'!$L$5:$L$204&lt;&gt;"")*('İş Planı'!$L$5:$L$204&lt;=AG11)*('İş Planı'!$N$5:$N$204="Tamamlandı"))</f>
        <v/>
      </c>
      <c r="AK11">
        <f>IFERROR(INDEX(Listeler!$D$4:$D$43,SMALL($BD$4:$BD$43,22-ROW())),"")</f>
        <v/>
      </c>
      <c r="AL11">
        <f>IF($AK11="","",COUNTIFS('İş Planı'!$D$5:$D$204,$AK11,'İş Planı'!$N$5:$N$204,"Planlanan")+COUNTIFS('İş Planı'!$E$5:$E$204,$AK11,'İş Planı'!$N$5:$N$204,"Planlanan")+COUNTIFS('İş Planı'!$F$5:$F$204,$AK11,'İş Planı'!$N$5:$N$204,"Planlanan")+COUNTIFS('İş Planı'!$D$5:$D$204,$AK11,'İş Planı'!$N$5:$N$204,"Devam Ediyor")+COUNTIFS('İş Planı'!$E$5:$E$204,$AK11,'İş Planı'!$N$5:$N$204,"Devam Ediyor")+COUNTIFS('İş Planı'!$F$5:$F$204,$AK11,'İş Planı'!$N$5:$N$204,"Devam Ediyor"))</f>
        <v/>
      </c>
      <c r="AM11">
        <f>IF($AK11="","",COUNTIFS('İş Planı'!$D$5:$D$204,$AK11,'İş Planı'!$N$5:$N$204,"Gecikmiş")+COUNTIFS('İş Planı'!$E$5:$E$204,$AK11,'İş Planı'!$N$5:$N$204,"Gecikmiş")+COUNTIFS('İş Planı'!$F$5:$F$204,$AK11,'İş Planı'!$N$5:$N$204,"Gecikmiş"))</f>
        <v/>
      </c>
      <c r="BB11">
        <f>IF(Listeler!$B11="","",IF(COUNTIF('İş Planı'!$B$5:$B$204,Listeler!$B11)=0,"",ROW()-3))</f>
        <v/>
      </c>
      <c r="BD11">
        <f>IF(Listeler!$D11="","",IF(COUNTIF('İş Planı'!$D$5:$D$204,Listeler!$D11)+COUNTIF('İş Planı'!$E$5:$E$204,Listeler!$D11)+COUNTIF('İş Planı'!$F$5:$F$204,Listeler!$D11)=0,"",ROW()-3))</f>
        <v/>
      </c>
    </row>
    <row r="12">
      <c r="H12" t="inlineStr">
        <is>
          <t>Kas</t>
        </is>
      </c>
      <c r="I12" s="53" t="n">
        <v>46327</v>
      </c>
      <c r="J12">
        <f>SUMPRODUCT(('İş Planı'!$C$5:$C$204&lt;&gt;"")*('İş Planı'!$H$5:$H$204&lt;&gt;"")*('İş Planı'!$I$5:$I$204&lt;&gt;"")*('İş Planı'!$H$5:$H$204&lt;=EOMONTH(I12,0))*('İş Planı'!$L$5:$L$204&gt;=I12))</f>
        <v/>
      </c>
      <c r="R12">
        <f>IF('İş Planı'!$C12="","",IF('İş Planı'!$N12="Tamamlandı",N('İş Planı'!$K12),MAX(N('İş Planı'!$K12),IF(AND('İş Planı'!$I12&lt;&gt;"",'İş Planı'!$I12&lt;TODAY()),TODAY()-'İş Planı'!$I12,0)))+ROW()/1000000)</f>
        <v/>
      </c>
      <c r="W12">
        <f>IFERROR(INDEX(Listeler!$B$4:$B$43,SMALL($BB$4:$BB$43,22-ROW())),"")</f>
        <v/>
      </c>
      <c r="X12">
        <f>IF($W12="","",COUNTIFS('İş Planı'!$B$5:$B$204,$W12,'İş Planı'!$N$5:$N$204,"Tamamlandı"))</f>
        <v/>
      </c>
      <c r="Y12">
        <f>IF($W12="","",COUNTIFS('İş Planı'!$B$5:$B$204,$W12,'İş Planı'!$N$5:$N$204,"Devam Ediyor"))</f>
        <v/>
      </c>
      <c r="Z12">
        <f>IF($W12="","",COUNTIFS('İş Planı'!$B$5:$B$204,$W12,'İş Planı'!$N$5:$N$204,"Gecikmiş"))</f>
        <v/>
      </c>
      <c r="AB12" s="55" t="n">
        <v>46099</v>
      </c>
      <c r="AC12">
        <f>SUMPRODUCT(('İş Planı'!$C$5:$C$204&lt;&gt;"")*('İş Planı'!$L$5:$L$204&lt;&gt;"")*('İş Planı'!$L$5:$L$204&lt;=AB12))</f>
        <v/>
      </c>
      <c r="AD12">
        <f>SUMPRODUCT(('İş Planı'!$C$5:$C$204&lt;&gt;"")*('İş Planı'!$L$5:$L$204&lt;&gt;"")*('İş Planı'!$L$5:$L$204&lt;=AB12)*('İş Planı'!$N$5:$N$204="Tamamlandı"))</f>
        <v/>
      </c>
      <c r="AF12" t="inlineStr">
        <is>
          <t>Kas</t>
        </is>
      </c>
      <c r="AG12" s="53" t="n">
        <v>46356</v>
      </c>
      <c r="AH12">
        <f>SUMPRODUCT(('İş Planı'!$C$5:$C$204&lt;&gt;"")*('İş Planı'!$L$5:$L$204&lt;&gt;"")*('İş Planı'!$L$5:$L$204&lt;=AG12))</f>
        <v/>
      </c>
      <c r="AI12">
        <f>SUMPRODUCT(('İş Planı'!$C$5:$C$204&lt;&gt;"")*('İş Planı'!$L$5:$L$204&lt;&gt;"")*('İş Planı'!$L$5:$L$204&lt;=AG12)*('İş Planı'!$N$5:$N$204="Tamamlandı"))</f>
        <v/>
      </c>
      <c r="AK12">
        <f>IFERROR(INDEX(Listeler!$D$4:$D$43,SMALL($BD$4:$BD$43,22-ROW())),"")</f>
        <v/>
      </c>
      <c r="AL12">
        <f>IF($AK12="","",COUNTIFS('İş Planı'!$D$5:$D$204,$AK12,'İş Planı'!$N$5:$N$204,"Planlanan")+COUNTIFS('İş Planı'!$E$5:$E$204,$AK12,'İş Planı'!$N$5:$N$204,"Planlanan")+COUNTIFS('İş Planı'!$F$5:$F$204,$AK12,'İş Planı'!$N$5:$N$204,"Planlanan")+COUNTIFS('İş Planı'!$D$5:$D$204,$AK12,'İş Planı'!$N$5:$N$204,"Devam Ediyor")+COUNTIFS('İş Planı'!$E$5:$E$204,$AK12,'İş Planı'!$N$5:$N$204,"Devam Ediyor")+COUNTIFS('İş Planı'!$F$5:$F$204,$AK12,'İş Planı'!$N$5:$N$204,"Devam Ediyor"))</f>
        <v/>
      </c>
      <c r="AM12">
        <f>IF($AK12="","",COUNTIFS('İş Planı'!$D$5:$D$204,$AK12,'İş Planı'!$N$5:$N$204,"Gecikmiş")+COUNTIFS('İş Planı'!$E$5:$E$204,$AK12,'İş Planı'!$N$5:$N$204,"Gecikmiş")+COUNTIFS('İş Planı'!$F$5:$F$204,$AK12,'İş Planı'!$N$5:$N$204,"Gecikmiş"))</f>
        <v/>
      </c>
      <c r="BB12">
        <f>IF(Listeler!$B12="","",IF(COUNTIF('İş Planı'!$B$5:$B$204,Listeler!$B12)=0,"",ROW()-3))</f>
        <v/>
      </c>
      <c r="BD12">
        <f>IF(Listeler!$D12="","",IF(COUNTIF('İş Planı'!$D$5:$D$204,Listeler!$D12)+COUNTIF('İş Planı'!$E$5:$E$204,Listeler!$D12)+COUNTIF('İş Planı'!$F$5:$F$204,Listeler!$D12)=0,"",ROW()-3))</f>
        <v/>
      </c>
    </row>
    <row r="13">
      <c r="H13" t="inlineStr">
        <is>
          <t>Ara</t>
        </is>
      </c>
      <c r="I13" s="53" t="n">
        <v>46357</v>
      </c>
      <c r="J13">
        <f>SUMPRODUCT(('İş Planı'!$C$5:$C$204&lt;&gt;"")*('İş Planı'!$H$5:$H$204&lt;&gt;"")*('İş Planı'!$I$5:$I$204&lt;&gt;"")*('İş Planı'!$H$5:$H$204&lt;=EOMONTH(I13,0))*('İş Planı'!$L$5:$L$204&gt;=I13))</f>
        <v/>
      </c>
      <c r="R13">
        <f>IF('İş Planı'!$C13="","",IF('İş Planı'!$N13="Tamamlandı",N('İş Planı'!$K13),MAX(N('İş Planı'!$K13),IF(AND('İş Planı'!$I13&lt;&gt;"",'İş Planı'!$I13&lt;TODAY()),TODAY()-'İş Planı'!$I13,0)))+ROW()/1000000)</f>
        <v/>
      </c>
      <c r="W13">
        <f>IFERROR(INDEX(Listeler!$B$4:$B$43,SMALL($BB$4:$BB$43,22-ROW())),"")</f>
        <v/>
      </c>
      <c r="X13">
        <f>IF($W13="","",COUNTIFS('İş Planı'!$B$5:$B$204,$W13,'İş Planı'!$N$5:$N$204,"Tamamlandı"))</f>
        <v/>
      </c>
      <c r="Y13">
        <f>IF($W13="","",COUNTIFS('İş Planı'!$B$5:$B$204,$W13,'İş Planı'!$N$5:$N$204,"Devam Ediyor"))</f>
        <v/>
      </c>
      <c r="Z13">
        <f>IF($W13="","",COUNTIFS('İş Planı'!$B$5:$B$204,$W13,'İş Planı'!$N$5:$N$204,"Gecikmiş"))</f>
        <v/>
      </c>
      <c r="AB13" s="55" t="n">
        <v>46106</v>
      </c>
      <c r="AC13">
        <f>SUMPRODUCT(('İş Planı'!$C$5:$C$204&lt;&gt;"")*('İş Planı'!$L$5:$L$204&lt;&gt;"")*('İş Planı'!$L$5:$L$204&lt;=AB13))</f>
        <v/>
      </c>
      <c r="AD13">
        <f>SUMPRODUCT(('İş Planı'!$C$5:$C$204&lt;&gt;"")*('İş Planı'!$L$5:$L$204&lt;&gt;"")*('İş Planı'!$L$5:$L$204&lt;=AB13)*('İş Planı'!$N$5:$N$204="Tamamlandı"))</f>
        <v/>
      </c>
      <c r="AF13" t="inlineStr">
        <is>
          <t>Ara</t>
        </is>
      </c>
      <c r="AG13" s="53" t="n">
        <v>46387</v>
      </c>
      <c r="AH13">
        <f>SUMPRODUCT(('İş Planı'!$C$5:$C$204&lt;&gt;"")*('İş Planı'!$L$5:$L$204&lt;&gt;"")*('İş Planı'!$L$5:$L$204&lt;=AG13))</f>
        <v/>
      </c>
      <c r="AI13">
        <f>SUMPRODUCT(('İş Planı'!$C$5:$C$204&lt;&gt;"")*('İş Planı'!$L$5:$L$204&lt;&gt;"")*('İş Planı'!$L$5:$L$204&lt;=AG13)*('İş Planı'!$N$5:$N$204="Tamamlandı"))</f>
        <v/>
      </c>
      <c r="AK13">
        <f>IFERROR(INDEX(Listeler!$D$4:$D$43,SMALL($BD$4:$BD$43,22-ROW())),"")</f>
        <v/>
      </c>
      <c r="AL13">
        <f>IF($AK13="","",COUNTIFS('İş Planı'!$D$5:$D$204,$AK13,'İş Planı'!$N$5:$N$204,"Planlanan")+COUNTIFS('İş Planı'!$E$5:$E$204,$AK13,'İş Planı'!$N$5:$N$204,"Planlanan")+COUNTIFS('İş Planı'!$F$5:$F$204,$AK13,'İş Planı'!$N$5:$N$204,"Planlanan")+COUNTIFS('İş Planı'!$D$5:$D$204,$AK13,'İş Planı'!$N$5:$N$204,"Devam Ediyor")+COUNTIFS('İş Planı'!$E$5:$E$204,$AK13,'İş Planı'!$N$5:$N$204,"Devam Ediyor")+COUNTIFS('İş Planı'!$F$5:$F$204,$AK13,'İş Planı'!$N$5:$N$204,"Devam Ediyor"))</f>
        <v/>
      </c>
      <c r="AM13">
        <f>IF($AK13="","",COUNTIFS('İş Planı'!$D$5:$D$204,$AK13,'İş Planı'!$N$5:$N$204,"Gecikmiş")+COUNTIFS('İş Planı'!$E$5:$E$204,$AK13,'İş Planı'!$N$5:$N$204,"Gecikmiş")+COUNTIFS('İş Planı'!$F$5:$F$204,$AK13,'İş Planı'!$N$5:$N$204,"Gecikmiş"))</f>
        <v/>
      </c>
      <c r="BB13">
        <f>IF(Listeler!$B13="","",IF(COUNTIF('İş Planı'!$B$5:$B$204,Listeler!$B13)=0,"",ROW()-3))</f>
        <v/>
      </c>
      <c r="BD13">
        <f>IF(Listeler!$D13="","",IF(COUNTIF('İş Planı'!$D$5:$D$204,Listeler!$D13)+COUNTIF('İş Planı'!$E$5:$E$204,Listeler!$D13)+COUNTIF('İş Planı'!$F$5:$F$204,Listeler!$D13)=0,"",ROW()-3))</f>
        <v/>
      </c>
    </row>
    <row r="14">
      <c r="R14">
        <f>IF('İş Planı'!$C14="","",IF('İş Planı'!$N14="Tamamlandı",N('İş Planı'!$K14),MAX(N('İş Planı'!$K14),IF(AND('İş Planı'!$I14&lt;&gt;"",'İş Planı'!$I14&lt;TODAY()),TODAY()-'İş Planı'!$I14,0)))+ROW()/1000000)</f>
        <v/>
      </c>
      <c r="W14">
        <f>IFERROR(INDEX(Listeler!$B$4:$B$43,SMALL($BB$4:$BB$43,22-ROW())),"")</f>
        <v/>
      </c>
      <c r="X14">
        <f>IF($W14="","",COUNTIFS('İş Planı'!$B$5:$B$204,$W14,'İş Planı'!$N$5:$N$204,"Tamamlandı"))</f>
        <v/>
      </c>
      <c r="Y14">
        <f>IF($W14="","",COUNTIFS('İş Planı'!$B$5:$B$204,$W14,'İş Planı'!$N$5:$N$204,"Devam Ediyor"))</f>
        <v/>
      </c>
      <c r="Z14">
        <f>IF($W14="","",COUNTIFS('İş Planı'!$B$5:$B$204,$W14,'İş Planı'!$N$5:$N$204,"Gecikmiş"))</f>
        <v/>
      </c>
      <c r="AB14" s="55" t="n">
        <v>46113</v>
      </c>
      <c r="AC14">
        <f>SUMPRODUCT(('İş Planı'!$C$5:$C$204&lt;&gt;"")*('İş Planı'!$L$5:$L$204&lt;&gt;"")*('İş Planı'!$L$5:$L$204&lt;=AB14))</f>
        <v/>
      </c>
      <c r="AD14">
        <f>SUMPRODUCT(('İş Planı'!$C$5:$C$204&lt;&gt;"")*('İş Planı'!$L$5:$L$204&lt;&gt;"")*('İş Planı'!$L$5:$L$204&lt;=AB14)*('İş Planı'!$N$5:$N$204="Tamamlandı"))</f>
        <v/>
      </c>
      <c r="AK14">
        <f>IFERROR(INDEX(Listeler!$D$4:$D$43,SMALL($BD$4:$BD$43,22-ROW())),"")</f>
        <v/>
      </c>
      <c r="AL14">
        <f>IF($AK14="","",COUNTIFS('İş Planı'!$D$5:$D$204,$AK14,'İş Planı'!$N$5:$N$204,"Planlanan")+COUNTIFS('İş Planı'!$E$5:$E$204,$AK14,'İş Planı'!$N$5:$N$204,"Planlanan")+COUNTIFS('İş Planı'!$F$5:$F$204,$AK14,'İş Planı'!$N$5:$N$204,"Planlanan")+COUNTIFS('İş Planı'!$D$5:$D$204,$AK14,'İş Planı'!$N$5:$N$204,"Devam Ediyor")+COUNTIFS('İş Planı'!$E$5:$E$204,$AK14,'İş Planı'!$N$5:$N$204,"Devam Ediyor")+COUNTIFS('İş Planı'!$F$5:$F$204,$AK14,'İş Planı'!$N$5:$N$204,"Devam Ediyor"))</f>
        <v/>
      </c>
      <c r="AM14">
        <f>IF($AK14="","",COUNTIFS('İş Planı'!$D$5:$D$204,$AK14,'İş Planı'!$N$5:$N$204,"Gecikmiş")+COUNTIFS('İş Planı'!$E$5:$E$204,$AK14,'İş Planı'!$N$5:$N$204,"Gecikmiş")+COUNTIFS('İş Planı'!$F$5:$F$204,$AK14,'İş Planı'!$N$5:$N$204,"Gecikmiş"))</f>
        <v/>
      </c>
      <c r="BB14">
        <f>IF(Listeler!$B14="","",IF(COUNTIF('İş Planı'!$B$5:$B$204,Listeler!$B14)=0,"",ROW()-3))</f>
        <v/>
      </c>
      <c r="BD14">
        <f>IF(Listeler!$D14="","",IF(COUNTIF('İş Planı'!$D$5:$D$204,Listeler!$D14)+COUNTIF('İş Planı'!$E$5:$E$204,Listeler!$D14)+COUNTIF('İş Planı'!$F$5:$F$204,Listeler!$D14)=0,"",ROW()-3))</f>
        <v/>
      </c>
    </row>
    <row r="15">
      <c r="R15">
        <f>IF('İş Planı'!$C15="","",IF('İş Planı'!$N15="Tamamlandı",N('İş Planı'!$K15),MAX(N('İş Planı'!$K15),IF(AND('İş Planı'!$I15&lt;&gt;"",'İş Planı'!$I15&lt;TODAY()),TODAY()-'İş Planı'!$I15,0)))+ROW()/1000000)</f>
        <v/>
      </c>
      <c r="W15">
        <f>IFERROR(INDEX(Listeler!$B$4:$B$43,SMALL($BB$4:$BB$43,22-ROW())),"")</f>
        <v/>
      </c>
      <c r="X15">
        <f>IF($W15="","",COUNTIFS('İş Planı'!$B$5:$B$204,$W15,'İş Planı'!$N$5:$N$204,"Tamamlandı"))</f>
        <v/>
      </c>
      <c r="Y15">
        <f>IF($W15="","",COUNTIFS('İş Planı'!$B$5:$B$204,$W15,'İş Planı'!$N$5:$N$204,"Devam Ediyor"))</f>
        <v/>
      </c>
      <c r="Z15">
        <f>IF($W15="","",COUNTIFS('İş Planı'!$B$5:$B$204,$W15,'İş Planı'!$N$5:$N$204,"Gecikmiş"))</f>
        <v/>
      </c>
      <c r="AB15" s="55" t="n">
        <v>46120</v>
      </c>
      <c r="AC15">
        <f>SUMPRODUCT(('İş Planı'!$C$5:$C$204&lt;&gt;"")*('İş Planı'!$L$5:$L$204&lt;&gt;"")*('İş Planı'!$L$5:$L$204&lt;=AB15))</f>
        <v/>
      </c>
      <c r="AD15">
        <f>SUMPRODUCT(('İş Planı'!$C$5:$C$204&lt;&gt;"")*('İş Planı'!$L$5:$L$204&lt;&gt;"")*('İş Planı'!$L$5:$L$204&lt;=AB15)*('İş Planı'!$N$5:$N$204="Tamamlandı"))</f>
        <v/>
      </c>
      <c r="AK15">
        <f>IFERROR(INDEX(Listeler!$D$4:$D$43,SMALL($BD$4:$BD$43,22-ROW())),"")</f>
        <v/>
      </c>
      <c r="AL15">
        <f>IF($AK15="","",COUNTIFS('İş Planı'!$D$5:$D$204,$AK15,'İş Planı'!$N$5:$N$204,"Planlanan")+COUNTIFS('İş Planı'!$E$5:$E$204,$AK15,'İş Planı'!$N$5:$N$204,"Planlanan")+COUNTIFS('İş Planı'!$F$5:$F$204,$AK15,'İş Planı'!$N$5:$N$204,"Planlanan")+COUNTIFS('İş Planı'!$D$5:$D$204,$AK15,'İş Planı'!$N$5:$N$204,"Devam Ediyor")+COUNTIFS('İş Planı'!$E$5:$E$204,$AK15,'İş Planı'!$N$5:$N$204,"Devam Ediyor")+COUNTIFS('İş Planı'!$F$5:$F$204,$AK15,'İş Planı'!$N$5:$N$204,"Devam Ediyor"))</f>
        <v/>
      </c>
      <c r="AM15">
        <f>IF($AK15="","",COUNTIFS('İş Planı'!$D$5:$D$204,$AK15,'İş Planı'!$N$5:$N$204,"Gecikmiş")+COUNTIFS('İş Planı'!$E$5:$E$204,$AK15,'İş Planı'!$N$5:$N$204,"Gecikmiş")+COUNTIFS('İş Planı'!$F$5:$F$204,$AK15,'İş Planı'!$N$5:$N$204,"Gecikmiş"))</f>
        <v/>
      </c>
      <c r="BB15">
        <f>IF(Listeler!$B15="","",IF(COUNTIF('İş Planı'!$B$5:$B$204,Listeler!$B15)=0,"",ROW()-3))</f>
        <v/>
      </c>
      <c r="BD15">
        <f>IF(Listeler!$D15="","",IF(COUNTIF('İş Planı'!$D$5:$D$204,Listeler!$D15)+COUNTIF('İş Planı'!$E$5:$E$204,Listeler!$D15)+COUNTIF('İş Planı'!$F$5:$F$204,Listeler!$D15)=0,"",ROW()-3))</f>
        <v/>
      </c>
    </row>
    <row r="16">
      <c r="R16">
        <f>IF('İş Planı'!$C16="","",IF('İş Planı'!$N16="Tamamlandı",N('İş Planı'!$K16),MAX(N('İş Planı'!$K16),IF(AND('İş Planı'!$I16&lt;&gt;"",'İş Planı'!$I16&lt;TODAY()),TODAY()-'İş Planı'!$I16,0)))+ROW()/1000000)</f>
        <v/>
      </c>
      <c r="W16">
        <f>IFERROR(INDEX(Listeler!$B$4:$B$43,SMALL($BB$4:$BB$43,22-ROW())),"")</f>
        <v/>
      </c>
      <c r="X16">
        <f>IF($W16="","",COUNTIFS('İş Planı'!$B$5:$B$204,$W16,'İş Planı'!$N$5:$N$204,"Tamamlandı"))</f>
        <v/>
      </c>
      <c r="Y16">
        <f>IF($W16="","",COUNTIFS('İş Planı'!$B$5:$B$204,$W16,'İş Planı'!$N$5:$N$204,"Devam Ediyor"))</f>
        <v/>
      </c>
      <c r="Z16">
        <f>IF($W16="","",COUNTIFS('İş Planı'!$B$5:$B$204,$W16,'İş Planı'!$N$5:$N$204,"Gecikmiş"))</f>
        <v/>
      </c>
      <c r="AB16" s="55" t="n">
        <v>46127</v>
      </c>
      <c r="AC16">
        <f>SUMPRODUCT(('İş Planı'!$C$5:$C$204&lt;&gt;"")*('İş Planı'!$L$5:$L$204&lt;&gt;"")*('İş Planı'!$L$5:$L$204&lt;=AB16))</f>
        <v/>
      </c>
      <c r="AD16">
        <f>SUMPRODUCT(('İş Planı'!$C$5:$C$204&lt;&gt;"")*('İş Planı'!$L$5:$L$204&lt;&gt;"")*('İş Planı'!$L$5:$L$204&lt;=AB16)*('İş Planı'!$N$5:$N$204="Tamamlandı"))</f>
        <v/>
      </c>
      <c r="AK16">
        <f>IFERROR(INDEX(Listeler!$D$4:$D$43,SMALL($BD$4:$BD$43,22-ROW())),"")</f>
        <v/>
      </c>
      <c r="AL16">
        <f>IF($AK16="","",COUNTIFS('İş Planı'!$D$5:$D$204,$AK16,'İş Planı'!$N$5:$N$204,"Planlanan")+COUNTIFS('İş Planı'!$E$5:$E$204,$AK16,'İş Planı'!$N$5:$N$204,"Planlanan")+COUNTIFS('İş Planı'!$F$5:$F$204,$AK16,'İş Planı'!$N$5:$N$204,"Planlanan")+COUNTIFS('İş Planı'!$D$5:$D$204,$AK16,'İş Planı'!$N$5:$N$204,"Devam Ediyor")+COUNTIFS('İş Planı'!$E$5:$E$204,$AK16,'İş Planı'!$N$5:$N$204,"Devam Ediyor")+COUNTIFS('İş Planı'!$F$5:$F$204,$AK16,'İş Planı'!$N$5:$N$204,"Devam Ediyor"))</f>
        <v/>
      </c>
      <c r="AM16">
        <f>IF($AK16="","",COUNTIFS('İş Planı'!$D$5:$D$204,$AK16,'İş Planı'!$N$5:$N$204,"Gecikmiş")+COUNTIFS('İş Planı'!$E$5:$E$204,$AK16,'İş Planı'!$N$5:$N$204,"Gecikmiş")+COUNTIFS('İş Planı'!$F$5:$F$204,$AK16,'İş Planı'!$N$5:$N$204,"Gecikmiş"))</f>
        <v/>
      </c>
      <c r="BB16">
        <f>IF(Listeler!$B16="","",IF(COUNTIF('İş Planı'!$B$5:$B$204,Listeler!$B16)=0,"",ROW()-3))</f>
        <v/>
      </c>
      <c r="BD16">
        <f>IF(Listeler!$D16="","",IF(COUNTIF('İş Planı'!$D$5:$D$204,Listeler!$D16)+COUNTIF('İş Planı'!$E$5:$E$204,Listeler!$D16)+COUNTIF('İş Planı'!$F$5:$F$204,Listeler!$D16)=0,"",ROW()-3))</f>
        <v/>
      </c>
    </row>
    <row r="17">
      <c r="R17">
        <f>IF('İş Planı'!$C17="","",IF('İş Planı'!$N17="Tamamlandı",N('İş Planı'!$K17),MAX(N('İş Planı'!$K17),IF(AND('İş Planı'!$I17&lt;&gt;"",'İş Planı'!$I17&lt;TODAY()),TODAY()-'İş Planı'!$I17,0)))+ROW()/1000000)</f>
        <v/>
      </c>
      <c r="W17">
        <f>IFERROR(INDEX(Listeler!$B$4:$B$43,SMALL($BB$4:$BB$43,22-ROW())),"")</f>
        <v/>
      </c>
      <c r="X17">
        <f>IF($W17="","",COUNTIFS('İş Planı'!$B$5:$B$204,$W17,'İş Planı'!$N$5:$N$204,"Tamamlandı"))</f>
        <v/>
      </c>
      <c r="Y17">
        <f>IF($W17="","",COUNTIFS('İş Planı'!$B$5:$B$204,$W17,'İş Planı'!$N$5:$N$204,"Devam Ediyor"))</f>
        <v/>
      </c>
      <c r="Z17">
        <f>IF($W17="","",COUNTIFS('İş Planı'!$B$5:$B$204,$W17,'İş Planı'!$N$5:$N$204,"Gecikmiş"))</f>
        <v/>
      </c>
      <c r="AB17" s="55" t="n">
        <v>46134</v>
      </c>
      <c r="AC17">
        <f>SUMPRODUCT(('İş Planı'!$C$5:$C$204&lt;&gt;"")*('İş Planı'!$L$5:$L$204&lt;&gt;"")*('İş Planı'!$L$5:$L$204&lt;=AB17))</f>
        <v/>
      </c>
      <c r="AD17">
        <f>SUMPRODUCT(('İş Planı'!$C$5:$C$204&lt;&gt;"")*('İş Planı'!$L$5:$L$204&lt;&gt;"")*('İş Planı'!$L$5:$L$204&lt;=AB17)*('İş Planı'!$N$5:$N$204="Tamamlandı"))</f>
        <v/>
      </c>
      <c r="AK17">
        <f>IFERROR(INDEX(Listeler!$D$4:$D$43,SMALL($BD$4:$BD$43,22-ROW())),"")</f>
        <v/>
      </c>
      <c r="AL17">
        <f>IF($AK17="","",COUNTIFS('İş Planı'!$D$5:$D$204,$AK17,'İş Planı'!$N$5:$N$204,"Planlanan")+COUNTIFS('İş Planı'!$E$5:$E$204,$AK17,'İş Planı'!$N$5:$N$204,"Planlanan")+COUNTIFS('İş Planı'!$F$5:$F$204,$AK17,'İş Planı'!$N$5:$N$204,"Planlanan")+COUNTIFS('İş Planı'!$D$5:$D$204,$AK17,'İş Planı'!$N$5:$N$204,"Devam Ediyor")+COUNTIFS('İş Planı'!$E$5:$E$204,$AK17,'İş Planı'!$N$5:$N$204,"Devam Ediyor")+COUNTIFS('İş Planı'!$F$5:$F$204,$AK17,'İş Planı'!$N$5:$N$204,"Devam Ediyor"))</f>
        <v/>
      </c>
      <c r="AM17">
        <f>IF($AK17="","",COUNTIFS('İş Planı'!$D$5:$D$204,$AK17,'İş Planı'!$N$5:$N$204,"Gecikmiş")+COUNTIFS('İş Planı'!$E$5:$E$204,$AK17,'İş Planı'!$N$5:$N$204,"Gecikmiş")+COUNTIFS('İş Planı'!$F$5:$F$204,$AK17,'İş Planı'!$N$5:$N$204,"Gecikmiş"))</f>
        <v/>
      </c>
      <c r="BB17">
        <f>IF(Listeler!$B17="","",IF(COUNTIF('İş Planı'!$B$5:$B$204,Listeler!$B17)=0,"",ROW()-3))</f>
        <v/>
      </c>
      <c r="BD17">
        <f>IF(Listeler!$D17="","",IF(COUNTIF('İş Planı'!$D$5:$D$204,Listeler!$D17)+COUNTIF('İş Planı'!$E$5:$E$204,Listeler!$D17)+COUNTIF('İş Planı'!$F$5:$F$204,Listeler!$D17)=0,"",ROW()-3))</f>
        <v/>
      </c>
    </row>
    <row r="18">
      <c r="R18">
        <f>IF('İş Planı'!$C18="","",IF('İş Planı'!$N18="Tamamlandı",N('İş Planı'!$K18),MAX(N('İş Planı'!$K18),IF(AND('İş Planı'!$I18&lt;&gt;"",'İş Planı'!$I18&lt;TODAY()),TODAY()-'İş Planı'!$I18,0)))+ROW()/1000000)</f>
        <v/>
      </c>
      <c r="W18">
        <f>IFERROR(INDEX(Listeler!$B$4:$B$43,SMALL($BB$4:$BB$43,22-ROW())),"")</f>
        <v/>
      </c>
      <c r="X18">
        <f>IF($W18="","",COUNTIFS('İş Planı'!$B$5:$B$204,$W18,'İş Planı'!$N$5:$N$204,"Tamamlandı"))</f>
        <v/>
      </c>
      <c r="Y18">
        <f>IF($W18="","",COUNTIFS('İş Planı'!$B$5:$B$204,$W18,'İş Planı'!$N$5:$N$204,"Devam Ediyor"))</f>
        <v/>
      </c>
      <c r="Z18">
        <f>IF($W18="","",COUNTIFS('İş Planı'!$B$5:$B$204,$W18,'İş Planı'!$N$5:$N$204,"Gecikmiş"))</f>
        <v/>
      </c>
      <c r="AB18" s="55" t="n">
        <v>46141</v>
      </c>
      <c r="AC18">
        <f>SUMPRODUCT(('İş Planı'!$C$5:$C$204&lt;&gt;"")*('İş Planı'!$L$5:$L$204&lt;&gt;"")*('İş Planı'!$L$5:$L$204&lt;=AB18))</f>
        <v/>
      </c>
      <c r="AD18">
        <f>SUMPRODUCT(('İş Planı'!$C$5:$C$204&lt;&gt;"")*('İş Planı'!$L$5:$L$204&lt;&gt;"")*('İş Planı'!$L$5:$L$204&lt;=AB18)*('İş Planı'!$N$5:$N$204="Tamamlandı"))</f>
        <v/>
      </c>
      <c r="AK18">
        <f>IFERROR(INDEX(Listeler!$D$4:$D$43,SMALL($BD$4:$BD$43,22-ROW())),"")</f>
        <v/>
      </c>
      <c r="AL18">
        <f>IF($AK18="","",COUNTIFS('İş Planı'!$D$5:$D$204,$AK18,'İş Planı'!$N$5:$N$204,"Planlanan")+COUNTIFS('İş Planı'!$E$5:$E$204,$AK18,'İş Planı'!$N$5:$N$204,"Planlanan")+COUNTIFS('İş Planı'!$F$5:$F$204,$AK18,'İş Planı'!$N$5:$N$204,"Planlanan")+COUNTIFS('İş Planı'!$D$5:$D$204,$AK18,'İş Planı'!$N$5:$N$204,"Devam Ediyor")+COUNTIFS('İş Planı'!$E$5:$E$204,$AK18,'İş Planı'!$N$5:$N$204,"Devam Ediyor")+COUNTIFS('İş Planı'!$F$5:$F$204,$AK18,'İş Planı'!$N$5:$N$204,"Devam Ediyor"))</f>
        <v/>
      </c>
      <c r="AM18">
        <f>IF($AK18="","",COUNTIFS('İş Planı'!$D$5:$D$204,$AK18,'İş Planı'!$N$5:$N$204,"Gecikmiş")+COUNTIFS('İş Planı'!$E$5:$E$204,$AK18,'İş Planı'!$N$5:$N$204,"Gecikmiş")+COUNTIFS('İş Planı'!$F$5:$F$204,$AK18,'İş Planı'!$N$5:$N$204,"Gecikmiş"))</f>
        <v/>
      </c>
      <c r="BB18">
        <f>IF(Listeler!$B18="","",IF(COUNTIF('İş Planı'!$B$5:$B$204,Listeler!$B18)=0,"",ROW()-3))</f>
        <v/>
      </c>
      <c r="BD18">
        <f>IF(Listeler!$D18="","",IF(COUNTIF('İş Planı'!$D$5:$D$204,Listeler!$D18)+COUNTIF('İş Planı'!$E$5:$E$204,Listeler!$D18)+COUNTIF('İş Planı'!$F$5:$F$204,Listeler!$D18)=0,"",ROW()-3))</f>
        <v/>
      </c>
    </row>
    <row r="19">
      <c r="R19">
        <f>IF('İş Planı'!$C19="","",IF('İş Planı'!$N19="Tamamlandı",N('İş Planı'!$K19),MAX(N('İş Planı'!$K19),IF(AND('İş Planı'!$I19&lt;&gt;"",'İş Planı'!$I19&lt;TODAY()),TODAY()-'İş Planı'!$I19,0)))+ROW()/1000000)</f>
        <v/>
      </c>
      <c r="W19">
        <f>IFERROR(INDEX(Listeler!$B$4:$B$43,SMALL($BB$4:$BB$43,22-ROW())),"")</f>
        <v/>
      </c>
      <c r="X19">
        <f>IF($W19="","",COUNTIFS('İş Planı'!$B$5:$B$204,$W19,'İş Planı'!$N$5:$N$204,"Tamamlandı"))</f>
        <v/>
      </c>
      <c r="Y19">
        <f>IF($W19="","",COUNTIFS('İş Planı'!$B$5:$B$204,$W19,'İş Planı'!$N$5:$N$204,"Devam Ediyor"))</f>
        <v/>
      </c>
      <c r="Z19">
        <f>IF($W19="","",COUNTIFS('İş Planı'!$B$5:$B$204,$W19,'İş Planı'!$N$5:$N$204,"Gecikmiş"))</f>
        <v/>
      </c>
      <c r="AB19" s="55" t="n">
        <v>46148</v>
      </c>
      <c r="AC19">
        <f>SUMPRODUCT(('İş Planı'!$C$5:$C$204&lt;&gt;"")*('İş Planı'!$L$5:$L$204&lt;&gt;"")*('İş Planı'!$L$5:$L$204&lt;=AB19))</f>
        <v/>
      </c>
      <c r="AD19">
        <f>SUMPRODUCT(('İş Planı'!$C$5:$C$204&lt;&gt;"")*('İş Planı'!$L$5:$L$204&lt;&gt;"")*('İş Planı'!$L$5:$L$204&lt;=AB19)*('İş Planı'!$N$5:$N$204="Tamamlandı"))</f>
        <v/>
      </c>
      <c r="AK19">
        <f>IFERROR(INDEX(Listeler!$D$4:$D$43,SMALL($BD$4:$BD$43,22-ROW())),"")</f>
        <v/>
      </c>
      <c r="AL19">
        <f>IF($AK19="","",COUNTIFS('İş Planı'!$D$5:$D$204,$AK19,'İş Planı'!$N$5:$N$204,"Planlanan")+COUNTIFS('İş Planı'!$E$5:$E$204,$AK19,'İş Planı'!$N$5:$N$204,"Planlanan")+COUNTIFS('İş Planı'!$F$5:$F$204,$AK19,'İş Planı'!$N$5:$N$204,"Planlanan")+COUNTIFS('İş Planı'!$D$5:$D$204,$AK19,'İş Planı'!$N$5:$N$204,"Devam Ediyor")+COUNTIFS('İş Planı'!$E$5:$E$204,$AK19,'İş Planı'!$N$5:$N$204,"Devam Ediyor")+COUNTIFS('İş Planı'!$F$5:$F$204,$AK19,'İş Planı'!$N$5:$N$204,"Devam Ediyor"))</f>
        <v/>
      </c>
      <c r="AM19">
        <f>IF($AK19="","",COUNTIFS('İş Planı'!$D$5:$D$204,$AK19,'İş Planı'!$N$5:$N$204,"Gecikmiş")+COUNTIFS('İş Planı'!$E$5:$E$204,$AK19,'İş Planı'!$N$5:$N$204,"Gecikmiş")+COUNTIFS('İş Planı'!$F$5:$F$204,$AK19,'İş Planı'!$N$5:$N$204,"Gecikmiş"))</f>
        <v/>
      </c>
      <c r="BB19">
        <f>IF(Listeler!$B19="","",IF(COUNTIF('İş Planı'!$B$5:$B$204,Listeler!$B19)=0,"",ROW()-3))</f>
        <v/>
      </c>
      <c r="BD19">
        <f>IF(Listeler!$D19="","",IF(COUNTIF('İş Planı'!$D$5:$D$204,Listeler!$D19)+COUNTIF('İş Planı'!$E$5:$E$204,Listeler!$D19)+COUNTIF('İş Planı'!$F$5:$F$204,Listeler!$D19)=0,"",ROW()-3))</f>
        <v/>
      </c>
    </row>
    <row r="20">
      <c r="R20">
        <f>IF('İş Planı'!$C20="","",IF('İş Planı'!$N20="Tamamlandı",N('İş Planı'!$K20),MAX(N('İş Planı'!$K20),IF(AND('İş Planı'!$I20&lt;&gt;"",'İş Planı'!$I20&lt;TODAY()),TODAY()-'İş Planı'!$I20,0)))+ROW()/1000000)</f>
        <v/>
      </c>
      <c r="W20">
        <f>IFERROR(INDEX(Listeler!$B$4:$B$43,SMALL($BB$4:$BB$43,22-ROW())),"")</f>
        <v/>
      </c>
      <c r="X20">
        <f>IF($W20="","",COUNTIFS('İş Planı'!$B$5:$B$204,$W20,'İş Planı'!$N$5:$N$204,"Tamamlandı"))</f>
        <v/>
      </c>
      <c r="Y20">
        <f>IF($W20="","",COUNTIFS('İş Planı'!$B$5:$B$204,$W20,'İş Planı'!$N$5:$N$204,"Devam Ediyor"))</f>
        <v/>
      </c>
      <c r="Z20">
        <f>IF($W20="","",COUNTIFS('İş Planı'!$B$5:$B$204,$W20,'İş Planı'!$N$5:$N$204,"Gecikmiş"))</f>
        <v/>
      </c>
      <c r="AB20" s="55" t="n">
        <v>46155</v>
      </c>
      <c r="AC20">
        <f>SUMPRODUCT(('İş Planı'!$C$5:$C$204&lt;&gt;"")*('İş Planı'!$L$5:$L$204&lt;&gt;"")*('İş Planı'!$L$5:$L$204&lt;=AB20))</f>
        <v/>
      </c>
      <c r="AD20">
        <f>SUMPRODUCT(('İş Planı'!$C$5:$C$204&lt;&gt;"")*('İş Planı'!$L$5:$L$204&lt;&gt;"")*('İş Planı'!$L$5:$L$204&lt;=AB20)*('İş Planı'!$N$5:$N$204="Tamamlandı"))</f>
        <v/>
      </c>
      <c r="AK20">
        <f>IFERROR(INDEX(Listeler!$D$4:$D$43,SMALL($BD$4:$BD$43,22-ROW())),"")</f>
        <v/>
      </c>
      <c r="AL20">
        <f>IF($AK20="","",COUNTIFS('İş Planı'!$D$5:$D$204,$AK20,'İş Planı'!$N$5:$N$204,"Planlanan")+COUNTIFS('İş Planı'!$E$5:$E$204,$AK20,'İş Planı'!$N$5:$N$204,"Planlanan")+COUNTIFS('İş Planı'!$F$5:$F$204,$AK20,'İş Planı'!$N$5:$N$204,"Planlanan")+COUNTIFS('İş Planı'!$D$5:$D$204,$AK20,'İş Planı'!$N$5:$N$204,"Devam Ediyor")+COUNTIFS('İş Planı'!$E$5:$E$204,$AK20,'İş Planı'!$N$5:$N$204,"Devam Ediyor")+COUNTIFS('İş Planı'!$F$5:$F$204,$AK20,'İş Planı'!$N$5:$N$204,"Devam Ediyor"))</f>
        <v/>
      </c>
      <c r="AM20">
        <f>IF($AK20="","",COUNTIFS('İş Planı'!$D$5:$D$204,$AK20,'İş Planı'!$N$5:$N$204,"Gecikmiş")+COUNTIFS('İş Planı'!$E$5:$E$204,$AK20,'İş Planı'!$N$5:$N$204,"Gecikmiş")+COUNTIFS('İş Planı'!$F$5:$F$204,$AK20,'İş Planı'!$N$5:$N$204,"Gecikmiş"))</f>
        <v/>
      </c>
      <c r="BB20">
        <f>IF(Listeler!$B20="","",IF(COUNTIF('İş Planı'!$B$5:$B$204,Listeler!$B20)=0,"",ROW()-3))</f>
        <v/>
      </c>
      <c r="BD20">
        <f>IF(Listeler!$D20="","",IF(COUNTIF('İş Planı'!$D$5:$D$204,Listeler!$D20)+COUNTIF('İş Planı'!$E$5:$E$204,Listeler!$D20)+COUNTIF('İş Planı'!$F$5:$F$204,Listeler!$D20)=0,"",ROW()-3))</f>
        <v/>
      </c>
    </row>
    <row r="21">
      <c r="R21">
        <f>IF('İş Planı'!$C21="","",IF('İş Planı'!$N21="Tamamlandı",N('İş Planı'!$K21),MAX(N('İş Planı'!$K21),IF(AND('İş Planı'!$I21&lt;&gt;"",'İş Planı'!$I21&lt;TODAY()),TODAY()-'İş Planı'!$I21,0)))+ROW()/1000000)</f>
        <v/>
      </c>
      <c r="W21">
        <f>IFERROR(INDEX(Listeler!$B$4:$B$43,SMALL($BB$4:$BB$43,22-ROW())),"")</f>
        <v/>
      </c>
      <c r="X21">
        <f>IF($W21="","",COUNTIFS('İş Planı'!$B$5:$B$204,$W21,'İş Planı'!$N$5:$N$204,"Tamamlandı"))</f>
        <v/>
      </c>
      <c r="Y21">
        <f>IF($W21="","",COUNTIFS('İş Planı'!$B$5:$B$204,$W21,'İş Planı'!$N$5:$N$204,"Devam Ediyor"))</f>
        <v/>
      </c>
      <c r="Z21">
        <f>IF($W21="","",COUNTIFS('İş Planı'!$B$5:$B$204,$W21,'İş Planı'!$N$5:$N$204,"Gecikmiş"))</f>
        <v/>
      </c>
      <c r="AB21" s="55" t="n">
        <v>46162</v>
      </c>
      <c r="AC21">
        <f>SUMPRODUCT(('İş Planı'!$C$5:$C$204&lt;&gt;"")*('İş Planı'!$L$5:$L$204&lt;&gt;"")*('İş Planı'!$L$5:$L$204&lt;=AB21))</f>
        <v/>
      </c>
      <c r="AD21">
        <f>SUMPRODUCT(('İş Planı'!$C$5:$C$204&lt;&gt;"")*('İş Planı'!$L$5:$L$204&lt;&gt;"")*('İş Planı'!$L$5:$L$204&lt;=AB21)*('İş Planı'!$N$5:$N$204="Tamamlandı"))</f>
        <v/>
      </c>
      <c r="AK21">
        <f>IFERROR(INDEX(Listeler!$D$4:$D$43,SMALL($BD$4:$BD$43,22-ROW())),"")</f>
        <v/>
      </c>
      <c r="AL21">
        <f>IF($AK21="","",COUNTIFS('İş Planı'!$D$5:$D$204,$AK21,'İş Planı'!$N$5:$N$204,"Planlanan")+COUNTIFS('İş Planı'!$E$5:$E$204,$AK21,'İş Planı'!$N$5:$N$204,"Planlanan")+COUNTIFS('İş Planı'!$F$5:$F$204,$AK21,'İş Planı'!$N$5:$N$204,"Planlanan")+COUNTIFS('İş Planı'!$D$5:$D$204,$AK21,'İş Planı'!$N$5:$N$204,"Devam Ediyor")+COUNTIFS('İş Planı'!$E$5:$E$204,$AK21,'İş Planı'!$N$5:$N$204,"Devam Ediyor")+COUNTIFS('İş Planı'!$F$5:$F$204,$AK21,'İş Planı'!$N$5:$N$204,"Devam Ediyor"))</f>
        <v/>
      </c>
      <c r="AM21">
        <f>IF($AK21="","",COUNTIFS('İş Planı'!$D$5:$D$204,$AK21,'İş Planı'!$N$5:$N$204,"Gecikmiş")+COUNTIFS('İş Planı'!$E$5:$E$204,$AK21,'İş Planı'!$N$5:$N$204,"Gecikmiş")+COUNTIFS('İş Planı'!$F$5:$F$204,$AK21,'İş Planı'!$N$5:$N$204,"Gecikmiş"))</f>
        <v/>
      </c>
      <c r="BB21">
        <f>IF(Listeler!$B21="","",IF(COUNTIF('İş Planı'!$B$5:$B$204,Listeler!$B21)=0,"",ROW()-3))</f>
        <v/>
      </c>
      <c r="BD21">
        <f>IF(Listeler!$D21="","",IF(COUNTIF('İş Planı'!$D$5:$D$204,Listeler!$D21)+COUNTIF('İş Planı'!$E$5:$E$204,Listeler!$D21)+COUNTIF('İş Planı'!$F$5:$F$204,Listeler!$D21)=0,"",ROW()-3))</f>
        <v/>
      </c>
    </row>
    <row r="22">
      <c r="R22">
        <f>IF('İş Planı'!$C22="","",IF('İş Planı'!$N22="Tamamlandı",N('İş Planı'!$K22),MAX(N('İş Planı'!$K22),IF(AND('İş Planı'!$I22&lt;&gt;"",'İş Planı'!$I22&lt;TODAY()),TODAY()-'İş Planı'!$I22,0)))+ROW()/1000000)</f>
        <v/>
      </c>
      <c r="AB22" s="55" t="n">
        <v>46169</v>
      </c>
      <c r="AC22">
        <f>SUMPRODUCT(('İş Planı'!$C$5:$C$204&lt;&gt;"")*('İş Planı'!$L$5:$L$204&lt;&gt;"")*('İş Planı'!$L$5:$L$204&lt;=AB22))</f>
        <v/>
      </c>
      <c r="AD22">
        <f>SUMPRODUCT(('İş Planı'!$C$5:$C$204&lt;&gt;"")*('İş Planı'!$L$5:$L$204&lt;&gt;"")*('İş Planı'!$L$5:$L$204&lt;=AB22)*('İş Planı'!$N$5:$N$204="Tamamlandı"))</f>
        <v/>
      </c>
      <c r="BB22">
        <f>IF(Listeler!$B22="","",IF(COUNTIF('İş Planı'!$B$5:$B$204,Listeler!$B22)=0,"",ROW()-3))</f>
        <v/>
      </c>
      <c r="BD22">
        <f>IF(Listeler!$D22="","",IF(COUNTIF('İş Planı'!$D$5:$D$204,Listeler!$D22)+COUNTIF('İş Planı'!$E$5:$E$204,Listeler!$D22)+COUNTIF('İş Planı'!$F$5:$F$204,Listeler!$D22)=0,"",ROW()-3))</f>
        <v/>
      </c>
    </row>
    <row r="23">
      <c r="R23">
        <f>IF('İş Planı'!$C23="","",IF('İş Planı'!$N23="Tamamlandı",N('İş Planı'!$K23),MAX(N('İş Planı'!$K23),IF(AND('İş Planı'!$I23&lt;&gt;"",'İş Planı'!$I23&lt;TODAY()),TODAY()-'İş Planı'!$I23,0)))+ROW()/1000000)</f>
        <v/>
      </c>
      <c r="AB23" s="55" t="n">
        <v>46176</v>
      </c>
      <c r="AC23">
        <f>SUMPRODUCT(('İş Planı'!$C$5:$C$204&lt;&gt;"")*('İş Planı'!$L$5:$L$204&lt;&gt;"")*('İş Planı'!$L$5:$L$204&lt;=AB23))</f>
        <v/>
      </c>
      <c r="AD23">
        <f>SUMPRODUCT(('İş Planı'!$C$5:$C$204&lt;&gt;"")*('İş Planı'!$L$5:$L$204&lt;&gt;"")*('İş Planı'!$L$5:$L$204&lt;=AB23)*('İş Planı'!$N$5:$N$204="Tamamlandı"))</f>
        <v/>
      </c>
      <c r="BB23">
        <f>IF(Listeler!$B23="","",IF(COUNTIF('İş Planı'!$B$5:$B$204,Listeler!$B23)=0,"",ROW()-3))</f>
        <v/>
      </c>
      <c r="BD23">
        <f>IF(Listeler!$D23="","",IF(COUNTIF('İş Planı'!$D$5:$D$204,Listeler!$D23)+COUNTIF('İş Planı'!$E$5:$E$204,Listeler!$D23)+COUNTIF('İş Planı'!$F$5:$F$204,Listeler!$D23)=0,"",ROW()-3))</f>
        <v/>
      </c>
    </row>
    <row r="24">
      <c r="R24">
        <f>IF('İş Planı'!$C24="","",IF('İş Planı'!$N24="Tamamlandı",N('İş Planı'!$K24),MAX(N('İş Planı'!$K24),IF(AND('İş Planı'!$I24&lt;&gt;"",'İş Planı'!$I24&lt;TODAY()),TODAY()-'İş Planı'!$I24,0)))+ROW()/1000000)</f>
        <v/>
      </c>
      <c r="AB24" s="55" t="n">
        <v>46183</v>
      </c>
      <c r="AC24">
        <f>SUMPRODUCT(('İş Planı'!$C$5:$C$204&lt;&gt;"")*('İş Planı'!$L$5:$L$204&lt;&gt;"")*('İş Planı'!$L$5:$L$204&lt;=AB24))</f>
        <v/>
      </c>
      <c r="AD24">
        <f>SUMPRODUCT(('İş Planı'!$C$5:$C$204&lt;&gt;"")*('İş Planı'!$L$5:$L$204&lt;&gt;"")*('İş Planı'!$L$5:$L$204&lt;=AB24)*('İş Planı'!$N$5:$N$204="Tamamlandı"))</f>
        <v/>
      </c>
      <c r="BB24">
        <f>IF(Listeler!$B24="","",IF(COUNTIF('İş Planı'!$B$5:$B$204,Listeler!$B24)=0,"",ROW()-3))</f>
        <v/>
      </c>
      <c r="BD24">
        <f>IF(Listeler!$D24="","",IF(COUNTIF('İş Planı'!$D$5:$D$204,Listeler!$D24)+COUNTIF('İş Planı'!$E$5:$E$204,Listeler!$D24)+COUNTIF('İş Planı'!$F$5:$F$204,Listeler!$D24)=0,"",ROW()-3))</f>
        <v/>
      </c>
    </row>
    <row r="25">
      <c r="R25">
        <f>IF('İş Planı'!$C25="","",IF('İş Planı'!$N25="Tamamlandı",N('İş Planı'!$K25),MAX(N('İş Planı'!$K25),IF(AND('İş Planı'!$I25&lt;&gt;"",'İş Planı'!$I25&lt;TODAY()),TODAY()-'İş Planı'!$I25,0)))+ROW()/1000000)</f>
        <v/>
      </c>
      <c r="AB25" s="55" t="n">
        <v>46190</v>
      </c>
      <c r="AC25">
        <f>SUMPRODUCT(('İş Planı'!$C$5:$C$204&lt;&gt;"")*('İş Planı'!$L$5:$L$204&lt;&gt;"")*('İş Planı'!$L$5:$L$204&lt;=AB25))</f>
        <v/>
      </c>
      <c r="AD25">
        <f>SUMPRODUCT(('İş Planı'!$C$5:$C$204&lt;&gt;"")*('İş Planı'!$L$5:$L$204&lt;&gt;"")*('İş Planı'!$L$5:$L$204&lt;=AB25)*('İş Planı'!$N$5:$N$204="Tamamlandı"))</f>
        <v/>
      </c>
      <c r="BB25">
        <f>IF(Listeler!$B25="","",IF(COUNTIF('İş Planı'!$B$5:$B$204,Listeler!$B25)=0,"",ROW()-3))</f>
        <v/>
      </c>
      <c r="BD25">
        <f>IF(Listeler!$D25="","",IF(COUNTIF('İş Planı'!$D$5:$D$204,Listeler!$D25)+COUNTIF('İş Planı'!$E$5:$E$204,Listeler!$D25)+COUNTIF('İş Planı'!$F$5:$F$204,Listeler!$D25)=0,"",ROW()-3))</f>
        <v/>
      </c>
    </row>
    <row r="26">
      <c r="R26">
        <f>IF('İş Planı'!$C26="","",IF('İş Planı'!$N26="Tamamlandı",N('İş Planı'!$K26),MAX(N('İş Planı'!$K26),IF(AND('İş Planı'!$I26&lt;&gt;"",'İş Planı'!$I26&lt;TODAY()),TODAY()-'İş Planı'!$I26,0)))+ROW()/1000000)</f>
        <v/>
      </c>
      <c r="AB26" s="55" t="n">
        <v>46197</v>
      </c>
      <c r="AC26">
        <f>SUMPRODUCT(('İş Planı'!$C$5:$C$204&lt;&gt;"")*('İş Planı'!$L$5:$L$204&lt;&gt;"")*('İş Planı'!$L$5:$L$204&lt;=AB26))</f>
        <v/>
      </c>
      <c r="AD26">
        <f>SUMPRODUCT(('İş Planı'!$C$5:$C$204&lt;&gt;"")*('İş Planı'!$L$5:$L$204&lt;&gt;"")*('İş Planı'!$L$5:$L$204&lt;=AB26)*('İş Planı'!$N$5:$N$204="Tamamlandı"))</f>
        <v/>
      </c>
      <c r="BB26">
        <f>IF(Listeler!$B26="","",IF(COUNTIF('İş Planı'!$B$5:$B$204,Listeler!$B26)=0,"",ROW()-3))</f>
        <v/>
      </c>
      <c r="BD26">
        <f>IF(Listeler!$D26="","",IF(COUNTIF('İş Planı'!$D$5:$D$204,Listeler!$D26)+COUNTIF('İş Planı'!$E$5:$E$204,Listeler!$D26)+COUNTIF('İş Planı'!$F$5:$F$204,Listeler!$D26)=0,"",ROW()-3))</f>
        <v/>
      </c>
    </row>
    <row r="27">
      <c r="R27">
        <f>IF('İş Planı'!$C27="","",IF('İş Planı'!$N27="Tamamlandı",N('İş Planı'!$K27),MAX(N('İş Planı'!$K27),IF(AND('İş Planı'!$I27&lt;&gt;"",'İş Planı'!$I27&lt;TODAY()),TODAY()-'İş Planı'!$I27,0)))+ROW()/1000000)</f>
        <v/>
      </c>
      <c r="AB27" s="55" t="n">
        <v>46204</v>
      </c>
      <c r="AC27">
        <f>SUMPRODUCT(('İş Planı'!$C$5:$C$204&lt;&gt;"")*('İş Planı'!$L$5:$L$204&lt;&gt;"")*('İş Planı'!$L$5:$L$204&lt;=AB27))</f>
        <v/>
      </c>
      <c r="AD27">
        <f>SUMPRODUCT(('İş Planı'!$C$5:$C$204&lt;&gt;"")*('İş Planı'!$L$5:$L$204&lt;&gt;"")*('İş Planı'!$L$5:$L$204&lt;=AB27)*('İş Planı'!$N$5:$N$204="Tamamlandı"))</f>
        <v/>
      </c>
      <c r="BB27">
        <f>IF(Listeler!$B27="","",IF(COUNTIF('İş Planı'!$B$5:$B$204,Listeler!$B27)=0,"",ROW()-3))</f>
        <v/>
      </c>
      <c r="BD27">
        <f>IF(Listeler!$D27="","",IF(COUNTIF('İş Planı'!$D$5:$D$204,Listeler!$D27)+COUNTIF('İş Planı'!$E$5:$E$204,Listeler!$D27)+COUNTIF('İş Planı'!$F$5:$F$204,Listeler!$D27)=0,"",ROW()-3))</f>
        <v/>
      </c>
    </row>
    <row r="28">
      <c r="R28">
        <f>IF('İş Planı'!$C28="","",IF('İş Planı'!$N28="Tamamlandı",N('İş Planı'!$K28),MAX(N('İş Planı'!$K28),IF(AND('İş Planı'!$I28&lt;&gt;"",'İş Planı'!$I28&lt;TODAY()),TODAY()-'İş Planı'!$I28,0)))+ROW()/1000000)</f>
        <v/>
      </c>
      <c r="AB28" s="55" t="n">
        <v>46211</v>
      </c>
      <c r="AC28">
        <f>SUMPRODUCT(('İş Planı'!$C$5:$C$204&lt;&gt;"")*('İş Planı'!$L$5:$L$204&lt;&gt;"")*('İş Planı'!$L$5:$L$204&lt;=AB28))</f>
        <v/>
      </c>
      <c r="AD28">
        <f>SUMPRODUCT(('İş Planı'!$C$5:$C$204&lt;&gt;"")*('İş Planı'!$L$5:$L$204&lt;&gt;"")*('İş Planı'!$L$5:$L$204&lt;=AB28)*('İş Planı'!$N$5:$N$204="Tamamlandı"))</f>
        <v/>
      </c>
      <c r="BB28">
        <f>IF(Listeler!$B28="","",IF(COUNTIF('İş Planı'!$B$5:$B$204,Listeler!$B28)=0,"",ROW()-3))</f>
        <v/>
      </c>
      <c r="BD28">
        <f>IF(Listeler!$D28="","",IF(COUNTIF('İş Planı'!$D$5:$D$204,Listeler!$D28)+COUNTIF('İş Planı'!$E$5:$E$204,Listeler!$D28)+COUNTIF('İş Planı'!$F$5:$F$204,Listeler!$D28)=0,"",ROW()-3))</f>
        <v/>
      </c>
    </row>
    <row r="29">
      <c r="R29">
        <f>IF('İş Planı'!$C29="","",IF('İş Planı'!$N29="Tamamlandı",N('İş Planı'!$K29),MAX(N('İş Planı'!$K29),IF(AND('İş Planı'!$I29&lt;&gt;"",'İş Planı'!$I29&lt;TODAY()),TODAY()-'İş Planı'!$I29,0)))+ROW()/1000000)</f>
        <v/>
      </c>
      <c r="AB29" s="55" t="n">
        <v>46218</v>
      </c>
      <c r="AC29">
        <f>SUMPRODUCT(('İş Planı'!$C$5:$C$204&lt;&gt;"")*('İş Planı'!$L$5:$L$204&lt;&gt;"")*('İş Planı'!$L$5:$L$204&lt;=AB29))</f>
        <v/>
      </c>
      <c r="AD29">
        <f>SUMPRODUCT(('İş Planı'!$C$5:$C$204&lt;&gt;"")*('İş Planı'!$L$5:$L$204&lt;&gt;"")*('İş Planı'!$L$5:$L$204&lt;=AB29)*('İş Planı'!$N$5:$N$204="Tamamlandı"))</f>
        <v/>
      </c>
      <c r="BB29">
        <f>IF(Listeler!$B29="","",IF(COUNTIF('İş Planı'!$B$5:$B$204,Listeler!$B29)=0,"",ROW()-3))</f>
        <v/>
      </c>
      <c r="BD29">
        <f>IF(Listeler!$D29="","",IF(COUNTIF('İş Planı'!$D$5:$D$204,Listeler!$D29)+COUNTIF('İş Planı'!$E$5:$E$204,Listeler!$D29)+COUNTIF('İş Planı'!$F$5:$F$204,Listeler!$D29)=0,"",ROW()-3))</f>
        <v/>
      </c>
    </row>
    <row r="30">
      <c r="R30">
        <f>IF('İş Planı'!$C30="","",IF('İş Planı'!$N30="Tamamlandı",N('İş Planı'!$K30),MAX(N('İş Planı'!$K30),IF(AND('İş Planı'!$I30&lt;&gt;"",'İş Planı'!$I30&lt;TODAY()),TODAY()-'İş Planı'!$I30,0)))+ROW()/1000000)</f>
        <v/>
      </c>
      <c r="AB30" s="55" t="n">
        <v>46225</v>
      </c>
      <c r="AC30">
        <f>SUMPRODUCT(('İş Planı'!$C$5:$C$204&lt;&gt;"")*('İş Planı'!$L$5:$L$204&lt;&gt;"")*('İş Planı'!$L$5:$L$204&lt;=AB30))</f>
        <v/>
      </c>
      <c r="AD30">
        <f>SUMPRODUCT(('İş Planı'!$C$5:$C$204&lt;&gt;"")*('İş Planı'!$L$5:$L$204&lt;&gt;"")*('İş Planı'!$L$5:$L$204&lt;=AB30)*('İş Planı'!$N$5:$N$204="Tamamlandı"))</f>
        <v/>
      </c>
      <c r="BB30">
        <f>IF(Listeler!$B30="","",IF(COUNTIF('İş Planı'!$B$5:$B$204,Listeler!$B30)=0,"",ROW()-3))</f>
        <v/>
      </c>
      <c r="BD30">
        <f>IF(Listeler!$D30="","",IF(COUNTIF('İş Planı'!$D$5:$D$204,Listeler!$D30)+COUNTIF('İş Planı'!$E$5:$E$204,Listeler!$D30)+COUNTIF('İş Planı'!$F$5:$F$204,Listeler!$D30)=0,"",ROW()-3))</f>
        <v/>
      </c>
    </row>
    <row r="31">
      <c r="R31">
        <f>IF('İş Planı'!$C31="","",IF('İş Planı'!$N31="Tamamlandı",N('İş Planı'!$K31),MAX(N('İş Planı'!$K31),IF(AND('İş Planı'!$I31&lt;&gt;"",'İş Planı'!$I31&lt;TODAY()),TODAY()-'İş Planı'!$I31,0)))+ROW()/1000000)</f>
        <v/>
      </c>
      <c r="AB31" s="55" t="n">
        <v>46232</v>
      </c>
      <c r="AC31">
        <f>SUMPRODUCT(('İş Planı'!$C$5:$C$204&lt;&gt;"")*('İş Planı'!$L$5:$L$204&lt;&gt;"")*('İş Planı'!$L$5:$L$204&lt;=AB31))</f>
        <v/>
      </c>
      <c r="AD31">
        <f>SUMPRODUCT(('İş Planı'!$C$5:$C$204&lt;&gt;"")*('İş Planı'!$L$5:$L$204&lt;&gt;"")*('İş Planı'!$L$5:$L$204&lt;=AB31)*('İş Planı'!$N$5:$N$204="Tamamlandı"))</f>
        <v/>
      </c>
      <c r="BB31">
        <f>IF(Listeler!$B31="","",IF(COUNTIF('İş Planı'!$B$5:$B$204,Listeler!$B31)=0,"",ROW()-3))</f>
        <v/>
      </c>
      <c r="BD31">
        <f>IF(Listeler!$D31="","",IF(COUNTIF('İş Planı'!$D$5:$D$204,Listeler!$D31)+COUNTIF('İş Planı'!$E$5:$E$204,Listeler!$D31)+COUNTIF('İş Planı'!$F$5:$F$204,Listeler!$D31)=0,"",ROW()-3))</f>
        <v/>
      </c>
    </row>
    <row r="32">
      <c r="R32">
        <f>IF('İş Planı'!$C32="","",IF('İş Planı'!$N32="Tamamlandı",N('İş Planı'!$K32),MAX(N('İş Planı'!$K32),IF(AND('İş Planı'!$I32&lt;&gt;"",'İş Planı'!$I32&lt;TODAY()),TODAY()-'İş Planı'!$I32,0)))+ROW()/1000000)</f>
        <v/>
      </c>
      <c r="AB32" s="55" t="n">
        <v>46239</v>
      </c>
      <c r="AC32">
        <f>SUMPRODUCT(('İş Planı'!$C$5:$C$204&lt;&gt;"")*('İş Planı'!$L$5:$L$204&lt;&gt;"")*('İş Planı'!$L$5:$L$204&lt;=AB32))</f>
        <v/>
      </c>
      <c r="AD32">
        <f>SUMPRODUCT(('İş Planı'!$C$5:$C$204&lt;&gt;"")*('İş Planı'!$L$5:$L$204&lt;&gt;"")*('İş Planı'!$L$5:$L$204&lt;=AB32)*('İş Planı'!$N$5:$N$204="Tamamlandı"))</f>
        <v/>
      </c>
      <c r="BB32">
        <f>IF(Listeler!$B32="","",IF(COUNTIF('İş Planı'!$B$5:$B$204,Listeler!$B32)=0,"",ROW()-3))</f>
        <v/>
      </c>
      <c r="BD32">
        <f>IF(Listeler!$D32="","",IF(COUNTIF('İş Planı'!$D$5:$D$204,Listeler!$D32)+COUNTIF('İş Planı'!$E$5:$E$204,Listeler!$D32)+COUNTIF('İş Planı'!$F$5:$F$204,Listeler!$D32)=0,"",ROW()-3))</f>
        <v/>
      </c>
    </row>
    <row r="33">
      <c r="R33">
        <f>IF('İş Planı'!$C33="","",IF('İş Planı'!$N33="Tamamlandı",N('İş Planı'!$K33),MAX(N('İş Planı'!$K33),IF(AND('İş Planı'!$I33&lt;&gt;"",'İş Planı'!$I33&lt;TODAY()),TODAY()-'İş Planı'!$I33,0)))+ROW()/1000000)</f>
        <v/>
      </c>
      <c r="AB33" s="55" t="n">
        <v>46246</v>
      </c>
      <c r="AC33">
        <f>SUMPRODUCT(('İş Planı'!$C$5:$C$204&lt;&gt;"")*('İş Planı'!$L$5:$L$204&lt;&gt;"")*('İş Planı'!$L$5:$L$204&lt;=AB33))</f>
        <v/>
      </c>
      <c r="AD33">
        <f>SUMPRODUCT(('İş Planı'!$C$5:$C$204&lt;&gt;"")*('İş Planı'!$L$5:$L$204&lt;&gt;"")*('İş Planı'!$L$5:$L$204&lt;=AB33)*('İş Planı'!$N$5:$N$204="Tamamlandı"))</f>
        <v/>
      </c>
      <c r="BB33">
        <f>IF(Listeler!$B33="","",IF(COUNTIF('İş Planı'!$B$5:$B$204,Listeler!$B33)=0,"",ROW()-3))</f>
        <v/>
      </c>
      <c r="BD33">
        <f>IF(Listeler!$D33="","",IF(COUNTIF('İş Planı'!$D$5:$D$204,Listeler!$D33)+COUNTIF('İş Planı'!$E$5:$E$204,Listeler!$D33)+COUNTIF('İş Planı'!$F$5:$F$204,Listeler!$D33)=0,"",ROW()-3))</f>
        <v/>
      </c>
    </row>
    <row r="34">
      <c r="R34">
        <f>IF('İş Planı'!$C34="","",IF('İş Planı'!$N34="Tamamlandı",N('İş Planı'!$K34),MAX(N('İş Planı'!$K34),IF(AND('İş Planı'!$I34&lt;&gt;"",'İş Planı'!$I34&lt;TODAY()),TODAY()-'İş Planı'!$I34,0)))+ROW()/1000000)</f>
        <v/>
      </c>
      <c r="AB34" s="55" t="n">
        <v>46253</v>
      </c>
      <c r="AC34">
        <f>SUMPRODUCT(('İş Planı'!$C$5:$C$204&lt;&gt;"")*('İş Planı'!$L$5:$L$204&lt;&gt;"")*('İş Planı'!$L$5:$L$204&lt;=AB34))</f>
        <v/>
      </c>
      <c r="AD34">
        <f>SUMPRODUCT(('İş Planı'!$C$5:$C$204&lt;&gt;"")*('İş Planı'!$L$5:$L$204&lt;&gt;"")*('İş Planı'!$L$5:$L$204&lt;=AB34)*('İş Planı'!$N$5:$N$204="Tamamlandı"))</f>
        <v/>
      </c>
      <c r="BB34">
        <f>IF(Listeler!$B34="","",IF(COUNTIF('İş Planı'!$B$5:$B$204,Listeler!$B34)=0,"",ROW()-3))</f>
        <v/>
      </c>
      <c r="BD34">
        <f>IF(Listeler!$D34="","",IF(COUNTIF('İş Planı'!$D$5:$D$204,Listeler!$D34)+COUNTIF('İş Planı'!$E$5:$E$204,Listeler!$D34)+COUNTIF('İş Planı'!$F$5:$F$204,Listeler!$D34)=0,"",ROW()-3))</f>
        <v/>
      </c>
    </row>
    <row r="35">
      <c r="R35">
        <f>IF('İş Planı'!$C35="","",IF('İş Planı'!$N35="Tamamlandı",N('İş Planı'!$K35),MAX(N('İş Planı'!$K35),IF(AND('İş Planı'!$I35&lt;&gt;"",'İş Planı'!$I35&lt;TODAY()),TODAY()-'İş Planı'!$I35,0)))+ROW()/1000000)</f>
        <v/>
      </c>
      <c r="AB35" s="55" t="n">
        <v>46260</v>
      </c>
      <c r="AC35">
        <f>SUMPRODUCT(('İş Planı'!$C$5:$C$204&lt;&gt;"")*('İş Planı'!$L$5:$L$204&lt;&gt;"")*('İş Planı'!$L$5:$L$204&lt;=AB35))</f>
        <v/>
      </c>
      <c r="AD35">
        <f>SUMPRODUCT(('İş Planı'!$C$5:$C$204&lt;&gt;"")*('İş Planı'!$L$5:$L$204&lt;&gt;"")*('İş Planı'!$L$5:$L$204&lt;=AB35)*('İş Planı'!$N$5:$N$204="Tamamlandı"))</f>
        <v/>
      </c>
      <c r="BB35">
        <f>IF(Listeler!$B35="","",IF(COUNTIF('İş Planı'!$B$5:$B$204,Listeler!$B35)=0,"",ROW()-3))</f>
        <v/>
      </c>
      <c r="BD35">
        <f>IF(Listeler!$D35="","",IF(COUNTIF('İş Planı'!$D$5:$D$204,Listeler!$D35)+COUNTIF('İş Planı'!$E$5:$E$204,Listeler!$D35)+COUNTIF('İş Planı'!$F$5:$F$204,Listeler!$D35)=0,"",ROW()-3))</f>
        <v/>
      </c>
    </row>
    <row r="36">
      <c r="R36">
        <f>IF('İş Planı'!$C36="","",IF('İş Planı'!$N36="Tamamlandı",N('İş Planı'!$K36),MAX(N('İş Planı'!$K36),IF(AND('İş Planı'!$I36&lt;&gt;"",'İş Planı'!$I36&lt;TODAY()),TODAY()-'İş Planı'!$I36,0)))+ROW()/1000000)</f>
        <v/>
      </c>
      <c r="AB36" s="55" t="n">
        <v>46267</v>
      </c>
      <c r="AC36">
        <f>SUMPRODUCT(('İş Planı'!$C$5:$C$204&lt;&gt;"")*('İş Planı'!$L$5:$L$204&lt;&gt;"")*('İş Planı'!$L$5:$L$204&lt;=AB36))</f>
        <v/>
      </c>
      <c r="AD36">
        <f>SUMPRODUCT(('İş Planı'!$C$5:$C$204&lt;&gt;"")*('İş Planı'!$L$5:$L$204&lt;&gt;"")*('İş Planı'!$L$5:$L$204&lt;=AB36)*('İş Planı'!$N$5:$N$204="Tamamlandı"))</f>
        <v/>
      </c>
      <c r="BB36">
        <f>IF(Listeler!$B36="","",IF(COUNTIF('İş Planı'!$B$5:$B$204,Listeler!$B36)=0,"",ROW()-3))</f>
        <v/>
      </c>
      <c r="BD36">
        <f>IF(Listeler!$D36="","",IF(COUNTIF('İş Planı'!$D$5:$D$204,Listeler!$D36)+COUNTIF('İş Planı'!$E$5:$E$204,Listeler!$D36)+COUNTIF('İş Planı'!$F$5:$F$204,Listeler!$D36)=0,"",ROW()-3))</f>
        <v/>
      </c>
    </row>
    <row r="37">
      <c r="R37">
        <f>IF('İş Planı'!$C37="","",IF('İş Planı'!$N37="Tamamlandı",N('İş Planı'!$K37),MAX(N('İş Planı'!$K37),IF(AND('İş Planı'!$I37&lt;&gt;"",'İş Planı'!$I37&lt;TODAY()),TODAY()-'İş Planı'!$I37,0)))+ROW()/1000000)</f>
        <v/>
      </c>
      <c r="AB37" s="55" t="n">
        <v>46274</v>
      </c>
      <c r="AC37">
        <f>SUMPRODUCT(('İş Planı'!$C$5:$C$204&lt;&gt;"")*('İş Planı'!$L$5:$L$204&lt;&gt;"")*('İş Planı'!$L$5:$L$204&lt;=AB37))</f>
        <v/>
      </c>
      <c r="AD37">
        <f>SUMPRODUCT(('İş Planı'!$C$5:$C$204&lt;&gt;"")*('İş Planı'!$L$5:$L$204&lt;&gt;"")*('İş Planı'!$L$5:$L$204&lt;=AB37)*('İş Planı'!$N$5:$N$204="Tamamlandı"))</f>
        <v/>
      </c>
      <c r="BB37">
        <f>IF(Listeler!$B37="","",IF(COUNTIF('İş Planı'!$B$5:$B$204,Listeler!$B37)=0,"",ROW()-3))</f>
        <v/>
      </c>
      <c r="BD37">
        <f>IF(Listeler!$D37="","",IF(COUNTIF('İş Planı'!$D$5:$D$204,Listeler!$D37)+COUNTIF('İş Planı'!$E$5:$E$204,Listeler!$D37)+COUNTIF('İş Planı'!$F$5:$F$204,Listeler!$D37)=0,"",ROW()-3))</f>
        <v/>
      </c>
    </row>
    <row r="38">
      <c r="R38">
        <f>IF('İş Planı'!$C38="","",IF('İş Planı'!$N38="Tamamlandı",N('İş Planı'!$K38),MAX(N('İş Planı'!$K38),IF(AND('İş Planı'!$I38&lt;&gt;"",'İş Planı'!$I38&lt;TODAY()),TODAY()-'İş Planı'!$I38,0)))+ROW()/1000000)</f>
        <v/>
      </c>
      <c r="AB38" s="55" t="n">
        <v>46281</v>
      </c>
      <c r="AC38">
        <f>SUMPRODUCT(('İş Planı'!$C$5:$C$204&lt;&gt;"")*('İş Planı'!$L$5:$L$204&lt;&gt;"")*('İş Planı'!$L$5:$L$204&lt;=AB38))</f>
        <v/>
      </c>
      <c r="AD38">
        <f>SUMPRODUCT(('İş Planı'!$C$5:$C$204&lt;&gt;"")*('İş Planı'!$L$5:$L$204&lt;&gt;"")*('İş Planı'!$L$5:$L$204&lt;=AB38)*('İş Planı'!$N$5:$N$204="Tamamlandı"))</f>
        <v/>
      </c>
      <c r="BB38">
        <f>IF(Listeler!$B38="","",IF(COUNTIF('İş Planı'!$B$5:$B$204,Listeler!$B38)=0,"",ROW()-3))</f>
        <v/>
      </c>
      <c r="BD38">
        <f>IF(Listeler!$D38="","",IF(COUNTIF('İş Planı'!$D$5:$D$204,Listeler!$D38)+COUNTIF('İş Planı'!$E$5:$E$204,Listeler!$D38)+COUNTIF('İş Planı'!$F$5:$F$204,Listeler!$D38)=0,"",ROW()-3))</f>
        <v/>
      </c>
    </row>
    <row r="39">
      <c r="R39">
        <f>IF('İş Planı'!$C39="","",IF('İş Planı'!$N39="Tamamlandı",N('İş Planı'!$K39),MAX(N('İş Planı'!$K39),IF(AND('İş Planı'!$I39&lt;&gt;"",'İş Planı'!$I39&lt;TODAY()),TODAY()-'İş Planı'!$I39,0)))+ROW()/1000000)</f>
        <v/>
      </c>
      <c r="AB39" s="55" t="n">
        <v>46288</v>
      </c>
      <c r="AC39">
        <f>SUMPRODUCT(('İş Planı'!$C$5:$C$204&lt;&gt;"")*('İş Planı'!$L$5:$L$204&lt;&gt;"")*('İş Planı'!$L$5:$L$204&lt;=AB39))</f>
        <v/>
      </c>
      <c r="AD39">
        <f>SUMPRODUCT(('İş Planı'!$C$5:$C$204&lt;&gt;"")*('İş Planı'!$L$5:$L$204&lt;&gt;"")*('İş Planı'!$L$5:$L$204&lt;=AB39)*('İş Planı'!$N$5:$N$204="Tamamlandı"))</f>
        <v/>
      </c>
      <c r="BB39">
        <f>IF(Listeler!$B39="","",IF(COUNTIF('İş Planı'!$B$5:$B$204,Listeler!$B39)=0,"",ROW()-3))</f>
        <v/>
      </c>
      <c r="BD39">
        <f>IF(Listeler!$D39="","",IF(COUNTIF('İş Planı'!$D$5:$D$204,Listeler!$D39)+COUNTIF('İş Planı'!$E$5:$E$204,Listeler!$D39)+COUNTIF('İş Planı'!$F$5:$F$204,Listeler!$D39)=0,"",ROW()-3))</f>
        <v/>
      </c>
    </row>
    <row r="40">
      <c r="R40">
        <f>IF('İş Planı'!$C40="","",IF('İş Planı'!$N40="Tamamlandı",N('İş Planı'!$K40),MAX(N('İş Planı'!$K40),IF(AND('İş Planı'!$I40&lt;&gt;"",'İş Planı'!$I40&lt;TODAY()),TODAY()-'İş Planı'!$I40,0)))+ROW()/1000000)</f>
        <v/>
      </c>
      <c r="AB40" s="55" t="n">
        <v>46295</v>
      </c>
      <c r="AC40">
        <f>SUMPRODUCT(('İş Planı'!$C$5:$C$204&lt;&gt;"")*('İş Planı'!$L$5:$L$204&lt;&gt;"")*('İş Planı'!$L$5:$L$204&lt;=AB40))</f>
        <v/>
      </c>
      <c r="AD40">
        <f>SUMPRODUCT(('İş Planı'!$C$5:$C$204&lt;&gt;"")*('İş Planı'!$L$5:$L$204&lt;&gt;"")*('İş Planı'!$L$5:$L$204&lt;=AB40)*('İş Planı'!$N$5:$N$204="Tamamlandı"))</f>
        <v/>
      </c>
      <c r="BB40">
        <f>IF(Listeler!$B40="","",IF(COUNTIF('İş Planı'!$B$5:$B$204,Listeler!$B40)=0,"",ROW()-3))</f>
        <v/>
      </c>
      <c r="BD40">
        <f>IF(Listeler!$D40="","",IF(COUNTIF('İş Planı'!$D$5:$D$204,Listeler!$D40)+COUNTIF('İş Planı'!$E$5:$E$204,Listeler!$D40)+COUNTIF('İş Planı'!$F$5:$F$204,Listeler!$D40)=0,"",ROW()-3))</f>
        <v/>
      </c>
    </row>
    <row r="41">
      <c r="R41">
        <f>IF('İş Planı'!$C41="","",IF('İş Planı'!$N41="Tamamlandı",N('İş Planı'!$K41),MAX(N('İş Planı'!$K41),IF(AND('İş Planı'!$I41&lt;&gt;"",'İş Planı'!$I41&lt;TODAY()),TODAY()-'İş Planı'!$I41,0)))+ROW()/1000000)</f>
        <v/>
      </c>
      <c r="AB41" s="55" t="n">
        <v>46302</v>
      </c>
      <c r="AC41">
        <f>SUMPRODUCT(('İş Planı'!$C$5:$C$204&lt;&gt;"")*('İş Planı'!$L$5:$L$204&lt;&gt;"")*('İş Planı'!$L$5:$L$204&lt;=AB41))</f>
        <v/>
      </c>
      <c r="AD41">
        <f>SUMPRODUCT(('İş Planı'!$C$5:$C$204&lt;&gt;"")*('İş Planı'!$L$5:$L$204&lt;&gt;"")*('İş Planı'!$L$5:$L$204&lt;=AB41)*('İş Planı'!$N$5:$N$204="Tamamlandı"))</f>
        <v/>
      </c>
      <c r="BB41">
        <f>IF(Listeler!$B41="","",IF(COUNTIF('İş Planı'!$B$5:$B$204,Listeler!$B41)=0,"",ROW()-3))</f>
        <v/>
      </c>
      <c r="BD41">
        <f>IF(Listeler!$D41="","",IF(COUNTIF('İş Planı'!$D$5:$D$204,Listeler!$D41)+COUNTIF('İş Planı'!$E$5:$E$204,Listeler!$D41)+COUNTIF('İş Planı'!$F$5:$F$204,Listeler!$D41)=0,"",ROW()-3))</f>
        <v/>
      </c>
    </row>
    <row r="42">
      <c r="R42">
        <f>IF('İş Planı'!$C42="","",IF('İş Planı'!$N42="Tamamlandı",N('İş Planı'!$K42),MAX(N('İş Planı'!$K42),IF(AND('İş Planı'!$I42&lt;&gt;"",'İş Planı'!$I42&lt;TODAY()),TODAY()-'İş Planı'!$I42,0)))+ROW()/1000000)</f>
        <v/>
      </c>
      <c r="AB42" s="55" t="n">
        <v>46309</v>
      </c>
      <c r="AC42">
        <f>SUMPRODUCT(('İş Planı'!$C$5:$C$204&lt;&gt;"")*('İş Planı'!$L$5:$L$204&lt;&gt;"")*('İş Planı'!$L$5:$L$204&lt;=AB42))</f>
        <v/>
      </c>
      <c r="AD42">
        <f>SUMPRODUCT(('İş Planı'!$C$5:$C$204&lt;&gt;"")*('İş Planı'!$L$5:$L$204&lt;&gt;"")*('İş Planı'!$L$5:$L$204&lt;=AB42)*('İş Planı'!$N$5:$N$204="Tamamlandı"))</f>
        <v/>
      </c>
      <c r="BB42">
        <f>IF(Listeler!$B42="","",IF(COUNTIF('İş Planı'!$B$5:$B$204,Listeler!$B42)=0,"",ROW()-3))</f>
        <v/>
      </c>
      <c r="BD42">
        <f>IF(Listeler!$D42="","",IF(COUNTIF('İş Planı'!$D$5:$D$204,Listeler!$D42)+COUNTIF('İş Planı'!$E$5:$E$204,Listeler!$D42)+COUNTIF('İş Planı'!$F$5:$F$204,Listeler!$D42)=0,"",ROW()-3))</f>
        <v/>
      </c>
    </row>
    <row r="43">
      <c r="R43">
        <f>IF('İş Planı'!$C43="","",IF('İş Planı'!$N43="Tamamlandı",N('İş Planı'!$K43),MAX(N('İş Planı'!$K43),IF(AND('İş Planı'!$I43&lt;&gt;"",'İş Planı'!$I43&lt;TODAY()),TODAY()-'İş Planı'!$I43,0)))+ROW()/1000000)</f>
        <v/>
      </c>
      <c r="AB43" s="55" t="n">
        <v>46316</v>
      </c>
      <c r="AC43">
        <f>SUMPRODUCT(('İş Planı'!$C$5:$C$204&lt;&gt;"")*('İş Planı'!$L$5:$L$204&lt;&gt;"")*('İş Planı'!$L$5:$L$204&lt;=AB43))</f>
        <v/>
      </c>
      <c r="AD43">
        <f>SUMPRODUCT(('İş Planı'!$C$5:$C$204&lt;&gt;"")*('İş Planı'!$L$5:$L$204&lt;&gt;"")*('İş Planı'!$L$5:$L$204&lt;=AB43)*('İş Planı'!$N$5:$N$204="Tamamlandı"))</f>
        <v/>
      </c>
      <c r="BB43">
        <f>IF(Listeler!$B43="","",IF(COUNTIF('İş Planı'!$B$5:$B$204,Listeler!$B43)=0,"",ROW()-3))</f>
        <v/>
      </c>
      <c r="BD43">
        <f>IF(Listeler!$D43="","",IF(COUNTIF('İş Planı'!$D$5:$D$204,Listeler!$D43)+COUNTIF('İş Planı'!$E$5:$E$204,Listeler!$D43)+COUNTIF('İş Planı'!$F$5:$F$204,Listeler!$D43)=0,"",ROW()-3))</f>
        <v/>
      </c>
    </row>
    <row r="44">
      <c r="R44">
        <f>IF('İş Planı'!$C44="","",IF('İş Planı'!$N44="Tamamlandı",N('İş Planı'!$K44),MAX(N('İş Planı'!$K44),IF(AND('İş Planı'!$I44&lt;&gt;"",'İş Planı'!$I44&lt;TODAY()),TODAY()-'İş Planı'!$I44,0)))+ROW()/1000000)</f>
        <v/>
      </c>
      <c r="AB44" s="55" t="n">
        <v>46323</v>
      </c>
      <c r="AC44">
        <f>SUMPRODUCT(('İş Planı'!$C$5:$C$204&lt;&gt;"")*('İş Planı'!$L$5:$L$204&lt;&gt;"")*('İş Planı'!$L$5:$L$204&lt;=AB44))</f>
        <v/>
      </c>
      <c r="AD44">
        <f>SUMPRODUCT(('İş Planı'!$C$5:$C$204&lt;&gt;"")*('İş Planı'!$L$5:$L$204&lt;&gt;"")*('İş Planı'!$L$5:$L$204&lt;=AB44)*('İş Planı'!$N$5:$N$204="Tamamlandı"))</f>
        <v/>
      </c>
    </row>
    <row r="45">
      <c r="R45">
        <f>IF('İş Planı'!$C45="","",IF('İş Planı'!$N45="Tamamlandı",N('İş Planı'!$K45),MAX(N('İş Planı'!$K45),IF(AND('İş Planı'!$I45&lt;&gt;"",'İş Planı'!$I45&lt;TODAY()),TODAY()-'İş Planı'!$I45,0)))+ROW()/1000000)</f>
        <v/>
      </c>
      <c r="AB45" s="55" t="n">
        <v>46330</v>
      </c>
      <c r="AC45">
        <f>SUMPRODUCT(('İş Planı'!$C$5:$C$204&lt;&gt;"")*('İş Planı'!$L$5:$L$204&lt;&gt;"")*('İş Planı'!$L$5:$L$204&lt;=AB45))</f>
        <v/>
      </c>
      <c r="AD45">
        <f>SUMPRODUCT(('İş Planı'!$C$5:$C$204&lt;&gt;"")*('İş Planı'!$L$5:$L$204&lt;&gt;"")*('İş Planı'!$L$5:$L$204&lt;=AB45)*('İş Planı'!$N$5:$N$204="Tamamlandı"))</f>
        <v/>
      </c>
    </row>
    <row r="46">
      <c r="R46">
        <f>IF('İş Planı'!$C46="","",IF('İş Planı'!$N46="Tamamlandı",N('İş Planı'!$K46),MAX(N('İş Planı'!$K46),IF(AND('İş Planı'!$I46&lt;&gt;"",'İş Planı'!$I46&lt;TODAY()),TODAY()-'İş Planı'!$I46,0)))+ROW()/1000000)</f>
        <v/>
      </c>
      <c r="AB46" s="55" t="n">
        <v>46337</v>
      </c>
      <c r="AC46">
        <f>SUMPRODUCT(('İş Planı'!$C$5:$C$204&lt;&gt;"")*('İş Planı'!$L$5:$L$204&lt;&gt;"")*('İş Planı'!$L$5:$L$204&lt;=AB46))</f>
        <v/>
      </c>
      <c r="AD46">
        <f>SUMPRODUCT(('İş Planı'!$C$5:$C$204&lt;&gt;"")*('İş Planı'!$L$5:$L$204&lt;&gt;"")*('İş Planı'!$L$5:$L$204&lt;=AB46)*('İş Planı'!$N$5:$N$204="Tamamlandı"))</f>
        <v/>
      </c>
    </row>
    <row r="47">
      <c r="R47">
        <f>IF('İş Planı'!$C47="","",IF('İş Planı'!$N47="Tamamlandı",N('İş Planı'!$K47),MAX(N('İş Planı'!$K47),IF(AND('İş Planı'!$I47&lt;&gt;"",'İş Planı'!$I47&lt;TODAY()),TODAY()-'İş Planı'!$I47,0)))+ROW()/1000000)</f>
        <v/>
      </c>
      <c r="AB47" s="55" t="n">
        <v>46344</v>
      </c>
      <c r="AC47">
        <f>SUMPRODUCT(('İş Planı'!$C$5:$C$204&lt;&gt;"")*('İş Planı'!$L$5:$L$204&lt;&gt;"")*('İş Planı'!$L$5:$L$204&lt;=AB47))</f>
        <v/>
      </c>
      <c r="AD47">
        <f>SUMPRODUCT(('İş Planı'!$C$5:$C$204&lt;&gt;"")*('İş Planı'!$L$5:$L$204&lt;&gt;"")*('İş Planı'!$L$5:$L$204&lt;=AB47)*('İş Planı'!$N$5:$N$204="Tamamlandı"))</f>
        <v/>
      </c>
    </row>
    <row r="48">
      <c r="R48">
        <f>IF('İş Planı'!$C48="","",IF('İş Planı'!$N48="Tamamlandı",N('İş Planı'!$K48),MAX(N('İş Planı'!$K48),IF(AND('İş Planı'!$I48&lt;&gt;"",'İş Planı'!$I48&lt;TODAY()),TODAY()-'İş Planı'!$I48,0)))+ROW()/1000000)</f>
        <v/>
      </c>
      <c r="AB48" s="55" t="n">
        <v>46351</v>
      </c>
      <c r="AC48">
        <f>SUMPRODUCT(('İş Planı'!$C$5:$C$204&lt;&gt;"")*('İş Planı'!$L$5:$L$204&lt;&gt;"")*('İş Planı'!$L$5:$L$204&lt;=AB48))</f>
        <v/>
      </c>
      <c r="AD48">
        <f>SUMPRODUCT(('İş Planı'!$C$5:$C$204&lt;&gt;"")*('İş Planı'!$L$5:$L$204&lt;&gt;"")*('İş Planı'!$L$5:$L$204&lt;=AB48)*('İş Planı'!$N$5:$N$204="Tamamlandı"))</f>
        <v/>
      </c>
    </row>
    <row r="49">
      <c r="R49">
        <f>IF('İş Planı'!$C49="","",IF('İş Planı'!$N49="Tamamlandı",N('İş Planı'!$K49),MAX(N('İş Planı'!$K49),IF(AND('İş Planı'!$I49&lt;&gt;"",'İş Planı'!$I49&lt;TODAY()),TODAY()-'İş Planı'!$I49,0)))+ROW()/1000000)</f>
        <v/>
      </c>
      <c r="AB49" s="55" t="n">
        <v>46358</v>
      </c>
      <c r="AC49">
        <f>SUMPRODUCT(('İş Planı'!$C$5:$C$204&lt;&gt;"")*('İş Planı'!$L$5:$L$204&lt;&gt;"")*('İş Planı'!$L$5:$L$204&lt;=AB49))</f>
        <v/>
      </c>
      <c r="AD49">
        <f>SUMPRODUCT(('İş Planı'!$C$5:$C$204&lt;&gt;"")*('İş Planı'!$L$5:$L$204&lt;&gt;"")*('İş Planı'!$L$5:$L$204&lt;=AB49)*('İş Planı'!$N$5:$N$204="Tamamlandı"))</f>
        <v/>
      </c>
    </row>
    <row r="50">
      <c r="R50">
        <f>IF('İş Planı'!$C50="","",IF('İş Planı'!$N50="Tamamlandı",N('İş Planı'!$K50),MAX(N('İş Planı'!$K50),IF(AND('İş Planı'!$I50&lt;&gt;"",'İş Planı'!$I50&lt;TODAY()),TODAY()-'İş Planı'!$I50,0)))+ROW()/1000000)</f>
        <v/>
      </c>
      <c r="AB50" s="55" t="n">
        <v>46365</v>
      </c>
      <c r="AC50">
        <f>SUMPRODUCT(('İş Planı'!$C$5:$C$204&lt;&gt;"")*('İş Planı'!$L$5:$L$204&lt;&gt;"")*('İş Planı'!$L$5:$L$204&lt;=AB50))</f>
        <v/>
      </c>
      <c r="AD50">
        <f>SUMPRODUCT(('İş Planı'!$C$5:$C$204&lt;&gt;"")*('İş Planı'!$L$5:$L$204&lt;&gt;"")*('İş Planı'!$L$5:$L$204&lt;=AB50)*('İş Planı'!$N$5:$N$204="Tamamlandı"))</f>
        <v/>
      </c>
    </row>
    <row r="51">
      <c r="R51">
        <f>IF('İş Planı'!$C51="","",IF('İş Planı'!$N51="Tamamlandı",N('İş Planı'!$K51),MAX(N('İş Planı'!$K51),IF(AND('İş Planı'!$I51&lt;&gt;"",'İş Planı'!$I51&lt;TODAY()),TODAY()-'İş Planı'!$I51,0)))+ROW()/1000000)</f>
        <v/>
      </c>
      <c r="AB51" s="55" t="n">
        <v>46372</v>
      </c>
      <c r="AC51">
        <f>SUMPRODUCT(('İş Planı'!$C$5:$C$204&lt;&gt;"")*('İş Planı'!$L$5:$L$204&lt;&gt;"")*('İş Planı'!$L$5:$L$204&lt;=AB51))</f>
        <v/>
      </c>
      <c r="AD51">
        <f>SUMPRODUCT(('İş Planı'!$C$5:$C$204&lt;&gt;"")*('İş Planı'!$L$5:$L$204&lt;&gt;"")*('İş Planı'!$L$5:$L$204&lt;=AB51)*('İş Planı'!$N$5:$N$204="Tamamlandı"))</f>
        <v/>
      </c>
    </row>
    <row r="52">
      <c r="R52">
        <f>IF('İş Planı'!$C52="","",IF('İş Planı'!$N52="Tamamlandı",N('İş Planı'!$K52),MAX(N('İş Planı'!$K52),IF(AND('İş Planı'!$I52&lt;&gt;"",'İş Planı'!$I52&lt;TODAY()),TODAY()-'İş Planı'!$I52,0)))+ROW()/1000000)</f>
        <v/>
      </c>
      <c r="AB52" s="55" t="n">
        <v>46379</v>
      </c>
      <c r="AC52">
        <f>SUMPRODUCT(('İş Planı'!$C$5:$C$204&lt;&gt;"")*('İş Planı'!$L$5:$L$204&lt;&gt;"")*('İş Planı'!$L$5:$L$204&lt;=AB52))</f>
        <v/>
      </c>
      <c r="AD52">
        <f>SUMPRODUCT(('İş Planı'!$C$5:$C$204&lt;&gt;"")*('İş Planı'!$L$5:$L$204&lt;&gt;"")*('İş Planı'!$L$5:$L$204&lt;=AB52)*('İş Planı'!$N$5:$N$204="Tamamlandı"))</f>
        <v/>
      </c>
    </row>
    <row r="53">
      <c r="R53">
        <f>IF('İş Planı'!$C53="","",IF('İş Planı'!$N53="Tamamlandı",N('İş Planı'!$K53),MAX(N('İş Planı'!$K53),IF(AND('İş Planı'!$I53&lt;&gt;"",'İş Planı'!$I53&lt;TODAY()),TODAY()-'İş Planı'!$I53,0)))+ROW()/1000000)</f>
        <v/>
      </c>
      <c r="AB53" s="55" t="n">
        <v>46386</v>
      </c>
      <c r="AC53">
        <f>SUMPRODUCT(('İş Planı'!$C$5:$C$204&lt;&gt;"")*('İş Planı'!$L$5:$L$204&lt;&gt;"")*('İş Planı'!$L$5:$L$204&lt;=AB53))</f>
        <v/>
      </c>
      <c r="AD53">
        <f>SUMPRODUCT(('İş Planı'!$C$5:$C$204&lt;&gt;"")*('İş Planı'!$L$5:$L$204&lt;&gt;"")*('İş Planı'!$L$5:$L$204&lt;=AB53)*('İş Planı'!$N$5:$N$204="Tamamlandı"))</f>
        <v/>
      </c>
    </row>
    <row r="54">
      <c r="R54">
        <f>IF('İş Planı'!$C54="","",IF('İş Planı'!$N54="Tamamlandı",N('İş Planı'!$K54),MAX(N('İş Planı'!$K54),IF(AND('İş Planı'!$I54&lt;&gt;"",'İş Planı'!$I54&lt;TODAY()),TODAY()-'İş Planı'!$I54,0)))+ROW()/1000000)</f>
        <v/>
      </c>
    </row>
    <row r="55">
      <c r="R55">
        <f>IF('İş Planı'!$C55="","",IF('İş Planı'!$N55="Tamamlandı",N('İş Planı'!$K55),MAX(N('İş Planı'!$K55),IF(AND('İş Planı'!$I55&lt;&gt;"",'İş Planı'!$I55&lt;TODAY()),TODAY()-'İş Planı'!$I55,0)))+ROW()/1000000)</f>
        <v/>
      </c>
    </row>
    <row r="56">
      <c r="R56">
        <f>IF('İş Planı'!$C56="","",IF('İş Planı'!$N56="Tamamlandı",N('İş Planı'!$K56),MAX(N('İş Planı'!$K56),IF(AND('İş Planı'!$I56&lt;&gt;"",'İş Planı'!$I56&lt;TODAY()),TODAY()-'İş Planı'!$I56,0)))+ROW()/1000000)</f>
        <v/>
      </c>
    </row>
    <row r="57">
      <c r="R57">
        <f>IF('İş Planı'!$C57="","",IF('İş Planı'!$N57="Tamamlandı",N('İş Planı'!$K57),MAX(N('İş Planı'!$K57),IF(AND('İş Planı'!$I57&lt;&gt;"",'İş Planı'!$I57&lt;TODAY()),TODAY()-'İş Planı'!$I57,0)))+ROW()/1000000)</f>
        <v/>
      </c>
    </row>
    <row r="58">
      <c r="R58">
        <f>IF('İş Planı'!$C58="","",IF('İş Planı'!$N58="Tamamlandı",N('İş Planı'!$K58),MAX(N('İş Planı'!$K58),IF(AND('İş Planı'!$I58&lt;&gt;"",'İş Planı'!$I58&lt;TODAY()),TODAY()-'İş Planı'!$I58,0)))+ROW()/1000000)</f>
        <v/>
      </c>
    </row>
    <row r="59">
      <c r="R59">
        <f>IF('İş Planı'!$C59="","",IF('İş Planı'!$N59="Tamamlandı",N('İş Planı'!$K59),MAX(N('İş Planı'!$K59),IF(AND('İş Planı'!$I59&lt;&gt;"",'İş Planı'!$I59&lt;TODAY()),TODAY()-'İş Planı'!$I59,0)))+ROW()/1000000)</f>
        <v/>
      </c>
    </row>
    <row r="60">
      <c r="R60">
        <f>IF('İş Planı'!$C60="","",IF('İş Planı'!$N60="Tamamlandı",N('İş Planı'!$K60),MAX(N('İş Planı'!$K60),IF(AND('İş Planı'!$I60&lt;&gt;"",'İş Planı'!$I60&lt;TODAY()),TODAY()-'İş Planı'!$I60,0)))+ROW()/1000000)</f>
        <v/>
      </c>
    </row>
    <row r="61">
      <c r="R61">
        <f>IF('İş Planı'!$C61="","",IF('İş Planı'!$N61="Tamamlandı",N('İş Planı'!$K61),MAX(N('İş Planı'!$K61),IF(AND('İş Planı'!$I61&lt;&gt;"",'İş Planı'!$I61&lt;TODAY()),TODAY()-'İş Planı'!$I61,0)))+ROW()/1000000)</f>
        <v/>
      </c>
    </row>
    <row r="62">
      <c r="R62">
        <f>IF('İş Planı'!$C62="","",IF('İş Planı'!$N62="Tamamlandı",N('İş Planı'!$K62),MAX(N('İş Planı'!$K62),IF(AND('İş Planı'!$I62&lt;&gt;"",'İş Planı'!$I62&lt;TODAY()),TODAY()-'İş Planı'!$I62,0)))+ROW()/1000000)</f>
        <v/>
      </c>
    </row>
    <row r="63">
      <c r="R63">
        <f>IF('İş Planı'!$C63="","",IF('İş Planı'!$N63="Tamamlandı",N('İş Planı'!$K63),MAX(N('İş Planı'!$K63),IF(AND('İş Planı'!$I63&lt;&gt;"",'İş Planı'!$I63&lt;TODAY()),TODAY()-'İş Planı'!$I63,0)))+ROW()/1000000)</f>
        <v/>
      </c>
    </row>
    <row r="64">
      <c r="R64">
        <f>IF('İş Planı'!$C64="","",IF('İş Planı'!$N64="Tamamlandı",N('İş Planı'!$K64),MAX(N('İş Planı'!$K64),IF(AND('İş Planı'!$I64&lt;&gt;"",'İş Planı'!$I64&lt;TODAY()),TODAY()-'İş Planı'!$I64,0)))+ROW()/1000000)</f>
        <v/>
      </c>
    </row>
    <row r="65">
      <c r="R65">
        <f>IF('İş Planı'!$C65="","",IF('İş Planı'!$N65="Tamamlandı",N('İş Planı'!$K65),MAX(N('İş Planı'!$K65),IF(AND('İş Planı'!$I65&lt;&gt;"",'İş Planı'!$I65&lt;TODAY()),TODAY()-'İş Planı'!$I65,0)))+ROW()/1000000)</f>
        <v/>
      </c>
    </row>
    <row r="66">
      <c r="R66">
        <f>IF('İş Planı'!$C66="","",IF('İş Planı'!$N66="Tamamlandı",N('İş Planı'!$K66),MAX(N('İş Planı'!$K66),IF(AND('İş Planı'!$I66&lt;&gt;"",'İş Planı'!$I66&lt;TODAY()),TODAY()-'İş Planı'!$I66,0)))+ROW()/1000000)</f>
        <v/>
      </c>
    </row>
    <row r="67">
      <c r="R67">
        <f>IF('İş Planı'!$C67="","",IF('İş Planı'!$N67="Tamamlandı",N('İş Planı'!$K67),MAX(N('İş Planı'!$K67),IF(AND('İş Planı'!$I67&lt;&gt;"",'İş Planı'!$I67&lt;TODAY()),TODAY()-'İş Planı'!$I67,0)))+ROW()/1000000)</f>
        <v/>
      </c>
    </row>
    <row r="68">
      <c r="R68">
        <f>IF('İş Planı'!$C68="","",IF('İş Planı'!$N68="Tamamlandı",N('İş Planı'!$K68),MAX(N('İş Planı'!$K68),IF(AND('İş Planı'!$I68&lt;&gt;"",'İş Planı'!$I68&lt;TODAY()),TODAY()-'İş Planı'!$I68,0)))+ROW()/1000000)</f>
        <v/>
      </c>
    </row>
    <row r="69">
      <c r="R69">
        <f>IF('İş Planı'!$C69="","",IF('İş Planı'!$N69="Tamamlandı",N('İş Planı'!$K69),MAX(N('İş Planı'!$K69),IF(AND('İş Planı'!$I69&lt;&gt;"",'İş Planı'!$I69&lt;TODAY()),TODAY()-'İş Planı'!$I69,0)))+ROW()/1000000)</f>
        <v/>
      </c>
    </row>
    <row r="70">
      <c r="R70">
        <f>IF('İş Planı'!$C70="","",IF('İş Planı'!$N70="Tamamlandı",N('İş Planı'!$K70),MAX(N('İş Planı'!$K70),IF(AND('İş Planı'!$I70&lt;&gt;"",'İş Planı'!$I70&lt;TODAY()),TODAY()-'İş Planı'!$I70,0)))+ROW()/1000000)</f>
        <v/>
      </c>
    </row>
    <row r="71">
      <c r="R71">
        <f>IF('İş Planı'!$C71="","",IF('İş Planı'!$N71="Tamamlandı",N('İş Planı'!$K71),MAX(N('İş Planı'!$K71),IF(AND('İş Planı'!$I71&lt;&gt;"",'İş Planı'!$I71&lt;TODAY()),TODAY()-'İş Planı'!$I71,0)))+ROW()/1000000)</f>
        <v/>
      </c>
    </row>
    <row r="72">
      <c r="R72">
        <f>IF('İş Planı'!$C72="","",IF('İş Planı'!$N72="Tamamlandı",N('İş Planı'!$K72),MAX(N('İş Planı'!$K72),IF(AND('İş Planı'!$I72&lt;&gt;"",'İş Planı'!$I72&lt;TODAY()),TODAY()-'İş Planı'!$I72,0)))+ROW()/1000000)</f>
        <v/>
      </c>
    </row>
    <row r="73">
      <c r="R73">
        <f>IF('İş Planı'!$C73="","",IF('İş Planı'!$N73="Tamamlandı",N('İş Planı'!$K73),MAX(N('İş Planı'!$K73),IF(AND('İş Planı'!$I73&lt;&gt;"",'İş Planı'!$I73&lt;TODAY()),TODAY()-'İş Planı'!$I73,0)))+ROW()/1000000)</f>
        <v/>
      </c>
    </row>
    <row r="74">
      <c r="R74">
        <f>IF('İş Planı'!$C74="","",IF('İş Planı'!$N74="Tamamlandı",N('İş Planı'!$K74),MAX(N('İş Planı'!$K74),IF(AND('İş Planı'!$I74&lt;&gt;"",'İş Planı'!$I74&lt;TODAY()),TODAY()-'İş Planı'!$I74,0)))+ROW()/1000000)</f>
        <v/>
      </c>
    </row>
    <row r="75">
      <c r="R75">
        <f>IF('İş Planı'!$C75="","",IF('İş Planı'!$N75="Tamamlandı",N('İş Planı'!$K75),MAX(N('İş Planı'!$K75),IF(AND('İş Planı'!$I75&lt;&gt;"",'İş Planı'!$I75&lt;TODAY()),TODAY()-'İş Planı'!$I75,0)))+ROW()/1000000)</f>
        <v/>
      </c>
    </row>
    <row r="76">
      <c r="R76">
        <f>IF('İş Planı'!$C76="","",IF('İş Planı'!$N76="Tamamlandı",N('İş Planı'!$K76),MAX(N('İş Planı'!$K76),IF(AND('İş Planı'!$I76&lt;&gt;"",'İş Planı'!$I76&lt;TODAY()),TODAY()-'İş Planı'!$I76,0)))+ROW()/1000000)</f>
        <v/>
      </c>
    </row>
    <row r="77">
      <c r="R77">
        <f>IF('İş Planı'!$C77="","",IF('İş Planı'!$N77="Tamamlandı",N('İş Planı'!$K77),MAX(N('İş Planı'!$K77),IF(AND('İş Planı'!$I77&lt;&gt;"",'İş Planı'!$I77&lt;TODAY()),TODAY()-'İş Planı'!$I77,0)))+ROW()/1000000)</f>
        <v/>
      </c>
    </row>
    <row r="78">
      <c r="R78">
        <f>IF('İş Planı'!$C78="","",IF('İş Planı'!$N78="Tamamlandı",N('İş Planı'!$K78),MAX(N('İş Planı'!$K78),IF(AND('İş Planı'!$I78&lt;&gt;"",'İş Planı'!$I78&lt;TODAY()),TODAY()-'İş Planı'!$I78,0)))+ROW()/1000000)</f>
        <v/>
      </c>
    </row>
    <row r="79">
      <c r="R79">
        <f>IF('İş Planı'!$C79="","",IF('İş Planı'!$N79="Tamamlandı",N('İş Planı'!$K79),MAX(N('İş Planı'!$K79),IF(AND('İş Planı'!$I79&lt;&gt;"",'İş Planı'!$I79&lt;TODAY()),TODAY()-'İş Planı'!$I79,0)))+ROW()/1000000)</f>
        <v/>
      </c>
    </row>
    <row r="80">
      <c r="R80">
        <f>IF('İş Planı'!$C80="","",IF('İş Planı'!$N80="Tamamlandı",N('İş Planı'!$K80),MAX(N('İş Planı'!$K80),IF(AND('İş Planı'!$I80&lt;&gt;"",'İş Planı'!$I80&lt;TODAY()),TODAY()-'İş Planı'!$I80,0)))+ROW()/1000000)</f>
        <v/>
      </c>
    </row>
    <row r="81">
      <c r="R81">
        <f>IF('İş Planı'!$C81="","",IF('İş Planı'!$N81="Tamamlandı",N('İş Planı'!$K81),MAX(N('İş Planı'!$K81),IF(AND('İş Planı'!$I81&lt;&gt;"",'İş Planı'!$I81&lt;TODAY()),TODAY()-'İş Planı'!$I81,0)))+ROW()/1000000)</f>
        <v/>
      </c>
    </row>
    <row r="82">
      <c r="R82">
        <f>IF('İş Planı'!$C82="","",IF('İş Planı'!$N82="Tamamlandı",N('İş Planı'!$K82),MAX(N('İş Planı'!$K82),IF(AND('İş Planı'!$I82&lt;&gt;"",'İş Planı'!$I82&lt;TODAY()),TODAY()-'İş Planı'!$I82,0)))+ROW()/1000000)</f>
        <v/>
      </c>
    </row>
    <row r="83">
      <c r="R83">
        <f>IF('İş Planı'!$C83="","",IF('İş Planı'!$N83="Tamamlandı",N('İş Planı'!$K83),MAX(N('İş Planı'!$K83),IF(AND('İş Planı'!$I83&lt;&gt;"",'İş Planı'!$I83&lt;TODAY()),TODAY()-'İş Planı'!$I83,0)))+ROW()/1000000)</f>
        <v/>
      </c>
    </row>
    <row r="84">
      <c r="R84">
        <f>IF('İş Planı'!$C84="","",IF('İş Planı'!$N84="Tamamlandı",N('İş Planı'!$K84),MAX(N('İş Planı'!$K84),IF(AND('İş Planı'!$I84&lt;&gt;"",'İş Planı'!$I84&lt;TODAY()),TODAY()-'İş Planı'!$I84,0)))+ROW()/1000000)</f>
        <v/>
      </c>
    </row>
    <row r="85">
      <c r="R85">
        <f>IF('İş Planı'!$C85="","",IF('İş Planı'!$N85="Tamamlandı",N('İş Planı'!$K85),MAX(N('İş Planı'!$K85),IF(AND('İş Planı'!$I85&lt;&gt;"",'İş Planı'!$I85&lt;TODAY()),TODAY()-'İş Planı'!$I85,0)))+ROW()/1000000)</f>
        <v/>
      </c>
    </row>
    <row r="86">
      <c r="R86">
        <f>IF('İş Planı'!$C86="","",IF('İş Planı'!$N86="Tamamlandı",N('İş Planı'!$K86),MAX(N('İş Planı'!$K86),IF(AND('İş Planı'!$I86&lt;&gt;"",'İş Planı'!$I86&lt;TODAY()),TODAY()-'İş Planı'!$I86,0)))+ROW()/1000000)</f>
        <v/>
      </c>
    </row>
    <row r="87">
      <c r="R87">
        <f>IF('İş Planı'!$C87="","",IF('İş Planı'!$N87="Tamamlandı",N('İş Planı'!$K87),MAX(N('İş Planı'!$K87),IF(AND('İş Planı'!$I87&lt;&gt;"",'İş Planı'!$I87&lt;TODAY()),TODAY()-'İş Planı'!$I87,0)))+ROW()/1000000)</f>
        <v/>
      </c>
    </row>
    <row r="88">
      <c r="R88">
        <f>IF('İş Planı'!$C88="","",IF('İş Planı'!$N88="Tamamlandı",N('İş Planı'!$K88),MAX(N('İş Planı'!$K88),IF(AND('İş Planı'!$I88&lt;&gt;"",'İş Planı'!$I88&lt;TODAY()),TODAY()-'İş Planı'!$I88,0)))+ROW()/1000000)</f>
        <v/>
      </c>
    </row>
    <row r="89">
      <c r="R89">
        <f>IF('İş Planı'!$C89="","",IF('İş Planı'!$N89="Tamamlandı",N('İş Planı'!$K89),MAX(N('İş Planı'!$K89),IF(AND('İş Planı'!$I89&lt;&gt;"",'İş Planı'!$I89&lt;TODAY()),TODAY()-'İş Planı'!$I89,0)))+ROW()/1000000)</f>
        <v/>
      </c>
    </row>
    <row r="90">
      <c r="R90">
        <f>IF('İş Planı'!$C90="","",IF('İş Planı'!$N90="Tamamlandı",N('İş Planı'!$K90),MAX(N('İş Planı'!$K90),IF(AND('İş Planı'!$I90&lt;&gt;"",'İş Planı'!$I90&lt;TODAY()),TODAY()-'İş Planı'!$I90,0)))+ROW()/1000000)</f>
        <v/>
      </c>
    </row>
    <row r="91">
      <c r="R91">
        <f>IF('İş Planı'!$C91="","",IF('İş Planı'!$N91="Tamamlandı",N('İş Planı'!$K91),MAX(N('İş Planı'!$K91),IF(AND('İş Planı'!$I91&lt;&gt;"",'İş Planı'!$I91&lt;TODAY()),TODAY()-'İş Planı'!$I91,0)))+ROW()/1000000)</f>
        <v/>
      </c>
    </row>
    <row r="92">
      <c r="R92">
        <f>IF('İş Planı'!$C92="","",IF('İş Planı'!$N92="Tamamlandı",N('İş Planı'!$K92),MAX(N('İş Planı'!$K92),IF(AND('İş Planı'!$I92&lt;&gt;"",'İş Planı'!$I92&lt;TODAY()),TODAY()-'İş Planı'!$I92,0)))+ROW()/1000000)</f>
        <v/>
      </c>
    </row>
    <row r="93">
      <c r="R93">
        <f>IF('İş Planı'!$C93="","",IF('İş Planı'!$N93="Tamamlandı",N('İş Planı'!$K93),MAX(N('İş Planı'!$K93),IF(AND('İş Planı'!$I93&lt;&gt;"",'İş Planı'!$I93&lt;TODAY()),TODAY()-'İş Planı'!$I93,0)))+ROW()/1000000)</f>
        <v/>
      </c>
    </row>
    <row r="94">
      <c r="R94">
        <f>IF('İş Planı'!$C94="","",IF('İş Planı'!$N94="Tamamlandı",N('İş Planı'!$K94),MAX(N('İş Planı'!$K94),IF(AND('İş Planı'!$I94&lt;&gt;"",'İş Planı'!$I94&lt;TODAY()),TODAY()-'İş Planı'!$I94,0)))+ROW()/1000000)</f>
        <v/>
      </c>
    </row>
    <row r="95">
      <c r="R95">
        <f>IF('İş Planı'!$C95="","",IF('İş Planı'!$N95="Tamamlandı",N('İş Planı'!$K95),MAX(N('İş Planı'!$K95),IF(AND('İş Planı'!$I95&lt;&gt;"",'İş Planı'!$I95&lt;TODAY()),TODAY()-'İş Planı'!$I95,0)))+ROW()/1000000)</f>
        <v/>
      </c>
    </row>
    <row r="96">
      <c r="R96">
        <f>IF('İş Planı'!$C96="","",IF('İş Planı'!$N96="Tamamlandı",N('İş Planı'!$K96),MAX(N('İş Planı'!$K96),IF(AND('İş Planı'!$I96&lt;&gt;"",'İş Planı'!$I96&lt;TODAY()),TODAY()-'İş Planı'!$I96,0)))+ROW()/1000000)</f>
        <v/>
      </c>
    </row>
    <row r="97">
      <c r="R97">
        <f>IF('İş Planı'!$C97="","",IF('İş Planı'!$N97="Tamamlandı",N('İş Planı'!$K97),MAX(N('İş Planı'!$K97),IF(AND('İş Planı'!$I97&lt;&gt;"",'İş Planı'!$I97&lt;TODAY()),TODAY()-'İş Planı'!$I97,0)))+ROW()/1000000)</f>
        <v/>
      </c>
    </row>
    <row r="98">
      <c r="R98">
        <f>IF('İş Planı'!$C98="","",IF('İş Planı'!$N98="Tamamlandı",N('İş Planı'!$K98),MAX(N('İş Planı'!$K98),IF(AND('İş Planı'!$I98&lt;&gt;"",'İş Planı'!$I98&lt;TODAY()),TODAY()-'İş Planı'!$I98,0)))+ROW()/1000000)</f>
        <v/>
      </c>
    </row>
    <row r="99">
      <c r="R99">
        <f>IF('İş Planı'!$C99="","",IF('İş Planı'!$N99="Tamamlandı",N('İş Planı'!$K99),MAX(N('İş Planı'!$K99),IF(AND('İş Planı'!$I99&lt;&gt;"",'İş Planı'!$I99&lt;TODAY()),TODAY()-'İş Planı'!$I99,0)))+ROW()/1000000)</f>
        <v/>
      </c>
    </row>
    <row r="100">
      <c r="R100">
        <f>IF('İş Planı'!$C100="","",IF('İş Planı'!$N100="Tamamlandı",N('İş Planı'!$K100),MAX(N('İş Planı'!$K100),IF(AND('İş Planı'!$I100&lt;&gt;"",'İş Planı'!$I100&lt;TODAY()),TODAY()-'İş Planı'!$I100,0)))+ROW()/1000000)</f>
        <v/>
      </c>
    </row>
    <row r="101">
      <c r="R101">
        <f>IF('İş Planı'!$C101="","",IF('İş Planı'!$N101="Tamamlandı",N('İş Planı'!$K101),MAX(N('İş Planı'!$K101),IF(AND('İş Planı'!$I101&lt;&gt;"",'İş Planı'!$I101&lt;TODAY()),TODAY()-'İş Planı'!$I101,0)))+ROW()/1000000)</f>
        <v/>
      </c>
    </row>
    <row r="102">
      <c r="R102">
        <f>IF('İş Planı'!$C102="","",IF('İş Planı'!$N102="Tamamlandı",N('İş Planı'!$K102),MAX(N('İş Planı'!$K102),IF(AND('İş Planı'!$I102&lt;&gt;"",'İş Planı'!$I102&lt;TODAY()),TODAY()-'İş Planı'!$I102,0)))+ROW()/1000000)</f>
        <v/>
      </c>
    </row>
    <row r="103">
      <c r="R103">
        <f>IF('İş Planı'!$C103="","",IF('İş Planı'!$N103="Tamamlandı",N('İş Planı'!$K103),MAX(N('İş Planı'!$K103),IF(AND('İş Planı'!$I103&lt;&gt;"",'İş Planı'!$I103&lt;TODAY()),TODAY()-'İş Planı'!$I103,0)))+ROW()/1000000)</f>
        <v/>
      </c>
    </row>
    <row r="104">
      <c r="R104">
        <f>IF('İş Planı'!$C104="","",IF('İş Planı'!$N104="Tamamlandı",N('İş Planı'!$K104),MAX(N('İş Planı'!$K104),IF(AND('İş Planı'!$I104&lt;&gt;"",'İş Planı'!$I104&lt;TODAY()),TODAY()-'İş Planı'!$I104,0)))+ROW()/1000000)</f>
        <v/>
      </c>
    </row>
    <row r="105">
      <c r="R105">
        <f>IF('İş Planı'!$C105="","",IF('İş Planı'!$N105="Tamamlandı",N('İş Planı'!$K105),MAX(N('İş Planı'!$K105),IF(AND('İş Planı'!$I105&lt;&gt;"",'İş Planı'!$I105&lt;TODAY()),TODAY()-'İş Planı'!$I105,0)))+ROW()/1000000)</f>
        <v/>
      </c>
    </row>
    <row r="106">
      <c r="R106">
        <f>IF('İş Planı'!$C106="","",IF('İş Planı'!$N106="Tamamlandı",N('İş Planı'!$K106),MAX(N('İş Planı'!$K106),IF(AND('İş Planı'!$I106&lt;&gt;"",'İş Planı'!$I106&lt;TODAY()),TODAY()-'İş Planı'!$I106,0)))+ROW()/1000000)</f>
        <v/>
      </c>
    </row>
    <row r="107">
      <c r="R107">
        <f>IF('İş Planı'!$C107="","",IF('İş Planı'!$N107="Tamamlandı",N('İş Planı'!$K107),MAX(N('İş Planı'!$K107),IF(AND('İş Planı'!$I107&lt;&gt;"",'İş Planı'!$I107&lt;TODAY()),TODAY()-'İş Planı'!$I107,0)))+ROW()/1000000)</f>
        <v/>
      </c>
    </row>
    <row r="108">
      <c r="R108">
        <f>IF('İş Planı'!$C108="","",IF('İş Planı'!$N108="Tamamlandı",N('İş Planı'!$K108),MAX(N('İş Planı'!$K108),IF(AND('İş Planı'!$I108&lt;&gt;"",'İş Planı'!$I108&lt;TODAY()),TODAY()-'İş Planı'!$I108,0)))+ROW()/1000000)</f>
        <v/>
      </c>
    </row>
    <row r="109">
      <c r="R109">
        <f>IF('İş Planı'!$C109="","",IF('İş Planı'!$N109="Tamamlandı",N('İş Planı'!$K109),MAX(N('İş Planı'!$K109),IF(AND('İş Planı'!$I109&lt;&gt;"",'İş Planı'!$I109&lt;TODAY()),TODAY()-'İş Planı'!$I109,0)))+ROW()/1000000)</f>
        <v/>
      </c>
    </row>
    <row r="110">
      <c r="R110">
        <f>IF('İş Planı'!$C110="","",IF('İş Planı'!$N110="Tamamlandı",N('İş Planı'!$K110),MAX(N('İş Planı'!$K110),IF(AND('İş Planı'!$I110&lt;&gt;"",'İş Planı'!$I110&lt;TODAY()),TODAY()-'İş Planı'!$I110,0)))+ROW()/1000000)</f>
        <v/>
      </c>
    </row>
    <row r="111">
      <c r="R111">
        <f>IF('İş Planı'!$C111="","",IF('İş Planı'!$N111="Tamamlandı",N('İş Planı'!$K111),MAX(N('İş Planı'!$K111),IF(AND('İş Planı'!$I111&lt;&gt;"",'İş Planı'!$I111&lt;TODAY()),TODAY()-'İş Planı'!$I111,0)))+ROW()/1000000)</f>
        <v/>
      </c>
    </row>
    <row r="112">
      <c r="R112">
        <f>IF('İş Planı'!$C112="","",IF('İş Planı'!$N112="Tamamlandı",N('İş Planı'!$K112),MAX(N('İş Planı'!$K112),IF(AND('İş Planı'!$I112&lt;&gt;"",'İş Planı'!$I112&lt;TODAY()),TODAY()-'İş Planı'!$I112,0)))+ROW()/1000000)</f>
        <v/>
      </c>
    </row>
    <row r="113">
      <c r="R113">
        <f>IF('İş Planı'!$C113="","",IF('İş Planı'!$N113="Tamamlandı",N('İş Planı'!$K113),MAX(N('İş Planı'!$K113),IF(AND('İş Planı'!$I113&lt;&gt;"",'İş Planı'!$I113&lt;TODAY()),TODAY()-'İş Planı'!$I113,0)))+ROW()/1000000)</f>
        <v/>
      </c>
    </row>
    <row r="114">
      <c r="R114">
        <f>IF('İş Planı'!$C114="","",IF('İş Planı'!$N114="Tamamlandı",N('İş Planı'!$K114),MAX(N('İş Planı'!$K114),IF(AND('İş Planı'!$I114&lt;&gt;"",'İş Planı'!$I114&lt;TODAY()),TODAY()-'İş Planı'!$I114,0)))+ROW()/1000000)</f>
        <v/>
      </c>
    </row>
    <row r="115">
      <c r="R115">
        <f>IF('İş Planı'!$C115="","",IF('İş Planı'!$N115="Tamamlandı",N('İş Planı'!$K115),MAX(N('İş Planı'!$K115),IF(AND('İş Planı'!$I115&lt;&gt;"",'İş Planı'!$I115&lt;TODAY()),TODAY()-'İş Planı'!$I115,0)))+ROW()/1000000)</f>
        <v/>
      </c>
    </row>
    <row r="116">
      <c r="R116">
        <f>IF('İş Planı'!$C116="","",IF('İş Planı'!$N116="Tamamlandı",N('İş Planı'!$K116),MAX(N('İş Planı'!$K116),IF(AND('İş Planı'!$I116&lt;&gt;"",'İş Planı'!$I116&lt;TODAY()),TODAY()-'İş Planı'!$I116,0)))+ROW()/1000000)</f>
        <v/>
      </c>
    </row>
    <row r="117">
      <c r="R117">
        <f>IF('İş Planı'!$C117="","",IF('İş Planı'!$N117="Tamamlandı",N('İş Planı'!$K117),MAX(N('İş Planı'!$K117),IF(AND('İş Planı'!$I117&lt;&gt;"",'İş Planı'!$I117&lt;TODAY()),TODAY()-'İş Planı'!$I117,0)))+ROW()/1000000)</f>
        <v/>
      </c>
    </row>
    <row r="118">
      <c r="R118">
        <f>IF('İş Planı'!$C118="","",IF('İş Planı'!$N118="Tamamlandı",N('İş Planı'!$K118),MAX(N('İş Planı'!$K118),IF(AND('İş Planı'!$I118&lt;&gt;"",'İş Planı'!$I118&lt;TODAY()),TODAY()-'İş Planı'!$I118,0)))+ROW()/1000000)</f>
        <v/>
      </c>
    </row>
    <row r="119">
      <c r="R119">
        <f>IF('İş Planı'!$C119="","",IF('İş Planı'!$N119="Tamamlandı",N('İş Planı'!$K119),MAX(N('İş Planı'!$K119),IF(AND('İş Planı'!$I119&lt;&gt;"",'İş Planı'!$I119&lt;TODAY()),TODAY()-'İş Planı'!$I119,0)))+ROW()/1000000)</f>
        <v/>
      </c>
    </row>
    <row r="120">
      <c r="R120">
        <f>IF('İş Planı'!$C120="","",IF('İş Planı'!$N120="Tamamlandı",N('İş Planı'!$K120),MAX(N('İş Planı'!$K120),IF(AND('İş Planı'!$I120&lt;&gt;"",'İş Planı'!$I120&lt;TODAY()),TODAY()-'İş Planı'!$I120,0)))+ROW()/1000000)</f>
        <v/>
      </c>
    </row>
    <row r="121">
      <c r="R121">
        <f>IF('İş Planı'!$C121="","",IF('İş Planı'!$N121="Tamamlandı",N('İş Planı'!$K121),MAX(N('İş Planı'!$K121),IF(AND('İş Planı'!$I121&lt;&gt;"",'İş Planı'!$I121&lt;TODAY()),TODAY()-'İş Planı'!$I121,0)))+ROW()/1000000)</f>
        <v/>
      </c>
    </row>
    <row r="122">
      <c r="R122">
        <f>IF('İş Planı'!$C122="","",IF('İş Planı'!$N122="Tamamlandı",N('İş Planı'!$K122),MAX(N('İş Planı'!$K122),IF(AND('İş Planı'!$I122&lt;&gt;"",'İş Planı'!$I122&lt;TODAY()),TODAY()-'İş Planı'!$I122,0)))+ROW()/1000000)</f>
        <v/>
      </c>
    </row>
    <row r="123">
      <c r="R123">
        <f>IF('İş Planı'!$C123="","",IF('İş Planı'!$N123="Tamamlandı",N('İş Planı'!$K123),MAX(N('İş Planı'!$K123),IF(AND('İş Planı'!$I123&lt;&gt;"",'İş Planı'!$I123&lt;TODAY()),TODAY()-'İş Planı'!$I123,0)))+ROW()/1000000)</f>
        <v/>
      </c>
    </row>
    <row r="124">
      <c r="R124">
        <f>IF('İş Planı'!$C124="","",IF('İş Planı'!$N124="Tamamlandı",N('İş Planı'!$K124),MAX(N('İş Planı'!$K124),IF(AND('İş Planı'!$I124&lt;&gt;"",'İş Planı'!$I124&lt;TODAY()),TODAY()-'İş Planı'!$I124,0)))+ROW()/1000000)</f>
        <v/>
      </c>
    </row>
    <row r="125">
      <c r="R125">
        <f>IF('İş Planı'!$C125="","",IF('İş Planı'!$N125="Tamamlandı",N('İş Planı'!$K125),MAX(N('İş Planı'!$K125),IF(AND('İş Planı'!$I125&lt;&gt;"",'İş Planı'!$I125&lt;TODAY()),TODAY()-'İş Planı'!$I125,0)))+ROW()/1000000)</f>
        <v/>
      </c>
    </row>
    <row r="126">
      <c r="R126">
        <f>IF('İş Planı'!$C126="","",IF('İş Planı'!$N126="Tamamlandı",N('İş Planı'!$K126),MAX(N('İş Planı'!$K126),IF(AND('İş Planı'!$I126&lt;&gt;"",'İş Planı'!$I126&lt;TODAY()),TODAY()-'İş Planı'!$I126,0)))+ROW()/1000000)</f>
        <v/>
      </c>
    </row>
    <row r="127">
      <c r="R127">
        <f>IF('İş Planı'!$C127="","",IF('İş Planı'!$N127="Tamamlandı",N('İş Planı'!$K127),MAX(N('İş Planı'!$K127),IF(AND('İş Planı'!$I127&lt;&gt;"",'İş Planı'!$I127&lt;TODAY()),TODAY()-'İş Planı'!$I127,0)))+ROW()/1000000)</f>
        <v/>
      </c>
    </row>
    <row r="128">
      <c r="R128">
        <f>IF('İş Planı'!$C128="","",IF('İş Planı'!$N128="Tamamlandı",N('İş Planı'!$K128),MAX(N('İş Planı'!$K128),IF(AND('İş Planı'!$I128&lt;&gt;"",'İş Planı'!$I128&lt;TODAY()),TODAY()-'İş Planı'!$I128,0)))+ROW()/1000000)</f>
        <v/>
      </c>
    </row>
    <row r="129">
      <c r="R129">
        <f>IF('İş Planı'!$C129="","",IF('İş Planı'!$N129="Tamamlandı",N('İş Planı'!$K129),MAX(N('İş Planı'!$K129),IF(AND('İş Planı'!$I129&lt;&gt;"",'İş Planı'!$I129&lt;TODAY()),TODAY()-'İş Planı'!$I129,0)))+ROW()/1000000)</f>
        <v/>
      </c>
    </row>
    <row r="130">
      <c r="R130">
        <f>IF('İş Planı'!$C130="","",IF('İş Planı'!$N130="Tamamlandı",N('İş Planı'!$K130),MAX(N('İş Planı'!$K130),IF(AND('İş Planı'!$I130&lt;&gt;"",'İş Planı'!$I130&lt;TODAY()),TODAY()-'İş Planı'!$I130,0)))+ROW()/1000000)</f>
        <v/>
      </c>
    </row>
    <row r="131">
      <c r="R131">
        <f>IF('İş Planı'!$C131="","",IF('İş Planı'!$N131="Tamamlandı",N('İş Planı'!$K131),MAX(N('İş Planı'!$K131),IF(AND('İş Planı'!$I131&lt;&gt;"",'İş Planı'!$I131&lt;TODAY()),TODAY()-'İş Planı'!$I131,0)))+ROW()/1000000)</f>
        <v/>
      </c>
    </row>
    <row r="132">
      <c r="R132">
        <f>IF('İş Planı'!$C132="","",IF('İş Planı'!$N132="Tamamlandı",N('İş Planı'!$K132),MAX(N('İş Planı'!$K132),IF(AND('İş Planı'!$I132&lt;&gt;"",'İş Planı'!$I132&lt;TODAY()),TODAY()-'İş Planı'!$I132,0)))+ROW()/1000000)</f>
        <v/>
      </c>
    </row>
    <row r="133">
      <c r="R133">
        <f>IF('İş Planı'!$C133="","",IF('İş Planı'!$N133="Tamamlandı",N('İş Planı'!$K133),MAX(N('İş Planı'!$K133),IF(AND('İş Planı'!$I133&lt;&gt;"",'İş Planı'!$I133&lt;TODAY()),TODAY()-'İş Planı'!$I133,0)))+ROW()/1000000)</f>
        <v/>
      </c>
    </row>
    <row r="134">
      <c r="R134">
        <f>IF('İş Planı'!$C134="","",IF('İş Planı'!$N134="Tamamlandı",N('İş Planı'!$K134),MAX(N('İş Planı'!$K134),IF(AND('İş Planı'!$I134&lt;&gt;"",'İş Planı'!$I134&lt;TODAY()),TODAY()-'İş Planı'!$I134,0)))+ROW()/1000000)</f>
        <v/>
      </c>
    </row>
    <row r="135">
      <c r="R135">
        <f>IF('İş Planı'!$C135="","",IF('İş Planı'!$N135="Tamamlandı",N('İş Planı'!$K135),MAX(N('İş Planı'!$K135),IF(AND('İş Planı'!$I135&lt;&gt;"",'İş Planı'!$I135&lt;TODAY()),TODAY()-'İş Planı'!$I135,0)))+ROW()/1000000)</f>
        <v/>
      </c>
    </row>
    <row r="136">
      <c r="R136">
        <f>IF('İş Planı'!$C136="","",IF('İş Planı'!$N136="Tamamlandı",N('İş Planı'!$K136),MAX(N('İş Planı'!$K136),IF(AND('İş Planı'!$I136&lt;&gt;"",'İş Planı'!$I136&lt;TODAY()),TODAY()-'İş Planı'!$I136,0)))+ROW()/1000000)</f>
        <v/>
      </c>
    </row>
    <row r="137">
      <c r="R137">
        <f>IF('İş Planı'!$C137="","",IF('İş Planı'!$N137="Tamamlandı",N('İş Planı'!$K137),MAX(N('İş Planı'!$K137),IF(AND('İş Planı'!$I137&lt;&gt;"",'İş Planı'!$I137&lt;TODAY()),TODAY()-'İş Planı'!$I137,0)))+ROW()/1000000)</f>
        <v/>
      </c>
    </row>
    <row r="138">
      <c r="R138">
        <f>IF('İş Planı'!$C138="","",IF('İş Planı'!$N138="Tamamlandı",N('İş Planı'!$K138),MAX(N('İş Planı'!$K138),IF(AND('İş Planı'!$I138&lt;&gt;"",'İş Planı'!$I138&lt;TODAY()),TODAY()-'İş Planı'!$I138,0)))+ROW()/1000000)</f>
        <v/>
      </c>
    </row>
    <row r="139">
      <c r="R139">
        <f>IF('İş Planı'!$C139="","",IF('İş Planı'!$N139="Tamamlandı",N('İş Planı'!$K139),MAX(N('İş Planı'!$K139),IF(AND('İş Planı'!$I139&lt;&gt;"",'İş Planı'!$I139&lt;TODAY()),TODAY()-'İş Planı'!$I139,0)))+ROW()/1000000)</f>
        <v/>
      </c>
    </row>
    <row r="140">
      <c r="R140">
        <f>IF('İş Planı'!$C140="","",IF('İş Planı'!$N140="Tamamlandı",N('İş Planı'!$K140),MAX(N('İş Planı'!$K140),IF(AND('İş Planı'!$I140&lt;&gt;"",'İş Planı'!$I140&lt;TODAY()),TODAY()-'İş Planı'!$I140,0)))+ROW()/1000000)</f>
        <v/>
      </c>
    </row>
    <row r="141">
      <c r="R141">
        <f>IF('İş Planı'!$C141="","",IF('İş Planı'!$N141="Tamamlandı",N('İş Planı'!$K141),MAX(N('İş Planı'!$K141),IF(AND('İş Planı'!$I141&lt;&gt;"",'İş Planı'!$I141&lt;TODAY()),TODAY()-'İş Planı'!$I141,0)))+ROW()/1000000)</f>
        <v/>
      </c>
    </row>
    <row r="142">
      <c r="R142">
        <f>IF('İş Planı'!$C142="","",IF('İş Planı'!$N142="Tamamlandı",N('İş Planı'!$K142),MAX(N('İş Planı'!$K142),IF(AND('İş Planı'!$I142&lt;&gt;"",'İş Planı'!$I142&lt;TODAY()),TODAY()-'İş Planı'!$I142,0)))+ROW()/1000000)</f>
        <v/>
      </c>
    </row>
    <row r="143">
      <c r="R143">
        <f>IF('İş Planı'!$C143="","",IF('İş Planı'!$N143="Tamamlandı",N('İş Planı'!$K143),MAX(N('İş Planı'!$K143),IF(AND('İş Planı'!$I143&lt;&gt;"",'İş Planı'!$I143&lt;TODAY()),TODAY()-'İş Planı'!$I143,0)))+ROW()/1000000)</f>
        <v/>
      </c>
    </row>
    <row r="144">
      <c r="R144">
        <f>IF('İş Planı'!$C144="","",IF('İş Planı'!$N144="Tamamlandı",N('İş Planı'!$K144),MAX(N('İş Planı'!$K144),IF(AND('İş Planı'!$I144&lt;&gt;"",'İş Planı'!$I144&lt;TODAY()),TODAY()-'İş Planı'!$I144,0)))+ROW()/1000000)</f>
        <v/>
      </c>
    </row>
    <row r="145">
      <c r="R145">
        <f>IF('İş Planı'!$C145="","",IF('İş Planı'!$N145="Tamamlandı",N('İş Planı'!$K145),MAX(N('İş Planı'!$K145),IF(AND('İş Planı'!$I145&lt;&gt;"",'İş Planı'!$I145&lt;TODAY()),TODAY()-'İş Planı'!$I145,0)))+ROW()/1000000)</f>
        <v/>
      </c>
    </row>
    <row r="146">
      <c r="R146">
        <f>IF('İş Planı'!$C146="","",IF('İş Planı'!$N146="Tamamlandı",N('İş Planı'!$K146),MAX(N('İş Planı'!$K146),IF(AND('İş Planı'!$I146&lt;&gt;"",'İş Planı'!$I146&lt;TODAY()),TODAY()-'İş Planı'!$I146,0)))+ROW()/1000000)</f>
        <v/>
      </c>
    </row>
    <row r="147">
      <c r="R147">
        <f>IF('İş Planı'!$C147="","",IF('İş Planı'!$N147="Tamamlandı",N('İş Planı'!$K147),MAX(N('İş Planı'!$K147),IF(AND('İş Planı'!$I147&lt;&gt;"",'İş Planı'!$I147&lt;TODAY()),TODAY()-'İş Planı'!$I147,0)))+ROW()/1000000)</f>
        <v/>
      </c>
    </row>
    <row r="148">
      <c r="R148">
        <f>IF('İş Planı'!$C148="","",IF('İş Planı'!$N148="Tamamlandı",N('İş Planı'!$K148),MAX(N('İş Planı'!$K148),IF(AND('İş Planı'!$I148&lt;&gt;"",'İş Planı'!$I148&lt;TODAY()),TODAY()-'İş Planı'!$I148,0)))+ROW()/1000000)</f>
        <v/>
      </c>
    </row>
    <row r="149">
      <c r="R149">
        <f>IF('İş Planı'!$C149="","",IF('İş Planı'!$N149="Tamamlandı",N('İş Planı'!$K149),MAX(N('İş Planı'!$K149),IF(AND('İş Planı'!$I149&lt;&gt;"",'İş Planı'!$I149&lt;TODAY()),TODAY()-'İş Planı'!$I149,0)))+ROW()/1000000)</f>
        <v/>
      </c>
    </row>
    <row r="150">
      <c r="R150">
        <f>IF('İş Planı'!$C150="","",IF('İş Planı'!$N150="Tamamlandı",N('İş Planı'!$K150),MAX(N('İş Planı'!$K150),IF(AND('İş Planı'!$I150&lt;&gt;"",'İş Planı'!$I150&lt;TODAY()),TODAY()-'İş Planı'!$I150,0)))+ROW()/1000000)</f>
        <v/>
      </c>
    </row>
    <row r="151">
      <c r="R151">
        <f>IF('İş Planı'!$C151="","",IF('İş Planı'!$N151="Tamamlandı",N('İş Planı'!$K151),MAX(N('İş Planı'!$K151),IF(AND('İş Planı'!$I151&lt;&gt;"",'İş Planı'!$I151&lt;TODAY()),TODAY()-'İş Planı'!$I151,0)))+ROW()/1000000)</f>
        <v/>
      </c>
    </row>
    <row r="152">
      <c r="R152">
        <f>IF('İş Planı'!$C152="","",IF('İş Planı'!$N152="Tamamlandı",N('İş Planı'!$K152),MAX(N('İş Planı'!$K152),IF(AND('İş Planı'!$I152&lt;&gt;"",'İş Planı'!$I152&lt;TODAY()),TODAY()-'İş Planı'!$I152,0)))+ROW()/1000000)</f>
        <v/>
      </c>
    </row>
    <row r="153">
      <c r="R153">
        <f>IF('İş Planı'!$C153="","",IF('İş Planı'!$N153="Tamamlandı",N('İş Planı'!$K153),MAX(N('İş Planı'!$K153),IF(AND('İş Planı'!$I153&lt;&gt;"",'İş Planı'!$I153&lt;TODAY()),TODAY()-'İş Planı'!$I153,0)))+ROW()/1000000)</f>
        <v/>
      </c>
    </row>
    <row r="154">
      <c r="R154">
        <f>IF('İş Planı'!$C154="","",IF('İş Planı'!$N154="Tamamlandı",N('İş Planı'!$K154),MAX(N('İş Planı'!$K154),IF(AND('İş Planı'!$I154&lt;&gt;"",'İş Planı'!$I154&lt;TODAY()),TODAY()-'İş Planı'!$I154,0)))+ROW()/1000000)</f>
        <v/>
      </c>
    </row>
    <row r="155">
      <c r="R155">
        <f>IF('İş Planı'!$C155="","",IF('İş Planı'!$N155="Tamamlandı",N('İş Planı'!$K155),MAX(N('İş Planı'!$K155),IF(AND('İş Planı'!$I155&lt;&gt;"",'İş Planı'!$I155&lt;TODAY()),TODAY()-'İş Planı'!$I155,0)))+ROW()/1000000)</f>
        <v/>
      </c>
    </row>
    <row r="156">
      <c r="R156">
        <f>IF('İş Planı'!$C156="","",IF('İş Planı'!$N156="Tamamlandı",N('İş Planı'!$K156),MAX(N('İş Planı'!$K156),IF(AND('İş Planı'!$I156&lt;&gt;"",'İş Planı'!$I156&lt;TODAY()),TODAY()-'İş Planı'!$I156,0)))+ROW()/1000000)</f>
        <v/>
      </c>
    </row>
    <row r="157">
      <c r="R157">
        <f>IF('İş Planı'!$C157="","",IF('İş Planı'!$N157="Tamamlandı",N('İş Planı'!$K157),MAX(N('İş Planı'!$K157),IF(AND('İş Planı'!$I157&lt;&gt;"",'İş Planı'!$I157&lt;TODAY()),TODAY()-'İş Planı'!$I157,0)))+ROW()/1000000)</f>
        <v/>
      </c>
    </row>
    <row r="158">
      <c r="R158">
        <f>IF('İş Planı'!$C158="","",IF('İş Planı'!$N158="Tamamlandı",N('İş Planı'!$K158),MAX(N('İş Planı'!$K158),IF(AND('İş Planı'!$I158&lt;&gt;"",'İş Planı'!$I158&lt;TODAY()),TODAY()-'İş Planı'!$I158,0)))+ROW()/1000000)</f>
        <v/>
      </c>
    </row>
    <row r="159">
      <c r="R159">
        <f>IF('İş Planı'!$C159="","",IF('İş Planı'!$N159="Tamamlandı",N('İş Planı'!$K159),MAX(N('İş Planı'!$K159),IF(AND('İş Planı'!$I159&lt;&gt;"",'İş Planı'!$I159&lt;TODAY()),TODAY()-'İş Planı'!$I159,0)))+ROW()/1000000)</f>
        <v/>
      </c>
    </row>
    <row r="160">
      <c r="R160">
        <f>IF('İş Planı'!$C160="","",IF('İş Planı'!$N160="Tamamlandı",N('İş Planı'!$K160),MAX(N('İş Planı'!$K160),IF(AND('İş Planı'!$I160&lt;&gt;"",'İş Planı'!$I160&lt;TODAY()),TODAY()-'İş Planı'!$I160,0)))+ROW()/1000000)</f>
        <v/>
      </c>
    </row>
    <row r="161">
      <c r="R161">
        <f>IF('İş Planı'!$C161="","",IF('İş Planı'!$N161="Tamamlandı",N('İş Planı'!$K161),MAX(N('İş Planı'!$K161),IF(AND('İş Planı'!$I161&lt;&gt;"",'İş Planı'!$I161&lt;TODAY()),TODAY()-'İş Planı'!$I161,0)))+ROW()/1000000)</f>
        <v/>
      </c>
    </row>
    <row r="162">
      <c r="R162">
        <f>IF('İş Planı'!$C162="","",IF('İş Planı'!$N162="Tamamlandı",N('İş Planı'!$K162),MAX(N('İş Planı'!$K162),IF(AND('İş Planı'!$I162&lt;&gt;"",'İş Planı'!$I162&lt;TODAY()),TODAY()-'İş Planı'!$I162,0)))+ROW()/1000000)</f>
        <v/>
      </c>
    </row>
    <row r="163">
      <c r="R163">
        <f>IF('İş Planı'!$C163="","",IF('İş Planı'!$N163="Tamamlandı",N('İş Planı'!$K163),MAX(N('İş Planı'!$K163),IF(AND('İş Planı'!$I163&lt;&gt;"",'İş Planı'!$I163&lt;TODAY()),TODAY()-'İş Planı'!$I163,0)))+ROW()/1000000)</f>
        <v/>
      </c>
    </row>
    <row r="164">
      <c r="R164">
        <f>IF('İş Planı'!$C164="","",IF('İş Planı'!$N164="Tamamlandı",N('İş Planı'!$K164),MAX(N('İş Planı'!$K164),IF(AND('İş Planı'!$I164&lt;&gt;"",'İş Planı'!$I164&lt;TODAY()),TODAY()-'İş Planı'!$I164,0)))+ROW()/1000000)</f>
        <v/>
      </c>
    </row>
    <row r="165">
      <c r="R165">
        <f>IF('İş Planı'!$C165="","",IF('İş Planı'!$N165="Tamamlandı",N('İş Planı'!$K165),MAX(N('İş Planı'!$K165),IF(AND('İş Planı'!$I165&lt;&gt;"",'İş Planı'!$I165&lt;TODAY()),TODAY()-'İş Planı'!$I165,0)))+ROW()/1000000)</f>
        <v/>
      </c>
    </row>
    <row r="166">
      <c r="R166">
        <f>IF('İş Planı'!$C166="","",IF('İş Planı'!$N166="Tamamlandı",N('İş Planı'!$K166),MAX(N('İş Planı'!$K166),IF(AND('İş Planı'!$I166&lt;&gt;"",'İş Planı'!$I166&lt;TODAY()),TODAY()-'İş Planı'!$I166,0)))+ROW()/1000000)</f>
        <v/>
      </c>
    </row>
    <row r="167">
      <c r="R167">
        <f>IF('İş Planı'!$C167="","",IF('İş Planı'!$N167="Tamamlandı",N('İş Planı'!$K167),MAX(N('İş Planı'!$K167),IF(AND('İş Planı'!$I167&lt;&gt;"",'İş Planı'!$I167&lt;TODAY()),TODAY()-'İş Planı'!$I167,0)))+ROW()/1000000)</f>
        <v/>
      </c>
    </row>
    <row r="168">
      <c r="R168">
        <f>IF('İş Planı'!$C168="","",IF('İş Planı'!$N168="Tamamlandı",N('İş Planı'!$K168),MAX(N('İş Planı'!$K168),IF(AND('İş Planı'!$I168&lt;&gt;"",'İş Planı'!$I168&lt;TODAY()),TODAY()-'İş Planı'!$I168,0)))+ROW()/1000000)</f>
        <v/>
      </c>
    </row>
    <row r="169">
      <c r="R169">
        <f>IF('İş Planı'!$C169="","",IF('İş Planı'!$N169="Tamamlandı",N('İş Planı'!$K169),MAX(N('İş Planı'!$K169),IF(AND('İş Planı'!$I169&lt;&gt;"",'İş Planı'!$I169&lt;TODAY()),TODAY()-'İş Planı'!$I169,0)))+ROW()/1000000)</f>
        <v/>
      </c>
    </row>
    <row r="170">
      <c r="R170">
        <f>IF('İş Planı'!$C170="","",IF('İş Planı'!$N170="Tamamlandı",N('İş Planı'!$K170),MAX(N('İş Planı'!$K170),IF(AND('İş Planı'!$I170&lt;&gt;"",'İş Planı'!$I170&lt;TODAY()),TODAY()-'İş Planı'!$I170,0)))+ROW()/1000000)</f>
        <v/>
      </c>
    </row>
    <row r="171">
      <c r="R171">
        <f>IF('İş Planı'!$C171="","",IF('İş Planı'!$N171="Tamamlandı",N('İş Planı'!$K171),MAX(N('İş Planı'!$K171),IF(AND('İş Planı'!$I171&lt;&gt;"",'İş Planı'!$I171&lt;TODAY()),TODAY()-'İş Planı'!$I171,0)))+ROW()/1000000)</f>
        <v/>
      </c>
    </row>
    <row r="172">
      <c r="R172">
        <f>IF('İş Planı'!$C172="","",IF('İş Planı'!$N172="Tamamlandı",N('İş Planı'!$K172),MAX(N('İş Planı'!$K172),IF(AND('İş Planı'!$I172&lt;&gt;"",'İş Planı'!$I172&lt;TODAY()),TODAY()-'İş Planı'!$I172,0)))+ROW()/1000000)</f>
        <v/>
      </c>
    </row>
    <row r="173">
      <c r="R173">
        <f>IF('İş Planı'!$C173="","",IF('İş Planı'!$N173="Tamamlandı",N('İş Planı'!$K173),MAX(N('İş Planı'!$K173),IF(AND('İş Planı'!$I173&lt;&gt;"",'İş Planı'!$I173&lt;TODAY()),TODAY()-'İş Planı'!$I173,0)))+ROW()/1000000)</f>
        <v/>
      </c>
    </row>
    <row r="174">
      <c r="R174">
        <f>IF('İş Planı'!$C174="","",IF('İş Planı'!$N174="Tamamlandı",N('İş Planı'!$K174),MAX(N('İş Planı'!$K174),IF(AND('İş Planı'!$I174&lt;&gt;"",'İş Planı'!$I174&lt;TODAY()),TODAY()-'İş Planı'!$I174,0)))+ROW()/1000000)</f>
        <v/>
      </c>
    </row>
    <row r="175">
      <c r="R175">
        <f>IF('İş Planı'!$C175="","",IF('İş Planı'!$N175="Tamamlandı",N('İş Planı'!$K175),MAX(N('İş Planı'!$K175),IF(AND('İş Planı'!$I175&lt;&gt;"",'İş Planı'!$I175&lt;TODAY()),TODAY()-'İş Planı'!$I175,0)))+ROW()/1000000)</f>
        <v/>
      </c>
    </row>
    <row r="176">
      <c r="R176">
        <f>IF('İş Planı'!$C176="","",IF('İş Planı'!$N176="Tamamlandı",N('İş Planı'!$K176),MAX(N('İş Planı'!$K176),IF(AND('İş Planı'!$I176&lt;&gt;"",'İş Planı'!$I176&lt;TODAY()),TODAY()-'İş Planı'!$I176,0)))+ROW()/1000000)</f>
        <v/>
      </c>
    </row>
    <row r="177">
      <c r="R177">
        <f>IF('İş Planı'!$C177="","",IF('İş Planı'!$N177="Tamamlandı",N('İş Planı'!$K177),MAX(N('İş Planı'!$K177),IF(AND('İş Planı'!$I177&lt;&gt;"",'İş Planı'!$I177&lt;TODAY()),TODAY()-'İş Planı'!$I177,0)))+ROW()/1000000)</f>
        <v/>
      </c>
    </row>
    <row r="178">
      <c r="R178">
        <f>IF('İş Planı'!$C178="","",IF('İş Planı'!$N178="Tamamlandı",N('İş Planı'!$K178),MAX(N('İş Planı'!$K178),IF(AND('İş Planı'!$I178&lt;&gt;"",'İş Planı'!$I178&lt;TODAY()),TODAY()-'İş Planı'!$I178,0)))+ROW()/1000000)</f>
        <v/>
      </c>
    </row>
    <row r="179">
      <c r="R179">
        <f>IF('İş Planı'!$C179="","",IF('İş Planı'!$N179="Tamamlandı",N('İş Planı'!$K179),MAX(N('İş Planı'!$K179),IF(AND('İş Planı'!$I179&lt;&gt;"",'İş Planı'!$I179&lt;TODAY()),TODAY()-'İş Planı'!$I179,0)))+ROW()/1000000)</f>
        <v/>
      </c>
    </row>
    <row r="180">
      <c r="R180">
        <f>IF('İş Planı'!$C180="","",IF('İş Planı'!$N180="Tamamlandı",N('İş Planı'!$K180),MAX(N('İş Planı'!$K180),IF(AND('İş Planı'!$I180&lt;&gt;"",'İş Planı'!$I180&lt;TODAY()),TODAY()-'İş Planı'!$I180,0)))+ROW()/1000000)</f>
        <v/>
      </c>
    </row>
    <row r="181">
      <c r="R181">
        <f>IF('İş Planı'!$C181="","",IF('İş Planı'!$N181="Tamamlandı",N('İş Planı'!$K181),MAX(N('İş Planı'!$K181),IF(AND('İş Planı'!$I181&lt;&gt;"",'İş Planı'!$I181&lt;TODAY()),TODAY()-'İş Planı'!$I181,0)))+ROW()/1000000)</f>
        <v/>
      </c>
    </row>
    <row r="182">
      <c r="R182">
        <f>IF('İş Planı'!$C182="","",IF('İş Planı'!$N182="Tamamlandı",N('İş Planı'!$K182),MAX(N('İş Planı'!$K182),IF(AND('İş Planı'!$I182&lt;&gt;"",'İş Planı'!$I182&lt;TODAY()),TODAY()-'İş Planı'!$I182,0)))+ROW()/1000000)</f>
        <v/>
      </c>
    </row>
    <row r="183">
      <c r="R183">
        <f>IF('İş Planı'!$C183="","",IF('İş Planı'!$N183="Tamamlandı",N('İş Planı'!$K183),MAX(N('İş Planı'!$K183),IF(AND('İş Planı'!$I183&lt;&gt;"",'İş Planı'!$I183&lt;TODAY()),TODAY()-'İş Planı'!$I183,0)))+ROW()/1000000)</f>
        <v/>
      </c>
    </row>
    <row r="184">
      <c r="R184">
        <f>IF('İş Planı'!$C184="","",IF('İş Planı'!$N184="Tamamlandı",N('İş Planı'!$K184),MAX(N('İş Planı'!$K184),IF(AND('İş Planı'!$I184&lt;&gt;"",'İş Planı'!$I184&lt;TODAY()),TODAY()-'İş Planı'!$I184,0)))+ROW()/1000000)</f>
        <v/>
      </c>
    </row>
    <row r="185">
      <c r="R185">
        <f>IF('İş Planı'!$C185="","",IF('İş Planı'!$N185="Tamamlandı",N('İş Planı'!$K185),MAX(N('İş Planı'!$K185),IF(AND('İş Planı'!$I185&lt;&gt;"",'İş Planı'!$I185&lt;TODAY()),TODAY()-'İş Planı'!$I185,0)))+ROW()/1000000)</f>
        <v/>
      </c>
    </row>
    <row r="186">
      <c r="R186">
        <f>IF('İş Planı'!$C186="","",IF('İş Planı'!$N186="Tamamlandı",N('İş Planı'!$K186),MAX(N('İş Planı'!$K186),IF(AND('İş Planı'!$I186&lt;&gt;"",'İş Planı'!$I186&lt;TODAY()),TODAY()-'İş Planı'!$I186,0)))+ROW()/1000000)</f>
        <v/>
      </c>
    </row>
    <row r="187">
      <c r="R187">
        <f>IF('İş Planı'!$C187="","",IF('İş Planı'!$N187="Tamamlandı",N('İş Planı'!$K187),MAX(N('İş Planı'!$K187),IF(AND('İş Planı'!$I187&lt;&gt;"",'İş Planı'!$I187&lt;TODAY()),TODAY()-'İş Planı'!$I187,0)))+ROW()/1000000)</f>
        <v/>
      </c>
    </row>
    <row r="188">
      <c r="R188">
        <f>IF('İş Planı'!$C188="","",IF('İş Planı'!$N188="Tamamlandı",N('İş Planı'!$K188),MAX(N('İş Planı'!$K188),IF(AND('İş Planı'!$I188&lt;&gt;"",'İş Planı'!$I188&lt;TODAY()),TODAY()-'İş Planı'!$I188,0)))+ROW()/1000000)</f>
        <v/>
      </c>
    </row>
    <row r="189">
      <c r="R189">
        <f>IF('İş Planı'!$C189="","",IF('İş Planı'!$N189="Tamamlandı",N('İş Planı'!$K189),MAX(N('İş Planı'!$K189),IF(AND('İş Planı'!$I189&lt;&gt;"",'İş Planı'!$I189&lt;TODAY()),TODAY()-'İş Planı'!$I189,0)))+ROW()/1000000)</f>
        <v/>
      </c>
    </row>
    <row r="190">
      <c r="R190">
        <f>IF('İş Planı'!$C190="","",IF('İş Planı'!$N190="Tamamlandı",N('İş Planı'!$K190),MAX(N('İş Planı'!$K190),IF(AND('İş Planı'!$I190&lt;&gt;"",'İş Planı'!$I190&lt;TODAY()),TODAY()-'İş Planı'!$I190,0)))+ROW()/1000000)</f>
        <v/>
      </c>
    </row>
    <row r="191">
      <c r="R191">
        <f>IF('İş Planı'!$C191="","",IF('İş Planı'!$N191="Tamamlandı",N('İş Planı'!$K191),MAX(N('İş Planı'!$K191),IF(AND('İş Planı'!$I191&lt;&gt;"",'İş Planı'!$I191&lt;TODAY()),TODAY()-'İş Planı'!$I191,0)))+ROW()/1000000)</f>
        <v/>
      </c>
    </row>
    <row r="192">
      <c r="R192">
        <f>IF('İş Planı'!$C192="","",IF('İş Planı'!$N192="Tamamlandı",N('İş Planı'!$K192),MAX(N('İş Planı'!$K192),IF(AND('İş Planı'!$I192&lt;&gt;"",'İş Planı'!$I192&lt;TODAY()),TODAY()-'İş Planı'!$I192,0)))+ROW()/1000000)</f>
        <v/>
      </c>
    </row>
    <row r="193">
      <c r="R193">
        <f>IF('İş Planı'!$C193="","",IF('İş Planı'!$N193="Tamamlandı",N('İş Planı'!$K193),MAX(N('İş Planı'!$K193),IF(AND('İş Planı'!$I193&lt;&gt;"",'İş Planı'!$I193&lt;TODAY()),TODAY()-'İş Planı'!$I193,0)))+ROW()/1000000)</f>
        <v/>
      </c>
    </row>
    <row r="194">
      <c r="R194">
        <f>IF('İş Planı'!$C194="","",IF('İş Planı'!$N194="Tamamlandı",N('İş Planı'!$K194),MAX(N('İş Planı'!$K194),IF(AND('İş Planı'!$I194&lt;&gt;"",'İş Planı'!$I194&lt;TODAY()),TODAY()-'İş Planı'!$I194,0)))+ROW()/1000000)</f>
        <v/>
      </c>
    </row>
    <row r="195">
      <c r="R195">
        <f>IF('İş Planı'!$C195="","",IF('İş Planı'!$N195="Tamamlandı",N('İş Planı'!$K195),MAX(N('İş Planı'!$K195),IF(AND('İş Planı'!$I195&lt;&gt;"",'İş Planı'!$I195&lt;TODAY()),TODAY()-'İş Planı'!$I195,0)))+ROW()/1000000)</f>
        <v/>
      </c>
    </row>
    <row r="196">
      <c r="R196">
        <f>IF('İş Planı'!$C196="","",IF('İş Planı'!$N196="Tamamlandı",N('İş Planı'!$K196),MAX(N('İş Planı'!$K196),IF(AND('İş Planı'!$I196&lt;&gt;"",'İş Planı'!$I196&lt;TODAY()),TODAY()-'İş Planı'!$I196,0)))+ROW()/1000000)</f>
        <v/>
      </c>
    </row>
    <row r="197">
      <c r="R197">
        <f>IF('İş Planı'!$C197="","",IF('İş Planı'!$N197="Tamamlandı",N('İş Planı'!$K197),MAX(N('İş Planı'!$K197),IF(AND('İş Planı'!$I197&lt;&gt;"",'İş Planı'!$I197&lt;TODAY()),TODAY()-'İş Planı'!$I197,0)))+ROW()/1000000)</f>
        <v/>
      </c>
    </row>
    <row r="198">
      <c r="R198">
        <f>IF('İş Planı'!$C198="","",IF('İş Planı'!$N198="Tamamlandı",N('İş Planı'!$K198),MAX(N('İş Planı'!$K198),IF(AND('İş Planı'!$I198&lt;&gt;"",'İş Planı'!$I198&lt;TODAY()),TODAY()-'İş Planı'!$I198,0)))+ROW()/1000000)</f>
        <v/>
      </c>
    </row>
    <row r="199">
      <c r="R199">
        <f>IF('İş Planı'!$C199="","",IF('İş Planı'!$N199="Tamamlandı",N('İş Planı'!$K199),MAX(N('İş Planı'!$K199),IF(AND('İş Planı'!$I199&lt;&gt;"",'İş Planı'!$I199&lt;TODAY()),TODAY()-'İş Planı'!$I199,0)))+ROW()/1000000)</f>
        <v/>
      </c>
    </row>
    <row r="200">
      <c r="R200">
        <f>IF('İş Planı'!$C200="","",IF('İş Planı'!$N200="Tamamlandı",N('İş Planı'!$K200),MAX(N('İş Planı'!$K200),IF(AND('İş Planı'!$I200&lt;&gt;"",'İş Planı'!$I200&lt;TODAY()),TODAY()-'İş Planı'!$I200,0)))+ROW()/1000000)</f>
        <v/>
      </c>
    </row>
    <row r="201">
      <c r="R201">
        <f>IF('İş Planı'!$C201="","",IF('İş Planı'!$N201="Tamamlandı",N('İş Planı'!$K201),MAX(N('İş Planı'!$K201),IF(AND('İş Planı'!$I201&lt;&gt;"",'İş Planı'!$I201&lt;TODAY()),TODAY()-'İş Planı'!$I201,0)))+ROW()/1000000)</f>
        <v/>
      </c>
    </row>
    <row r="202">
      <c r="R202">
        <f>IF('İş Planı'!$C202="","",IF('İş Planı'!$N202="Tamamlandı",N('İş Planı'!$K202),MAX(N('İş Planı'!$K202),IF(AND('İş Planı'!$I202&lt;&gt;"",'İş Planı'!$I202&lt;TODAY()),TODAY()-'İş Planı'!$I202,0)))+ROW()/1000000)</f>
        <v/>
      </c>
    </row>
    <row r="203">
      <c r="R203">
        <f>IF('İş Planı'!$C203="","",IF('İş Planı'!$N203="Tamamlandı",N('İş Planı'!$K203),MAX(N('İş Planı'!$K203),IF(AND('İş Planı'!$I203&lt;&gt;"",'İş Planı'!$I203&lt;TODAY()),TODAY()-'İş Planı'!$I203,0)))+ROW()/1000000)</f>
        <v/>
      </c>
    </row>
    <row r="204">
      <c r="R204">
        <f>IF('İş Planı'!$C204="","",IF('İş Planı'!$N204="Tamamlandı",N('İş Planı'!$K204),MAX(N('İş Planı'!$K204),IF(AND('İş Planı'!$I204&lt;&gt;"",'İş Planı'!$I204&lt;TODAY()),TODAY()-'İş Planı'!$I204,0)))+ROW()/1000000)</f>
        <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Q20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3" customWidth="1" min="2" max="2"/>
    <col width="46" customWidth="1" min="3" max="3"/>
    <col width="20" customWidth="1" min="4" max="4"/>
    <col width="18" customWidth="1" min="5" max="5"/>
    <col width="18" customWidth="1" min="6" max="6"/>
    <col width="12" customWidth="1" min="7" max="7"/>
    <col width="14" customWidth="1" min="8" max="8"/>
    <col width="13" customWidth="1" min="9" max="9"/>
    <col width="11" customWidth="1" min="10" max="10"/>
    <col width="12" customWidth="1" min="11" max="11"/>
    <col width="13" customWidth="1" min="12" max="12"/>
    <col width="12" customWidth="1" min="13" max="13"/>
    <col width="16" customWidth="1" min="14" max="14"/>
    <col width="32" customWidth="1" min="15" max="15"/>
    <col width="42" customWidth="1" min="16" max="16"/>
    <col width="20" customWidth="1" min="17" max="17"/>
  </cols>
  <sheetData>
    <row r="1" ht="24" customHeight="1">
      <c r="A1" s="57" t="inlineStr">
        <is>
          <t>2026 YILLIK İŞ PLANI  |  Düzenleyici Uyum ve Denetim Takip Tablosu</t>
        </is>
      </c>
    </row>
    <row r="2" ht="16" customHeight="1"/>
    <row r="3" ht="16" customHeight="1">
      <c r="A3" s="58" t="inlineStr">
        <is>
          <t>Beyaz hücreler giriş alanıdır. Gri hücreler (No, Süre, Revize Bitiş, Durum, Uyarı) formüllüdür; elle değiştirmeyin. Durum, İlerleme % ve tarihlerden hesaplanır - bir işi kapatmak için İlerleme %'ye 100% yazın.</t>
        </is>
      </c>
    </row>
    <row r="4" ht="30" customHeight="1">
      <c r="A4" s="59" t="inlineStr">
        <is>
          <t>No</t>
        </is>
      </c>
      <c r="B4" s="59" t="inlineStr">
        <is>
          <t>Grup</t>
        </is>
      </c>
      <c r="C4" s="59" t="inlineStr">
        <is>
          <t>İş Kalemi</t>
        </is>
      </c>
      <c r="D4" s="59" t="inlineStr">
        <is>
          <t>Sorumlu 1</t>
        </is>
      </c>
      <c r="E4" s="59" t="inlineStr">
        <is>
          <t>Sorumlu 2</t>
        </is>
      </c>
      <c r="F4" s="59" t="inlineStr">
        <is>
          <t>Sorumlu 3</t>
        </is>
      </c>
      <c r="G4" s="59" t="inlineStr">
        <is>
          <t>Öncelik</t>
        </is>
      </c>
      <c r="H4" s="59" t="inlineStr">
        <is>
          <t>Başlangıç</t>
        </is>
      </c>
      <c r="I4" s="59" t="inlineStr">
        <is>
          <t>Bitiş</t>
        </is>
      </c>
      <c r="J4" s="59" t="inlineStr">
        <is>
          <t>Süre (Gün)</t>
        </is>
      </c>
      <c r="K4" s="59" t="inlineStr">
        <is>
          <t>Gecikme (Gün)</t>
        </is>
      </c>
      <c r="L4" s="59" t="inlineStr">
        <is>
          <t>Revize Bitiş</t>
        </is>
      </c>
      <c r="M4" s="59" t="inlineStr">
        <is>
          <t>İlerleme %</t>
        </is>
      </c>
      <c r="N4" s="59" t="inlineStr">
        <is>
          <t>Durum</t>
        </is>
      </c>
      <c r="O4" s="59" t="inlineStr">
        <is>
          <t>Gecikme Sebebi</t>
        </is>
      </c>
      <c r="P4" s="59" t="inlineStr">
        <is>
          <t>Karar / Not</t>
        </is>
      </c>
      <c r="Q4" s="59" t="inlineStr">
        <is>
          <t>Uyarı</t>
        </is>
      </c>
    </row>
    <row r="5" ht="18" customHeight="1">
      <c r="A5" s="60">
        <f>IF($C5="","",ROW()-4)</f>
        <v/>
      </c>
      <c r="B5" s="61" t="inlineStr">
        <is>
          <t>Yönetim Beyanı</t>
        </is>
      </c>
      <c r="C5" s="61" t="inlineStr">
        <is>
          <t>Madde 10</t>
        </is>
      </c>
      <c r="D5" s="62" t="inlineStr">
        <is>
          <t>Örnek Soyad1</t>
        </is>
      </c>
      <c r="E5" s="62" t="n"/>
      <c r="F5" s="62" t="n"/>
      <c r="G5" s="62" t="n"/>
      <c r="H5" s="63" t="n">
        <v>46265</v>
      </c>
      <c r="I5" s="63" t="n">
        <v>46284</v>
      </c>
      <c r="J5" s="64">
        <f>IF(OR($H5="",$I5=""),"",$I5-$H5+1)</f>
        <v/>
      </c>
      <c r="K5" s="65" t="n"/>
      <c r="L5" s="66">
        <f>IF($I5="","",$I5+N($K5))</f>
        <v/>
      </c>
      <c r="M5" s="67" t="n">
        <v>0.15</v>
      </c>
      <c r="N5" s="60">
        <f>IF($C5="","",IF(N($M5)&gt;=1,"Tamamlandı",IF(AND($I5&lt;&gt;"",$L5&lt;TODAY()),"Gecikmiş",IF(OR(N($M5)&gt;0,AND($H5&lt;&gt;"",$H5&lt;=TODAY())),"Devam Ediyor","Planlanan"))))</f>
        <v/>
      </c>
      <c r="O5" s="61" t="n"/>
      <c r="P5" s="61" t="n"/>
      <c r="Q5" s="68">
        <f>IF($C5="","",IF($N5="Tamamlandı","",IF($L5="","",IF($L5&lt;TODAY(),"⚠ "&amp;TEXT(TODAY()-$L5,"0")&amp;" gün gecikme",IF($L5-TODAY()&lt;=14,"● "&amp;TEXT($L5-TODAY(),"0")&amp;" gün kaldı","")))))</f>
        <v/>
      </c>
    </row>
    <row r="6" ht="18" customHeight="1">
      <c r="A6" s="60">
        <f>IF($C6="","",ROW()-4)</f>
        <v/>
      </c>
      <c r="B6" s="61" t="inlineStr">
        <is>
          <t>Yönetim Beyanı</t>
        </is>
      </c>
      <c r="C6" s="61" t="inlineStr">
        <is>
          <t>Madde 11</t>
        </is>
      </c>
      <c r="D6" s="62" t="inlineStr">
        <is>
          <t>Örnek Soyad2</t>
        </is>
      </c>
      <c r="E6" s="62" t="n"/>
      <c r="F6" s="62" t="n"/>
      <c r="G6" s="62" t="n"/>
      <c r="H6" s="63" t="n">
        <v>46265</v>
      </c>
      <c r="I6" s="63" t="n">
        <v>46284</v>
      </c>
      <c r="J6" s="64">
        <f>IF(OR($H6="",$I6=""),"",$I6-$H6+1)</f>
        <v/>
      </c>
      <c r="K6" s="65" t="n"/>
      <c r="L6" s="66">
        <f>IF($I6="","",$I6+N($K6))</f>
        <v/>
      </c>
      <c r="M6" s="67" t="n">
        <v>0.05</v>
      </c>
      <c r="N6" s="60">
        <f>IF($C6="","",IF(N($M6)&gt;=1,"Tamamlandı",IF(AND($I6&lt;&gt;"",$L6&lt;TODAY()),"Gecikmiş",IF(OR(N($M6)&gt;0,AND($H6&lt;&gt;"",$H6&lt;=TODAY())),"Devam Ediyor","Planlanan"))))</f>
        <v/>
      </c>
      <c r="O6" s="61" t="n"/>
      <c r="P6" s="61" t="n"/>
      <c r="Q6" s="68">
        <f>IF($C6="","",IF($N6="Tamamlandı","",IF($L6="","",IF($L6&lt;TODAY(),"⚠ "&amp;TEXT(TODAY()-$L6,"0")&amp;" gün gecikme",IF($L6-TODAY()&lt;=14,"● "&amp;TEXT($L6-TODAY(),"0")&amp;" gün kaldı","")))))</f>
        <v/>
      </c>
    </row>
    <row r="7" ht="18" customHeight="1">
      <c r="A7" s="60">
        <f>IF($C7="","",ROW()-4)</f>
        <v/>
      </c>
      <c r="B7" s="61" t="inlineStr">
        <is>
          <t>Yönetim Beyanı</t>
        </is>
      </c>
      <c r="C7" s="61" t="inlineStr">
        <is>
          <t>Madde 13</t>
        </is>
      </c>
      <c r="D7" s="62" t="inlineStr">
        <is>
          <t>Örnek Soyad3</t>
        </is>
      </c>
      <c r="E7" s="62" t="n"/>
      <c r="F7" s="62" t="n"/>
      <c r="G7" s="62" t="n"/>
      <c r="H7" s="63" t="n">
        <v>46265</v>
      </c>
      <c r="I7" s="63" t="n">
        <v>46284</v>
      </c>
      <c r="J7" s="64">
        <f>IF(OR($H7="",$I7=""),"",$I7-$H7+1)</f>
        <v/>
      </c>
      <c r="K7" s="65" t="n"/>
      <c r="L7" s="66">
        <f>IF($I7="","",$I7+N($K7))</f>
        <v/>
      </c>
      <c r="M7" s="67" t="n">
        <v>0.05</v>
      </c>
      <c r="N7" s="60">
        <f>IF($C7="","",IF(N($M7)&gt;=1,"Tamamlandı",IF(AND($I7&lt;&gt;"",$L7&lt;TODAY()),"Gecikmiş",IF(OR(N($M7)&gt;0,AND($H7&lt;&gt;"",$H7&lt;=TODAY())),"Devam Ediyor","Planlanan"))))</f>
        <v/>
      </c>
      <c r="O7" s="61" t="n"/>
      <c r="P7" s="61" t="n"/>
      <c r="Q7" s="68">
        <f>IF($C7="","",IF($N7="Tamamlandı","",IF($L7="","",IF($L7&lt;TODAY(),"⚠ "&amp;TEXT(TODAY()-$L7,"0")&amp;" gün gecikme",IF($L7-TODAY()&lt;=14,"● "&amp;TEXT($L7-TODAY(),"0")&amp;" gün kaldı","")))))</f>
        <v/>
      </c>
    </row>
    <row r="8" ht="18" customHeight="1">
      <c r="A8" s="60">
        <f>IF($C8="","",ROW()-4)</f>
        <v/>
      </c>
      <c r="B8" s="61" t="inlineStr">
        <is>
          <t>Yönetim Beyanı</t>
        </is>
      </c>
      <c r="C8" s="61" t="inlineStr">
        <is>
          <t>Madde 14</t>
        </is>
      </c>
      <c r="D8" s="62" t="n"/>
      <c r="E8" s="62" t="n"/>
      <c r="F8" s="62" t="n"/>
      <c r="G8" s="62" t="n"/>
      <c r="H8" s="63" t="n"/>
      <c r="I8" s="63" t="n"/>
      <c r="J8" s="64">
        <f>IF(OR($H8="",$I8=""),"",$I8-$H8+1)</f>
        <v/>
      </c>
      <c r="K8" s="65" t="n"/>
      <c r="L8" s="66">
        <f>IF($I8="","",$I8+N($K8))</f>
        <v/>
      </c>
      <c r="M8" s="67" t="n"/>
      <c r="N8" s="60">
        <f>IF($C8="","",IF(N($M8)&gt;=1,"Tamamlandı",IF(AND($I8&lt;&gt;"",$L8&lt;TODAY()),"Gecikmiş",IF(OR(N($M8)&gt;0,AND($H8&lt;&gt;"",$H8&lt;=TODAY())),"Devam Ediyor","Planlanan"))))</f>
        <v/>
      </c>
      <c r="O8" s="61" t="n"/>
      <c r="P8" s="61" t="n"/>
      <c r="Q8" s="68">
        <f>IF($C8="","",IF($N8="Tamamlandı","",IF($L8="","",IF($L8&lt;TODAY(),"⚠ "&amp;TEXT(TODAY()-$L8,"0")&amp;" gün gecikme",IF($L8-TODAY()&lt;=14,"● "&amp;TEXT($L8-TODAY(),"0")&amp;" gün kaldı","")))))</f>
        <v/>
      </c>
    </row>
    <row r="9" ht="18" customHeight="1">
      <c r="A9" s="60">
        <f>IF($C9="","",ROW()-4)</f>
        <v/>
      </c>
      <c r="B9" s="61" t="inlineStr">
        <is>
          <t>Yönetim Beyanı</t>
        </is>
      </c>
      <c r="C9" s="61" t="inlineStr">
        <is>
          <t>Madde 15</t>
        </is>
      </c>
      <c r="D9" s="62" t="n"/>
      <c r="E9" s="62" t="n"/>
      <c r="F9" s="62" t="n"/>
      <c r="G9" s="62" t="n"/>
      <c r="H9" s="63" t="n"/>
      <c r="I9" s="63" t="n"/>
      <c r="J9" s="64">
        <f>IF(OR($H9="",$I9=""),"",$I9-$H9+1)</f>
        <v/>
      </c>
      <c r="K9" s="65" t="n"/>
      <c r="L9" s="66">
        <f>IF($I9="","",$I9+N($K9))</f>
        <v/>
      </c>
      <c r="M9" s="67" t="n"/>
      <c r="N9" s="60">
        <f>IF($C9="","",IF(N($M9)&gt;=1,"Tamamlandı",IF(AND($I9&lt;&gt;"",$L9&lt;TODAY()),"Gecikmiş",IF(OR(N($M9)&gt;0,AND($H9&lt;&gt;"",$H9&lt;=TODAY())),"Devam Ediyor","Planlanan"))))</f>
        <v/>
      </c>
      <c r="O9" s="61" t="n"/>
      <c r="P9" s="61" t="n"/>
      <c r="Q9" s="68">
        <f>IF($C9="","",IF($N9="Tamamlandı","",IF($L9="","",IF($L9&lt;TODAY(),"⚠ "&amp;TEXT(TODAY()-$L9,"0")&amp;" gün gecikme",IF($L9-TODAY()&lt;=14,"● "&amp;TEXT($L9-TODAY(),"0")&amp;" gün kaldı","")))))</f>
        <v/>
      </c>
    </row>
    <row r="10" ht="18" customHeight="1">
      <c r="A10" s="60">
        <f>IF($C10="","",ROW()-4)</f>
        <v/>
      </c>
      <c r="B10" s="61" t="inlineStr">
        <is>
          <t>Yönetim Beyanı</t>
        </is>
      </c>
      <c r="C10" s="61" t="inlineStr">
        <is>
          <t>Madde 16</t>
        </is>
      </c>
      <c r="D10" s="62" t="n"/>
      <c r="E10" s="62" t="n"/>
      <c r="F10" s="62" t="n"/>
      <c r="G10" s="62" t="n"/>
      <c r="H10" s="63" t="n"/>
      <c r="I10" s="63" t="n"/>
      <c r="J10" s="64">
        <f>IF(OR($H10="",$I10=""),"",$I10-$H10+1)</f>
        <v/>
      </c>
      <c r="K10" s="65" t="n"/>
      <c r="L10" s="66">
        <f>IF($I10="","",$I10+N($K10))</f>
        <v/>
      </c>
      <c r="M10" s="67" t="n"/>
      <c r="N10" s="60">
        <f>IF($C10="","",IF(N($M10)&gt;=1,"Tamamlandı",IF(AND($I10&lt;&gt;"",$L10&lt;TODAY()),"Gecikmiş",IF(OR(N($M10)&gt;0,AND($H10&lt;&gt;"",$H10&lt;=TODAY())),"Devam Ediyor","Planlanan"))))</f>
        <v/>
      </c>
      <c r="O10" s="61" t="n"/>
      <c r="P10" s="61" t="n"/>
      <c r="Q10" s="68">
        <f>IF($C10="","",IF($N10="Tamamlandı","",IF($L10="","",IF($L10&lt;TODAY(),"⚠ "&amp;TEXT(TODAY()-$L10,"0")&amp;" gün gecikme",IF($L10-TODAY()&lt;=14,"● "&amp;TEXT($L10-TODAY(),"0")&amp;" gün kaldı","")))))</f>
        <v/>
      </c>
    </row>
    <row r="11" ht="18" customHeight="1">
      <c r="A11" s="60">
        <f>IF($C11="","",ROW()-4)</f>
        <v/>
      </c>
      <c r="B11" s="61" t="inlineStr">
        <is>
          <t>Yönetim Beyanı</t>
        </is>
      </c>
      <c r="C11" s="61" t="inlineStr">
        <is>
          <t>Madde 17</t>
        </is>
      </c>
      <c r="D11" s="62" t="n"/>
      <c r="E11" s="62" t="n"/>
      <c r="F11" s="62" t="n"/>
      <c r="G11" s="62" t="n"/>
      <c r="H11" s="63" t="n"/>
      <c r="I11" s="63" t="n"/>
      <c r="J11" s="64">
        <f>IF(OR($H11="",$I11=""),"",$I11-$H11+1)</f>
        <v/>
      </c>
      <c r="K11" s="65" t="n"/>
      <c r="L11" s="66">
        <f>IF($I11="","",$I11+N($K11))</f>
        <v/>
      </c>
      <c r="M11" s="67" t="n"/>
      <c r="N11" s="60">
        <f>IF($C11="","",IF(N($M11)&gt;=1,"Tamamlandı",IF(AND($I11&lt;&gt;"",$L11&lt;TODAY()),"Gecikmiş",IF(OR(N($M11)&gt;0,AND($H11&lt;&gt;"",$H11&lt;=TODAY())),"Devam Ediyor","Planlanan"))))</f>
        <v/>
      </c>
      <c r="O11" s="61" t="n"/>
      <c r="P11" s="61" t="n"/>
      <c r="Q11" s="68">
        <f>IF($C11="","",IF($N11="Tamamlandı","",IF($L11="","",IF($L11&lt;TODAY(),"⚠ "&amp;TEXT(TODAY()-$L11,"0")&amp;" gün gecikme",IF($L11-TODAY()&lt;=14,"● "&amp;TEXT($L11-TODAY(),"0")&amp;" gün kaldı","")))))</f>
        <v/>
      </c>
    </row>
    <row r="12" ht="18" customHeight="1">
      <c r="A12" s="60">
        <f>IF($C12="","",ROW()-4)</f>
        <v/>
      </c>
      <c r="B12" s="61" t="inlineStr">
        <is>
          <t>Yönetim Beyanı</t>
        </is>
      </c>
      <c r="C12" s="61" t="inlineStr">
        <is>
          <t>Madde 21</t>
        </is>
      </c>
      <c r="D12" s="62" t="inlineStr">
        <is>
          <t>Örnek Soyad1</t>
        </is>
      </c>
      <c r="E12" s="62" t="n"/>
      <c r="F12" s="62" t="n"/>
      <c r="G12" s="62" t="n"/>
      <c r="H12" s="63" t="n">
        <v>46265</v>
      </c>
      <c r="I12" s="63" t="n">
        <v>46284</v>
      </c>
      <c r="J12" s="64">
        <f>IF(OR($H12="",$I12=""),"",$I12-$H12+1)</f>
        <v/>
      </c>
      <c r="K12" s="65" t="n"/>
      <c r="L12" s="66">
        <f>IF($I12="","",$I12+N($K12))</f>
        <v/>
      </c>
      <c r="M12" s="67" t="n">
        <v>0.7</v>
      </c>
      <c r="N12" s="60">
        <f>IF($C12="","",IF(N($M12)&gt;=1,"Tamamlandı",IF(AND($I12&lt;&gt;"",$L12&lt;TODAY()),"Gecikmiş",IF(OR(N($M12)&gt;0,AND($H12&lt;&gt;"",$H12&lt;=TODAY())),"Devam Ediyor","Planlanan"))))</f>
        <v/>
      </c>
      <c r="O12" s="61" t="n"/>
      <c r="P12" s="61" t="n"/>
      <c r="Q12" s="68">
        <f>IF($C12="","",IF($N12="Tamamlandı","",IF($L12="","",IF($L12&lt;TODAY(),"⚠ "&amp;TEXT(TODAY()-$L12,"0")&amp;" gün gecikme",IF($L12-TODAY()&lt;=14,"● "&amp;TEXT($L12-TODAY(),"0")&amp;" gün kaldı","")))))</f>
        <v/>
      </c>
    </row>
    <row r="13" ht="18" customHeight="1">
      <c r="A13" s="60">
        <f>IF($C13="","",ROW()-4)</f>
        <v/>
      </c>
      <c r="B13" s="61" t="inlineStr">
        <is>
          <t>Yönetim Beyanı</t>
        </is>
      </c>
      <c r="C13" s="61" t="inlineStr">
        <is>
          <t>Madde 22</t>
        </is>
      </c>
      <c r="D13" s="62" t="n"/>
      <c r="E13" s="62" t="n"/>
      <c r="F13" s="62" t="n"/>
      <c r="G13" s="62" t="n"/>
      <c r="H13" s="63" t="n"/>
      <c r="I13" s="63" t="n"/>
      <c r="J13" s="64">
        <f>IF(OR($H13="",$I13=""),"",$I13-$H13+1)</f>
        <v/>
      </c>
      <c r="K13" s="65" t="n"/>
      <c r="L13" s="66">
        <f>IF($I13="","",$I13+N($K13))</f>
        <v/>
      </c>
      <c r="M13" s="67" t="n"/>
      <c r="N13" s="60">
        <f>IF($C13="","",IF(N($M13)&gt;=1,"Tamamlandı",IF(AND($I13&lt;&gt;"",$L13&lt;TODAY()),"Gecikmiş",IF(OR(N($M13)&gt;0,AND($H13&lt;&gt;"",$H13&lt;=TODAY())),"Devam Ediyor","Planlanan"))))</f>
        <v/>
      </c>
      <c r="O13" s="61" t="n"/>
      <c r="P13" s="61" t="n"/>
      <c r="Q13" s="68">
        <f>IF($C13="","",IF($N13="Tamamlandı","",IF($L13="","",IF($L13&lt;TODAY(),"⚠ "&amp;TEXT(TODAY()-$L13,"0")&amp;" gün gecikme",IF($L13-TODAY()&lt;=14,"● "&amp;TEXT($L13-TODAY(),"0")&amp;" gün kaldı","")))))</f>
        <v/>
      </c>
    </row>
    <row r="14" ht="18" customHeight="1">
      <c r="A14" s="60">
        <f>IF($C14="","",ROW()-4)</f>
        <v/>
      </c>
      <c r="B14" s="61" t="inlineStr">
        <is>
          <t>Yönetim Beyanı</t>
        </is>
      </c>
      <c r="C14" s="61" t="inlineStr">
        <is>
          <t>Madde 23</t>
        </is>
      </c>
      <c r="D14" s="62" t="n"/>
      <c r="E14" s="62" t="n"/>
      <c r="F14" s="62" t="n"/>
      <c r="G14" s="62" t="n"/>
      <c r="H14" s="63" t="n"/>
      <c r="I14" s="63" t="n"/>
      <c r="J14" s="64">
        <f>IF(OR($H14="",$I14=""),"",$I14-$H14+1)</f>
        <v/>
      </c>
      <c r="K14" s="65" t="n"/>
      <c r="L14" s="66">
        <f>IF($I14="","",$I14+N($K14))</f>
        <v/>
      </c>
      <c r="M14" s="67" t="n"/>
      <c r="N14" s="60">
        <f>IF($C14="","",IF(N($M14)&gt;=1,"Tamamlandı",IF(AND($I14&lt;&gt;"",$L14&lt;TODAY()),"Gecikmiş",IF(OR(N($M14)&gt;0,AND($H14&lt;&gt;"",$H14&lt;=TODAY())),"Devam Ediyor","Planlanan"))))</f>
        <v/>
      </c>
      <c r="O14" s="61" t="n"/>
      <c r="P14" s="61" t="n"/>
      <c r="Q14" s="68">
        <f>IF($C14="","",IF($N14="Tamamlandı","",IF($L14="","",IF($L14&lt;TODAY(),"⚠ "&amp;TEXT(TODAY()-$L14,"0")&amp;" gün gecikme",IF($L14-TODAY()&lt;=14,"● "&amp;TEXT($L14-TODAY(),"0")&amp;" gün kaldı","")))))</f>
        <v/>
      </c>
    </row>
    <row r="15" ht="18" customHeight="1">
      <c r="A15" s="60">
        <f>IF($C15="","",ROW()-4)</f>
        <v/>
      </c>
      <c r="B15" s="61" t="inlineStr">
        <is>
          <t>Yönetim Beyanı</t>
        </is>
      </c>
      <c r="C15" s="61" t="inlineStr">
        <is>
          <t>Madde 24</t>
        </is>
      </c>
      <c r="D15" s="62" t="n"/>
      <c r="E15" s="62" t="n"/>
      <c r="F15" s="62" t="n"/>
      <c r="G15" s="62" t="n"/>
      <c r="H15" s="63" t="n"/>
      <c r="I15" s="63" t="n"/>
      <c r="J15" s="64">
        <f>IF(OR($H15="",$I15=""),"",$I15-$H15+1)</f>
        <v/>
      </c>
      <c r="K15" s="65" t="n"/>
      <c r="L15" s="66">
        <f>IF($I15="","",$I15+N($K15))</f>
        <v/>
      </c>
      <c r="M15" s="67" t="n"/>
      <c r="N15" s="60">
        <f>IF($C15="","",IF(N($M15)&gt;=1,"Tamamlandı",IF(AND($I15&lt;&gt;"",$L15&lt;TODAY()),"Gecikmiş",IF(OR(N($M15)&gt;0,AND($H15&lt;&gt;"",$H15&lt;=TODAY())),"Devam Ediyor","Planlanan"))))</f>
        <v/>
      </c>
      <c r="O15" s="61" t="n"/>
      <c r="P15" s="61" t="n"/>
      <c r="Q15" s="68">
        <f>IF($C15="","",IF($N15="Tamamlandı","",IF($L15="","",IF($L15&lt;TODAY(),"⚠ "&amp;TEXT(TODAY()-$L15,"0")&amp;" gün gecikme",IF($L15-TODAY()&lt;=14,"● "&amp;TEXT($L15-TODAY(),"0")&amp;" gün kaldı","")))))</f>
        <v/>
      </c>
    </row>
    <row r="16" ht="18" customHeight="1">
      <c r="A16" s="60">
        <f>IF($C16="","",ROW()-4)</f>
        <v/>
      </c>
      <c r="B16" s="61" t="inlineStr">
        <is>
          <t>Yönetim Beyanı</t>
        </is>
      </c>
      <c r="C16" s="61" t="inlineStr">
        <is>
          <t>Madde 26</t>
        </is>
      </c>
      <c r="D16" s="62" t="n"/>
      <c r="E16" s="62" t="n"/>
      <c r="F16" s="62" t="n"/>
      <c r="G16" s="62" t="n"/>
      <c r="H16" s="63" t="n"/>
      <c r="I16" s="63" t="n"/>
      <c r="J16" s="64">
        <f>IF(OR($H16="",$I16=""),"",$I16-$H16+1)</f>
        <v/>
      </c>
      <c r="K16" s="65" t="n"/>
      <c r="L16" s="66">
        <f>IF($I16="","",$I16+N($K16))</f>
        <v/>
      </c>
      <c r="M16" s="67" t="n"/>
      <c r="N16" s="60">
        <f>IF($C16="","",IF(N($M16)&gt;=1,"Tamamlandı",IF(AND($I16&lt;&gt;"",$L16&lt;TODAY()),"Gecikmiş",IF(OR(N($M16)&gt;0,AND($H16&lt;&gt;"",$H16&lt;=TODAY())),"Devam Ediyor","Planlanan"))))</f>
        <v/>
      </c>
      <c r="O16" s="61" t="n"/>
      <c r="P16" s="61" t="n"/>
      <c r="Q16" s="68">
        <f>IF($C16="","",IF($N16="Tamamlandı","",IF($L16="","",IF($L16&lt;TODAY(),"⚠ "&amp;TEXT(TODAY()-$L16,"0")&amp;" gün gecikme",IF($L16-TODAY()&lt;=14,"● "&amp;TEXT($L16-TODAY(),"0")&amp;" gün kaldı","")))))</f>
        <v/>
      </c>
    </row>
    <row r="17" ht="18" customHeight="1">
      <c r="A17" s="60">
        <f>IF($C17="","",ROW()-4)</f>
        <v/>
      </c>
      <c r="B17" s="61" t="inlineStr">
        <is>
          <t>Yönetim Beyanı</t>
        </is>
      </c>
      <c r="C17" s="61" t="inlineStr">
        <is>
          <t>Madde 28</t>
        </is>
      </c>
      <c r="D17" s="62" t="n"/>
      <c r="E17" s="62" t="n"/>
      <c r="F17" s="62" t="n"/>
      <c r="G17" s="62" t="n"/>
      <c r="H17" s="63" t="n"/>
      <c r="I17" s="63" t="n"/>
      <c r="J17" s="64">
        <f>IF(OR($H17="",$I17=""),"",$I17-$H17+1)</f>
        <v/>
      </c>
      <c r="K17" s="65" t="n"/>
      <c r="L17" s="66">
        <f>IF($I17="","",$I17+N($K17))</f>
        <v/>
      </c>
      <c r="M17" s="67" t="n"/>
      <c r="N17" s="60">
        <f>IF($C17="","",IF(N($M17)&gt;=1,"Tamamlandı",IF(AND($I17&lt;&gt;"",$L17&lt;TODAY()),"Gecikmiş",IF(OR(N($M17)&gt;0,AND($H17&lt;&gt;"",$H17&lt;=TODAY())),"Devam Ediyor","Planlanan"))))</f>
        <v/>
      </c>
      <c r="O17" s="61" t="n"/>
      <c r="P17" s="61" t="n"/>
      <c r="Q17" s="68">
        <f>IF($C17="","",IF($N17="Tamamlandı","",IF($L17="","",IF($L17&lt;TODAY(),"⚠ "&amp;TEXT(TODAY()-$L17,"0")&amp;" gün gecikme",IF($L17-TODAY()&lt;=14,"● "&amp;TEXT($L17-TODAY(),"0")&amp;" gün kaldı","")))))</f>
        <v/>
      </c>
    </row>
    <row r="18" ht="18" customHeight="1">
      <c r="A18" s="60">
        <f>IF($C18="","",ROW()-4)</f>
        <v/>
      </c>
      <c r="B18" s="61" t="inlineStr">
        <is>
          <t>Yönetim Beyanı</t>
        </is>
      </c>
      <c r="C18" s="61" t="inlineStr">
        <is>
          <t>Madde 29</t>
        </is>
      </c>
      <c r="D18" s="62" t="n"/>
      <c r="E18" s="62" t="n"/>
      <c r="F18" s="62" t="n"/>
      <c r="G18" s="62" t="n"/>
      <c r="H18" s="63" t="n"/>
      <c r="I18" s="63" t="n"/>
      <c r="J18" s="64">
        <f>IF(OR($H18="",$I18=""),"",$I18-$H18+1)</f>
        <v/>
      </c>
      <c r="K18" s="65" t="n"/>
      <c r="L18" s="66">
        <f>IF($I18="","",$I18+N($K18))</f>
        <v/>
      </c>
      <c r="M18" s="67" t="n"/>
      <c r="N18" s="60">
        <f>IF($C18="","",IF(N($M18)&gt;=1,"Tamamlandı",IF(AND($I18&lt;&gt;"",$L18&lt;TODAY()),"Gecikmiş",IF(OR(N($M18)&gt;0,AND($H18&lt;&gt;"",$H18&lt;=TODAY())),"Devam Ediyor","Planlanan"))))</f>
        <v/>
      </c>
      <c r="O18" s="61" t="n"/>
      <c r="P18" s="61" t="n"/>
      <c r="Q18" s="68">
        <f>IF($C18="","",IF($N18="Tamamlandı","",IF($L18="","",IF($L18&lt;TODAY(),"⚠ "&amp;TEXT(TODAY()-$L18,"0")&amp;" gün gecikme",IF($L18-TODAY()&lt;=14,"● "&amp;TEXT($L18-TODAY(),"0")&amp;" gün kaldı","")))))</f>
        <v/>
      </c>
    </row>
    <row r="19" ht="18" customHeight="1">
      <c r="A19" s="60">
        <f>IF($C19="","",ROW()-4)</f>
        <v/>
      </c>
      <c r="B19" s="61" t="inlineStr">
        <is>
          <t>Yönetim Beyanı</t>
        </is>
      </c>
      <c r="C19" s="61" t="inlineStr">
        <is>
          <t>Madde 30</t>
        </is>
      </c>
      <c r="D19" s="62" t="n"/>
      <c r="E19" s="62" t="n"/>
      <c r="F19" s="62" t="n"/>
      <c r="G19" s="62" t="n"/>
      <c r="H19" s="63" t="n"/>
      <c r="I19" s="63" t="n"/>
      <c r="J19" s="64">
        <f>IF(OR($H19="",$I19=""),"",$I19-$H19+1)</f>
        <v/>
      </c>
      <c r="K19" s="65" t="n"/>
      <c r="L19" s="66">
        <f>IF($I19="","",$I19+N($K19))</f>
        <v/>
      </c>
      <c r="M19" s="67" t="n"/>
      <c r="N19" s="60">
        <f>IF($C19="","",IF(N($M19)&gt;=1,"Tamamlandı",IF(AND($I19&lt;&gt;"",$L19&lt;TODAY()),"Gecikmiş",IF(OR(N($M19)&gt;0,AND($H19&lt;&gt;"",$H19&lt;=TODAY())),"Devam Ediyor","Planlanan"))))</f>
        <v/>
      </c>
      <c r="O19" s="61" t="n"/>
      <c r="P19" s="61" t="n"/>
      <c r="Q19" s="68">
        <f>IF($C19="","",IF($N19="Tamamlandı","",IF($L19="","",IF($L19&lt;TODAY(),"⚠ "&amp;TEXT(TODAY()-$L19,"0")&amp;" gün gecikme",IF($L19-TODAY()&lt;=14,"● "&amp;TEXT($L19-TODAY(),"0")&amp;" gün kaldı","")))))</f>
        <v/>
      </c>
    </row>
    <row r="20" ht="18" customHeight="1">
      <c r="A20" s="60">
        <f>IF($C20="","",ROW()-4)</f>
        <v/>
      </c>
      <c r="B20" s="61" t="inlineStr">
        <is>
          <t>Yönetim Beyanı</t>
        </is>
      </c>
      <c r="C20" s="61" t="inlineStr">
        <is>
          <t>Madde 31</t>
        </is>
      </c>
      <c r="D20" s="62" t="n"/>
      <c r="E20" s="62" t="n"/>
      <c r="F20" s="62" t="n"/>
      <c r="G20" s="62" t="n"/>
      <c r="H20" s="63" t="n"/>
      <c r="I20" s="63" t="n"/>
      <c r="J20" s="64">
        <f>IF(OR($H20="",$I20=""),"",$I20-$H20+1)</f>
        <v/>
      </c>
      <c r="K20" s="65" t="n"/>
      <c r="L20" s="66">
        <f>IF($I20="","",$I20+N($K20))</f>
        <v/>
      </c>
      <c r="M20" s="67" t="n"/>
      <c r="N20" s="60">
        <f>IF($C20="","",IF(N($M20)&gt;=1,"Tamamlandı",IF(AND($I20&lt;&gt;"",$L20&lt;TODAY()),"Gecikmiş",IF(OR(N($M20)&gt;0,AND($H20&lt;&gt;"",$H20&lt;=TODAY())),"Devam Ediyor","Planlanan"))))</f>
        <v/>
      </c>
      <c r="O20" s="61" t="n"/>
      <c r="P20" s="61" t="n"/>
      <c r="Q20" s="68">
        <f>IF($C20="","",IF($N20="Tamamlandı","",IF($L20="","",IF($L20&lt;TODAY(),"⚠ "&amp;TEXT(TODAY()-$L20,"0")&amp;" gün gecikme",IF($L20-TODAY()&lt;=14,"● "&amp;TEXT($L20-TODAY(),"0")&amp;" gün kaldı","")))))</f>
        <v/>
      </c>
    </row>
    <row r="21" ht="18" customHeight="1">
      <c r="A21" s="60">
        <f>IF($C21="","",ROW()-4)</f>
        <v/>
      </c>
      <c r="B21" s="61" t="inlineStr">
        <is>
          <t>Yönetim Beyanı</t>
        </is>
      </c>
      <c r="C21" s="61" t="inlineStr">
        <is>
          <t>Madde 32</t>
        </is>
      </c>
      <c r="D21" s="62" t="n"/>
      <c r="E21" s="62" t="n"/>
      <c r="F21" s="62" t="n"/>
      <c r="G21" s="62" t="n"/>
      <c r="H21" s="63" t="n"/>
      <c r="I21" s="63" t="n"/>
      <c r="J21" s="64">
        <f>IF(OR($H21="",$I21=""),"",$I21-$H21+1)</f>
        <v/>
      </c>
      <c r="K21" s="65" t="n"/>
      <c r="L21" s="66">
        <f>IF($I21="","",$I21+N($K21))</f>
        <v/>
      </c>
      <c r="M21" s="67" t="n"/>
      <c r="N21" s="60">
        <f>IF($C21="","",IF(N($M21)&gt;=1,"Tamamlandı",IF(AND($I21&lt;&gt;"",$L21&lt;TODAY()),"Gecikmiş",IF(OR(N($M21)&gt;0,AND($H21&lt;&gt;"",$H21&lt;=TODAY())),"Devam Ediyor","Planlanan"))))</f>
        <v/>
      </c>
      <c r="O21" s="61" t="n"/>
      <c r="P21" s="61" t="n"/>
      <c r="Q21" s="68">
        <f>IF($C21="","",IF($N21="Tamamlandı","",IF($L21="","",IF($L21&lt;TODAY(),"⚠ "&amp;TEXT(TODAY()-$L21,"0")&amp;" gün gecikme",IF($L21-TODAY()&lt;=14,"● "&amp;TEXT($L21-TODAY(),"0")&amp;" gün kaldı","")))))</f>
        <v/>
      </c>
    </row>
    <row r="22" ht="18" customHeight="1">
      <c r="A22" s="60">
        <f>IF($C22="","",ROW()-4)</f>
        <v/>
      </c>
      <c r="B22" s="61" t="inlineStr">
        <is>
          <t>Yönetim Beyanı</t>
        </is>
      </c>
      <c r="C22" s="61" t="inlineStr">
        <is>
          <t>Madde 43</t>
        </is>
      </c>
      <c r="D22" s="62" t="n"/>
      <c r="E22" s="62" t="n"/>
      <c r="F22" s="62" t="n"/>
      <c r="G22" s="62" t="n"/>
      <c r="H22" s="63" t="n"/>
      <c r="I22" s="63" t="n"/>
      <c r="J22" s="64">
        <f>IF(OR($H22="",$I22=""),"",$I22-$H22+1)</f>
        <v/>
      </c>
      <c r="K22" s="65" t="n"/>
      <c r="L22" s="66">
        <f>IF($I22="","",$I22+N($K22))</f>
        <v/>
      </c>
      <c r="M22" s="67" t="n"/>
      <c r="N22" s="60">
        <f>IF($C22="","",IF(N($M22)&gt;=1,"Tamamlandı",IF(AND($I22&lt;&gt;"",$L22&lt;TODAY()),"Gecikmiş",IF(OR(N($M22)&gt;0,AND($H22&lt;&gt;"",$H22&lt;=TODAY())),"Devam Ediyor","Planlanan"))))</f>
        <v/>
      </c>
      <c r="O22" s="61" t="n"/>
      <c r="P22" s="61" t="n"/>
      <c r="Q22" s="68">
        <f>IF($C22="","",IF($N22="Tamamlandı","",IF($L22="","",IF($L22&lt;TODAY(),"⚠ "&amp;TEXT(TODAY()-$L22,"0")&amp;" gün gecikme",IF($L22-TODAY()&lt;=14,"● "&amp;TEXT($L22-TODAY(),"0")&amp;" gün kaldı","")))))</f>
        <v/>
      </c>
    </row>
    <row r="23" ht="18" customHeight="1">
      <c r="A23" s="60">
        <f>IF($C23="","",ROW()-4)</f>
        <v/>
      </c>
      <c r="B23" s="61" t="inlineStr">
        <is>
          <t>BIGR</t>
        </is>
      </c>
      <c r="C23" s="61" t="inlineStr">
        <is>
          <t>3.1.4 E-Posta Sunucusu ve İstemcisi Güvenliği</t>
        </is>
      </c>
      <c r="D23" s="62" t="n"/>
      <c r="E23" s="62" t="n"/>
      <c r="F23" s="62" t="n"/>
      <c r="G23" s="62" t="n"/>
      <c r="H23" s="63" t="n"/>
      <c r="I23" s="63" t="n"/>
      <c r="J23" s="64">
        <f>IF(OR($H23="",$I23=""),"",$I23-$H23+1)</f>
        <v/>
      </c>
      <c r="K23" s="65" t="n"/>
      <c r="L23" s="66">
        <f>IF($I23="","",$I23+N($K23))</f>
        <v/>
      </c>
      <c r="M23" s="67" t="n"/>
      <c r="N23" s="60">
        <f>IF($C23="","",IF(N($M23)&gt;=1,"Tamamlandı",IF(AND($I23&lt;&gt;"",$L23&lt;TODAY()),"Gecikmiş",IF(OR(N($M23)&gt;0,AND($H23&lt;&gt;"",$H23&lt;=TODAY())),"Devam Ediyor","Planlanan"))))</f>
        <v/>
      </c>
      <c r="O23" s="61" t="n"/>
      <c r="P23" s="61" t="n"/>
      <c r="Q23" s="68">
        <f>IF($C23="","",IF($N23="Tamamlandı","",IF($L23="","",IF($L23&lt;TODAY(),"⚠ "&amp;TEXT(TODAY()-$L23,"0")&amp;" gün gecikme",IF($L23-TODAY()&lt;=14,"● "&amp;TEXT($L23-TODAY(),"0")&amp;" gün kaldı","")))))</f>
        <v/>
      </c>
    </row>
    <row r="24" ht="18" customHeight="1">
      <c r="A24" s="60">
        <f>IF($C24="","",ROW()-4)</f>
        <v/>
      </c>
      <c r="B24" s="61" t="inlineStr">
        <is>
          <t>BIGR</t>
        </is>
      </c>
      <c r="C24" s="61" t="inlineStr">
        <is>
          <t>3.1.5 Zararlı Yazılımlardan Korunma</t>
        </is>
      </c>
      <c r="D24" s="62" t="n"/>
      <c r="E24" s="62" t="n"/>
      <c r="F24" s="62" t="n"/>
      <c r="G24" s="62" t="n"/>
      <c r="H24" s="63" t="n"/>
      <c r="I24" s="63" t="n"/>
      <c r="J24" s="64">
        <f>IF(OR($H24="",$I24=""),"",$I24-$H24+1)</f>
        <v/>
      </c>
      <c r="K24" s="65" t="n"/>
      <c r="L24" s="66">
        <f>IF($I24="","",$I24+N($K24))</f>
        <v/>
      </c>
      <c r="M24" s="67" t="n"/>
      <c r="N24" s="60">
        <f>IF($C24="","",IF(N($M24)&gt;=1,"Tamamlandı",IF(AND($I24&lt;&gt;"",$L24&lt;TODAY()),"Gecikmiş",IF(OR(N($M24)&gt;0,AND($H24&lt;&gt;"",$H24&lt;=TODAY())),"Devam Ediyor","Planlanan"))))</f>
        <v/>
      </c>
      <c r="O24" s="61" t="n"/>
      <c r="P24" s="61" t="n"/>
      <c r="Q24" s="68">
        <f>IF($C24="","",IF($N24="Tamamlandı","",IF($L24="","",IF($L24&lt;TODAY(),"⚠ "&amp;TEXT(TODAY()-$L24,"0")&amp;" gün gecikme",IF($L24-TODAY()&lt;=14,"● "&amp;TEXT($L24-TODAY(),"0")&amp;" gün kaldı","")))))</f>
        <v/>
      </c>
    </row>
    <row r="25" ht="18" customHeight="1">
      <c r="A25" s="60">
        <f>IF($C25="","",ROW()-4)</f>
        <v/>
      </c>
      <c r="B25" s="61" t="inlineStr">
        <is>
          <t>BIGR</t>
        </is>
      </c>
      <c r="C25" s="61" t="inlineStr">
        <is>
          <t>3.1.7 Veri Sızıntısı Önleme</t>
        </is>
      </c>
      <c r="D25" s="62" t="n"/>
      <c r="E25" s="62" t="n"/>
      <c r="F25" s="62" t="n"/>
      <c r="G25" s="62" t="n"/>
      <c r="H25" s="63" t="n"/>
      <c r="I25" s="63" t="n"/>
      <c r="J25" s="64">
        <f>IF(OR($H25="",$I25=""),"",$I25-$H25+1)</f>
        <v/>
      </c>
      <c r="K25" s="65" t="n"/>
      <c r="L25" s="66">
        <f>IF($I25="","",$I25+N($K25))</f>
        <v/>
      </c>
      <c r="M25" s="67" t="n"/>
      <c r="N25" s="60">
        <f>IF($C25="","",IF(N($M25)&gt;=1,"Tamamlandı",IF(AND($I25&lt;&gt;"",$L25&lt;TODAY()),"Gecikmiş",IF(OR(N($M25)&gt;0,AND($H25&lt;&gt;"",$H25&lt;=TODAY())),"Devam Ediyor","Planlanan"))))</f>
        <v/>
      </c>
      <c r="O25" s="61" t="n"/>
      <c r="P25" s="61" t="n"/>
      <c r="Q25" s="68">
        <f>IF($C25="","",IF($N25="Tamamlandı","",IF($L25="","",IF($L25&lt;TODAY(),"⚠ "&amp;TEXT(TODAY()-$L25,"0")&amp;" gün gecikme",IF($L25-TODAY()&lt;=14,"● "&amp;TEXT($L25-TODAY(),"0")&amp;" gün kaldı","")))))</f>
        <v/>
      </c>
    </row>
    <row r="26" ht="18" customHeight="1">
      <c r="A26" s="60">
        <f>IF($C26="","",ROW()-4)</f>
        <v/>
      </c>
      <c r="B26" s="61" t="inlineStr">
        <is>
          <t>BIGR</t>
        </is>
      </c>
      <c r="C26" s="61" t="inlineStr">
        <is>
          <t>3.1.8 İz ve Denetim Kayıtlarının Tutulması ve İzlenmesi</t>
        </is>
      </c>
      <c r="D26" s="62" t="n"/>
      <c r="E26" s="62" t="n"/>
      <c r="F26" s="62" t="n"/>
      <c r="G26" s="62" t="n"/>
      <c r="H26" s="63" t="n"/>
      <c r="I26" s="63" t="n"/>
      <c r="J26" s="64">
        <f>IF(OR($H26="",$I26=""),"",$I26-$H26+1)</f>
        <v/>
      </c>
      <c r="K26" s="65" t="n"/>
      <c r="L26" s="66">
        <f>IF($I26="","",$I26+N($K26))</f>
        <v/>
      </c>
      <c r="M26" s="67" t="n"/>
      <c r="N26" s="60">
        <f>IF($C26="","",IF(N($M26)&gt;=1,"Tamamlandı",IF(AND($I26&lt;&gt;"",$L26&lt;TODAY()),"Gecikmiş",IF(OR(N($M26)&gt;0,AND($H26&lt;&gt;"",$H26&lt;=TODAY())),"Devam Ediyor","Planlanan"))))</f>
        <v/>
      </c>
      <c r="O26" s="61" t="n"/>
      <c r="P26" s="61" t="n"/>
      <c r="Q26" s="68">
        <f>IF($C26="","",IF($N26="Tamamlandı","",IF($L26="","",IF($L26&lt;TODAY(),"⚠ "&amp;TEXT(TODAY()-$L26,"0")&amp;" gün gecikme",IF($L26-TODAY()&lt;=14,"● "&amp;TEXT($L26-TODAY(),"0")&amp;" gün kaldı","")))))</f>
        <v/>
      </c>
    </row>
    <row r="27" ht="18" customHeight="1">
      <c r="A27" s="60">
        <f>IF($C27="","",ROW()-4)</f>
        <v/>
      </c>
      <c r="B27" s="61" t="inlineStr">
        <is>
          <t>BIGR</t>
        </is>
      </c>
      <c r="C27" s="61" t="inlineStr">
        <is>
          <t>3.1.13 Felaket Kurtarma ve İş Sürekliliği Yönetimi</t>
        </is>
      </c>
      <c r="D27" s="62" t="n"/>
      <c r="E27" s="62" t="n"/>
      <c r="F27" s="62" t="n"/>
      <c r="G27" s="62" t="n"/>
      <c r="H27" s="63" t="n"/>
      <c r="I27" s="63" t="n"/>
      <c r="J27" s="64">
        <f>IF(OR($H27="",$I27=""),"",$I27-$H27+1)</f>
        <v/>
      </c>
      <c r="K27" s="65" t="n"/>
      <c r="L27" s="66">
        <f>IF($I27="","",$I27+N($K27))</f>
        <v/>
      </c>
      <c r="M27" s="67" t="n"/>
      <c r="N27" s="60">
        <f>IF($C27="","",IF(N($M27)&gt;=1,"Tamamlandı",IF(AND($I27&lt;&gt;"",$L27&lt;TODAY()),"Gecikmiş",IF(OR(N($M27)&gt;0,AND($H27&lt;&gt;"",$H27&lt;=TODAY())),"Devam Ediyor","Planlanan"))))</f>
        <v/>
      </c>
      <c r="O27" s="61" t="n"/>
      <c r="P27" s="61" t="n"/>
      <c r="Q27" s="68">
        <f>IF($C27="","",IF($N27="Tamamlandı","",IF($L27="","",IF($L27&lt;TODAY(),"⚠ "&amp;TEXT(TODAY()-$L27,"0")&amp;" gün gecikme",IF($L27-TODAY()&lt;=14,"● "&amp;TEXT($L27-TODAY(),"0")&amp;" gün kaldı","")))))</f>
        <v/>
      </c>
    </row>
    <row r="28" ht="18" customHeight="1">
      <c r="A28" s="60">
        <f>IF($C28="","",ROW()-4)</f>
        <v/>
      </c>
      <c r="B28" s="61" t="inlineStr">
        <is>
          <t>BIGR</t>
        </is>
      </c>
      <c r="C28" s="61" t="inlineStr">
        <is>
          <t>3.2.3 Yetkilendirme</t>
        </is>
      </c>
      <c r="D28" s="62" t="n"/>
      <c r="E28" s="62" t="n"/>
      <c r="F28" s="62" t="n"/>
      <c r="G28" s="62" t="n"/>
      <c r="H28" s="63" t="n"/>
      <c r="I28" s="63" t="n"/>
      <c r="J28" s="64">
        <f>IF(OR($H28="",$I28=""),"",$I28-$H28+1)</f>
        <v/>
      </c>
      <c r="K28" s="65" t="n"/>
      <c r="L28" s="66">
        <f>IF($I28="","",$I28+N($K28))</f>
        <v/>
      </c>
      <c r="M28" s="67" t="n"/>
      <c r="N28" s="60">
        <f>IF($C28="","",IF(N($M28)&gt;=1,"Tamamlandı",IF(AND($I28&lt;&gt;"",$L28&lt;TODAY()),"Gecikmiş",IF(OR(N($M28)&gt;0,AND($H28&lt;&gt;"",$H28&lt;=TODAY())),"Devam Ediyor","Planlanan"))))</f>
        <v/>
      </c>
      <c r="O28" s="61" t="n"/>
      <c r="P28" s="61" t="n"/>
      <c r="Q28" s="68">
        <f>IF($C28="","",IF($N28="Tamamlandı","",IF($L28="","",IF($L28&lt;TODAY(),"⚠ "&amp;TEXT(TODAY()-$L28,"0")&amp;" gün gecikme",IF($L28-TODAY()&lt;=14,"● "&amp;TEXT($L28-TODAY(),"0")&amp;" gün kaldı","")))))</f>
        <v/>
      </c>
    </row>
    <row r="29" ht="18" customHeight="1">
      <c r="A29" s="60">
        <f>IF($C29="","",ROW()-4)</f>
        <v/>
      </c>
      <c r="B29" s="61" t="inlineStr">
        <is>
          <t>BIGR</t>
        </is>
      </c>
      <c r="C29" s="61" t="inlineStr">
        <is>
          <t>3.2.4 Dosyaların ve Kaynakların Güvenliği</t>
        </is>
      </c>
      <c r="D29" s="62" t="n"/>
      <c r="E29" s="62" t="n"/>
      <c r="F29" s="62" t="n"/>
      <c r="G29" s="62" t="n"/>
      <c r="H29" s="63" t="n"/>
      <c r="I29" s="63" t="n"/>
      <c r="J29" s="64">
        <f>IF(OR($H29="",$I29=""),"",$I29-$H29+1)</f>
        <v/>
      </c>
      <c r="K29" s="65" t="n"/>
      <c r="L29" s="66">
        <f>IF($I29="","",$I29+N($K29))</f>
        <v/>
      </c>
      <c r="M29" s="67" t="n"/>
      <c r="N29" s="60">
        <f>IF($C29="","",IF(N($M29)&gt;=1,"Tamamlandı",IF(AND($I29&lt;&gt;"",$L29&lt;TODAY()),"Gecikmiş",IF(OR(N($M29)&gt;0,AND($H29&lt;&gt;"",$H29&lt;=TODAY())),"Devam Ediyor","Planlanan"))))</f>
        <v/>
      </c>
      <c r="O29" s="61" t="n"/>
      <c r="P29" s="61" t="n"/>
      <c r="Q29" s="68">
        <f>IF($C29="","",IF($N29="Tamamlandı","",IF($L29="","",IF($L29&lt;TODAY(),"⚠ "&amp;TEXT(TODAY()-$L29,"0")&amp;" gün gecikme",IF($L29-TODAY()&lt;=14,"● "&amp;TEXT($L29-TODAY(),"0")&amp;" gün kaldı","")))))</f>
        <v/>
      </c>
    </row>
    <row r="30" ht="18" customHeight="1">
      <c r="A30" s="60">
        <f>IF($C30="","",ROW()-4)</f>
        <v/>
      </c>
      <c r="B30" s="61" t="inlineStr">
        <is>
          <t>BIGR</t>
        </is>
      </c>
      <c r="C30" s="61" t="inlineStr">
        <is>
          <t>3.2.7 Veri Tabanı ve Kayıt Yönetimi</t>
        </is>
      </c>
      <c r="D30" s="62" t="n"/>
      <c r="E30" s="62" t="n"/>
      <c r="F30" s="62" t="n"/>
      <c r="G30" s="62" t="n"/>
      <c r="H30" s="63" t="n"/>
      <c r="I30" s="63" t="n"/>
      <c r="J30" s="64">
        <f>IF(OR($H30="",$I30=""),"",$I30-$H30+1)</f>
        <v/>
      </c>
      <c r="K30" s="65" t="n"/>
      <c r="L30" s="66">
        <f>IF($I30="","",$I30+N($K30))</f>
        <v/>
      </c>
      <c r="M30" s="67" t="n"/>
      <c r="N30" s="60">
        <f>IF($C30="","",IF(N($M30)&gt;=1,"Tamamlandı",IF(AND($I30&lt;&gt;"",$L30&lt;TODAY()),"Gecikmiş",IF(OR(N($M30)&gt;0,AND($H30&lt;&gt;"",$H30&lt;=TODAY())),"Devam Ediyor","Planlanan"))))</f>
        <v/>
      </c>
      <c r="O30" s="61" t="n"/>
      <c r="P30" s="61" t="n"/>
      <c r="Q30" s="68">
        <f>IF($C30="","",IF($N30="Tamamlandı","",IF($L30="","",IF($L30&lt;TODAY(),"⚠ "&amp;TEXT(TODAY()-$L30,"0")&amp;" gün gecikme",IF($L30-TODAY()&lt;=14,"● "&amp;TEXT($L30-TODAY(),"0")&amp;" gün kaldı","")))))</f>
        <v/>
      </c>
    </row>
    <row r="31" ht="18" customHeight="1">
      <c r="A31" s="60">
        <f>IF($C31="","",ROW()-4)</f>
        <v/>
      </c>
      <c r="B31" s="61" t="inlineStr">
        <is>
          <t>BIGR</t>
        </is>
      </c>
      <c r="C31" s="61" t="inlineStr">
        <is>
          <t>3.2.8 Hata Ele Alma ve Kayıt Yönetimi</t>
        </is>
      </c>
      <c r="D31" s="62" t="n"/>
      <c r="E31" s="62" t="n"/>
      <c r="F31" s="62" t="n"/>
      <c r="G31" s="62" t="n"/>
      <c r="H31" s="63" t="n"/>
      <c r="I31" s="63" t="n"/>
      <c r="J31" s="64">
        <f>IF(OR($H31="",$I31=""),"",$I31-$H31+1)</f>
        <v/>
      </c>
      <c r="K31" s="65" t="n"/>
      <c r="L31" s="66">
        <f>IF($I31="","",$I31+N($K31))</f>
        <v/>
      </c>
      <c r="M31" s="67" t="n"/>
      <c r="N31" s="60">
        <f>IF($C31="","",IF(N($M31)&gt;=1,"Tamamlandı",IF(AND($I31&lt;&gt;"",$L31&lt;TODAY()),"Gecikmiş",IF(OR(N($M31)&gt;0,AND($H31&lt;&gt;"",$H31&lt;=TODAY())),"Devam Ediyor","Planlanan"))))</f>
        <v/>
      </c>
      <c r="O31" s="61" t="n"/>
      <c r="P31" s="61" t="n"/>
      <c r="Q31" s="68">
        <f>IF($C31="","",IF($N31="Tamamlandı","",IF($L31="","",IF($L31&lt;TODAY(),"⚠ "&amp;TEXT(TODAY()-$L31,"0")&amp;" gün gecikme",IF($L31-TODAY()&lt;=14,"● "&amp;TEXT($L31-TODAY(),"0")&amp;" gün kaldı","")))))</f>
        <v/>
      </c>
    </row>
    <row r="32" ht="18" customHeight="1">
      <c r="A32" s="60">
        <f>IF($C32="","",ROW()-4)</f>
        <v/>
      </c>
      <c r="B32" s="61" t="inlineStr">
        <is>
          <t>BIGR</t>
        </is>
      </c>
      <c r="C32" s="61" t="inlineStr">
        <is>
          <t>3.2.10 Kötücül İşlemleri Engelleme</t>
        </is>
      </c>
      <c r="D32" s="62" t="n"/>
      <c r="E32" s="62" t="n"/>
      <c r="F32" s="62" t="n"/>
      <c r="G32" s="62" t="n"/>
      <c r="H32" s="63" t="n"/>
      <c r="I32" s="63" t="n"/>
      <c r="J32" s="64">
        <f>IF(OR($H32="",$I32=""),"",$I32-$H32+1)</f>
        <v/>
      </c>
      <c r="K32" s="65" t="n"/>
      <c r="L32" s="66">
        <f>IF($I32="","",$I32+N($K32))</f>
        <v/>
      </c>
      <c r="M32" s="67" t="n"/>
      <c r="N32" s="60">
        <f>IF($C32="","",IF(N($M32)&gt;=1,"Tamamlandı",IF(AND($I32&lt;&gt;"",$L32&lt;TODAY()),"Gecikmiş",IF(OR(N($M32)&gt;0,AND($H32&lt;&gt;"",$H32&lt;=TODAY())),"Devam Ediyor","Planlanan"))))</f>
        <v/>
      </c>
      <c r="O32" s="61" t="n"/>
      <c r="P32" s="61" t="n"/>
      <c r="Q32" s="68">
        <f>IF($C32="","",IF($N32="Tamamlandı","",IF($L32="","",IF($L32&lt;TODAY(),"⚠ "&amp;TEXT(TODAY()-$L32,"0")&amp;" gün gecikme",IF($L32-TODAY()&lt;=14,"● "&amp;TEXT($L32-TODAY(),"0")&amp;" gün kaldı","")))))</f>
        <v/>
      </c>
    </row>
    <row r="33" ht="18" customHeight="1">
      <c r="A33" s="60">
        <f>IF($C33="","",ROW()-4)</f>
        <v/>
      </c>
      <c r="B33" s="61" t="inlineStr">
        <is>
          <t>BIGR</t>
        </is>
      </c>
      <c r="C33" s="61" t="inlineStr">
        <is>
          <t>4.1.1 Kayıt Yönetimi</t>
        </is>
      </c>
      <c r="D33" s="62" t="n"/>
      <c r="E33" s="62" t="n"/>
      <c r="F33" s="62" t="n"/>
      <c r="G33" s="62" t="n"/>
      <c r="H33" s="63" t="n"/>
      <c r="I33" s="63" t="n"/>
      <c r="J33" s="64">
        <f>IF(OR($H33="",$I33=""),"",$I33-$H33+1)</f>
        <v/>
      </c>
      <c r="K33" s="65" t="n"/>
      <c r="L33" s="66">
        <f>IF($I33="","",$I33+N($K33))</f>
        <v/>
      </c>
      <c r="M33" s="67" t="n"/>
      <c r="N33" s="60">
        <f>IF($C33="","",IF(N($M33)&gt;=1,"Tamamlandı",IF(AND($I33&lt;&gt;"",$L33&lt;TODAY()),"Gecikmiş",IF(OR(N($M33)&gt;0,AND($H33&lt;&gt;"",$H33&lt;=TODAY())),"Devam Ediyor","Planlanan"))))</f>
        <v/>
      </c>
      <c r="O33" s="61" t="n"/>
      <c r="P33" s="61" t="n"/>
      <c r="Q33" s="68">
        <f>IF($C33="","",IF($N33="Tamamlandı","",IF($L33="","",IF($L33&lt;TODAY(),"⚠ "&amp;TEXT(TODAY()-$L33,"0")&amp;" gün gecikme",IF($L33-TODAY()&lt;=14,"● "&amp;TEXT($L33-TODAY(),"0")&amp;" gün kaldı","")))))</f>
        <v/>
      </c>
    </row>
    <row r="34" ht="18" customHeight="1">
      <c r="A34" s="60">
        <f>IF($C34="","",ROW()-4)</f>
        <v/>
      </c>
      <c r="B34" s="61" t="inlineStr">
        <is>
          <t>BIGR</t>
        </is>
      </c>
      <c r="C34" s="61" t="inlineStr">
        <is>
          <t>4.1.2  Erişim Kayıtları Yönetimi</t>
        </is>
      </c>
      <c r="D34" s="62" t="n"/>
      <c r="E34" s="62" t="n"/>
      <c r="F34" s="62" t="n"/>
      <c r="G34" s="62" t="n"/>
      <c r="H34" s="63" t="n"/>
      <c r="I34" s="63" t="n"/>
      <c r="J34" s="64">
        <f>IF(OR($H34="",$I34=""),"",$I34-$H34+1)</f>
        <v/>
      </c>
      <c r="K34" s="65" t="n"/>
      <c r="L34" s="66">
        <f>IF($I34="","",$I34+N($K34))</f>
        <v/>
      </c>
      <c r="M34" s="67" t="n"/>
      <c r="N34" s="60">
        <f>IF($C34="","",IF(N($M34)&gt;=1,"Tamamlandı",IF(AND($I34&lt;&gt;"",$L34&lt;TODAY()),"Gecikmiş",IF(OR(N($M34)&gt;0,AND($H34&lt;&gt;"",$H34&lt;=TODAY())),"Devam Ediyor","Planlanan"))))</f>
        <v/>
      </c>
      <c r="O34" s="61" t="n"/>
      <c r="P34" s="61" t="n"/>
      <c r="Q34" s="68">
        <f>IF($C34="","",IF($N34="Tamamlandı","",IF($L34="","",IF($L34&lt;TODAY(),"⚠ "&amp;TEXT(TODAY()-$L34,"0")&amp;" gün gecikme",IF($L34-TODAY()&lt;=14,"● "&amp;TEXT($L34-TODAY(),"0")&amp;" gün kaldı","")))))</f>
        <v/>
      </c>
    </row>
    <row r="35" ht="18" customHeight="1">
      <c r="A35" s="60">
        <f>IF($C35="","",ROW()-4)</f>
        <v/>
      </c>
      <c r="B35" s="61" t="inlineStr">
        <is>
          <t>BIGR</t>
        </is>
      </c>
      <c r="C35" s="61" t="inlineStr">
        <is>
          <t>4.1.3 Yetkilendirme</t>
        </is>
      </c>
      <c r="D35" s="62" t="n"/>
      <c r="E35" s="62" t="n"/>
      <c r="F35" s="62" t="n"/>
      <c r="G35" s="62" t="n"/>
      <c r="H35" s="63" t="n"/>
      <c r="I35" s="63" t="n"/>
      <c r="J35" s="64">
        <f>IF(OR($H35="",$I35=""),"",$I35-$H35+1)</f>
        <v/>
      </c>
      <c r="K35" s="65" t="n"/>
      <c r="L35" s="66">
        <f>IF($I35="","",$I35+N($K35))</f>
        <v/>
      </c>
      <c r="M35" s="67" t="n"/>
      <c r="N35" s="60">
        <f>IF($C35="","",IF(N($M35)&gt;=1,"Tamamlandı",IF(AND($I35&lt;&gt;"",$L35&lt;TODAY()),"Gecikmiş",IF(OR(N($M35)&gt;0,AND($H35&lt;&gt;"",$H35&lt;=TODAY())),"Devam Ediyor","Planlanan"))))</f>
        <v/>
      </c>
      <c r="O35" s="61" t="n"/>
      <c r="P35" s="61" t="n"/>
      <c r="Q35" s="68">
        <f>IF($C35="","",IF($N35="Tamamlandı","",IF($L35="","",IF($L35&lt;TODAY(),"⚠ "&amp;TEXT(TODAY()-$L35,"0")&amp;" gün gecikme",IF($L35-TODAY()&lt;=14,"● "&amp;TEXT($L35-TODAY(),"0")&amp;" gün kaldı","")))))</f>
        <v/>
      </c>
    </row>
    <row r="36" ht="18" customHeight="1">
      <c r="A36" s="60">
        <f>IF($C36="","",ROW()-4)</f>
        <v/>
      </c>
      <c r="B36" s="61" t="inlineStr">
        <is>
          <t>BIGR</t>
        </is>
      </c>
      <c r="C36" s="61" t="inlineStr">
        <is>
          <t>4.1.4 Şifreleme</t>
        </is>
      </c>
      <c r="D36" s="62" t="n"/>
      <c r="E36" s="62" t="n"/>
      <c r="F36" s="62" t="n"/>
      <c r="G36" s="62" t="n"/>
      <c r="H36" s="63" t="n"/>
      <c r="I36" s="63" t="n"/>
      <c r="J36" s="64">
        <f>IF(OR($H36="",$I36=""),"",$I36-$H36+1)</f>
        <v/>
      </c>
      <c r="K36" s="65" t="n"/>
      <c r="L36" s="66">
        <f>IF($I36="","",$I36+N($K36))</f>
        <v/>
      </c>
      <c r="M36" s="67" t="n"/>
      <c r="N36" s="60">
        <f>IF($C36="","",IF(N($M36)&gt;=1,"Tamamlandı",IF(AND($I36&lt;&gt;"",$L36&lt;TODAY()),"Gecikmiş",IF(OR(N($M36)&gt;0,AND($H36&lt;&gt;"",$H36&lt;=TODAY())),"Devam Ediyor","Planlanan"))))</f>
        <v/>
      </c>
      <c r="O36" s="61" t="n"/>
      <c r="P36" s="61" t="n"/>
      <c r="Q36" s="68">
        <f>IF($C36="","",IF($N36="Tamamlandı","",IF($L36="","",IF($L36&lt;TODAY(),"⚠ "&amp;TEXT(TODAY()-$L36,"0")&amp;" gün gecikme",IF($L36-TODAY()&lt;=14,"● "&amp;TEXT($L36-TODAY(),"0")&amp;" gün kaldı","")))))</f>
        <v/>
      </c>
    </row>
    <row r="37" ht="28.5" customHeight="1">
      <c r="A37" s="60">
        <f>IF($C37="","",ROW()-4)</f>
        <v/>
      </c>
      <c r="B37" s="61" t="inlineStr">
        <is>
          <t>BIGR</t>
        </is>
      </c>
      <c r="C37" s="61" t="inlineStr">
        <is>
          <t>4.1.5 Yedekleme, Silme, Yok Etme ve Anonim Hale Getirme</t>
        </is>
      </c>
      <c r="D37" s="62" t="n"/>
      <c r="E37" s="62" t="n"/>
      <c r="F37" s="62" t="n"/>
      <c r="G37" s="62" t="n"/>
      <c r="H37" s="63" t="n"/>
      <c r="I37" s="63" t="n"/>
      <c r="J37" s="64">
        <f>IF(OR($H37="",$I37=""),"",$I37-$H37+1)</f>
        <v/>
      </c>
      <c r="K37" s="65" t="n"/>
      <c r="L37" s="66">
        <f>IF($I37="","",$I37+N($K37))</f>
        <v/>
      </c>
      <c r="M37" s="67" t="n"/>
      <c r="N37" s="60">
        <f>IF($C37="","",IF(N($M37)&gt;=1,"Tamamlandı",IF(AND($I37&lt;&gt;"",$L37&lt;TODAY()),"Gecikmiş",IF(OR(N($M37)&gt;0,AND($H37&lt;&gt;"",$H37&lt;=TODAY())),"Devam Ediyor","Planlanan"))))</f>
        <v/>
      </c>
      <c r="O37" s="61" t="n"/>
      <c r="P37" s="61" t="n"/>
      <c r="Q37" s="68">
        <f>IF($C37="","",IF($N37="Tamamlandı","",IF($L37="","",IF($L37&lt;TODAY(),"⚠ "&amp;TEXT(TODAY()-$L37,"0")&amp;" gün gecikme",IF($L37-TODAY()&lt;=14,"● "&amp;TEXT($L37-TODAY(),"0")&amp;" gün kaldı","")))))</f>
        <v/>
      </c>
    </row>
    <row r="38" ht="18" customHeight="1">
      <c r="A38" s="60">
        <f>IF($C38="","",ROW()-4)</f>
        <v/>
      </c>
      <c r="B38" s="61" t="inlineStr">
        <is>
          <t>BIGR</t>
        </is>
      </c>
      <c r="C38" s="61" t="inlineStr">
        <is>
          <t>5.3.1 Web Sunucusu Sıkılaştırma Tedbirler</t>
        </is>
      </c>
      <c r="D38" s="62" t="n"/>
      <c r="E38" s="62" t="n"/>
      <c r="F38" s="62" t="n"/>
      <c r="G38" s="62" t="n"/>
      <c r="H38" s="63" t="n"/>
      <c r="I38" s="63" t="n"/>
      <c r="J38" s="64">
        <f>IF(OR($H38="",$I38=""),"",$I38-$H38+1)</f>
        <v/>
      </c>
      <c r="K38" s="65" t="n"/>
      <c r="L38" s="66">
        <f>IF($I38="","",$I38+N($K38))</f>
        <v/>
      </c>
      <c r="M38" s="67" t="n"/>
      <c r="N38" s="60">
        <f>IF($C38="","",IF(N($M38)&gt;=1,"Tamamlandı",IF(AND($I38&lt;&gt;"",$L38&lt;TODAY()),"Gecikmiş",IF(OR(N($M38)&gt;0,AND($H38&lt;&gt;"",$H38&lt;=TODAY())),"Devam Ediyor","Planlanan"))))</f>
        <v/>
      </c>
      <c r="O38" s="61" t="n"/>
      <c r="P38" s="61" t="n"/>
      <c r="Q38" s="68">
        <f>IF($C38="","",IF($N38="Tamamlandı","",IF($L38="","",IF($L38&lt;TODAY(),"⚠ "&amp;TEXT(TODAY()-$L38,"0")&amp;" gün gecikme",IF($L38-TODAY()&lt;=14,"● "&amp;TEXT($L38-TODAY(),"0")&amp;" gün kaldı","")))))</f>
        <v/>
      </c>
    </row>
    <row r="39" ht="18" customHeight="1">
      <c r="A39" s="60">
        <f>IF($C39="","",ROW()-4)</f>
        <v/>
      </c>
      <c r="B39" s="61" t="inlineStr">
        <is>
          <t>BIGR</t>
        </is>
      </c>
      <c r="C39" s="61" t="inlineStr">
        <is>
          <t>5.3.2 Sanallaştırma Sunucusu Sıkılaştırma Tedbirleri</t>
        </is>
      </c>
      <c r="D39" s="62" t="n"/>
      <c r="E39" s="62" t="n"/>
      <c r="F39" s="62" t="n"/>
      <c r="G39" s="62" t="n"/>
      <c r="H39" s="63" t="n"/>
      <c r="I39" s="63" t="n"/>
      <c r="J39" s="64">
        <f>IF(OR($H39="",$I39=""),"",$I39-$H39+1)</f>
        <v/>
      </c>
      <c r="K39" s="65" t="n"/>
      <c r="L39" s="66">
        <f>IF($I39="","",$I39+N($K39))</f>
        <v/>
      </c>
      <c r="M39" s="67" t="n"/>
      <c r="N39" s="60">
        <f>IF($C39="","",IF(N($M39)&gt;=1,"Tamamlandı",IF(AND($I39&lt;&gt;"",$L39&lt;TODAY()),"Gecikmiş",IF(OR(N($M39)&gt;0,AND($H39&lt;&gt;"",$H39&lt;=TODAY())),"Devam Ediyor","Planlanan"))))</f>
        <v/>
      </c>
      <c r="O39" s="61" t="n"/>
      <c r="P39" s="61" t="n"/>
      <c r="Q39" s="68">
        <f>IF($C39="","",IF($N39="Tamamlandı","",IF($L39="","",IF($L39&lt;TODAY(),"⚠ "&amp;TEXT(TODAY()-$L39,"0")&amp;" gün gecikme",IF($L39-TODAY()&lt;=14,"● "&amp;TEXT($L39-TODAY(),"0")&amp;" gün kaldı","")))))</f>
        <v/>
      </c>
    </row>
    <row r="40" ht="18" customHeight="1">
      <c r="A40" s="60">
        <f>IF($C40="","",ROW()-4)</f>
        <v/>
      </c>
      <c r="B40" s="61" t="inlineStr">
        <is>
          <t>Buluts</t>
        </is>
      </c>
      <c r="C40" s="61" t="inlineStr">
        <is>
          <t>Buluts Denetimi</t>
        </is>
      </c>
      <c r="D40" s="62" t="n"/>
      <c r="E40" s="62" t="n"/>
      <c r="F40" s="62" t="inlineStr">
        <is>
          <t>Örnek Soyad4</t>
        </is>
      </c>
      <c r="G40" s="62" t="n"/>
      <c r="H40" s="63" t="n">
        <v>46260</v>
      </c>
      <c r="I40" s="63" t="n">
        <v>46269</v>
      </c>
      <c r="J40" s="64">
        <f>IF(OR($H40="",$I40=""),"",$I40-$H40+1)</f>
        <v/>
      </c>
      <c r="K40" s="65" t="n"/>
      <c r="L40" s="66">
        <f>IF($I40="","",$I40+N($K40))</f>
        <v/>
      </c>
      <c r="M40" s="67" t="n">
        <v>0.2</v>
      </c>
      <c r="N40" s="60">
        <f>IF($C40="","",IF(N($M40)&gt;=1,"Tamamlandı",IF(AND($I40&lt;&gt;"",$L40&lt;TODAY()),"Gecikmiş",IF(OR(N($M40)&gt;0,AND($H40&lt;&gt;"",$H40&lt;=TODAY())),"Devam Ediyor","Planlanan"))))</f>
        <v/>
      </c>
      <c r="O40" s="61" t="n"/>
      <c r="P40" s="61" t="n"/>
      <c r="Q40" s="68">
        <f>IF($C40="","",IF($N40="Tamamlandı","",IF($L40="","",IF($L40&lt;TODAY(),"⚠ "&amp;TEXT(TODAY()-$L40,"0")&amp;" gün gecikme",IF($L40-TODAY()&lt;=14,"● "&amp;TEXT($L40-TODAY(),"0")&amp;" gün kaldı","")))))</f>
        <v/>
      </c>
    </row>
    <row r="41" ht="136.5" customHeight="1">
      <c r="A41" s="60">
        <f>IF($C41="","",ROW()-4)</f>
        <v/>
      </c>
      <c r="B41" s="61" t="inlineStr">
        <is>
          <t>Destek Hizmeti Denetimler</t>
        </is>
      </c>
      <c r="C41" s="61" t="inlineStr">
        <is>
          <t xml:space="preserve">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t>
        </is>
      </c>
      <c r="D41" s="62" t="n"/>
      <c r="E41" s="62" t="n"/>
      <c r="F41" s="62" t="inlineStr">
        <is>
          <t>Örnek Soyad1</t>
        </is>
      </c>
      <c r="G41" s="62" t="n"/>
      <c r="H41" s="63" t="n"/>
      <c r="I41" s="63" t="n"/>
      <c r="J41" s="64">
        <f>IF(OR($H41="",$I41=""),"",$I41-$H41+1)</f>
        <v/>
      </c>
      <c r="K41" s="65" t="n"/>
      <c r="L41" s="66">
        <f>IF($I41="","",$I41+N($K41))</f>
        <v/>
      </c>
      <c r="M41" s="67" t="n"/>
      <c r="N41" s="60">
        <f>IF($C41="","",IF(N($M41)&gt;=1,"Tamamlandı",IF(AND($I41&lt;&gt;"",$L41&lt;TODAY()),"Gecikmiş",IF(OR(N($M41)&gt;0,AND($H41&lt;&gt;"",$H41&lt;=TODAY())),"Devam Ediyor","Planlanan"))))</f>
        <v/>
      </c>
      <c r="O41" s="61" t="n"/>
      <c r="P41" s="61" t="n"/>
      <c r="Q41" s="68">
        <f>IF($C41="","",IF($N41="Tamamlandı","",IF($L41="","",IF($L41&lt;TODAY(),"⚠ "&amp;TEXT(TODAY()-$L41,"0")&amp;" gün gecikme",IF($L41-TODAY()&lt;=14,"● "&amp;TEXT($L41-TODAY(),"0")&amp;" gün kaldı","")))))</f>
        <v/>
      </c>
    </row>
    <row r="42" ht="18" customHeight="1">
      <c r="A42" s="60">
        <f>IF($C42="","",ROW()-4)</f>
        <v/>
      </c>
      <c r="B42" s="61" t="inlineStr">
        <is>
          <t>WS Entegrasyon Denetimi</t>
        </is>
      </c>
      <c r="C42" s="61" t="inlineStr">
        <is>
          <t>Workflow Oluşturma</t>
        </is>
      </c>
      <c r="D42" s="62" t="n"/>
      <c r="E42" s="62" t="n"/>
      <c r="F42" s="62" t="n"/>
      <c r="G42" s="62" t="n"/>
      <c r="H42" s="63" t="n">
        <v>46265</v>
      </c>
      <c r="I42" s="63" t="n">
        <v>46269</v>
      </c>
      <c r="J42" s="64">
        <f>IF(OR($H42="",$I42=""),"",$I42-$H42+1)</f>
        <v/>
      </c>
      <c r="K42" s="65" t="n"/>
      <c r="L42" s="66">
        <f>IF($I42="","",$I42+N($K42))</f>
        <v/>
      </c>
      <c r="M42" s="67" t="n">
        <v>0.45</v>
      </c>
      <c r="N42" s="60">
        <f>IF($C42="","",IF(N($M42)&gt;=1,"Tamamlandı",IF(AND($I42&lt;&gt;"",$L42&lt;TODAY()),"Gecikmiş",IF(OR(N($M42)&gt;0,AND($H42&lt;&gt;"",$H42&lt;=TODAY())),"Devam Ediyor","Planlanan"))))</f>
        <v/>
      </c>
      <c r="O42" s="61" t="n"/>
      <c r="P42" s="61" t="n"/>
      <c r="Q42" s="68">
        <f>IF($C42="","",IF($N42="Tamamlandı","",IF($L42="","",IF($L42&lt;TODAY(),"⚠ "&amp;TEXT(TODAY()-$L42,"0")&amp;" gün gecikme",IF($L42-TODAY()&lt;=14,"● "&amp;TEXT($L42-TODAY(),"0")&amp;" gün kaldı","")))))</f>
        <v/>
      </c>
    </row>
    <row r="43" ht="60.75" customHeight="1">
      <c r="A43" s="60">
        <f>IF($C43="","",ROW()-4)</f>
        <v/>
      </c>
      <c r="B43" s="61" t="inlineStr">
        <is>
          <t>Kararlar</t>
        </is>
      </c>
      <c r="C43" s="61" t="inlineStr">
        <is>
          <t>Yapay zeka güvenliği projesi yapmadıkları, yapılması gereken işler araştırılacak, güvenlik tarafı nasıl yönetiliyor incelenecek</t>
        </is>
      </c>
      <c r="D43" s="62" t="n"/>
      <c r="E43" s="62" t="n"/>
      <c r="F43" s="62" t="n"/>
      <c r="G43" s="62" t="inlineStr">
        <is>
          <t>Düşük</t>
        </is>
      </c>
      <c r="H43" s="63" t="n"/>
      <c r="I43" s="63" t="n"/>
      <c r="J43" s="64">
        <f>IF(OR($H43="",$I43=""),"",$I43-$H43+1)</f>
        <v/>
      </c>
      <c r="K43" s="65" t="n"/>
      <c r="L43" s="66">
        <f>IF($I43="","",$I43+N($K43))</f>
        <v/>
      </c>
      <c r="M43" s="67" t="n"/>
      <c r="N43" s="60">
        <f>IF($C43="","",IF(N($M43)&gt;=1,"Tamamlandı",IF(AND($I43&lt;&gt;"",$L43&lt;TODAY()),"Gecikmiş",IF(OR(N($M43)&gt;0,AND($H43&lt;&gt;"",$H43&lt;=TODAY())),"Devam Ediyor","Planlanan"))))</f>
        <v/>
      </c>
      <c r="O43" s="61" t="n"/>
      <c r="P43" s="61" t="n"/>
      <c r="Q43" s="68">
        <f>IF($C43="","",IF($N43="Tamamlandı","",IF($L43="","",IF($L43&lt;TODAY(),"⚠ "&amp;TEXT(TODAY()-$L43,"0")&amp;" gün gecikme",IF($L43-TODAY()&lt;=14,"● "&amp;TEXT($L43-TODAY(),"0")&amp;" gün kaldı","")))))</f>
        <v/>
      </c>
    </row>
    <row r="44" ht="18" customHeight="1">
      <c r="A44" s="60">
        <f>IF($C44="","",ROW()-4)</f>
        <v/>
      </c>
      <c r="B44" s="61" t="n"/>
      <c r="C44" s="61" t="n"/>
      <c r="D44" s="62" t="n"/>
      <c r="E44" s="62" t="n"/>
      <c r="F44" s="62" t="n"/>
      <c r="G44" s="62" t="n"/>
      <c r="H44" s="63" t="n"/>
      <c r="I44" s="63" t="n"/>
      <c r="J44" s="64">
        <f>IF(OR($H44="",$I44=""),"",$I44-$H44+1)</f>
        <v/>
      </c>
      <c r="K44" s="65" t="n"/>
      <c r="L44" s="66">
        <f>IF($I44="","",$I44+N($K44))</f>
        <v/>
      </c>
      <c r="M44" s="67" t="n"/>
      <c r="N44" s="60">
        <f>IF($C44="","",IF(N($M44)&gt;=1,"Tamamlandı",IF(AND($I44&lt;&gt;"",$L44&lt;TODAY()),"Gecikmiş",IF(OR(N($M44)&gt;0,AND($H44&lt;&gt;"",$H44&lt;=TODAY())),"Devam Ediyor","Planlanan"))))</f>
        <v/>
      </c>
      <c r="O44" s="61" t="n"/>
      <c r="P44" s="61" t="n"/>
      <c r="Q44" s="68">
        <f>IF($C44="","",IF($N44="Tamamlandı","",IF($L44="","",IF($L44&lt;TODAY(),"⚠ "&amp;TEXT(TODAY()-$L44,"0")&amp;" gün gecikme",IF($L44-TODAY()&lt;=14,"● "&amp;TEXT($L44-TODAY(),"0")&amp;" gün kaldı","")))))</f>
        <v/>
      </c>
    </row>
    <row r="45" ht="18" customHeight="1">
      <c r="A45" s="60">
        <f>IF($C45="","",ROW()-4)</f>
        <v/>
      </c>
      <c r="B45" s="61" t="n"/>
      <c r="C45" s="61" t="n"/>
      <c r="D45" s="62" t="n"/>
      <c r="E45" s="62" t="n"/>
      <c r="F45" s="62" t="n"/>
      <c r="G45" s="62" t="n"/>
      <c r="H45" s="63" t="n"/>
      <c r="I45" s="63" t="n"/>
      <c r="J45" s="64">
        <f>IF(OR($H45="",$I45=""),"",$I45-$H45+1)</f>
        <v/>
      </c>
      <c r="K45" s="65" t="n"/>
      <c r="L45" s="66">
        <f>IF($I45="","",$I45+N($K45))</f>
        <v/>
      </c>
      <c r="M45" s="67" t="n"/>
      <c r="N45" s="60">
        <f>IF($C45="","",IF(N($M45)&gt;=1,"Tamamlandı",IF(AND($I45&lt;&gt;"",$L45&lt;TODAY()),"Gecikmiş",IF(OR(N($M45)&gt;0,AND($H45&lt;&gt;"",$H45&lt;=TODAY())),"Devam Ediyor","Planlanan"))))</f>
        <v/>
      </c>
      <c r="O45" s="61" t="n"/>
      <c r="P45" s="61" t="n"/>
      <c r="Q45" s="68">
        <f>IF($C45="","",IF($N45="Tamamlandı","",IF($L45="","",IF($L45&lt;TODAY(),"⚠ "&amp;TEXT(TODAY()-$L45,"0")&amp;" gün gecikme",IF($L45-TODAY()&lt;=14,"● "&amp;TEXT($L45-TODAY(),"0")&amp;" gün kaldı","")))))</f>
        <v/>
      </c>
    </row>
    <row r="46" ht="18" customHeight="1">
      <c r="A46" s="60">
        <f>IF($C46="","",ROW()-4)</f>
        <v/>
      </c>
      <c r="B46" s="61" t="n"/>
      <c r="C46" s="61" t="n"/>
      <c r="D46" s="62" t="n"/>
      <c r="E46" s="62" t="n"/>
      <c r="F46" s="62" t="n"/>
      <c r="G46" s="62" t="n"/>
      <c r="H46" s="63" t="n"/>
      <c r="I46" s="63" t="n"/>
      <c r="J46" s="64">
        <f>IF(OR($H46="",$I46=""),"",$I46-$H46+1)</f>
        <v/>
      </c>
      <c r="K46" s="65" t="n"/>
      <c r="L46" s="66">
        <f>IF($I46="","",$I46+N($K46))</f>
        <v/>
      </c>
      <c r="M46" s="67" t="n"/>
      <c r="N46" s="60">
        <f>IF($C46="","",IF(N($M46)&gt;=1,"Tamamlandı",IF(AND($I46&lt;&gt;"",$L46&lt;TODAY()),"Gecikmiş",IF(OR(N($M46)&gt;0,AND($H46&lt;&gt;"",$H46&lt;=TODAY())),"Devam Ediyor","Planlanan"))))</f>
        <v/>
      </c>
      <c r="O46" s="61" t="n"/>
      <c r="P46" s="61" t="n"/>
      <c r="Q46" s="68">
        <f>IF($C46="","",IF($N46="Tamamlandı","",IF($L46="","",IF($L46&lt;TODAY(),"⚠ "&amp;TEXT(TODAY()-$L46,"0")&amp;" gün gecikme",IF($L46-TODAY()&lt;=14,"● "&amp;TEXT($L46-TODAY(),"0")&amp;" gün kaldı","")))))</f>
        <v/>
      </c>
    </row>
    <row r="47" ht="18" customHeight="1">
      <c r="A47" s="60">
        <f>IF($C47="","",ROW()-4)</f>
        <v/>
      </c>
      <c r="B47" s="61" t="n"/>
      <c r="C47" s="61" t="n"/>
      <c r="D47" s="62" t="n"/>
      <c r="E47" s="62" t="n"/>
      <c r="F47" s="62" t="n"/>
      <c r="G47" s="62" t="n"/>
      <c r="H47" s="63" t="n"/>
      <c r="I47" s="63" t="n"/>
      <c r="J47" s="64">
        <f>IF(OR($H47="",$I47=""),"",$I47-$H47+1)</f>
        <v/>
      </c>
      <c r="K47" s="65" t="n"/>
      <c r="L47" s="66">
        <f>IF($I47="","",$I47+N($K47))</f>
        <v/>
      </c>
      <c r="M47" s="67" t="n"/>
      <c r="N47" s="60">
        <f>IF($C47="","",IF(N($M47)&gt;=1,"Tamamlandı",IF(AND($I47&lt;&gt;"",$L47&lt;TODAY()),"Gecikmiş",IF(OR(N($M47)&gt;0,AND($H47&lt;&gt;"",$H47&lt;=TODAY())),"Devam Ediyor","Planlanan"))))</f>
        <v/>
      </c>
      <c r="O47" s="61" t="n"/>
      <c r="P47" s="61" t="n"/>
      <c r="Q47" s="68">
        <f>IF($C47="","",IF($N47="Tamamlandı","",IF($L47="","",IF($L47&lt;TODAY(),"⚠ "&amp;TEXT(TODAY()-$L47,"0")&amp;" gün gecikme",IF($L47-TODAY()&lt;=14,"● "&amp;TEXT($L47-TODAY(),"0")&amp;" gün kaldı","")))))</f>
        <v/>
      </c>
    </row>
    <row r="48" ht="18" customHeight="1">
      <c r="A48" s="60">
        <f>IF($C48="","",ROW()-4)</f>
        <v/>
      </c>
      <c r="B48" s="61" t="n"/>
      <c r="C48" s="61" t="n"/>
      <c r="D48" s="62" t="n"/>
      <c r="E48" s="62" t="n"/>
      <c r="F48" s="62" t="n"/>
      <c r="G48" s="62" t="n"/>
      <c r="H48" s="63" t="n"/>
      <c r="I48" s="63" t="n"/>
      <c r="J48" s="64">
        <f>IF(OR($H48="",$I48=""),"",$I48-$H48+1)</f>
        <v/>
      </c>
      <c r="K48" s="65" t="n"/>
      <c r="L48" s="66">
        <f>IF($I48="","",$I48+N($K48))</f>
        <v/>
      </c>
      <c r="M48" s="67" t="n"/>
      <c r="N48" s="60">
        <f>IF($C48="","",IF(N($M48)&gt;=1,"Tamamlandı",IF(AND($I48&lt;&gt;"",$L48&lt;TODAY()),"Gecikmiş",IF(OR(N($M48)&gt;0,AND($H48&lt;&gt;"",$H48&lt;=TODAY())),"Devam Ediyor","Planlanan"))))</f>
        <v/>
      </c>
      <c r="O48" s="61" t="n"/>
      <c r="P48" s="61" t="n"/>
      <c r="Q48" s="68">
        <f>IF($C48="","",IF($N48="Tamamlandı","",IF($L48="","",IF($L48&lt;TODAY(),"⚠ "&amp;TEXT(TODAY()-$L48,"0")&amp;" gün gecikme",IF($L48-TODAY()&lt;=14,"● "&amp;TEXT($L48-TODAY(),"0")&amp;" gün kaldı","")))))</f>
        <v/>
      </c>
    </row>
    <row r="49" ht="18" customHeight="1">
      <c r="A49" s="60">
        <f>IF($C49="","",ROW()-4)</f>
        <v/>
      </c>
      <c r="B49" s="61" t="n"/>
      <c r="C49" s="61" t="n"/>
      <c r="D49" s="62" t="n"/>
      <c r="E49" s="62" t="n"/>
      <c r="F49" s="62" t="n"/>
      <c r="G49" s="62" t="n"/>
      <c r="H49" s="63" t="n"/>
      <c r="I49" s="63" t="n"/>
      <c r="J49" s="64">
        <f>IF(OR($H49="",$I49=""),"",$I49-$H49+1)</f>
        <v/>
      </c>
      <c r="K49" s="65" t="n"/>
      <c r="L49" s="66">
        <f>IF($I49="","",$I49+N($K49))</f>
        <v/>
      </c>
      <c r="M49" s="67" t="n"/>
      <c r="N49" s="60">
        <f>IF($C49="","",IF(N($M49)&gt;=1,"Tamamlandı",IF(AND($I49&lt;&gt;"",$L49&lt;TODAY()),"Gecikmiş",IF(OR(N($M49)&gt;0,AND($H49&lt;&gt;"",$H49&lt;=TODAY())),"Devam Ediyor","Planlanan"))))</f>
        <v/>
      </c>
      <c r="O49" s="61" t="n"/>
      <c r="P49" s="61" t="n"/>
      <c r="Q49" s="68">
        <f>IF($C49="","",IF($N49="Tamamlandı","",IF($L49="","",IF($L49&lt;TODAY(),"⚠ "&amp;TEXT(TODAY()-$L49,"0")&amp;" gün gecikme",IF($L49-TODAY()&lt;=14,"● "&amp;TEXT($L49-TODAY(),"0")&amp;" gün kaldı","")))))</f>
        <v/>
      </c>
    </row>
    <row r="50" ht="18" customHeight="1">
      <c r="A50" s="60">
        <f>IF($C50="","",ROW()-4)</f>
        <v/>
      </c>
      <c r="B50" s="61" t="n"/>
      <c r="C50" s="61" t="n"/>
      <c r="D50" s="62" t="n"/>
      <c r="E50" s="62" t="n"/>
      <c r="F50" s="62" t="n"/>
      <c r="G50" s="62" t="n"/>
      <c r="H50" s="63" t="n"/>
      <c r="I50" s="63" t="n"/>
      <c r="J50" s="64">
        <f>IF(OR($H50="",$I50=""),"",$I50-$H50+1)</f>
        <v/>
      </c>
      <c r="K50" s="65" t="n"/>
      <c r="L50" s="66">
        <f>IF($I50="","",$I50+N($K50))</f>
        <v/>
      </c>
      <c r="M50" s="67" t="n"/>
      <c r="N50" s="60">
        <f>IF($C50="","",IF(N($M50)&gt;=1,"Tamamlandı",IF(AND($I50&lt;&gt;"",$L50&lt;TODAY()),"Gecikmiş",IF(OR(N($M50)&gt;0,AND($H50&lt;&gt;"",$H50&lt;=TODAY())),"Devam Ediyor","Planlanan"))))</f>
        <v/>
      </c>
      <c r="O50" s="61" t="n"/>
      <c r="P50" s="61" t="n"/>
      <c r="Q50" s="68">
        <f>IF($C50="","",IF($N50="Tamamlandı","",IF($L50="","",IF($L50&lt;TODAY(),"⚠ "&amp;TEXT(TODAY()-$L50,"0")&amp;" gün gecikme",IF($L50-TODAY()&lt;=14,"● "&amp;TEXT($L50-TODAY(),"0")&amp;" gün kaldı","")))))</f>
        <v/>
      </c>
    </row>
    <row r="51" ht="18" customHeight="1">
      <c r="A51" s="60">
        <f>IF($C51="","",ROW()-4)</f>
        <v/>
      </c>
      <c r="B51" s="61" t="n"/>
      <c r="C51" s="61" t="n"/>
      <c r="D51" s="62" t="n"/>
      <c r="E51" s="62" t="n"/>
      <c r="F51" s="62" t="n"/>
      <c r="G51" s="62" t="n"/>
      <c r="H51" s="63" t="n"/>
      <c r="I51" s="63" t="n"/>
      <c r="J51" s="64">
        <f>IF(OR($H51="",$I51=""),"",$I51-$H51+1)</f>
        <v/>
      </c>
      <c r="K51" s="65" t="n"/>
      <c r="L51" s="66">
        <f>IF($I51="","",$I51+N($K51))</f>
        <v/>
      </c>
      <c r="M51" s="67" t="n"/>
      <c r="N51" s="60">
        <f>IF($C51="","",IF(N($M51)&gt;=1,"Tamamlandı",IF(AND($I51&lt;&gt;"",$L51&lt;TODAY()),"Gecikmiş",IF(OR(N($M51)&gt;0,AND($H51&lt;&gt;"",$H51&lt;=TODAY())),"Devam Ediyor","Planlanan"))))</f>
        <v/>
      </c>
      <c r="O51" s="61" t="n"/>
      <c r="P51" s="61" t="n"/>
      <c r="Q51" s="68">
        <f>IF($C51="","",IF($N51="Tamamlandı","",IF($L51="","",IF($L51&lt;TODAY(),"⚠ "&amp;TEXT(TODAY()-$L51,"0")&amp;" gün gecikme",IF($L51-TODAY()&lt;=14,"● "&amp;TEXT($L51-TODAY(),"0")&amp;" gün kaldı","")))))</f>
        <v/>
      </c>
    </row>
    <row r="52" ht="18" customHeight="1">
      <c r="A52" s="60">
        <f>IF($C52="","",ROW()-4)</f>
        <v/>
      </c>
      <c r="B52" s="61" t="n"/>
      <c r="C52" s="61" t="n"/>
      <c r="D52" s="62" t="n"/>
      <c r="E52" s="62" t="n"/>
      <c r="F52" s="62" t="n"/>
      <c r="G52" s="62" t="n"/>
      <c r="H52" s="63" t="n"/>
      <c r="I52" s="63" t="n"/>
      <c r="J52" s="64">
        <f>IF(OR($H52="",$I52=""),"",$I52-$H52+1)</f>
        <v/>
      </c>
      <c r="K52" s="65" t="n"/>
      <c r="L52" s="66">
        <f>IF($I52="","",$I52+N($K52))</f>
        <v/>
      </c>
      <c r="M52" s="67" t="n"/>
      <c r="N52" s="60">
        <f>IF($C52="","",IF(N($M52)&gt;=1,"Tamamlandı",IF(AND($I52&lt;&gt;"",$L52&lt;TODAY()),"Gecikmiş",IF(OR(N($M52)&gt;0,AND($H52&lt;&gt;"",$H52&lt;=TODAY())),"Devam Ediyor","Planlanan"))))</f>
        <v/>
      </c>
      <c r="O52" s="61" t="n"/>
      <c r="P52" s="61" t="n"/>
      <c r="Q52" s="68">
        <f>IF($C52="","",IF($N52="Tamamlandı","",IF($L52="","",IF($L52&lt;TODAY(),"⚠ "&amp;TEXT(TODAY()-$L52,"0")&amp;" gün gecikme",IF($L52-TODAY()&lt;=14,"● "&amp;TEXT($L52-TODAY(),"0")&amp;" gün kaldı","")))))</f>
        <v/>
      </c>
    </row>
    <row r="53" ht="18" customHeight="1">
      <c r="A53" s="60">
        <f>IF($C53="","",ROW()-4)</f>
        <v/>
      </c>
      <c r="B53" s="61" t="n"/>
      <c r="C53" s="61" t="n"/>
      <c r="D53" s="62" t="n"/>
      <c r="E53" s="62" t="n"/>
      <c r="F53" s="62" t="n"/>
      <c r="G53" s="62" t="n"/>
      <c r="H53" s="63" t="n"/>
      <c r="I53" s="63" t="n"/>
      <c r="J53" s="64">
        <f>IF(OR($H53="",$I53=""),"",$I53-$H53+1)</f>
        <v/>
      </c>
      <c r="K53" s="65" t="n"/>
      <c r="L53" s="66">
        <f>IF($I53="","",$I53+N($K53))</f>
        <v/>
      </c>
      <c r="M53" s="67" t="n"/>
      <c r="N53" s="60">
        <f>IF($C53="","",IF(N($M53)&gt;=1,"Tamamlandı",IF(AND($I53&lt;&gt;"",$L53&lt;TODAY()),"Gecikmiş",IF(OR(N($M53)&gt;0,AND($H53&lt;&gt;"",$H53&lt;=TODAY())),"Devam Ediyor","Planlanan"))))</f>
        <v/>
      </c>
      <c r="O53" s="61" t="n"/>
      <c r="P53" s="61" t="n"/>
      <c r="Q53" s="68">
        <f>IF($C53="","",IF($N53="Tamamlandı","",IF($L53="","",IF($L53&lt;TODAY(),"⚠ "&amp;TEXT(TODAY()-$L53,"0")&amp;" gün gecikme",IF($L53-TODAY()&lt;=14,"● "&amp;TEXT($L53-TODAY(),"0")&amp;" gün kaldı","")))))</f>
        <v/>
      </c>
    </row>
    <row r="54" ht="18" customHeight="1">
      <c r="A54" s="60">
        <f>IF($C54="","",ROW()-4)</f>
        <v/>
      </c>
      <c r="B54" s="61" t="n"/>
      <c r="C54" s="61" t="n"/>
      <c r="D54" s="62" t="n"/>
      <c r="E54" s="62" t="n"/>
      <c r="F54" s="62" t="n"/>
      <c r="G54" s="62" t="n"/>
      <c r="H54" s="63" t="n"/>
      <c r="I54" s="63" t="n"/>
      <c r="J54" s="64">
        <f>IF(OR($H54="",$I54=""),"",$I54-$H54+1)</f>
        <v/>
      </c>
      <c r="K54" s="65" t="n"/>
      <c r="L54" s="66">
        <f>IF($I54="","",$I54+N($K54))</f>
        <v/>
      </c>
      <c r="M54" s="67" t="n"/>
      <c r="N54" s="60">
        <f>IF($C54="","",IF(N($M54)&gt;=1,"Tamamlandı",IF(AND($I54&lt;&gt;"",$L54&lt;TODAY()),"Gecikmiş",IF(OR(N($M54)&gt;0,AND($H54&lt;&gt;"",$H54&lt;=TODAY())),"Devam Ediyor","Planlanan"))))</f>
        <v/>
      </c>
      <c r="O54" s="61" t="n"/>
      <c r="P54" s="61" t="n"/>
      <c r="Q54" s="68">
        <f>IF($C54="","",IF($N54="Tamamlandı","",IF($L54="","",IF($L54&lt;TODAY(),"⚠ "&amp;TEXT(TODAY()-$L54,"0")&amp;" gün gecikme",IF($L54-TODAY()&lt;=14,"● "&amp;TEXT($L54-TODAY(),"0")&amp;" gün kaldı","")))))</f>
        <v/>
      </c>
    </row>
    <row r="55" ht="18" customHeight="1">
      <c r="A55" s="60">
        <f>IF($C55="","",ROW()-4)</f>
        <v/>
      </c>
      <c r="B55" s="61" t="n"/>
      <c r="C55" s="61" t="n"/>
      <c r="D55" s="62" t="n"/>
      <c r="E55" s="62" t="n"/>
      <c r="F55" s="62" t="n"/>
      <c r="G55" s="62" t="n"/>
      <c r="H55" s="63" t="n"/>
      <c r="I55" s="63" t="n"/>
      <c r="J55" s="64">
        <f>IF(OR($H55="",$I55=""),"",$I55-$H55+1)</f>
        <v/>
      </c>
      <c r="K55" s="65" t="n"/>
      <c r="L55" s="66">
        <f>IF($I55="","",$I55+N($K55))</f>
        <v/>
      </c>
      <c r="M55" s="67" t="n"/>
      <c r="N55" s="60">
        <f>IF($C55="","",IF(N($M55)&gt;=1,"Tamamlandı",IF(AND($I55&lt;&gt;"",$L55&lt;TODAY()),"Gecikmiş",IF(OR(N($M55)&gt;0,AND($H55&lt;&gt;"",$H55&lt;=TODAY())),"Devam Ediyor","Planlanan"))))</f>
        <v/>
      </c>
      <c r="O55" s="61" t="n"/>
      <c r="P55" s="61" t="n"/>
      <c r="Q55" s="68">
        <f>IF($C55="","",IF($N55="Tamamlandı","",IF($L55="","",IF($L55&lt;TODAY(),"⚠ "&amp;TEXT(TODAY()-$L55,"0")&amp;" gün gecikme",IF($L55-TODAY()&lt;=14,"● "&amp;TEXT($L55-TODAY(),"0")&amp;" gün kaldı","")))))</f>
        <v/>
      </c>
    </row>
    <row r="56" ht="18" customHeight="1">
      <c r="A56" s="60">
        <f>IF($C56="","",ROW()-4)</f>
        <v/>
      </c>
      <c r="B56" s="61" t="n"/>
      <c r="C56" s="61" t="n"/>
      <c r="D56" s="62" t="n"/>
      <c r="E56" s="62" t="n"/>
      <c r="F56" s="62" t="n"/>
      <c r="G56" s="62" t="n"/>
      <c r="H56" s="63" t="n"/>
      <c r="I56" s="63" t="n"/>
      <c r="J56" s="64">
        <f>IF(OR($H56="",$I56=""),"",$I56-$H56+1)</f>
        <v/>
      </c>
      <c r="K56" s="65" t="n"/>
      <c r="L56" s="66">
        <f>IF($I56="","",$I56+N($K56))</f>
        <v/>
      </c>
      <c r="M56" s="67" t="n"/>
      <c r="N56" s="60">
        <f>IF($C56="","",IF(N($M56)&gt;=1,"Tamamlandı",IF(AND($I56&lt;&gt;"",$L56&lt;TODAY()),"Gecikmiş",IF(OR(N($M56)&gt;0,AND($H56&lt;&gt;"",$H56&lt;=TODAY())),"Devam Ediyor","Planlanan"))))</f>
        <v/>
      </c>
      <c r="O56" s="61" t="n"/>
      <c r="P56" s="61" t="n"/>
      <c r="Q56" s="68">
        <f>IF($C56="","",IF($N56="Tamamlandı","",IF($L56="","",IF($L56&lt;TODAY(),"⚠ "&amp;TEXT(TODAY()-$L56,"0")&amp;" gün gecikme",IF($L56-TODAY()&lt;=14,"● "&amp;TEXT($L56-TODAY(),"0")&amp;" gün kaldı","")))))</f>
        <v/>
      </c>
    </row>
    <row r="57" ht="18" customHeight="1">
      <c r="A57" s="60">
        <f>IF($C57="","",ROW()-4)</f>
        <v/>
      </c>
      <c r="B57" s="61" t="n"/>
      <c r="C57" s="61" t="n"/>
      <c r="D57" s="62" t="n"/>
      <c r="E57" s="62" t="n"/>
      <c r="F57" s="62" t="n"/>
      <c r="G57" s="62" t="n"/>
      <c r="H57" s="63" t="n"/>
      <c r="I57" s="63" t="n"/>
      <c r="J57" s="64">
        <f>IF(OR($H57="",$I57=""),"",$I57-$H57+1)</f>
        <v/>
      </c>
      <c r="K57" s="65" t="n"/>
      <c r="L57" s="66">
        <f>IF($I57="","",$I57+N($K57))</f>
        <v/>
      </c>
      <c r="M57" s="67" t="n"/>
      <c r="N57" s="60">
        <f>IF($C57="","",IF(N($M57)&gt;=1,"Tamamlandı",IF(AND($I57&lt;&gt;"",$L57&lt;TODAY()),"Gecikmiş",IF(OR(N($M57)&gt;0,AND($H57&lt;&gt;"",$H57&lt;=TODAY())),"Devam Ediyor","Planlanan"))))</f>
        <v/>
      </c>
      <c r="O57" s="61" t="n"/>
      <c r="P57" s="61" t="n"/>
      <c r="Q57" s="68">
        <f>IF($C57="","",IF($N57="Tamamlandı","",IF($L57="","",IF($L57&lt;TODAY(),"⚠ "&amp;TEXT(TODAY()-$L57,"0")&amp;" gün gecikme",IF($L57-TODAY()&lt;=14,"● "&amp;TEXT($L57-TODAY(),"0")&amp;" gün kaldı","")))))</f>
        <v/>
      </c>
    </row>
    <row r="58" ht="18" customHeight="1">
      <c r="A58" s="60">
        <f>IF($C58="","",ROW()-4)</f>
        <v/>
      </c>
      <c r="B58" s="61" t="n"/>
      <c r="C58" s="61" t="n"/>
      <c r="D58" s="62" t="n"/>
      <c r="E58" s="62" t="n"/>
      <c r="F58" s="62" t="n"/>
      <c r="G58" s="62" t="n"/>
      <c r="H58" s="63" t="n"/>
      <c r="I58" s="63" t="n"/>
      <c r="J58" s="64">
        <f>IF(OR($H58="",$I58=""),"",$I58-$H58+1)</f>
        <v/>
      </c>
      <c r="K58" s="65" t="n"/>
      <c r="L58" s="66">
        <f>IF($I58="","",$I58+N($K58))</f>
        <v/>
      </c>
      <c r="M58" s="67" t="n"/>
      <c r="N58" s="60">
        <f>IF($C58="","",IF(N($M58)&gt;=1,"Tamamlandı",IF(AND($I58&lt;&gt;"",$L58&lt;TODAY()),"Gecikmiş",IF(OR(N($M58)&gt;0,AND($H58&lt;&gt;"",$H58&lt;=TODAY())),"Devam Ediyor","Planlanan"))))</f>
        <v/>
      </c>
      <c r="O58" s="61" t="n"/>
      <c r="P58" s="61" t="n"/>
      <c r="Q58" s="68">
        <f>IF($C58="","",IF($N58="Tamamlandı","",IF($L58="","",IF($L58&lt;TODAY(),"⚠ "&amp;TEXT(TODAY()-$L58,"0")&amp;" gün gecikme",IF($L58-TODAY()&lt;=14,"● "&amp;TEXT($L58-TODAY(),"0")&amp;" gün kaldı","")))))</f>
        <v/>
      </c>
    </row>
    <row r="59" ht="18" customHeight="1">
      <c r="A59" s="60">
        <f>IF($C59="","",ROW()-4)</f>
        <v/>
      </c>
      <c r="B59" s="61" t="n"/>
      <c r="C59" s="61" t="n"/>
      <c r="D59" s="62" t="n"/>
      <c r="E59" s="62" t="n"/>
      <c r="F59" s="62" t="n"/>
      <c r="G59" s="62" t="n"/>
      <c r="H59" s="63" t="n"/>
      <c r="I59" s="63" t="n"/>
      <c r="J59" s="64">
        <f>IF(OR($H59="",$I59=""),"",$I59-$H59+1)</f>
        <v/>
      </c>
      <c r="K59" s="65" t="n"/>
      <c r="L59" s="66">
        <f>IF($I59="","",$I59+N($K59))</f>
        <v/>
      </c>
      <c r="M59" s="67" t="n"/>
      <c r="N59" s="60">
        <f>IF($C59="","",IF(N($M59)&gt;=1,"Tamamlandı",IF(AND($I59&lt;&gt;"",$L59&lt;TODAY()),"Gecikmiş",IF(OR(N($M59)&gt;0,AND($H59&lt;&gt;"",$H59&lt;=TODAY())),"Devam Ediyor","Planlanan"))))</f>
        <v/>
      </c>
      <c r="O59" s="61" t="n"/>
      <c r="P59" s="61" t="n"/>
      <c r="Q59" s="68">
        <f>IF($C59="","",IF($N59="Tamamlandı","",IF($L59="","",IF($L59&lt;TODAY(),"⚠ "&amp;TEXT(TODAY()-$L59,"0")&amp;" gün gecikme",IF($L59-TODAY()&lt;=14,"● "&amp;TEXT($L59-TODAY(),"0")&amp;" gün kaldı","")))))</f>
        <v/>
      </c>
    </row>
    <row r="60" ht="18" customHeight="1">
      <c r="A60" s="60">
        <f>IF($C60="","",ROW()-4)</f>
        <v/>
      </c>
      <c r="B60" s="61" t="n"/>
      <c r="C60" s="61" t="n"/>
      <c r="D60" s="62" t="n"/>
      <c r="E60" s="62" t="n"/>
      <c r="F60" s="62" t="n"/>
      <c r="G60" s="62" t="n"/>
      <c r="H60" s="63" t="n"/>
      <c r="I60" s="63" t="n"/>
      <c r="J60" s="64">
        <f>IF(OR($H60="",$I60=""),"",$I60-$H60+1)</f>
        <v/>
      </c>
      <c r="K60" s="65" t="n"/>
      <c r="L60" s="66">
        <f>IF($I60="","",$I60+N($K60))</f>
        <v/>
      </c>
      <c r="M60" s="67" t="n"/>
      <c r="N60" s="60">
        <f>IF($C60="","",IF(N($M60)&gt;=1,"Tamamlandı",IF(AND($I60&lt;&gt;"",$L60&lt;TODAY()),"Gecikmiş",IF(OR(N($M60)&gt;0,AND($H60&lt;&gt;"",$H60&lt;=TODAY())),"Devam Ediyor","Planlanan"))))</f>
        <v/>
      </c>
      <c r="O60" s="61" t="n"/>
      <c r="P60" s="61" t="n"/>
      <c r="Q60" s="68">
        <f>IF($C60="","",IF($N60="Tamamlandı","",IF($L60="","",IF($L60&lt;TODAY(),"⚠ "&amp;TEXT(TODAY()-$L60,"0")&amp;" gün gecikme",IF($L60-TODAY()&lt;=14,"● "&amp;TEXT($L60-TODAY(),"0")&amp;" gün kaldı","")))))</f>
        <v/>
      </c>
    </row>
    <row r="61" ht="18" customHeight="1">
      <c r="A61" s="60">
        <f>IF($C61="","",ROW()-4)</f>
        <v/>
      </c>
      <c r="B61" s="61" t="n"/>
      <c r="C61" s="61" t="n"/>
      <c r="D61" s="62" t="n"/>
      <c r="E61" s="62" t="n"/>
      <c r="F61" s="62" t="n"/>
      <c r="G61" s="62" t="n"/>
      <c r="H61" s="63" t="n"/>
      <c r="I61" s="63" t="n"/>
      <c r="J61" s="64">
        <f>IF(OR($H61="",$I61=""),"",$I61-$H61+1)</f>
        <v/>
      </c>
      <c r="K61" s="65" t="n"/>
      <c r="L61" s="66">
        <f>IF($I61="","",$I61+N($K61))</f>
        <v/>
      </c>
      <c r="M61" s="67" t="n"/>
      <c r="N61" s="60">
        <f>IF($C61="","",IF(N($M61)&gt;=1,"Tamamlandı",IF(AND($I61&lt;&gt;"",$L61&lt;TODAY()),"Gecikmiş",IF(OR(N($M61)&gt;0,AND($H61&lt;&gt;"",$H61&lt;=TODAY())),"Devam Ediyor","Planlanan"))))</f>
        <v/>
      </c>
      <c r="O61" s="61" t="n"/>
      <c r="P61" s="61" t="n"/>
      <c r="Q61" s="68">
        <f>IF($C61="","",IF($N61="Tamamlandı","",IF($L61="","",IF($L61&lt;TODAY(),"⚠ "&amp;TEXT(TODAY()-$L61,"0")&amp;" gün gecikme",IF($L61-TODAY()&lt;=14,"● "&amp;TEXT($L61-TODAY(),"0")&amp;" gün kaldı","")))))</f>
        <v/>
      </c>
    </row>
    <row r="62" ht="18" customHeight="1">
      <c r="A62" s="60">
        <f>IF($C62="","",ROW()-4)</f>
        <v/>
      </c>
      <c r="B62" s="61" t="n"/>
      <c r="C62" s="61" t="n"/>
      <c r="D62" s="62" t="n"/>
      <c r="E62" s="62" t="n"/>
      <c r="F62" s="62" t="n"/>
      <c r="G62" s="62" t="n"/>
      <c r="H62" s="63" t="n"/>
      <c r="I62" s="63" t="n"/>
      <c r="J62" s="64">
        <f>IF(OR($H62="",$I62=""),"",$I62-$H62+1)</f>
        <v/>
      </c>
      <c r="K62" s="65" t="n"/>
      <c r="L62" s="66">
        <f>IF($I62="","",$I62+N($K62))</f>
        <v/>
      </c>
      <c r="M62" s="67" t="n"/>
      <c r="N62" s="60">
        <f>IF($C62="","",IF(N($M62)&gt;=1,"Tamamlandı",IF(AND($I62&lt;&gt;"",$L62&lt;TODAY()),"Gecikmiş",IF(OR(N($M62)&gt;0,AND($H62&lt;&gt;"",$H62&lt;=TODAY())),"Devam Ediyor","Planlanan"))))</f>
        <v/>
      </c>
      <c r="O62" s="61" t="n"/>
      <c r="P62" s="61" t="n"/>
      <c r="Q62" s="68">
        <f>IF($C62="","",IF($N62="Tamamlandı","",IF($L62="","",IF($L62&lt;TODAY(),"⚠ "&amp;TEXT(TODAY()-$L62,"0")&amp;" gün gecikme",IF($L62-TODAY()&lt;=14,"● "&amp;TEXT($L62-TODAY(),"0")&amp;" gün kaldı","")))))</f>
        <v/>
      </c>
    </row>
    <row r="63" ht="18" customHeight="1">
      <c r="A63" s="60">
        <f>IF($C63="","",ROW()-4)</f>
        <v/>
      </c>
      <c r="B63" s="61" t="n"/>
      <c r="C63" s="61" t="n"/>
      <c r="D63" s="62" t="n"/>
      <c r="E63" s="62" t="n"/>
      <c r="F63" s="62" t="n"/>
      <c r="G63" s="62" t="n"/>
      <c r="H63" s="63" t="n"/>
      <c r="I63" s="63" t="n"/>
      <c r="J63" s="64">
        <f>IF(OR($H63="",$I63=""),"",$I63-$H63+1)</f>
        <v/>
      </c>
      <c r="K63" s="65" t="n"/>
      <c r="L63" s="66">
        <f>IF($I63="","",$I63+N($K63))</f>
        <v/>
      </c>
      <c r="M63" s="67" t="n"/>
      <c r="N63" s="60">
        <f>IF($C63="","",IF(N($M63)&gt;=1,"Tamamlandı",IF(AND($I63&lt;&gt;"",$L63&lt;TODAY()),"Gecikmiş",IF(OR(N($M63)&gt;0,AND($H63&lt;&gt;"",$H63&lt;=TODAY())),"Devam Ediyor","Planlanan"))))</f>
        <v/>
      </c>
      <c r="O63" s="61" t="n"/>
      <c r="P63" s="61" t="n"/>
      <c r="Q63" s="68">
        <f>IF($C63="","",IF($N63="Tamamlandı","",IF($L63="","",IF($L63&lt;TODAY(),"⚠ "&amp;TEXT(TODAY()-$L63,"0")&amp;" gün gecikme",IF($L63-TODAY()&lt;=14,"● "&amp;TEXT($L63-TODAY(),"0")&amp;" gün kaldı","")))))</f>
        <v/>
      </c>
    </row>
    <row r="64" ht="18" customHeight="1">
      <c r="A64" s="60">
        <f>IF($C64="","",ROW()-4)</f>
        <v/>
      </c>
      <c r="B64" s="61" t="n"/>
      <c r="C64" s="61" t="n"/>
      <c r="D64" s="62" t="n"/>
      <c r="E64" s="62" t="n"/>
      <c r="F64" s="62" t="n"/>
      <c r="G64" s="62" t="n"/>
      <c r="H64" s="63" t="n"/>
      <c r="I64" s="63" t="n"/>
      <c r="J64" s="64">
        <f>IF(OR($H64="",$I64=""),"",$I64-$H64+1)</f>
        <v/>
      </c>
      <c r="K64" s="65" t="n"/>
      <c r="L64" s="66">
        <f>IF($I64="","",$I64+N($K64))</f>
        <v/>
      </c>
      <c r="M64" s="67" t="n"/>
      <c r="N64" s="60">
        <f>IF($C64="","",IF(N($M64)&gt;=1,"Tamamlandı",IF(AND($I64&lt;&gt;"",$L64&lt;TODAY()),"Gecikmiş",IF(OR(N($M64)&gt;0,AND($H64&lt;&gt;"",$H64&lt;=TODAY())),"Devam Ediyor","Planlanan"))))</f>
        <v/>
      </c>
      <c r="O64" s="61" t="n"/>
      <c r="P64" s="61" t="n"/>
      <c r="Q64" s="68">
        <f>IF($C64="","",IF($N64="Tamamlandı","",IF($L64="","",IF($L64&lt;TODAY(),"⚠ "&amp;TEXT(TODAY()-$L64,"0")&amp;" gün gecikme",IF($L64-TODAY()&lt;=14,"● "&amp;TEXT($L64-TODAY(),"0")&amp;" gün kaldı","")))))</f>
        <v/>
      </c>
    </row>
    <row r="65" ht="18" customHeight="1">
      <c r="A65" s="60">
        <f>IF($C65="","",ROW()-4)</f>
        <v/>
      </c>
      <c r="B65" s="61" t="n"/>
      <c r="C65" s="61" t="n"/>
      <c r="D65" s="62" t="n"/>
      <c r="E65" s="62" t="n"/>
      <c r="F65" s="62" t="n"/>
      <c r="G65" s="62" t="n"/>
      <c r="H65" s="63" t="n"/>
      <c r="I65" s="63" t="n"/>
      <c r="J65" s="64">
        <f>IF(OR($H65="",$I65=""),"",$I65-$H65+1)</f>
        <v/>
      </c>
      <c r="K65" s="65" t="n"/>
      <c r="L65" s="66">
        <f>IF($I65="","",$I65+N($K65))</f>
        <v/>
      </c>
      <c r="M65" s="67" t="n"/>
      <c r="N65" s="60">
        <f>IF($C65="","",IF(N($M65)&gt;=1,"Tamamlandı",IF(AND($I65&lt;&gt;"",$L65&lt;TODAY()),"Gecikmiş",IF(OR(N($M65)&gt;0,AND($H65&lt;&gt;"",$H65&lt;=TODAY())),"Devam Ediyor","Planlanan"))))</f>
        <v/>
      </c>
      <c r="O65" s="61" t="n"/>
      <c r="P65" s="61" t="n"/>
      <c r="Q65" s="68">
        <f>IF($C65="","",IF($N65="Tamamlandı","",IF($L65="","",IF($L65&lt;TODAY(),"⚠ "&amp;TEXT(TODAY()-$L65,"0")&amp;" gün gecikme",IF($L65-TODAY()&lt;=14,"● "&amp;TEXT($L65-TODAY(),"0")&amp;" gün kaldı","")))))</f>
        <v/>
      </c>
    </row>
    <row r="66" ht="18" customHeight="1">
      <c r="A66" s="60">
        <f>IF($C66="","",ROW()-4)</f>
        <v/>
      </c>
      <c r="B66" s="61" t="n"/>
      <c r="C66" s="61" t="n"/>
      <c r="D66" s="62" t="n"/>
      <c r="E66" s="62" t="n"/>
      <c r="F66" s="62" t="n"/>
      <c r="G66" s="62" t="n"/>
      <c r="H66" s="63" t="n"/>
      <c r="I66" s="63" t="n"/>
      <c r="J66" s="64">
        <f>IF(OR($H66="",$I66=""),"",$I66-$H66+1)</f>
        <v/>
      </c>
      <c r="K66" s="65" t="n"/>
      <c r="L66" s="66">
        <f>IF($I66="","",$I66+N($K66))</f>
        <v/>
      </c>
      <c r="M66" s="67" t="n"/>
      <c r="N66" s="60">
        <f>IF($C66="","",IF(N($M66)&gt;=1,"Tamamlandı",IF(AND($I66&lt;&gt;"",$L66&lt;TODAY()),"Gecikmiş",IF(OR(N($M66)&gt;0,AND($H66&lt;&gt;"",$H66&lt;=TODAY())),"Devam Ediyor","Planlanan"))))</f>
        <v/>
      </c>
      <c r="O66" s="61" t="n"/>
      <c r="P66" s="61" t="n"/>
      <c r="Q66" s="68">
        <f>IF($C66="","",IF($N66="Tamamlandı","",IF($L66="","",IF($L66&lt;TODAY(),"⚠ "&amp;TEXT(TODAY()-$L66,"0")&amp;" gün gecikme",IF($L66-TODAY()&lt;=14,"● "&amp;TEXT($L66-TODAY(),"0")&amp;" gün kaldı","")))))</f>
        <v/>
      </c>
    </row>
    <row r="67" ht="18" customHeight="1">
      <c r="A67" s="60">
        <f>IF($C67="","",ROW()-4)</f>
        <v/>
      </c>
      <c r="B67" s="61" t="n"/>
      <c r="C67" s="61" t="n"/>
      <c r="D67" s="62" t="n"/>
      <c r="E67" s="62" t="n"/>
      <c r="F67" s="62" t="n"/>
      <c r="G67" s="62" t="n"/>
      <c r="H67" s="63" t="n"/>
      <c r="I67" s="63" t="n"/>
      <c r="J67" s="64">
        <f>IF(OR($H67="",$I67=""),"",$I67-$H67+1)</f>
        <v/>
      </c>
      <c r="K67" s="65" t="n"/>
      <c r="L67" s="66">
        <f>IF($I67="","",$I67+N($K67))</f>
        <v/>
      </c>
      <c r="M67" s="67" t="n"/>
      <c r="N67" s="60">
        <f>IF($C67="","",IF(N($M67)&gt;=1,"Tamamlandı",IF(AND($I67&lt;&gt;"",$L67&lt;TODAY()),"Gecikmiş",IF(OR(N($M67)&gt;0,AND($H67&lt;&gt;"",$H67&lt;=TODAY())),"Devam Ediyor","Planlanan"))))</f>
        <v/>
      </c>
      <c r="O67" s="61" t="n"/>
      <c r="P67" s="61" t="n"/>
      <c r="Q67" s="68">
        <f>IF($C67="","",IF($N67="Tamamlandı","",IF($L67="","",IF($L67&lt;TODAY(),"⚠ "&amp;TEXT(TODAY()-$L67,"0")&amp;" gün gecikme",IF($L67-TODAY()&lt;=14,"● "&amp;TEXT($L67-TODAY(),"0")&amp;" gün kaldı","")))))</f>
        <v/>
      </c>
    </row>
    <row r="68" ht="18" customHeight="1">
      <c r="A68" s="60">
        <f>IF($C68="","",ROW()-4)</f>
        <v/>
      </c>
      <c r="B68" s="61" t="n"/>
      <c r="C68" s="61" t="n"/>
      <c r="D68" s="62" t="n"/>
      <c r="E68" s="62" t="n"/>
      <c r="F68" s="62" t="n"/>
      <c r="G68" s="62" t="n"/>
      <c r="H68" s="63" t="n"/>
      <c r="I68" s="63" t="n"/>
      <c r="J68" s="64">
        <f>IF(OR($H68="",$I68=""),"",$I68-$H68+1)</f>
        <v/>
      </c>
      <c r="K68" s="65" t="n"/>
      <c r="L68" s="66">
        <f>IF($I68="","",$I68+N($K68))</f>
        <v/>
      </c>
      <c r="M68" s="67" t="n"/>
      <c r="N68" s="60">
        <f>IF($C68="","",IF(N($M68)&gt;=1,"Tamamlandı",IF(AND($I68&lt;&gt;"",$L68&lt;TODAY()),"Gecikmiş",IF(OR(N($M68)&gt;0,AND($H68&lt;&gt;"",$H68&lt;=TODAY())),"Devam Ediyor","Planlanan"))))</f>
        <v/>
      </c>
      <c r="O68" s="61" t="n"/>
      <c r="P68" s="61" t="n"/>
      <c r="Q68" s="68">
        <f>IF($C68="","",IF($N68="Tamamlandı","",IF($L68="","",IF($L68&lt;TODAY(),"⚠ "&amp;TEXT(TODAY()-$L68,"0")&amp;" gün gecikme",IF($L68-TODAY()&lt;=14,"● "&amp;TEXT($L68-TODAY(),"0")&amp;" gün kaldı","")))))</f>
        <v/>
      </c>
    </row>
    <row r="69" ht="18" customHeight="1">
      <c r="A69" s="60">
        <f>IF($C69="","",ROW()-4)</f>
        <v/>
      </c>
      <c r="B69" s="61" t="n"/>
      <c r="C69" s="61" t="n"/>
      <c r="D69" s="62" t="n"/>
      <c r="E69" s="62" t="n"/>
      <c r="F69" s="62" t="n"/>
      <c r="G69" s="62" t="n"/>
      <c r="H69" s="63" t="n"/>
      <c r="I69" s="63" t="n"/>
      <c r="J69" s="64">
        <f>IF(OR($H69="",$I69=""),"",$I69-$H69+1)</f>
        <v/>
      </c>
      <c r="K69" s="65" t="n"/>
      <c r="L69" s="66">
        <f>IF($I69="","",$I69+N($K69))</f>
        <v/>
      </c>
      <c r="M69" s="67" t="n"/>
      <c r="N69" s="60">
        <f>IF($C69="","",IF(N($M69)&gt;=1,"Tamamlandı",IF(AND($I69&lt;&gt;"",$L69&lt;TODAY()),"Gecikmiş",IF(OR(N($M69)&gt;0,AND($H69&lt;&gt;"",$H69&lt;=TODAY())),"Devam Ediyor","Planlanan"))))</f>
        <v/>
      </c>
      <c r="O69" s="61" t="n"/>
      <c r="P69" s="61" t="n"/>
      <c r="Q69" s="68">
        <f>IF($C69="","",IF($N69="Tamamlandı","",IF($L69="","",IF($L69&lt;TODAY(),"⚠ "&amp;TEXT(TODAY()-$L69,"0")&amp;" gün gecikme",IF($L69-TODAY()&lt;=14,"● "&amp;TEXT($L69-TODAY(),"0")&amp;" gün kaldı","")))))</f>
        <v/>
      </c>
    </row>
    <row r="70" ht="18" customHeight="1">
      <c r="A70" s="60">
        <f>IF($C70="","",ROW()-4)</f>
        <v/>
      </c>
      <c r="B70" s="61" t="n"/>
      <c r="C70" s="61" t="n"/>
      <c r="D70" s="62" t="n"/>
      <c r="E70" s="62" t="n"/>
      <c r="F70" s="62" t="n"/>
      <c r="G70" s="62" t="n"/>
      <c r="H70" s="63" t="n"/>
      <c r="I70" s="63" t="n"/>
      <c r="J70" s="64">
        <f>IF(OR($H70="",$I70=""),"",$I70-$H70+1)</f>
        <v/>
      </c>
      <c r="K70" s="65" t="n"/>
      <c r="L70" s="66">
        <f>IF($I70="","",$I70+N($K70))</f>
        <v/>
      </c>
      <c r="M70" s="67" t="n"/>
      <c r="N70" s="60">
        <f>IF($C70="","",IF(N($M70)&gt;=1,"Tamamlandı",IF(AND($I70&lt;&gt;"",$L70&lt;TODAY()),"Gecikmiş",IF(OR(N($M70)&gt;0,AND($H70&lt;&gt;"",$H70&lt;=TODAY())),"Devam Ediyor","Planlanan"))))</f>
        <v/>
      </c>
      <c r="O70" s="61" t="n"/>
      <c r="P70" s="61" t="n"/>
      <c r="Q70" s="68">
        <f>IF($C70="","",IF($N70="Tamamlandı","",IF($L70="","",IF($L70&lt;TODAY(),"⚠ "&amp;TEXT(TODAY()-$L70,"0")&amp;" gün gecikme",IF($L70-TODAY()&lt;=14,"● "&amp;TEXT($L70-TODAY(),"0")&amp;" gün kaldı","")))))</f>
        <v/>
      </c>
    </row>
    <row r="71" ht="18" customHeight="1">
      <c r="A71" s="60">
        <f>IF($C71="","",ROW()-4)</f>
        <v/>
      </c>
      <c r="B71" s="61" t="n"/>
      <c r="C71" s="61" t="n"/>
      <c r="D71" s="62" t="n"/>
      <c r="E71" s="62" t="n"/>
      <c r="F71" s="62" t="n"/>
      <c r="G71" s="62" t="n"/>
      <c r="H71" s="63" t="n"/>
      <c r="I71" s="63" t="n"/>
      <c r="J71" s="64">
        <f>IF(OR($H71="",$I71=""),"",$I71-$H71+1)</f>
        <v/>
      </c>
      <c r="K71" s="65" t="n"/>
      <c r="L71" s="66">
        <f>IF($I71="","",$I71+N($K71))</f>
        <v/>
      </c>
      <c r="M71" s="67" t="n"/>
      <c r="N71" s="60">
        <f>IF($C71="","",IF(N($M71)&gt;=1,"Tamamlandı",IF(AND($I71&lt;&gt;"",$L71&lt;TODAY()),"Gecikmiş",IF(OR(N($M71)&gt;0,AND($H71&lt;&gt;"",$H71&lt;=TODAY())),"Devam Ediyor","Planlanan"))))</f>
        <v/>
      </c>
      <c r="O71" s="61" t="n"/>
      <c r="P71" s="61" t="n"/>
      <c r="Q71" s="68">
        <f>IF($C71="","",IF($N71="Tamamlandı","",IF($L71="","",IF($L71&lt;TODAY(),"⚠ "&amp;TEXT(TODAY()-$L71,"0")&amp;" gün gecikme",IF($L71-TODAY()&lt;=14,"● "&amp;TEXT($L71-TODAY(),"0")&amp;" gün kaldı","")))))</f>
        <v/>
      </c>
    </row>
    <row r="72" ht="18" customHeight="1">
      <c r="A72" s="60">
        <f>IF($C72="","",ROW()-4)</f>
        <v/>
      </c>
      <c r="B72" s="61" t="n"/>
      <c r="C72" s="61" t="n"/>
      <c r="D72" s="62" t="n"/>
      <c r="E72" s="62" t="n"/>
      <c r="F72" s="62" t="n"/>
      <c r="G72" s="62" t="n"/>
      <c r="H72" s="63" t="n"/>
      <c r="I72" s="63" t="n"/>
      <c r="J72" s="64">
        <f>IF(OR($H72="",$I72=""),"",$I72-$H72+1)</f>
        <v/>
      </c>
      <c r="K72" s="65" t="n"/>
      <c r="L72" s="66">
        <f>IF($I72="","",$I72+N($K72))</f>
        <v/>
      </c>
      <c r="M72" s="67" t="n"/>
      <c r="N72" s="60">
        <f>IF($C72="","",IF(N($M72)&gt;=1,"Tamamlandı",IF(AND($I72&lt;&gt;"",$L72&lt;TODAY()),"Gecikmiş",IF(OR(N($M72)&gt;0,AND($H72&lt;&gt;"",$H72&lt;=TODAY())),"Devam Ediyor","Planlanan"))))</f>
        <v/>
      </c>
      <c r="O72" s="61" t="n"/>
      <c r="P72" s="61" t="n"/>
      <c r="Q72" s="68">
        <f>IF($C72="","",IF($N72="Tamamlandı","",IF($L72="","",IF($L72&lt;TODAY(),"⚠ "&amp;TEXT(TODAY()-$L72,"0")&amp;" gün gecikme",IF($L72-TODAY()&lt;=14,"● "&amp;TEXT($L72-TODAY(),"0")&amp;" gün kaldı","")))))</f>
        <v/>
      </c>
    </row>
    <row r="73" ht="18" customHeight="1">
      <c r="A73" s="60">
        <f>IF($C73="","",ROW()-4)</f>
        <v/>
      </c>
      <c r="B73" s="61" t="n"/>
      <c r="C73" s="61" t="n"/>
      <c r="D73" s="62" t="n"/>
      <c r="E73" s="62" t="n"/>
      <c r="F73" s="62" t="n"/>
      <c r="G73" s="62" t="n"/>
      <c r="H73" s="63" t="n"/>
      <c r="I73" s="63" t="n"/>
      <c r="J73" s="64">
        <f>IF(OR($H73="",$I73=""),"",$I73-$H73+1)</f>
        <v/>
      </c>
      <c r="K73" s="65" t="n"/>
      <c r="L73" s="66">
        <f>IF($I73="","",$I73+N($K73))</f>
        <v/>
      </c>
      <c r="M73" s="67" t="n"/>
      <c r="N73" s="60">
        <f>IF($C73="","",IF(N($M73)&gt;=1,"Tamamlandı",IF(AND($I73&lt;&gt;"",$L73&lt;TODAY()),"Gecikmiş",IF(OR(N($M73)&gt;0,AND($H73&lt;&gt;"",$H73&lt;=TODAY())),"Devam Ediyor","Planlanan"))))</f>
        <v/>
      </c>
      <c r="O73" s="61" t="n"/>
      <c r="P73" s="61" t="n"/>
      <c r="Q73" s="68">
        <f>IF($C73="","",IF($N73="Tamamlandı","",IF($L73="","",IF($L73&lt;TODAY(),"⚠ "&amp;TEXT(TODAY()-$L73,"0")&amp;" gün gecikme",IF($L73-TODAY()&lt;=14,"● "&amp;TEXT($L73-TODAY(),"0")&amp;" gün kaldı","")))))</f>
        <v/>
      </c>
    </row>
    <row r="74" ht="18" customHeight="1">
      <c r="A74" s="60">
        <f>IF($C74="","",ROW()-4)</f>
        <v/>
      </c>
      <c r="B74" s="61" t="n"/>
      <c r="C74" s="61" t="n"/>
      <c r="D74" s="62" t="n"/>
      <c r="E74" s="62" t="n"/>
      <c r="F74" s="62" t="n"/>
      <c r="G74" s="62" t="n"/>
      <c r="H74" s="63" t="n"/>
      <c r="I74" s="63" t="n"/>
      <c r="J74" s="64">
        <f>IF(OR($H74="",$I74=""),"",$I74-$H74+1)</f>
        <v/>
      </c>
      <c r="K74" s="65" t="n"/>
      <c r="L74" s="66">
        <f>IF($I74="","",$I74+N($K74))</f>
        <v/>
      </c>
      <c r="M74" s="67" t="n"/>
      <c r="N74" s="60">
        <f>IF($C74="","",IF(N($M74)&gt;=1,"Tamamlandı",IF(AND($I74&lt;&gt;"",$L74&lt;TODAY()),"Gecikmiş",IF(OR(N($M74)&gt;0,AND($H74&lt;&gt;"",$H74&lt;=TODAY())),"Devam Ediyor","Planlanan"))))</f>
        <v/>
      </c>
      <c r="O74" s="61" t="n"/>
      <c r="P74" s="61" t="n"/>
      <c r="Q74" s="68">
        <f>IF($C74="","",IF($N74="Tamamlandı","",IF($L74="","",IF($L74&lt;TODAY(),"⚠ "&amp;TEXT(TODAY()-$L74,"0")&amp;" gün gecikme",IF($L74-TODAY()&lt;=14,"● "&amp;TEXT($L74-TODAY(),"0")&amp;" gün kaldı","")))))</f>
        <v/>
      </c>
    </row>
    <row r="75" ht="18" customHeight="1">
      <c r="A75" s="60">
        <f>IF($C75="","",ROW()-4)</f>
        <v/>
      </c>
      <c r="B75" s="61" t="n"/>
      <c r="C75" s="61" t="n"/>
      <c r="D75" s="62" t="n"/>
      <c r="E75" s="62" t="n"/>
      <c r="F75" s="62" t="n"/>
      <c r="G75" s="62" t="n"/>
      <c r="H75" s="63" t="n"/>
      <c r="I75" s="63" t="n"/>
      <c r="J75" s="64">
        <f>IF(OR($H75="",$I75=""),"",$I75-$H75+1)</f>
        <v/>
      </c>
      <c r="K75" s="65" t="n"/>
      <c r="L75" s="66">
        <f>IF($I75="","",$I75+N($K75))</f>
        <v/>
      </c>
      <c r="M75" s="67" t="n"/>
      <c r="N75" s="60">
        <f>IF($C75="","",IF(N($M75)&gt;=1,"Tamamlandı",IF(AND($I75&lt;&gt;"",$L75&lt;TODAY()),"Gecikmiş",IF(OR(N($M75)&gt;0,AND($H75&lt;&gt;"",$H75&lt;=TODAY())),"Devam Ediyor","Planlanan"))))</f>
        <v/>
      </c>
      <c r="O75" s="61" t="n"/>
      <c r="P75" s="61" t="n"/>
      <c r="Q75" s="68">
        <f>IF($C75="","",IF($N75="Tamamlandı","",IF($L75="","",IF($L75&lt;TODAY(),"⚠ "&amp;TEXT(TODAY()-$L75,"0")&amp;" gün gecikme",IF($L75-TODAY()&lt;=14,"● "&amp;TEXT($L75-TODAY(),"0")&amp;" gün kaldı","")))))</f>
        <v/>
      </c>
    </row>
    <row r="76" ht="18" customHeight="1">
      <c r="A76" s="60">
        <f>IF($C76="","",ROW()-4)</f>
        <v/>
      </c>
      <c r="B76" s="61" t="n"/>
      <c r="C76" s="61" t="n"/>
      <c r="D76" s="62" t="n"/>
      <c r="E76" s="62" t="n"/>
      <c r="F76" s="62" t="n"/>
      <c r="G76" s="62" t="n"/>
      <c r="H76" s="63" t="n"/>
      <c r="I76" s="63" t="n"/>
      <c r="J76" s="64">
        <f>IF(OR($H76="",$I76=""),"",$I76-$H76+1)</f>
        <v/>
      </c>
      <c r="K76" s="65" t="n"/>
      <c r="L76" s="66">
        <f>IF($I76="","",$I76+N($K76))</f>
        <v/>
      </c>
      <c r="M76" s="67" t="n"/>
      <c r="N76" s="60">
        <f>IF($C76="","",IF(N($M76)&gt;=1,"Tamamlandı",IF(AND($I76&lt;&gt;"",$L76&lt;TODAY()),"Gecikmiş",IF(OR(N($M76)&gt;0,AND($H76&lt;&gt;"",$H76&lt;=TODAY())),"Devam Ediyor","Planlanan"))))</f>
        <v/>
      </c>
      <c r="O76" s="61" t="n"/>
      <c r="P76" s="61" t="n"/>
      <c r="Q76" s="68">
        <f>IF($C76="","",IF($N76="Tamamlandı","",IF($L76="","",IF($L76&lt;TODAY(),"⚠ "&amp;TEXT(TODAY()-$L76,"0")&amp;" gün gecikme",IF($L76-TODAY()&lt;=14,"● "&amp;TEXT($L76-TODAY(),"0")&amp;" gün kaldı","")))))</f>
        <v/>
      </c>
    </row>
    <row r="77" ht="18" customHeight="1">
      <c r="A77" s="60">
        <f>IF($C77="","",ROW()-4)</f>
        <v/>
      </c>
      <c r="B77" s="61" t="n"/>
      <c r="C77" s="61" t="n"/>
      <c r="D77" s="62" t="n"/>
      <c r="E77" s="62" t="n"/>
      <c r="F77" s="62" t="n"/>
      <c r="G77" s="62" t="n"/>
      <c r="H77" s="63" t="n"/>
      <c r="I77" s="63" t="n"/>
      <c r="J77" s="64">
        <f>IF(OR($H77="",$I77=""),"",$I77-$H77+1)</f>
        <v/>
      </c>
      <c r="K77" s="65" t="n"/>
      <c r="L77" s="66">
        <f>IF($I77="","",$I77+N($K77))</f>
        <v/>
      </c>
      <c r="M77" s="67" t="n"/>
      <c r="N77" s="60">
        <f>IF($C77="","",IF(N($M77)&gt;=1,"Tamamlandı",IF(AND($I77&lt;&gt;"",$L77&lt;TODAY()),"Gecikmiş",IF(OR(N($M77)&gt;0,AND($H77&lt;&gt;"",$H77&lt;=TODAY())),"Devam Ediyor","Planlanan"))))</f>
        <v/>
      </c>
      <c r="O77" s="61" t="n"/>
      <c r="P77" s="61" t="n"/>
      <c r="Q77" s="68">
        <f>IF($C77="","",IF($N77="Tamamlandı","",IF($L77="","",IF($L77&lt;TODAY(),"⚠ "&amp;TEXT(TODAY()-$L77,"0")&amp;" gün gecikme",IF($L77-TODAY()&lt;=14,"● "&amp;TEXT($L77-TODAY(),"0")&amp;" gün kaldı","")))))</f>
        <v/>
      </c>
    </row>
    <row r="78" ht="18" customHeight="1">
      <c r="A78" s="60">
        <f>IF($C78="","",ROW()-4)</f>
        <v/>
      </c>
      <c r="B78" s="61" t="n"/>
      <c r="C78" s="61" t="n"/>
      <c r="D78" s="62" t="n"/>
      <c r="E78" s="62" t="n"/>
      <c r="F78" s="62" t="n"/>
      <c r="G78" s="62" t="n"/>
      <c r="H78" s="63" t="n"/>
      <c r="I78" s="63" t="n"/>
      <c r="J78" s="64">
        <f>IF(OR($H78="",$I78=""),"",$I78-$H78+1)</f>
        <v/>
      </c>
      <c r="K78" s="65" t="n"/>
      <c r="L78" s="66">
        <f>IF($I78="","",$I78+N($K78))</f>
        <v/>
      </c>
      <c r="M78" s="67" t="n"/>
      <c r="N78" s="60">
        <f>IF($C78="","",IF(N($M78)&gt;=1,"Tamamlandı",IF(AND($I78&lt;&gt;"",$L78&lt;TODAY()),"Gecikmiş",IF(OR(N($M78)&gt;0,AND($H78&lt;&gt;"",$H78&lt;=TODAY())),"Devam Ediyor","Planlanan"))))</f>
        <v/>
      </c>
      <c r="O78" s="61" t="n"/>
      <c r="P78" s="61" t="n"/>
      <c r="Q78" s="68">
        <f>IF($C78="","",IF($N78="Tamamlandı","",IF($L78="","",IF($L78&lt;TODAY(),"⚠ "&amp;TEXT(TODAY()-$L78,"0")&amp;" gün gecikme",IF($L78-TODAY()&lt;=14,"● "&amp;TEXT($L78-TODAY(),"0")&amp;" gün kaldı","")))))</f>
        <v/>
      </c>
    </row>
    <row r="79" ht="18" customHeight="1">
      <c r="A79" s="60">
        <f>IF($C79="","",ROW()-4)</f>
        <v/>
      </c>
      <c r="B79" s="61" t="n"/>
      <c r="C79" s="61" t="n"/>
      <c r="D79" s="62" t="n"/>
      <c r="E79" s="62" t="n"/>
      <c r="F79" s="62" t="n"/>
      <c r="G79" s="62" t="n"/>
      <c r="H79" s="63" t="n"/>
      <c r="I79" s="63" t="n"/>
      <c r="J79" s="64">
        <f>IF(OR($H79="",$I79=""),"",$I79-$H79+1)</f>
        <v/>
      </c>
      <c r="K79" s="65" t="n"/>
      <c r="L79" s="66">
        <f>IF($I79="","",$I79+N($K79))</f>
        <v/>
      </c>
      <c r="M79" s="67" t="n"/>
      <c r="N79" s="60">
        <f>IF($C79="","",IF(N($M79)&gt;=1,"Tamamlandı",IF(AND($I79&lt;&gt;"",$L79&lt;TODAY()),"Gecikmiş",IF(OR(N($M79)&gt;0,AND($H79&lt;&gt;"",$H79&lt;=TODAY())),"Devam Ediyor","Planlanan"))))</f>
        <v/>
      </c>
      <c r="O79" s="61" t="n"/>
      <c r="P79" s="61" t="n"/>
      <c r="Q79" s="68">
        <f>IF($C79="","",IF($N79="Tamamlandı","",IF($L79="","",IF($L79&lt;TODAY(),"⚠ "&amp;TEXT(TODAY()-$L79,"0")&amp;" gün gecikme",IF($L79-TODAY()&lt;=14,"● "&amp;TEXT($L79-TODAY(),"0")&amp;" gün kaldı","")))))</f>
        <v/>
      </c>
    </row>
    <row r="80" ht="18" customHeight="1">
      <c r="A80" s="60">
        <f>IF($C80="","",ROW()-4)</f>
        <v/>
      </c>
      <c r="B80" s="61" t="n"/>
      <c r="C80" s="61" t="n"/>
      <c r="D80" s="62" t="n"/>
      <c r="E80" s="62" t="n"/>
      <c r="F80" s="62" t="n"/>
      <c r="G80" s="62" t="n"/>
      <c r="H80" s="63" t="n"/>
      <c r="I80" s="63" t="n"/>
      <c r="J80" s="64">
        <f>IF(OR($H80="",$I80=""),"",$I80-$H80+1)</f>
        <v/>
      </c>
      <c r="K80" s="65" t="n"/>
      <c r="L80" s="66">
        <f>IF($I80="","",$I80+N($K80))</f>
        <v/>
      </c>
      <c r="M80" s="67" t="n"/>
      <c r="N80" s="60">
        <f>IF($C80="","",IF(N($M80)&gt;=1,"Tamamlandı",IF(AND($I80&lt;&gt;"",$L80&lt;TODAY()),"Gecikmiş",IF(OR(N($M80)&gt;0,AND($H80&lt;&gt;"",$H80&lt;=TODAY())),"Devam Ediyor","Planlanan"))))</f>
        <v/>
      </c>
      <c r="O80" s="61" t="n"/>
      <c r="P80" s="61" t="n"/>
      <c r="Q80" s="68">
        <f>IF($C80="","",IF($N80="Tamamlandı","",IF($L80="","",IF($L80&lt;TODAY(),"⚠ "&amp;TEXT(TODAY()-$L80,"0")&amp;" gün gecikme",IF($L80-TODAY()&lt;=14,"● "&amp;TEXT($L80-TODAY(),"0")&amp;" gün kaldı","")))))</f>
        <v/>
      </c>
    </row>
    <row r="81" ht="18" customHeight="1">
      <c r="A81" s="60">
        <f>IF($C81="","",ROW()-4)</f>
        <v/>
      </c>
      <c r="B81" s="61" t="n"/>
      <c r="C81" s="61" t="n"/>
      <c r="D81" s="62" t="n"/>
      <c r="E81" s="62" t="n"/>
      <c r="F81" s="62" t="n"/>
      <c r="G81" s="62" t="n"/>
      <c r="H81" s="63" t="n"/>
      <c r="I81" s="63" t="n"/>
      <c r="J81" s="64">
        <f>IF(OR($H81="",$I81=""),"",$I81-$H81+1)</f>
        <v/>
      </c>
      <c r="K81" s="65" t="n"/>
      <c r="L81" s="66">
        <f>IF($I81="","",$I81+N($K81))</f>
        <v/>
      </c>
      <c r="M81" s="67" t="n"/>
      <c r="N81" s="60">
        <f>IF($C81="","",IF(N($M81)&gt;=1,"Tamamlandı",IF(AND($I81&lt;&gt;"",$L81&lt;TODAY()),"Gecikmiş",IF(OR(N($M81)&gt;0,AND($H81&lt;&gt;"",$H81&lt;=TODAY())),"Devam Ediyor","Planlanan"))))</f>
        <v/>
      </c>
      <c r="O81" s="61" t="n"/>
      <c r="P81" s="61" t="n"/>
      <c r="Q81" s="68">
        <f>IF($C81="","",IF($N81="Tamamlandı","",IF($L81="","",IF($L81&lt;TODAY(),"⚠ "&amp;TEXT(TODAY()-$L81,"0")&amp;" gün gecikme",IF($L81-TODAY()&lt;=14,"● "&amp;TEXT($L81-TODAY(),"0")&amp;" gün kaldı","")))))</f>
        <v/>
      </c>
    </row>
    <row r="82" ht="18" customHeight="1">
      <c r="A82" s="60">
        <f>IF($C82="","",ROW()-4)</f>
        <v/>
      </c>
      <c r="B82" s="61" t="n"/>
      <c r="C82" s="61" t="n"/>
      <c r="D82" s="62" t="n"/>
      <c r="E82" s="62" t="n"/>
      <c r="F82" s="62" t="n"/>
      <c r="G82" s="62" t="n"/>
      <c r="H82" s="63" t="n"/>
      <c r="I82" s="63" t="n"/>
      <c r="J82" s="64">
        <f>IF(OR($H82="",$I82=""),"",$I82-$H82+1)</f>
        <v/>
      </c>
      <c r="K82" s="65" t="n"/>
      <c r="L82" s="66">
        <f>IF($I82="","",$I82+N($K82))</f>
        <v/>
      </c>
      <c r="M82" s="67" t="n"/>
      <c r="N82" s="60">
        <f>IF($C82="","",IF(N($M82)&gt;=1,"Tamamlandı",IF(AND($I82&lt;&gt;"",$L82&lt;TODAY()),"Gecikmiş",IF(OR(N($M82)&gt;0,AND($H82&lt;&gt;"",$H82&lt;=TODAY())),"Devam Ediyor","Planlanan"))))</f>
        <v/>
      </c>
      <c r="O82" s="61" t="n"/>
      <c r="P82" s="61" t="n"/>
      <c r="Q82" s="68">
        <f>IF($C82="","",IF($N82="Tamamlandı","",IF($L82="","",IF($L82&lt;TODAY(),"⚠ "&amp;TEXT(TODAY()-$L82,"0")&amp;" gün gecikme",IF($L82-TODAY()&lt;=14,"● "&amp;TEXT($L82-TODAY(),"0")&amp;" gün kaldı","")))))</f>
        <v/>
      </c>
    </row>
    <row r="83" ht="18" customHeight="1">
      <c r="A83" s="60">
        <f>IF($C83="","",ROW()-4)</f>
        <v/>
      </c>
      <c r="B83" s="61" t="n"/>
      <c r="C83" s="61" t="n"/>
      <c r="D83" s="62" t="n"/>
      <c r="E83" s="62" t="n"/>
      <c r="F83" s="62" t="n"/>
      <c r="G83" s="62" t="n"/>
      <c r="H83" s="63" t="n"/>
      <c r="I83" s="63" t="n"/>
      <c r="J83" s="64">
        <f>IF(OR($H83="",$I83=""),"",$I83-$H83+1)</f>
        <v/>
      </c>
      <c r="K83" s="65" t="n"/>
      <c r="L83" s="66">
        <f>IF($I83="","",$I83+N($K83))</f>
        <v/>
      </c>
      <c r="M83" s="67" t="n"/>
      <c r="N83" s="60">
        <f>IF($C83="","",IF(N($M83)&gt;=1,"Tamamlandı",IF(AND($I83&lt;&gt;"",$L83&lt;TODAY()),"Gecikmiş",IF(OR(N($M83)&gt;0,AND($H83&lt;&gt;"",$H83&lt;=TODAY())),"Devam Ediyor","Planlanan"))))</f>
        <v/>
      </c>
      <c r="O83" s="61" t="n"/>
      <c r="P83" s="61" t="n"/>
      <c r="Q83" s="68">
        <f>IF($C83="","",IF($N83="Tamamlandı","",IF($L83="","",IF($L83&lt;TODAY(),"⚠ "&amp;TEXT(TODAY()-$L83,"0")&amp;" gün gecikme",IF($L83-TODAY()&lt;=14,"● "&amp;TEXT($L83-TODAY(),"0")&amp;" gün kaldı","")))))</f>
        <v/>
      </c>
    </row>
    <row r="84" ht="18" customHeight="1">
      <c r="A84" s="60">
        <f>IF($C84="","",ROW()-4)</f>
        <v/>
      </c>
      <c r="B84" s="61" t="n"/>
      <c r="C84" s="61" t="n"/>
      <c r="D84" s="62" t="n"/>
      <c r="E84" s="62" t="n"/>
      <c r="F84" s="62" t="n"/>
      <c r="G84" s="62" t="n"/>
      <c r="H84" s="63" t="n"/>
      <c r="I84" s="63" t="n"/>
      <c r="J84" s="64">
        <f>IF(OR($H84="",$I84=""),"",$I84-$H84+1)</f>
        <v/>
      </c>
      <c r="K84" s="65" t="n"/>
      <c r="L84" s="66">
        <f>IF($I84="","",$I84+N($K84))</f>
        <v/>
      </c>
      <c r="M84" s="67" t="n"/>
      <c r="N84" s="60">
        <f>IF($C84="","",IF(N($M84)&gt;=1,"Tamamlandı",IF(AND($I84&lt;&gt;"",$L84&lt;TODAY()),"Gecikmiş",IF(OR(N($M84)&gt;0,AND($H84&lt;&gt;"",$H84&lt;=TODAY())),"Devam Ediyor","Planlanan"))))</f>
        <v/>
      </c>
      <c r="O84" s="61" t="n"/>
      <c r="P84" s="61" t="n"/>
      <c r="Q84" s="68">
        <f>IF($C84="","",IF($N84="Tamamlandı","",IF($L84="","",IF($L84&lt;TODAY(),"⚠ "&amp;TEXT(TODAY()-$L84,"0")&amp;" gün gecikme",IF($L84-TODAY()&lt;=14,"● "&amp;TEXT($L84-TODAY(),"0")&amp;" gün kaldı","")))))</f>
        <v/>
      </c>
    </row>
    <row r="85" ht="18" customHeight="1">
      <c r="A85" s="60">
        <f>IF($C85="","",ROW()-4)</f>
        <v/>
      </c>
      <c r="B85" s="61" t="n"/>
      <c r="C85" s="61" t="n"/>
      <c r="D85" s="62" t="n"/>
      <c r="E85" s="62" t="n"/>
      <c r="F85" s="62" t="n"/>
      <c r="G85" s="62" t="n"/>
      <c r="H85" s="63" t="n"/>
      <c r="I85" s="63" t="n"/>
      <c r="J85" s="64">
        <f>IF(OR($H85="",$I85=""),"",$I85-$H85+1)</f>
        <v/>
      </c>
      <c r="K85" s="65" t="n"/>
      <c r="L85" s="66">
        <f>IF($I85="","",$I85+N($K85))</f>
        <v/>
      </c>
      <c r="M85" s="67" t="n"/>
      <c r="N85" s="60">
        <f>IF($C85="","",IF(N($M85)&gt;=1,"Tamamlandı",IF(AND($I85&lt;&gt;"",$L85&lt;TODAY()),"Gecikmiş",IF(OR(N($M85)&gt;0,AND($H85&lt;&gt;"",$H85&lt;=TODAY())),"Devam Ediyor","Planlanan"))))</f>
        <v/>
      </c>
      <c r="O85" s="61" t="n"/>
      <c r="P85" s="61" t="n"/>
      <c r="Q85" s="68">
        <f>IF($C85="","",IF($N85="Tamamlandı","",IF($L85="","",IF($L85&lt;TODAY(),"⚠ "&amp;TEXT(TODAY()-$L85,"0")&amp;" gün gecikme",IF($L85-TODAY()&lt;=14,"● "&amp;TEXT($L85-TODAY(),"0")&amp;" gün kaldı","")))))</f>
        <v/>
      </c>
    </row>
    <row r="86" ht="18" customHeight="1">
      <c r="A86" s="60">
        <f>IF($C86="","",ROW()-4)</f>
        <v/>
      </c>
      <c r="B86" s="61" t="n"/>
      <c r="C86" s="61" t="n"/>
      <c r="D86" s="62" t="n"/>
      <c r="E86" s="62" t="n"/>
      <c r="F86" s="62" t="n"/>
      <c r="G86" s="62" t="n"/>
      <c r="H86" s="63" t="n"/>
      <c r="I86" s="63" t="n"/>
      <c r="J86" s="64">
        <f>IF(OR($H86="",$I86=""),"",$I86-$H86+1)</f>
        <v/>
      </c>
      <c r="K86" s="65" t="n"/>
      <c r="L86" s="66">
        <f>IF($I86="","",$I86+N($K86))</f>
        <v/>
      </c>
      <c r="M86" s="67" t="n"/>
      <c r="N86" s="60">
        <f>IF($C86="","",IF(N($M86)&gt;=1,"Tamamlandı",IF(AND($I86&lt;&gt;"",$L86&lt;TODAY()),"Gecikmiş",IF(OR(N($M86)&gt;0,AND($H86&lt;&gt;"",$H86&lt;=TODAY())),"Devam Ediyor","Planlanan"))))</f>
        <v/>
      </c>
      <c r="O86" s="61" t="n"/>
      <c r="P86" s="61" t="n"/>
      <c r="Q86" s="68">
        <f>IF($C86="","",IF($N86="Tamamlandı","",IF($L86="","",IF($L86&lt;TODAY(),"⚠ "&amp;TEXT(TODAY()-$L86,"0")&amp;" gün gecikme",IF($L86-TODAY()&lt;=14,"● "&amp;TEXT($L86-TODAY(),"0")&amp;" gün kaldı","")))))</f>
        <v/>
      </c>
    </row>
    <row r="87" ht="18" customHeight="1">
      <c r="A87" s="60">
        <f>IF($C87="","",ROW()-4)</f>
        <v/>
      </c>
      <c r="B87" s="61" t="n"/>
      <c r="C87" s="61" t="n"/>
      <c r="D87" s="62" t="n"/>
      <c r="E87" s="62" t="n"/>
      <c r="F87" s="62" t="n"/>
      <c r="G87" s="62" t="n"/>
      <c r="H87" s="63" t="n"/>
      <c r="I87" s="63" t="n"/>
      <c r="J87" s="64">
        <f>IF(OR($H87="",$I87=""),"",$I87-$H87+1)</f>
        <v/>
      </c>
      <c r="K87" s="65" t="n"/>
      <c r="L87" s="66">
        <f>IF($I87="","",$I87+N($K87))</f>
        <v/>
      </c>
      <c r="M87" s="67" t="n"/>
      <c r="N87" s="60">
        <f>IF($C87="","",IF(N($M87)&gt;=1,"Tamamlandı",IF(AND($I87&lt;&gt;"",$L87&lt;TODAY()),"Gecikmiş",IF(OR(N($M87)&gt;0,AND($H87&lt;&gt;"",$H87&lt;=TODAY())),"Devam Ediyor","Planlanan"))))</f>
        <v/>
      </c>
      <c r="O87" s="61" t="n"/>
      <c r="P87" s="61" t="n"/>
      <c r="Q87" s="68">
        <f>IF($C87="","",IF($N87="Tamamlandı","",IF($L87="","",IF($L87&lt;TODAY(),"⚠ "&amp;TEXT(TODAY()-$L87,"0")&amp;" gün gecikme",IF($L87-TODAY()&lt;=14,"● "&amp;TEXT($L87-TODAY(),"0")&amp;" gün kaldı","")))))</f>
        <v/>
      </c>
    </row>
    <row r="88" ht="18" customHeight="1">
      <c r="A88" s="60">
        <f>IF($C88="","",ROW()-4)</f>
        <v/>
      </c>
      <c r="B88" s="61" t="n"/>
      <c r="C88" s="61" t="n"/>
      <c r="D88" s="62" t="n"/>
      <c r="E88" s="62" t="n"/>
      <c r="F88" s="62" t="n"/>
      <c r="G88" s="62" t="n"/>
      <c r="H88" s="63" t="n"/>
      <c r="I88" s="63" t="n"/>
      <c r="J88" s="64">
        <f>IF(OR($H88="",$I88=""),"",$I88-$H88+1)</f>
        <v/>
      </c>
      <c r="K88" s="65" t="n"/>
      <c r="L88" s="66">
        <f>IF($I88="","",$I88+N($K88))</f>
        <v/>
      </c>
      <c r="M88" s="67" t="n"/>
      <c r="N88" s="60">
        <f>IF($C88="","",IF(N($M88)&gt;=1,"Tamamlandı",IF(AND($I88&lt;&gt;"",$L88&lt;TODAY()),"Gecikmiş",IF(OR(N($M88)&gt;0,AND($H88&lt;&gt;"",$H88&lt;=TODAY())),"Devam Ediyor","Planlanan"))))</f>
        <v/>
      </c>
      <c r="O88" s="61" t="n"/>
      <c r="P88" s="61" t="n"/>
      <c r="Q88" s="68">
        <f>IF($C88="","",IF($N88="Tamamlandı","",IF($L88="","",IF($L88&lt;TODAY(),"⚠ "&amp;TEXT(TODAY()-$L88,"0")&amp;" gün gecikme",IF($L88-TODAY()&lt;=14,"● "&amp;TEXT($L88-TODAY(),"0")&amp;" gün kaldı","")))))</f>
        <v/>
      </c>
    </row>
    <row r="89" ht="18" customHeight="1">
      <c r="A89" s="60">
        <f>IF($C89="","",ROW()-4)</f>
        <v/>
      </c>
      <c r="B89" s="61" t="n"/>
      <c r="C89" s="61" t="n"/>
      <c r="D89" s="62" t="n"/>
      <c r="E89" s="62" t="n"/>
      <c r="F89" s="62" t="n"/>
      <c r="G89" s="62" t="n"/>
      <c r="H89" s="63" t="n"/>
      <c r="I89" s="63" t="n"/>
      <c r="J89" s="64">
        <f>IF(OR($H89="",$I89=""),"",$I89-$H89+1)</f>
        <v/>
      </c>
      <c r="K89" s="65" t="n"/>
      <c r="L89" s="66">
        <f>IF($I89="","",$I89+N($K89))</f>
        <v/>
      </c>
      <c r="M89" s="67" t="n"/>
      <c r="N89" s="60">
        <f>IF($C89="","",IF(N($M89)&gt;=1,"Tamamlandı",IF(AND($I89&lt;&gt;"",$L89&lt;TODAY()),"Gecikmiş",IF(OR(N($M89)&gt;0,AND($H89&lt;&gt;"",$H89&lt;=TODAY())),"Devam Ediyor","Planlanan"))))</f>
        <v/>
      </c>
      <c r="O89" s="61" t="n"/>
      <c r="P89" s="61" t="n"/>
      <c r="Q89" s="68">
        <f>IF($C89="","",IF($N89="Tamamlandı","",IF($L89="","",IF($L89&lt;TODAY(),"⚠ "&amp;TEXT(TODAY()-$L89,"0")&amp;" gün gecikme",IF($L89-TODAY()&lt;=14,"● "&amp;TEXT($L89-TODAY(),"0")&amp;" gün kaldı","")))))</f>
        <v/>
      </c>
    </row>
    <row r="90" ht="18" customHeight="1">
      <c r="A90" s="60">
        <f>IF($C90="","",ROW()-4)</f>
        <v/>
      </c>
      <c r="B90" s="61" t="n"/>
      <c r="C90" s="61" t="n"/>
      <c r="D90" s="62" t="n"/>
      <c r="E90" s="62" t="n"/>
      <c r="F90" s="62" t="n"/>
      <c r="G90" s="62" t="n"/>
      <c r="H90" s="63" t="n"/>
      <c r="I90" s="63" t="n"/>
      <c r="J90" s="64">
        <f>IF(OR($H90="",$I90=""),"",$I90-$H90+1)</f>
        <v/>
      </c>
      <c r="K90" s="65" t="n"/>
      <c r="L90" s="66">
        <f>IF($I90="","",$I90+N($K90))</f>
        <v/>
      </c>
      <c r="M90" s="67" t="n"/>
      <c r="N90" s="60">
        <f>IF($C90="","",IF(N($M90)&gt;=1,"Tamamlandı",IF(AND($I90&lt;&gt;"",$L90&lt;TODAY()),"Gecikmiş",IF(OR(N($M90)&gt;0,AND($H90&lt;&gt;"",$H90&lt;=TODAY())),"Devam Ediyor","Planlanan"))))</f>
        <v/>
      </c>
      <c r="O90" s="61" t="n"/>
      <c r="P90" s="61" t="n"/>
      <c r="Q90" s="68">
        <f>IF($C90="","",IF($N90="Tamamlandı","",IF($L90="","",IF($L90&lt;TODAY(),"⚠ "&amp;TEXT(TODAY()-$L90,"0")&amp;" gün gecikme",IF($L90-TODAY()&lt;=14,"● "&amp;TEXT($L90-TODAY(),"0")&amp;" gün kaldı","")))))</f>
        <v/>
      </c>
    </row>
    <row r="91" ht="18" customHeight="1">
      <c r="A91" s="60">
        <f>IF($C91="","",ROW()-4)</f>
        <v/>
      </c>
      <c r="B91" s="61" t="n"/>
      <c r="C91" s="61" t="n"/>
      <c r="D91" s="62" t="n"/>
      <c r="E91" s="62" t="n"/>
      <c r="F91" s="62" t="n"/>
      <c r="G91" s="62" t="n"/>
      <c r="H91" s="63" t="n"/>
      <c r="I91" s="63" t="n"/>
      <c r="J91" s="64">
        <f>IF(OR($H91="",$I91=""),"",$I91-$H91+1)</f>
        <v/>
      </c>
      <c r="K91" s="65" t="n"/>
      <c r="L91" s="66">
        <f>IF($I91="","",$I91+N($K91))</f>
        <v/>
      </c>
      <c r="M91" s="67" t="n"/>
      <c r="N91" s="60">
        <f>IF($C91="","",IF(N($M91)&gt;=1,"Tamamlandı",IF(AND($I91&lt;&gt;"",$L91&lt;TODAY()),"Gecikmiş",IF(OR(N($M91)&gt;0,AND($H91&lt;&gt;"",$H91&lt;=TODAY())),"Devam Ediyor","Planlanan"))))</f>
        <v/>
      </c>
      <c r="O91" s="61" t="n"/>
      <c r="P91" s="61" t="n"/>
      <c r="Q91" s="68">
        <f>IF($C91="","",IF($N91="Tamamlandı","",IF($L91="","",IF($L91&lt;TODAY(),"⚠ "&amp;TEXT(TODAY()-$L91,"0")&amp;" gün gecikme",IF($L91-TODAY()&lt;=14,"● "&amp;TEXT($L91-TODAY(),"0")&amp;" gün kaldı","")))))</f>
        <v/>
      </c>
    </row>
    <row r="92" ht="18" customHeight="1">
      <c r="A92" s="60">
        <f>IF($C92="","",ROW()-4)</f>
        <v/>
      </c>
      <c r="B92" s="61" t="n"/>
      <c r="C92" s="61" t="n"/>
      <c r="D92" s="62" t="n"/>
      <c r="E92" s="62" t="n"/>
      <c r="F92" s="62" t="n"/>
      <c r="G92" s="62" t="n"/>
      <c r="H92" s="63" t="n"/>
      <c r="I92" s="63" t="n"/>
      <c r="J92" s="64">
        <f>IF(OR($H92="",$I92=""),"",$I92-$H92+1)</f>
        <v/>
      </c>
      <c r="K92" s="65" t="n"/>
      <c r="L92" s="66">
        <f>IF($I92="","",$I92+N($K92))</f>
        <v/>
      </c>
      <c r="M92" s="67" t="n"/>
      <c r="N92" s="60">
        <f>IF($C92="","",IF(N($M92)&gt;=1,"Tamamlandı",IF(AND($I92&lt;&gt;"",$L92&lt;TODAY()),"Gecikmiş",IF(OR(N($M92)&gt;0,AND($H92&lt;&gt;"",$H92&lt;=TODAY())),"Devam Ediyor","Planlanan"))))</f>
        <v/>
      </c>
      <c r="O92" s="61" t="n"/>
      <c r="P92" s="61" t="n"/>
      <c r="Q92" s="68">
        <f>IF($C92="","",IF($N92="Tamamlandı","",IF($L92="","",IF($L92&lt;TODAY(),"⚠ "&amp;TEXT(TODAY()-$L92,"0")&amp;" gün gecikme",IF($L92-TODAY()&lt;=14,"● "&amp;TEXT($L92-TODAY(),"0")&amp;" gün kaldı","")))))</f>
        <v/>
      </c>
    </row>
    <row r="93" ht="18" customHeight="1">
      <c r="A93" s="60">
        <f>IF($C93="","",ROW()-4)</f>
        <v/>
      </c>
      <c r="B93" s="61" t="n"/>
      <c r="C93" s="61" t="n"/>
      <c r="D93" s="62" t="n"/>
      <c r="E93" s="62" t="n"/>
      <c r="F93" s="62" t="n"/>
      <c r="G93" s="62" t="n"/>
      <c r="H93" s="63" t="n"/>
      <c r="I93" s="63" t="n"/>
      <c r="J93" s="64">
        <f>IF(OR($H93="",$I93=""),"",$I93-$H93+1)</f>
        <v/>
      </c>
      <c r="K93" s="65" t="n"/>
      <c r="L93" s="66">
        <f>IF($I93="","",$I93+N($K93))</f>
        <v/>
      </c>
      <c r="M93" s="67" t="n"/>
      <c r="N93" s="60">
        <f>IF($C93="","",IF(N($M93)&gt;=1,"Tamamlandı",IF(AND($I93&lt;&gt;"",$L93&lt;TODAY()),"Gecikmiş",IF(OR(N($M93)&gt;0,AND($H93&lt;&gt;"",$H93&lt;=TODAY())),"Devam Ediyor","Planlanan"))))</f>
        <v/>
      </c>
      <c r="O93" s="61" t="n"/>
      <c r="P93" s="61" t="n"/>
      <c r="Q93" s="68">
        <f>IF($C93="","",IF($N93="Tamamlandı","",IF($L93="","",IF($L93&lt;TODAY(),"⚠ "&amp;TEXT(TODAY()-$L93,"0")&amp;" gün gecikme",IF($L93-TODAY()&lt;=14,"● "&amp;TEXT($L93-TODAY(),"0")&amp;" gün kaldı","")))))</f>
        <v/>
      </c>
    </row>
    <row r="94" ht="18" customHeight="1">
      <c r="A94" s="60">
        <f>IF($C94="","",ROW()-4)</f>
        <v/>
      </c>
      <c r="B94" s="61" t="n"/>
      <c r="C94" s="61" t="n"/>
      <c r="D94" s="62" t="n"/>
      <c r="E94" s="62" t="n"/>
      <c r="F94" s="62" t="n"/>
      <c r="G94" s="62" t="n"/>
      <c r="H94" s="63" t="n"/>
      <c r="I94" s="63" t="n"/>
      <c r="J94" s="64">
        <f>IF(OR($H94="",$I94=""),"",$I94-$H94+1)</f>
        <v/>
      </c>
      <c r="K94" s="65" t="n"/>
      <c r="L94" s="66">
        <f>IF($I94="","",$I94+N($K94))</f>
        <v/>
      </c>
      <c r="M94" s="67" t="n"/>
      <c r="N94" s="60">
        <f>IF($C94="","",IF(N($M94)&gt;=1,"Tamamlandı",IF(AND($I94&lt;&gt;"",$L94&lt;TODAY()),"Gecikmiş",IF(OR(N($M94)&gt;0,AND($H94&lt;&gt;"",$H94&lt;=TODAY())),"Devam Ediyor","Planlanan"))))</f>
        <v/>
      </c>
      <c r="O94" s="61" t="n"/>
      <c r="P94" s="61" t="n"/>
      <c r="Q94" s="68">
        <f>IF($C94="","",IF($N94="Tamamlandı","",IF($L94="","",IF($L94&lt;TODAY(),"⚠ "&amp;TEXT(TODAY()-$L94,"0")&amp;" gün gecikme",IF($L94-TODAY()&lt;=14,"● "&amp;TEXT($L94-TODAY(),"0")&amp;" gün kaldı","")))))</f>
        <v/>
      </c>
    </row>
    <row r="95" ht="18" customHeight="1">
      <c r="A95" s="60">
        <f>IF($C95="","",ROW()-4)</f>
        <v/>
      </c>
      <c r="B95" s="61" t="n"/>
      <c r="C95" s="61" t="n"/>
      <c r="D95" s="62" t="n"/>
      <c r="E95" s="62" t="n"/>
      <c r="F95" s="62" t="n"/>
      <c r="G95" s="62" t="n"/>
      <c r="H95" s="63" t="n"/>
      <c r="I95" s="63" t="n"/>
      <c r="J95" s="64">
        <f>IF(OR($H95="",$I95=""),"",$I95-$H95+1)</f>
        <v/>
      </c>
      <c r="K95" s="65" t="n"/>
      <c r="L95" s="66">
        <f>IF($I95="","",$I95+N($K95))</f>
        <v/>
      </c>
      <c r="M95" s="67" t="n"/>
      <c r="N95" s="60">
        <f>IF($C95="","",IF(N($M95)&gt;=1,"Tamamlandı",IF(AND($I95&lt;&gt;"",$L95&lt;TODAY()),"Gecikmiş",IF(OR(N($M95)&gt;0,AND($H95&lt;&gt;"",$H95&lt;=TODAY())),"Devam Ediyor","Planlanan"))))</f>
        <v/>
      </c>
      <c r="O95" s="61" t="n"/>
      <c r="P95" s="61" t="n"/>
      <c r="Q95" s="68">
        <f>IF($C95="","",IF($N95="Tamamlandı","",IF($L95="","",IF($L95&lt;TODAY(),"⚠ "&amp;TEXT(TODAY()-$L95,"0")&amp;" gün gecikme",IF($L95-TODAY()&lt;=14,"● "&amp;TEXT($L95-TODAY(),"0")&amp;" gün kaldı","")))))</f>
        <v/>
      </c>
    </row>
    <row r="96" ht="18" customHeight="1">
      <c r="A96" s="60">
        <f>IF($C96="","",ROW()-4)</f>
        <v/>
      </c>
      <c r="B96" s="61" t="n"/>
      <c r="C96" s="61" t="n"/>
      <c r="D96" s="62" t="n"/>
      <c r="E96" s="62" t="n"/>
      <c r="F96" s="62" t="n"/>
      <c r="G96" s="62" t="n"/>
      <c r="H96" s="63" t="n"/>
      <c r="I96" s="63" t="n"/>
      <c r="J96" s="64">
        <f>IF(OR($H96="",$I96=""),"",$I96-$H96+1)</f>
        <v/>
      </c>
      <c r="K96" s="65" t="n"/>
      <c r="L96" s="66">
        <f>IF($I96="","",$I96+N($K96))</f>
        <v/>
      </c>
      <c r="M96" s="67" t="n"/>
      <c r="N96" s="60">
        <f>IF($C96="","",IF(N($M96)&gt;=1,"Tamamlandı",IF(AND($I96&lt;&gt;"",$L96&lt;TODAY()),"Gecikmiş",IF(OR(N($M96)&gt;0,AND($H96&lt;&gt;"",$H96&lt;=TODAY())),"Devam Ediyor","Planlanan"))))</f>
        <v/>
      </c>
      <c r="O96" s="61" t="n"/>
      <c r="P96" s="61" t="n"/>
      <c r="Q96" s="68">
        <f>IF($C96="","",IF($N96="Tamamlandı","",IF($L96="","",IF($L96&lt;TODAY(),"⚠ "&amp;TEXT(TODAY()-$L96,"0")&amp;" gün gecikme",IF($L96-TODAY()&lt;=14,"● "&amp;TEXT($L96-TODAY(),"0")&amp;" gün kaldı","")))))</f>
        <v/>
      </c>
    </row>
    <row r="97" ht="18" customHeight="1">
      <c r="A97" s="60">
        <f>IF($C97="","",ROW()-4)</f>
        <v/>
      </c>
      <c r="B97" s="61" t="n"/>
      <c r="C97" s="61" t="n"/>
      <c r="D97" s="62" t="n"/>
      <c r="E97" s="62" t="n"/>
      <c r="F97" s="62" t="n"/>
      <c r="G97" s="62" t="n"/>
      <c r="H97" s="63" t="n"/>
      <c r="I97" s="63" t="n"/>
      <c r="J97" s="64">
        <f>IF(OR($H97="",$I97=""),"",$I97-$H97+1)</f>
        <v/>
      </c>
      <c r="K97" s="65" t="n"/>
      <c r="L97" s="66">
        <f>IF($I97="","",$I97+N($K97))</f>
        <v/>
      </c>
      <c r="M97" s="67" t="n"/>
      <c r="N97" s="60">
        <f>IF($C97="","",IF(N($M97)&gt;=1,"Tamamlandı",IF(AND($I97&lt;&gt;"",$L97&lt;TODAY()),"Gecikmiş",IF(OR(N($M97)&gt;0,AND($H97&lt;&gt;"",$H97&lt;=TODAY())),"Devam Ediyor","Planlanan"))))</f>
        <v/>
      </c>
      <c r="O97" s="61" t="n"/>
      <c r="P97" s="61" t="n"/>
      <c r="Q97" s="68">
        <f>IF($C97="","",IF($N97="Tamamlandı","",IF($L97="","",IF($L97&lt;TODAY(),"⚠ "&amp;TEXT(TODAY()-$L97,"0")&amp;" gün gecikme",IF($L97-TODAY()&lt;=14,"● "&amp;TEXT($L97-TODAY(),"0")&amp;" gün kaldı","")))))</f>
        <v/>
      </c>
    </row>
    <row r="98" ht="18" customHeight="1">
      <c r="A98" s="60">
        <f>IF($C98="","",ROW()-4)</f>
        <v/>
      </c>
      <c r="B98" s="61" t="n"/>
      <c r="C98" s="61" t="n"/>
      <c r="D98" s="62" t="n"/>
      <c r="E98" s="62" t="n"/>
      <c r="F98" s="62" t="n"/>
      <c r="G98" s="62" t="n"/>
      <c r="H98" s="63" t="n"/>
      <c r="I98" s="63" t="n"/>
      <c r="J98" s="64">
        <f>IF(OR($H98="",$I98=""),"",$I98-$H98+1)</f>
        <v/>
      </c>
      <c r="K98" s="65" t="n"/>
      <c r="L98" s="66">
        <f>IF($I98="","",$I98+N($K98))</f>
        <v/>
      </c>
      <c r="M98" s="67" t="n"/>
      <c r="N98" s="60">
        <f>IF($C98="","",IF(N($M98)&gt;=1,"Tamamlandı",IF(AND($I98&lt;&gt;"",$L98&lt;TODAY()),"Gecikmiş",IF(OR(N($M98)&gt;0,AND($H98&lt;&gt;"",$H98&lt;=TODAY())),"Devam Ediyor","Planlanan"))))</f>
        <v/>
      </c>
      <c r="O98" s="61" t="n"/>
      <c r="P98" s="61" t="n"/>
      <c r="Q98" s="68">
        <f>IF($C98="","",IF($N98="Tamamlandı","",IF($L98="","",IF($L98&lt;TODAY(),"⚠ "&amp;TEXT(TODAY()-$L98,"0")&amp;" gün gecikme",IF($L98-TODAY()&lt;=14,"● "&amp;TEXT($L98-TODAY(),"0")&amp;" gün kaldı","")))))</f>
        <v/>
      </c>
    </row>
    <row r="99" ht="18" customHeight="1">
      <c r="A99" s="60">
        <f>IF($C99="","",ROW()-4)</f>
        <v/>
      </c>
      <c r="B99" s="61" t="n"/>
      <c r="C99" s="61" t="n"/>
      <c r="D99" s="62" t="n"/>
      <c r="E99" s="62" t="n"/>
      <c r="F99" s="62" t="n"/>
      <c r="G99" s="62" t="n"/>
      <c r="H99" s="63" t="n"/>
      <c r="I99" s="63" t="n"/>
      <c r="J99" s="64">
        <f>IF(OR($H99="",$I99=""),"",$I99-$H99+1)</f>
        <v/>
      </c>
      <c r="K99" s="65" t="n"/>
      <c r="L99" s="66">
        <f>IF($I99="","",$I99+N($K99))</f>
        <v/>
      </c>
      <c r="M99" s="67" t="n"/>
      <c r="N99" s="60">
        <f>IF($C99="","",IF(N($M99)&gt;=1,"Tamamlandı",IF(AND($I99&lt;&gt;"",$L99&lt;TODAY()),"Gecikmiş",IF(OR(N($M99)&gt;0,AND($H99&lt;&gt;"",$H99&lt;=TODAY())),"Devam Ediyor","Planlanan"))))</f>
        <v/>
      </c>
      <c r="O99" s="61" t="n"/>
      <c r="P99" s="61" t="n"/>
      <c r="Q99" s="68">
        <f>IF($C99="","",IF($N99="Tamamlandı","",IF($L99="","",IF($L99&lt;TODAY(),"⚠ "&amp;TEXT(TODAY()-$L99,"0")&amp;" gün gecikme",IF($L99-TODAY()&lt;=14,"● "&amp;TEXT($L99-TODAY(),"0")&amp;" gün kaldı","")))))</f>
        <v/>
      </c>
    </row>
    <row r="100" ht="18" customHeight="1">
      <c r="A100" s="60">
        <f>IF($C100="","",ROW()-4)</f>
        <v/>
      </c>
      <c r="B100" s="61" t="n"/>
      <c r="C100" s="61" t="n"/>
      <c r="D100" s="62" t="n"/>
      <c r="E100" s="62" t="n"/>
      <c r="F100" s="62" t="n"/>
      <c r="G100" s="62" t="n"/>
      <c r="H100" s="63" t="n"/>
      <c r="I100" s="63" t="n"/>
      <c r="J100" s="64">
        <f>IF(OR($H100="",$I100=""),"",$I100-$H100+1)</f>
        <v/>
      </c>
      <c r="K100" s="65" t="n"/>
      <c r="L100" s="66">
        <f>IF($I100="","",$I100+N($K100))</f>
        <v/>
      </c>
      <c r="M100" s="67" t="n"/>
      <c r="N100" s="60">
        <f>IF($C100="","",IF(N($M100)&gt;=1,"Tamamlandı",IF(AND($I100&lt;&gt;"",$L100&lt;TODAY()),"Gecikmiş",IF(OR(N($M100)&gt;0,AND($H100&lt;&gt;"",$H100&lt;=TODAY())),"Devam Ediyor","Planlanan"))))</f>
        <v/>
      </c>
      <c r="O100" s="61" t="n"/>
      <c r="P100" s="61" t="n"/>
      <c r="Q100" s="68">
        <f>IF($C100="","",IF($N100="Tamamlandı","",IF($L100="","",IF($L100&lt;TODAY(),"⚠ "&amp;TEXT(TODAY()-$L100,"0")&amp;" gün gecikme",IF($L100-TODAY()&lt;=14,"● "&amp;TEXT($L100-TODAY(),"0")&amp;" gün kaldı","")))))</f>
        <v/>
      </c>
    </row>
    <row r="101" ht="18" customHeight="1">
      <c r="A101" s="60">
        <f>IF($C101="","",ROW()-4)</f>
        <v/>
      </c>
      <c r="B101" s="61" t="n"/>
      <c r="C101" s="61" t="n"/>
      <c r="D101" s="62" t="n"/>
      <c r="E101" s="62" t="n"/>
      <c r="F101" s="62" t="n"/>
      <c r="G101" s="62" t="n"/>
      <c r="H101" s="63" t="n"/>
      <c r="I101" s="63" t="n"/>
      <c r="J101" s="64">
        <f>IF(OR($H101="",$I101=""),"",$I101-$H101+1)</f>
        <v/>
      </c>
      <c r="K101" s="65" t="n"/>
      <c r="L101" s="66">
        <f>IF($I101="","",$I101+N($K101))</f>
        <v/>
      </c>
      <c r="M101" s="67" t="n"/>
      <c r="N101" s="60">
        <f>IF($C101="","",IF(N($M101)&gt;=1,"Tamamlandı",IF(AND($I101&lt;&gt;"",$L101&lt;TODAY()),"Gecikmiş",IF(OR(N($M101)&gt;0,AND($H101&lt;&gt;"",$H101&lt;=TODAY())),"Devam Ediyor","Planlanan"))))</f>
        <v/>
      </c>
      <c r="O101" s="61" t="n"/>
      <c r="P101" s="61" t="n"/>
      <c r="Q101" s="68">
        <f>IF($C101="","",IF($N101="Tamamlandı","",IF($L101="","",IF($L101&lt;TODAY(),"⚠ "&amp;TEXT(TODAY()-$L101,"0")&amp;" gün gecikme",IF($L101-TODAY()&lt;=14,"● "&amp;TEXT($L101-TODAY(),"0")&amp;" gün kaldı","")))))</f>
        <v/>
      </c>
    </row>
    <row r="102" ht="18" customHeight="1">
      <c r="A102" s="60">
        <f>IF($C102="","",ROW()-4)</f>
        <v/>
      </c>
      <c r="B102" s="61" t="n"/>
      <c r="C102" s="61" t="n"/>
      <c r="D102" s="62" t="n"/>
      <c r="E102" s="62" t="n"/>
      <c r="F102" s="62" t="n"/>
      <c r="G102" s="62" t="n"/>
      <c r="H102" s="63" t="n"/>
      <c r="I102" s="63" t="n"/>
      <c r="J102" s="64">
        <f>IF(OR($H102="",$I102=""),"",$I102-$H102+1)</f>
        <v/>
      </c>
      <c r="K102" s="65" t="n"/>
      <c r="L102" s="66">
        <f>IF($I102="","",$I102+N($K102))</f>
        <v/>
      </c>
      <c r="M102" s="67" t="n"/>
      <c r="N102" s="60">
        <f>IF($C102="","",IF(N($M102)&gt;=1,"Tamamlandı",IF(AND($I102&lt;&gt;"",$L102&lt;TODAY()),"Gecikmiş",IF(OR(N($M102)&gt;0,AND($H102&lt;&gt;"",$H102&lt;=TODAY())),"Devam Ediyor","Planlanan"))))</f>
        <v/>
      </c>
      <c r="O102" s="61" t="n"/>
      <c r="P102" s="61" t="n"/>
      <c r="Q102" s="68">
        <f>IF($C102="","",IF($N102="Tamamlandı","",IF($L102="","",IF($L102&lt;TODAY(),"⚠ "&amp;TEXT(TODAY()-$L102,"0")&amp;" gün gecikme",IF($L102-TODAY()&lt;=14,"● "&amp;TEXT($L102-TODAY(),"0")&amp;" gün kaldı","")))))</f>
        <v/>
      </c>
    </row>
    <row r="103" ht="18" customHeight="1">
      <c r="A103" s="60">
        <f>IF($C103="","",ROW()-4)</f>
        <v/>
      </c>
      <c r="B103" s="61" t="n"/>
      <c r="C103" s="61" t="n"/>
      <c r="D103" s="62" t="n"/>
      <c r="E103" s="62" t="n"/>
      <c r="F103" s="62" t="n"/>
      <c r="G103" s="62" t="n"/>
      <c r="H103" s="63" t="n"/>
      <c r="I103" s="63" t="n"/>
      <c r="J103" s="64">
        <f>IF(OR($H103="",$I103=""),"",$I103-$H103+1)</f>
        <v/>
      </c>
      <c r="K103" s="65" t="n"/>
      <c r="L103" s="66">
        <f>IF($I103="","",$I103+N($K103))</f>
        <v/>
      </c>
      <c r="M103" s="67" t="n"/>
      <c r="N103" s="60">
        <f>IF($C103="","",IF(N($M103)&gt;=1,"Tamamlandı",IF(AND($I103&lt;&gt;"",$L103&lt;TODAY()),"Gecikmiş",IF(OR(N($M103)&gt;0,AND($H103&lt;&gt;"",$H103&lt;=TODAY())),"Devam Ediyor","Planlanan"))))</f>
        <v/>
      </c>
      <c r="O103" s="61" t="n"/>
      <c r="P103" s="61" t="n"/>
      <c r="Q103" s="68">
        <f>IF($C103="","",IF($N103="Tamamlandı","",IF($L103="","",IF($L103&lt;TODAY(),"⚠ "&amp;TEXT(TODAY()-$L103,"0")&amp;" gün gecikme",IF($L103-TODAY()&lt;=14,"● "&amp;TEXT($L103-TODAY(),"0")&amp;" gün kaldı","")))))</f>
        <v/>
      </c>
    </row>
    <row r="104" ht="18" customHeight="1">
      <c r="A104" s="60">
        <f>IF($C104="","",ROW()-4)</f>
        <v/>
      </c>
      <c r="B104" s="61" t="n"/>
      <c r="C104" s="61" t="n"/>
      <c r="D104" s="62" t="n"/>
      <c r="E104" s="62" t="n"/>
      <c r="F104" s="62" t="n"/>
      <c r="G104" s="62" t="n"/>
      <c r="H104" s="63" t="n"/>
      <c r="I104" s="63" t="n"/>
      <c r="J104" s="64">
        <f>IF(OR($H104="",$I104=""),"",$I104-$H104+1)</f>
        <v/>
      </c>
      <c r="K104" s="65" t="n"/>
      <c r="L104" s="66">
        <f>IF($I104="","",$I104+N($K104))</f>
        <v/>
      </c>
      <c r="M104" s="67" t="n"/>
      <c r="N104" s="60">
        <f>IF($C104="","",IF(N($M104)&gt;=1,"Tamamlandı",IF(AND($I104&lt;&gt;"",$L104&lt;TODAY()),"Gecikmiş",IF(OR(N($M104)&gt;0,AND($H104&lt;&gt;"",$H104&lt;=TODAY())),"Devam Ediyor","Planlanan"))))</f>
        <v/>
      </c>
      <c r="O104" s="61" t="n"/>
      <c r="P104" s="61" t="n"/>
      <c r="Q104" s="68">
        <f>IF($C104="","",IF($N104="Tamamlandı","",IF($L104="","",IF($L104&lt;TODAY(),"⚠ "&amp;TEXT(TODAY()-$L104,"0")&amp;" gün gecikme",IF($L104-TODAY()&lt;=14,"● "&amp;TEXT($L104-TODAY(),"0")&amp;" gün kaldı","")))))</f>
        <v/>
      </c>
    </row>
    <row r="105" ht="18" customHeight="1">
      <c r="A105" s="60">
        <f>IF($C105="","",ROW()-4)</f>
        <v/>
      </c>
      <c r="B105" s="61" t="n"/>
      <c r="C105" s="61" t="n"/>
      <c r="D105" s="62" t="n"/>
      <c r="E105" s="62" t="n"/>
      <c r="F105" s="62" t="n"/>
      <c r="G105" s="62" t="n"/>
      <c r="H105" s="63" t="n"/>
      <c r="I105" s="63" t="n"/>
      <c r="J105" s="64">
        <f>IF(OR($H105="",$I105=""),"",$I105-$H105+1)</f>
        <v/>
      </c>
      <c r="K105" s="65" t="n"/>
      <c r="L105" s="66">
        <f>IF($I105="","",$I105+N($K105))</f>
        <v/>
      </c>
      <c r="M105" s="67" t="n"/>
      <c r="N105" s="60">
        <f>IF($C105="","",IF(N($M105)&gt;=1,"Tamamlandı",IF(AND($I105&lt;&gt;"",$L105&lt;TODAY()),"Gecikmiş",IF(OR(N($M105)&gt;0,AND($H105&lt;&gt;"",$H105&lt;=TODAY())),"Devam Ediyor","Planlanan"))))</f>
        <v/>
      </c>
      <c r="O105" s="61" t="n"/>
      <c r="P105" s="61" t="n"/>
      <c r="Q105" s="68">
        <f>IF($C105="","",IF($N105="Tamamlandı","",IF($L105="","",IF($L105&lt;TODAY(),"⚠ "&amp;TEXT(TODAY()-$L105,"0")&amp;" gün gecikme",IF($L105-TODAY()&lt;=14,"● "&amp;TEXT($L105-TODAY(),"0")&amp;" gün kaldı","")))))</f>
        <v/>
      </c>
    </row>
    <row r="106" ht="18" customHeight="1">
      <c r="A106" s="60">
        <f>IF($C106="","",ROW()-4)</f>
        <v/>
      </c>
      <c r="B106" s="61" t="n"/>
      <c r="C106" s="61" t="n"/>
      <c r="D106" s="62" t="n"/>
      <c r="E106" s="62" t="n"/>
      <c r="F106" s="62" t="n"/>
      <c r="G106" s="62" t="n"/>
      <c r="H106" s="63" t="n"/>
      <c r="I106" s="63" t="n"/>
      <c r="J106" s="64">
        <f>IF(OR($H106="",$I106=""),"",$I106-$H106+1)</f>
        <v/>
      </c>
      <c r="K106" s="65" t="n"/>
      <c r="L106" s="66">
        <f>IF($I106="","",$I106+N($K106))</f>
        <v/>
      </c>
      <c r="M106" s="67" t="n"/>
      <c r="N106" s="60">
        <f>IF($C106="","",IF(N($M106)&gt;=1,"Tamamlandı",IF(AND($I106&lt;&gt;"",$L106&lt;TODAY()),"Gecikmiş",IF(OR(N($M106)&gt;0,AND($H106&lt;&gt;"",$H106&lt;=TODAY())),"Devam Ediyor","Planlanan"))))</f>
        <v/>
      </c>
      <c r="O106" s="61" t="n"/>
      <c r="P106" s="61" t="n"/>
      <c r="Q106" s="68">
        <f>IF($C106="","",IF($N106="Tamamlandı","",IF($L106="","",IF($L106&lt;TODAY(),"⚠ "&amp;TEXT(TODAY()-$L106,"0")&amp;" gün gecikme",IF($L106-TODAY()&lt;=14,"● "&amp;TEXT($L106-TODAY(),"0")&amp;" gün kaldı","")))))</f>
        <v/>
      </c>
    </row>
    <row r="107" ht="18" customHeight="1">
      <c r="A107" s="60">
        <f>IF($C107="","",ROW()-4)</f>
        <v/>
      </c>
      <c r="B107" s="61" t="n"/>
      <c r="C107" s="61" t="n"/>
      <c r="D107" s="62" t="n"/>
      <c r="E107" s="62" t="n"/>
      <c r="F107" s="62" t="n"/>
      <c r="G107" s="62" t="n"/>
      <c r="H107" s="63" t="n"/>
      <c r="I107" s="63" t="n"/>
      <c r="J107" s="64">
        <f>IF(OR($H107="",$I107=""),"",$I107-$H107+1)</f>
        <v/>
      </c>
      <c r="K107" s="65" t="n"/>
      <c r="L107" s="66">
        <f>IF($I107="","",$I107+N($K107))</f>
        <v/>
      </c>
      <c r="M107" s="67" t="n"/>
      <c r="N107" s="60">
        <f>IF($C107="","",IF(N($M107)&gt;=1,"Tamamlandı",IF(AND($I107&lt;&gt;"",$L107&lt;TODAY()),"Gecikmiş",IF(OR(N($M107)&gt;0,AND($H107&lt;&gt;"",$H107&lt;=TODAY())),"Devam Ediyor","Planlanan"))))</f>
        <v/>
      </c>
      <c r="O107" s="61" t="n"/>
      <c r="P107" s="61" t="n"/>
      <c r="Q107" s="68">
        <f>IF($C107="","",IF($N107="Tamamlandı","",IF($L107="","",IF($L107&lt;TODAY(),"⚠ "&amp;TEXT(TODAY()-$L107,"0")&amp;" gün gecikme",IF($L107-TODAY()&lt;=14,"● "&amp;TEXT($L107-TODAY(),"0")&amp;" gün kaldı","")))))</f>
        <v/>
      </c>
    </row>
    <row r="108" ht="18" customHeight="1">
      <c r="A108" s="60">
        <f>IF($C108="","",ROW()-4)</f>
        <v/>
      </c>
      <c r="B108" s="61" t="n"/>
      <c r="C108" s="61" t="n"/>
      <c r="D108" s="62" t="n"/>
      <c r="E108" s="62" t="n"/>
      <c r="F108" s="62" t="n"/>
      <c r="G108" s="62" t="n"/>
      <c r="H108" s="63" t="n"/>
      <c r="I108" s="63" t="n"/>
      <c r="J108" s="64">
        <f>IF(OR($H108="",$I108=""),"",$I108-$H108+1)</f>
        <v/>
      </c>
      <c r="K108" s="65" t="n"/>
      <c r="L108" s="66">
        <f>IF($I108="","",$I108+N($K108))</f>
        <v/>
      </c>
      <c r="M108" s="67" t="n"/>
      <c r="N108" s="60">
        <f>IF($C108="","",IF(N($M108)&gt;=1,"Tamamlandı",IF(AND($I108&lt;&gt;"",$L108&lt;TODAY()),"Gecikmiş",IF(OR(N($M108)&gt;0,AND($H108&lt;&gt;"",$H108&lt;=TODAY())),"Devam Ediyor","Planlanan"))))</f>
        <v/>
      </c>
      <c r="O108" s="61" t="n"/>
      <c r="P108" s="61" t="n"/>
      <c r="Q108" s="68">
        <f>IF($C108="","",IF($N108="Tamamlandı","",IF($L108="","",IF($L108&lt;TODAY(),"⚠ "&amp;TEXT(TODAY()-$L108,"0")&amp;" gün gecikme",IF($L108-TODAY()&lt;=14,"● "&amp;TEXT($L108-TODAY(),"0")&amp;" gün kaldı","")))))</f>
        <v/>
      </c>
    </row>
    <row r="109" ht="18" customHeight="1">
      <c r="A109" s="60">
        <f>IF($C109="","",ROW()-4)</f>
        <v/>
      </c>
      <c r="B109" s="61" t="n"/>
      <c r="C109" s="61" t="n"/>
      <c r="D109" s="62" t="n"/>
      <c r="E109" s="62" t="n"/>
      <c r="F109" s="62" t="n"/>
      <c r="G109" s="62" t="n"/>
      <c r="H109" s="63" t="n"/>
      <c r="I109" s="63" t="n"/>
      <c r="J109" s="64">
        <f>IF(OR($H109="",$I109=""),"",$I109-$H109+1)</f>
        <v/>
      </c>
      <c r="K109" s="65" t="n"/>
      <c r="L109" s="66">
        <f>IF($I109="","",$I109+N($K109))</f>
        <v/>
      </c>
      <c r="M109" s="67" t="n"/>
      <c r="N109" s="60">
        <f>IF($C109="","",IF(N($M109)&gt;=1,"Tamamlandı",IF(AND($I109&lt;&gt;"",$L109&lt;TODAY()),"Gecikmiş",IF(OR(N($M109)&gt;0,AND($H109&lt;&gt;"",$H109&lt;=TODAY())),"Devam Ediyor","Planlanan"))))</f>
        <v/>
      </c>
      <c r="O109" s="61" t="n"/>
      <c r="P109" s="61" t="n"/>
      <c r="Q109" s="68">
        <f>IF($C109="","",IF($N109="Tamamlandı","",IF($L109="","",IF($L109&lt;TODAY(),"⚠ "&amp;TEXT(TODAY()-$L109,"0")&amp;" gün gecikme",IF($L109-TODAY()&lt;=14,"● "&amp;TEXT($L109-TODAY(),"0")&amp;" gün kaldı","")))))</f>
        <v/>
      </c>
    </row>
    <row r="110" ht="18" customHeight="1">
      <c r="A110" s="60">
        <f>IF($C110="","",ROW()-4)</f>
        <v/>
      </c>
      <c r="B110" s="61" t="n"/>
      <c r="C110" s="61" t="n"/>
      <c r="D110" s="62" t="n"/>
      <c r="E110" s="62" t="n"/>
      <c r="F110" s="62" t="n"/>
      <c r="G110" s="62" t="n"/>
      <c r="H110" s="63" t="n"/>
      <c r="I110" s="63" t="n"/>
      <c r="J110" s="64">
        <f>IF(OR($H110="",$I110=""),"",$I110-$H110+1)</f>
        <v/>
      </c>
      <c r="K110" s="65" t="n"/>
      <c r="L110" s="66">
        <f>IF($I110="","",$I110+N($K110))</f>
        <v/>
      </c>
      <c r="M110" s="67" t="n"/>
      <c r="N110" s="60">
        <f>IF($C110="","",IF(N($M110)&gt;=1,"Tamamlandı",IF(AND($I110&lt;&gt;"",$L110&lt;TODAY()),"Gecikmiş",IF(OR(N($M110)&gt;0,AND($H110&lt;&gt;"",$H110&lt;=TODAY())),"Devam Ediyor","Planlanan"))))</f>
        <v/>
      </c>
      <c r="O110" s="61" t="n"/>
      <c r="P110" s="61" t="n"/>
      <c r="Q110" s="68">
        <f>IF($C110="","",IF($N110="Tamamlandı","",IF($L110="","",IF($L110&lt;TODAY(),"⚠ "&amp;TEXT(TODAY()-$L110,"0")&amp;" gün gecikme",IF($L110-TODAY()&lt;=14,"● "&amp;TEXT($L110-TODAY(),"0")&amp;" gün kaldı","")))))</f>
        <v/>
      </c>
    </row>
    <row r="111" ht="18" customHeight="1">
      <c r="A111" s="60">
        <f>IF($C111="","",ROW()-4)</f>
        <v/>
      </c>
      <c r="B111" s="61" t="n"/>
      <c r="C111" s="61" t="n"/>
      <c r="D111" s="62" t="n"/>
      <c r="E111" s="62" t="n"/>
      <c r="F111" s="62" t="n"/>
      <c r="G111" s="62" t="n"/>
      <c r="H111" s="63" t="n"/>
      <c r="I111" s="63" t="n"/>
      <c r="J111" s="64">
        <f>IF(OR($H111="",$I111=""),"",$I111-$H111+1)</f>
        <v/>
      </c>
      <c r="K111" s="65" t="n"/>
      <c r="L111" s="66">
        <f>IF($I111="","",$I111+N($K111))</f>
        <v/>
      </c>
      <c r="M111" s="67" t="n"/>
      <c r="N111" s="60">
        <f>IF($C111="","",IF(N($M111)&gt;=1,"Tamamlandı",IF(AND($I111&lt;&gt;"",$L111&lt;TODAY()),"Gecikmiş",IF(OR(N($M111)&gt;0,AND($H111&lt;&gt;"",$H111&lt;=TODAY())),"Devam Ediyor","Planlanan"))))</f>
        <v/>
      </c>
      <c r="O111" s="61" t="n"/>
      <c r="P111" s="61" t="n"/>
      <c r="Q111" s="68">
        <f>IF($C111="","",IF($N111="Tamamlandı","",IF($L111="","",IF($L111&lt;TODAY(),"⚠ "&amp;TEXT(TODAY()-$L111,"0")&amp;" gün gecikme",IF($L111-TODAY()&lt;=14,"● "&amp;TEXT($L111-TODAY(),"0")&amp;" gün kaldı","")))))</f>
        <v/>
      </c>
    </row>
    <row r="112" ht="18" customHeight="1">
      <c r="A112" s="60">
        <f>IF($C112="","",ROW()-4)</f>
        <v/>
      </c>
      <c r="B112" s="61" t="n"/>
      <c r="C112" s="61" t="n"/>
      <c r="D112" s="62" t="n"/>
      <c r="E112" s="62" t="n"/>
      <c r="F112" s="62" t="n"/>
      <c r="G112" s="62" t="n"/>
      <c r="H112" s="63" t="n"/>
      <c r="I112" s="63" t="n"/>
      <c r="J112" s="64">
        <f>IF(OR($H112="",$I112=""),"",$I112-$H112+1)</f>
        <v/>
      </c>
      <c r="K112" s="65" t="n"/>
      <c r="L112" s="66">
        <f>IF($I112="","",$I112+N($K112))</f>
        <v/>
      </c>
      <c r="M112" s="67" t="n"/>
      <c r="N112" s="60">
        <f>IF($C112="","",IF(N($M112)&gt;=1,"Tamamlandı",IF(AND($I112&lt;&gt;"",$L112&lt;TODAY()),"Gecikmiş",IF(OR(N($M112)&gt;0,AND($H112&lt;&gt;"",$H112&lt;=TODAY())),"Devam Ediyor","Planlanan"))))</f>
        <v/>
      </c>
      <c r="O112" s="61" t="n"/>
      <c r="P112" s="61" t="n"/>
      <c r="Q112" s="68">
        <f>IF($C112="","",IF($N112="Tamamlandı","",IF($L112="","",IF($L112&lt;TODAY(),"⚠ "&amp;TEXT(TODAY()-$L112,"0")&amp;" gün gecikme",IF($L112-TODAY()&lt;=14,"● "&amp;TEXT($L112-TODAY(),"0")&amp;" gün kaldı","")))))</f>
        <v/>
      </c>
    </row>
    <row r="113" ht="18" customHeight="1">
      <c r="A113" s="60">
        <f>IF($C113="","",ROW()-4)</f>
        <v/>
      </c>
      <c r="B113" s="61" t="n"/>
      <c r="C113" s="61" t="n"/>
      <c r="D113" s="62" t="n"/>
      <c r="E113" s="62" t="n"/>
      <c r="F113" s="62" t="n"/>
      <c r="G113" s="62" t="n"/>
      <c r="H113" s="63" t="n"/>
      <c r="I113" s="63" t="n"/>
      <c r="J113" s="64">
        <f>IF(OR($H113="",$I113=""),"",$I113-$H113+1)</f>
        <v/>
      </c>
      <c r="K113" s="65" t="n"/>
      <c r="L113" s="66">
        <f>IF($I113="","",$I113+N($K113))</f>
        <v/>
      </c>
      <c r="M113" s="67" t="n"/>
      <c r="N113" s="60">
        <f>IF($C113="","",IF(N($M113)&gt;=1,"Tamamlandı",IF(AND($I113&lt;&gt;"",$L113&lt;TODAY()),"Gecikmiş",IF(OR(N($M113)&gt;0,AND($H113&lt;&gt;"",$H113&lt;=TODAY())),"Devam Ediyor","Planlanan"))))</f>
        <v/>
      </c>
      <c r="O113" s="61" t="n"/>
      <c r="P113" s="61" t="n"/>
      <c r="Q113" s="68">
        <f>IF($C113="","",IF($N113="Tamamlandı","",IF($L113="","",IF($L113&lt;TODAY(),"⚠ "&amp;TEXT(TODAY()-$L113,"0")&amp;" gün gecikme",IF($L113-TODAY()&lt;=14,"● "&amp;TEXT($L113-TODAY(),"0")&amp;" gün kaldı","")))))</f>
        <v/>
      </c>
    </row>
    <row r="114" ht="18" customHeight="1">
      <c r="A114" s="60">
        <f>IF($C114="","",ROW()-4)</f>
        <v/>
      </c>
      <c r="B114" s="61" t="n"/>
      <c r="C114" s="61" t="n"/>
      <c r="D114" s="62" t="n"/>
      <c r="E114" s="62" t="n"/>
      <c r="F114" s="62" t="n"/>
      <c r="G114" s="62" t="n"/>
      <c r="H114" s="63" t="n"/>
      <c r="I114" s="63" t="n"/>
      <c r="J114" s="64">
        <f>IF(OR($H114="",$I114=""),"",$I114-$H114+1)</f>
        <v/>
      </c>
      <c r="K114" s="65" t="n"/>
      <c r="L114" s="66">
        <f>IF($I114="","",$I114+N($K114))</f>
        <v/>
      </c>
      <c r="M114" s="67" t="n"/>
      <c r="N114" s="60">
        <f>IF($C114="","",IF(N($M114)&gt;=1,"Tamamlandı",IF(AND($I114&lt;&gt;"",$L114&lt;TODAY()),"Gecikmiş",IF(OR(N($M114)&gt;0,AND($H114&lt;&gt;"",$H114&lt;=TODAY())),"Devam Ediyor","Planlanan"))))</f>
        <v/>
      </c>
      <c r="O114" s="61" t="n"/>
      <c r="P114" s="61" t="n"/>
      <c r="Q114" s="68">
        <f>IF($C114="","",IF($N114="Tamamlandı","",IF($L114="","",IF($L114&lt;TODAY(),"⚠ "&amp;TEXT(TODAY()-$L114,"0")&amp;" gün gecikme",IF($L114-TODAY()&lt;=14,"● "&amp;TEXT($L114-TODAY(),"0")&amp;" gün kaldı","")))))</f>
        <v/>
      </c>
    </row>
    <row r="115" ht="18" customHeight="1">
      <c r="A115" s="60">
        <f>IF($C115="","",ROW()-4)</f>
        <v/>
      </c>
      <c r="B115" s="61" t="n"/>
      <c r="C115" s="61" t="n"/>
      <c r="D115" s="62" t="n"/>
      <c r="E115" s="62" t="n"/>
      <c r="F115" s="62" t="n"/>
      <c r="G115" s="62" t="n"/>
      <c r="H115" s="63" t="n"/>
      <c r="I115" s="63" t="n"/>
      <c r="J115" s="64">
        <f>IF(OR($H115="",$I115=""),"",$I115-$H115+1)</f>
        <v/>
      </c>
      <c r="K115" s="65" t="n"/>
      <c r="L115" s="66">
        <f>IF($I115="","",$I115+N($K115))</f>
        <v/>
      </c>
      <c r="M115" s="67" t="n"/>
      <c r="N115" s="60">
        <f>IF($C115="","",IF(N($M115)&gt;=1,"Tamamlandı",IF(AND($I115&lt;&gt;"",$L115&lt;TODAY()),"Gecikmiş",IF(OR(N($M115)&gt;0,AND($H115&lt;&gt;"",$H115&lt;=TODAY())),"Devam Ediyor","Planlanan"))))</f>
        <v/>
      </c>
      <c r="O115" s="61" t="n"/>
      <c r="P115" s="61" t="n"/>
      <c r="Q115" s="68">
        <f>IF($C115="","",IF($N115="Tamamlandı","",IF($L115="","",IF($L115&lt;TODAY(),"⚠ "&amp;TEXT(TODAY()-$L115,"0")&amp;" gün gecikme",IF($L115-TODAY()&lt;=14,"● "&amp;TEXT($L115-TODAY(),"0")&amp;" gün kaldı","")))))</f>
        <v/>
      </c>
    </row>
    <row r="116" ht="18" customHeight="1">
      <c r="A116" s="60">
        <f>IF($C116="","",ROW()-4)</f>
        <v/>
      </c>
      <c r="B116" s="61" t="n"/>
      <c r="C116" s="61" t="n"/>
      <c r="D116" s="62" t="n"/>
      <c r="E116" s="62" t="n"/>
      <c r="F116" s="62" t="n"/>
      <c r="G116" s="62" t="n"/>
      <c r="H116" s="63" t="n"/>
      <c r="I116" s="63" t="n"/>
      <c r="J116" s="64">
        <f>IF(OR($H116="",$I116=""),"",$I116-$H116+1)</f>
        <v/>
      </c>
      <c r="K116" s="65" t="n"/>
      <c r="L116" s="66">
        <f>IF($I116="","",$I116+N($K116))</f>
        <v/>
      </c>
      <c r="M116" s="67" t="n"/>
      <c r="N116" s="60">
        <f>IF($C116="","",IF(N($M116)&gt;=1,"Tamamlandı",IF(AND($I116&lt;&gt;"",$L116&lt;TODAY()),"Gecikmiş",IF(OR(N($M116)&gt;0,AND($H116&lt;&gt;"",$H116&lt;=TODAY())),"Devam Ediyor","Planlanan"))))</f>
        <v/>
      </c>
      <c r="O116" s="61" t="n"/>
      <c r="P116" s="61" t="n"/>
      <c r="Q116" s="68">
        <f>IF($C116="","",IF($N116="Tamamlandı","",IF($L116="","",IF($L116&lt;TODAY(),"⚠ "&amp;TEXT(TODAY()-$L116,"0")&amp;" gün gecikme",IF($L116-TODAY()&lt;=14,"● "&amp;TEXT($L116-TODAY(),"0")&amp;" gün kaldı","")))))</f>
        <v/>
      </c>
    </row>
    <row r="117" ht="18" customHeight="1">
      <c r="A117" s="60">
        <f>IF($C117="","",ROW()-4)</f>
        <v/>
      </c>
      <c r="B117" s="61" t="n"/>
      <c r="C117" s="61" t="n"/>
      <c r="D117" s="62" t="n"/>
      <c r="E117" s="62" t="n"/>
      <c r="F117" s="62" t="n"/>
      <c r="G117" s="62" t="n"/>
      <c r="H117" s="63" t="n"/>
      <c r="I117" s="63" t="n"/>
      <c r="J117" s="64">
        <f>IF(OR($H117="",$I117=""),"",$I117-$H117+1)</f>
        <v/>
      </c>
      <c r="K117" s="65" t="n"/>
      <c r="L117" s="66">
        <f>IF($I117="","",$I117+N($K117))</f>
        <v/>
      </c>
      <c r="M117" s="67" t="n"/>
      <c r="N117" s="60">
        <f>IF($C117="","",IF(N($M117)&gt;=1,"Tamamlandı",IF(AND($I117&lt;&gt;"",$L117&lt;TODAY()),"Gecikmiş",IF(OR(N($M117)&gt;0,AND($H117&lt;&gt;"",$H117&lt;=TODAY())),"Devam Ediyor","Planlanan"))))</f>
        <v/>
      </c>
      <c r="O117" s="61" t="n"/>
      <c r="P117" s="61" t="n"/>
      <c r="Q117" s="68">
        <f>IF($C117="","",IF($N117="Tamamlandı","",IF($L117="","",IF($L117&lt;TODAY(),"⚠ "&amp;TEXT(TODAY()-$L117,"0")&amp;" gün gecikme",IF($L117-TODAY()&lt;=14,"● "&amp;TEXT($L117-TODAY(),"0")&amp;" gün kaldı","")))))</f>
        <v/>
      </c>
    </row>
    <row r="118" ht="18" customHeight="1">
      <c r="A118" s="60">
        <f>IF($C118="","",ROW()-4)</f>
        <v/>
      </c>
      <c r="B118" s="61" t="n"/>
      <c r="C118" s="61" t="n"/>
      <c r="D118" s="62" t="n"/>
      <c r="E118" s="62" t="n"/>
      <c r="F118" s="62" t="n"/>
      <c r="G118" s="62" t="n"/>
      <c r="H118" s="63" t="n"/>
      <c r="I118" s="63" t="n"/>
      <c r="J118" s="64">
        <f>IF(OR($H118="",$I118=""),"",$I118-$H118+1)</f>
        <v/>
      </c>
      <c r="K118" s="65" t="n"/>
      <c r="L118" s="66">
        <f>IF($I118="","",$I118+N($K118))</f>
        <v/>
      </c>
      <c r="M118" s="67" t="n"/>
      <c r="N118" s="60">
        <f>IF($C118="","",IF(N($M118)&gt;=1,"Tamamlandı",IF(AND($I118&lt;&gt;"",$L118&lt;TODAY()),"Gecikmiş",IF(OR(N($M118)&gt;0,AND($H118&lt;&gt;"",$H118&lt;=TODAY())),"Devam Ediyor","Planlanan"))))</f>
        <v/>
      </c>
      <c r="O118" s="61" t="n"/>
      <c r="P118" s="61" t="n"/>
      <c r="Q118" s="68">
        <f>IF($C118="","",IF($N118="Tamamlandı","",IF($L118="","",IF($L118&lt;TODAY(),"⚠ "&amp;TEXT(TODAY()-$L118,"0")&amp;" gün gecikme",IF($L118-TODAY()&lt;=14,"● "&amp;TEXT($L118-TODAY(),"0")&amp;" gün kaldı","")))))</f>
        <v/>
      </c>
    </row>
    <row r="119" ht="18" customHeight="1">
      <c r="A119" s="60">
        <f>IF($C119="","",ROW()-4)</f>
        <v/>
      </c>
      <c r="B119" s="61" t="n"/>
      <c r="C119" s="61" t="n"/>
      <c r="D119" s="62" t="n"/>
      <c r="E119" s="62" t="n"/>
      <c r="F119" s="62" t="n"/>
      <c r="G119" s="62" t="n"/>
      <c r="H119" s="63" t="n"/>
      <c r="I119" s="63" t="n"/>
      <c r="J119" s="64">
        <f>IF(OR($H119="",$I119=""),"",$I119-$H119+1)</f>
        <v/>
      </c>
      <c r="K119" s="65" t="n"/>
      <c r="L119" s="66">
        <f>IF($I119="","",$I119+N($K119))</f>
        <v/>
      </c>
      <c r="M119" s="67" t="n"/>
      <c r="N119" s="60">
        <f>IF($C119="","",IF(N($M119)&gt;=1,"Tamamlandı",IF(AND($I119&lt;&gt;"",$L119&lt;TODAY()),"Gecikmiş",IF(OR(N($M119)&gt;0,AND($H119&lt;&gt;"",$H119&lt;=TODAY())),"Devam Ediyor","Planlanan"))))</f>
        <v/>
      </c>
      <c r="O119" s="61" t="n"/>
      <c r="P119" s="61" t="n"/>
      <c r="Q119" s="68">
        <f>IF($C119="","",IF($N119="Tamamlandı","",IF($L119="","",IF($L119&lt;TODAY(),"⚠ "&amp;TEXT(TODAY()-$L119,"0")&amp;" gün gecikme",IF($L119-TODAY()&lt;=14,"● "&amp;TEXT($L119-TODAY(),"0")&amp;" gün kaldı","")))))</f>
        <v/>
      </c>
    </row>
    <row r="120" ht="18" customHeight="1">
      <c r="A120" s="60">
        <f>IF($C120="","",ROW()-4)</f>
        <v/>
      </c>
      <c r="B120" s="61" t="n"/>
      <c r="C120" s="61" t="n"/>
      <c r="D120" s="62" t="n"/>
      <c r="E120" s="62" t="n"/>
      <c r="F120" s="62" t="n"/>
      <c r="G120" s="62" t="n"/>
      <c r="H120" s="63" t="n"/>
      <c r="I120" s="63" t="n"/>
      <c r="J120" s="64">
        <f>IF(OR($H120="",$I120=""),"",$I120-$H120+1)</f>
        <v/>
      </c>
      <c r="K120" s="65" t="n"/>
      <c r="L120" s="66">
        <f>IF($I120="","",$I120+N($K120))</f>
        <v/>
      </c>
      <c r="M120" s="67" t="n"/>
      <c r="N120" s="60">
        <f>IF($C120="","",IF(N($M120)&gt;=1,"Tamamlandı",IF(AND($I120&lt;&gt;"",$L120&lt;TODAY()),"Gecikmiş",IF(OR(N($M120)&gt;0,AND($H120&lt;&gt;"",$H120&lt;=TODAY())),"Devam Ediyor","Planlanan"))))</f>
        <v/>
      </c>
      <c r="O120" s="61" t="n"/>
      <c r="P120" s="61" t="n"/>
      <c r="Q120" s="68">
        <f>IF($C120="","",IF($N120="Tamamlandı","",IF($L120="","",IF($L120&lt;TODAY(),"⚠ "&amp;TEXT(TODAY()-$L120,"0")&amp;" gün gecikme",IF($L120-TODAY()&lt;=14,"● "&amp;TEXT($L120-TODAY(),"0")&amp;" gün kaldı","")))))</f>
        <v/>
      </c>
    </row>
    <row r="121" ht="18" customHeight="1">
      <c r="A121" s="60">
        <f>IF($C121="","",ROW()-4)</f>
        <v/>
      </c>
      <c r="B121" s="61" t="n"/>
      <c r="C121" s="61" t="n"/>
      <c r="D121" s="62" t="n"/>
      <c r="E121" s="62" t="n"/>
      <c r="F121" s="62" t="n"/>
      <c r="G121" s="62" t="n"/>
      <c r="H121" s="63" t="n"/>
      <c r="I121" s="63" t="n"/>
      <c r="J121" s="64">
        <f>IF(OR($H121="",$I121=""),"",$I121-$H121+1)</f>
        <v/>
      </c>
      <c r="K121" s="65" t="n"/>
      <c r="L121" s="66">
        <f>IF($I121="","",$I121+N($K121))</f>
        <v/>
      </c>
      <c r="M121" s="67" t="n"/>
      <c r="N121" s="60">
        <f>IF($C121="","",IF(N($M121)&gt;=1,"Tamamlandı",IF(AND($I121&lt;&gt;"",$L121&lt;TODAY()),"Gecikmiş",IF(OR(N($M121)&gt;0,AND($H121&lt;&gt;"",$H121&lt;=TODAY())),"Devam Ediyor","Planlanan"))))</f>
        <v/>
      </c>
      <c r="O121" s="61" t="n"/>
      <c r="P121" s="61" t="n"/>
      <c r="Q121" s="68">
        <f>IF($C121="","",IF($N121="Tamamlandı","",IF($L121="","",IF($L121&lt;TODAY(),"⚠ "&amp;TEXT(TODAY()-$L121,"0")&amp;" gün gecikme",IF($L121-TODAY()&lt;=14,"● "&amp;TEXT($L121-TODAY(),"0")&amp;" gün kaldı","")))))</f>
        <v/>
      </c>
    </row>
    <row r="122" ht="18" customHeight="1">
      <c r="A122" s="60">
        <f>IF($C122="","",ROW()-4)</f>
        <v/>
      </c>
      <c r="B122" s="61" t="n"/>
      <c r="C122" s="61" t="n"/>
      <c r="D122" s="62" t="n"/>
      <c r="E122" s="62" t="n"/>
      <c r="F122" s="62" t="n"/>
      <c r="G122" s="62" t="n"/>
      <c r="H122" s="63" t="n"/>
      <c r="I122" s="63" t="n"/>
      <c r="J122" s="64">
        <f>IF(OR($H122="",$I122=""),"",$I122-$H122+1)</f>
        <v/>
      </c>
      <c r="K122" s="65" t="n"/>
      <c r="L122" s="66">
        <f>IF($I122="","",$I122+N($K122))</f>
        <v/>
      </c>
      <c r="M122" s="67" t="n"/>
      <c r="N122" s="60">
        <f>IF($C122="","",IF(N($M122)&gt;=1,"Tamamlandı",IF(AND($I122&lt;&gt;"",$L122&lt;TODAY()),"Gecikmiş",IF(OR(N($M122)&gt;0,AND($H122&lt;&gt;"",$H122&lt;=TODAY())),"Devam Ediyor","Planlanan"))))</f>
        <v/>
      </c>
      <c r="O122" s="61" t="n"/>
      <c r="P122" s="61" t="n"/>
      <c r="Q122" s="68">
        <f>IF($C122="","",IF($N122="Tamamlandı","",IF($L122="","",IF($L122&lt;TODAY(),"⚠ "&amp;TEXT(TODAY()-$L122,"0")&amp;" gün gecikme",IF($L122-TODAY()&lt;=14,"● "&amp;TEXT($L122-TODAY(),"0")&amp;" gün kaldı","")))))</f>
        <v/>
      </c>
    </row>
    <row r="123" ht="18" customHeight="1">
      <c r="A123" s="60">
        <f>IF($C123="","",ROW()-4)</f>
        <v/>
      </c>
      <c r="B123" s="61" t="n"/>
      <c r="C123" s="61" t="n"/>
      <c r="D123" s="62" t="n"/>
      <c r="E123" s="62" t="n"/>
      <c r="F123" s="62" t="n"/>
      <c r="G123" s="62" t="n"/>
      <c r="H123" s="63" t="n"/>
      <c r="I123" s="63" t="n"/>
      <c r="J123" s="64">
        <f>IF(OR($H123="",$I123=""),"",$I123-$H123+1)</f>
        <v/>
      </c>
      <c r="K123" s="65" t="n"/>
      <c r="L123" s="66">
        <f>IF($I123="","",$I123+N($K123))</f>
        <v/>
      </c>
      <c r="M123" s="67" t="n"/>
      <c r="N123" s="60">
        <f>IF($C123="","",IF(N($M123)&gt;=1,"Tamamlandı",IF(AND($I123&lt;&gt;"",$L123&lt;TODAY()),"Gecikmiş",IF(OR(N($M123)&gt;0,AND($H123&lt;&gt;"",$H123&lt;=TODAY())),"Devam Ediyor","Planlanan"))))</f>
        <v/>
      </c>
      <c r="O123" s="61" t="n"/>
      <c r="P123" s="61" t="n"/>
      <c r="Q123" s="68">
        <f>IF($C123="","",IF($N123="Tamamlandı","",IF($L123="","",IF($L123&lt;TODAY(),"⚠ "&amp;TEXT(TODAY()-$L123,"0")&amp;" gün gecikme",IF($L123-TODAY()&lt;=14,"● "&amp;TEXT($L123-TODAY(),"0")&amp;" gün kaldı","")))))</f>
        <v/>
      </c>
    </row>
    <row r="124" ht="18" customHeight="1">
      <c r="A124" s="60">
        <f>IF($C124="","",ROW()-4)</f>
        <v/>
      </c>
      <c r="B124" s="61" t="n"/>
      <c r="C124" s="61" t="n"/>
      <c r="D124" s="62" t="n"/>
      <c r="E124" s="62" t="n"/>
      <c r="F124" s="62" t="n"/>
      <c r="G124" s="62" t="n"/>
      <c r="H124" s="63" t="n"/>
      <c r="I124" s="63" t="n"/>
      <c r="J124" s="64">
        <f>IF(OR($H124="",$I124=""),"",$I124-$H124+1)</f>
        <v/>
      </c>
      <c r="K124" s="65" t="n"/>
      <c r="L124" s="66">
        <f>IF($I124="","",$I124+N($K124))</f>
        <v/>
      </c>
      <c r="M124" s="67" t="n"/>
      <c r="N124" s="60">
        <f>IF($C124="","",IF(N($M124)&gt;=1,"Tamamlandı",IF(AND($I124&lt;&gt;"",$L124&lt;TODAY()),"Gecikmiş",IF(OR(N($M124)&gt;0,AND($H124&lt;&gt;"",$H124&lt;=TODAY())),"Devam Ediyor","Planlanan"))))</f>
        <v/>
      </c>
      <c r="O124" s="61" t="n"/>
      <c r="P124" s="61" t="n"/>
      <c r="Q124" s="68">
        <f>IF($C124="","",IF($N124="Tamamlandı","",IF($L124="","",IF($L124&lt;TODAY(),"⚠ "&amp;TEXT(TODAY()-$L124,"0")&amp;" gün gecikme",IF($L124-TODAY()&lt;=14,"● "&amp;TEXT($L124-TODAY(),"0")&amp;" gün kaldı","")))))</f>
        <v/>
      </c>
    </row>
    <row r="125" ht="18" customHeight="1">
      <c r="A125" s="60">
        <f>IF($C125="","",ROW()-4)</f>
        <v/>
      </c>
      <c r="B125" s="61" t="n"/>
      <c r="C125" s="61" t="n"/>
      <c r="D125" s="62" t="n"/>
      <c r="E125" s="62" t="n"/>
      <c r="F125" s="62" t="n"/>
      <c r="G125" s="62" t="n"/>
      <c r="H125" s="63" t="n"/>
      <c r="I125" s="63" t="n"/>
      <c r="J125" s="64">
        <f>IF(OR($H125="",$I125=""),"",$I125-$H125+1)</f>
        <v/>
      </c>
      <c r="K125" s="65" t="n"/>
      <c r="L125" s="66">
        <f>IF($I125="","",$I125+N($K125))</f>
        <v/>
      </c>
      <c r="M125" s="67" t="n"/>
      <c r="N125" s="60">
        <f>IF($C125="","",IF(N($M125)&gt;=1,"Tamamlandı",IF(AND($I125&lt;&gt;"",$L125&lt;TODAY()),"Gecikmiş",IF(OR(N($M125)&gt;0,AND($H125&lt;&gt;"",$H125&lt;=TODAY())),"Devam Ediyor","Planlanan"))))</f>
        <v/>
      </c>
      <c r="O125" s="61" t="n"/>
      <c r="P125" s="61" t="n"/>
      <c r="Q125" s="68">
        <f>IF($C125="","",IF($N125="Tamamlandı","",IF($L125="","",IF($L125&lt;TODAY(),"⚠ "&amp;TEXT(TODAY()-$L125,"0")&amp;" gün gecikme",IF($L125-TODAY()&lt;=14,"● "&amp;TEXT($L125-TODAY(),"0")&amp;" gün kaldı","")))))</f>
        <v/>
      </c>
    </row>
    <row r="126" ht="18" customHeight="1">
      <c r="A126" s="60">
        <f>IF($C126="","",ROW()-4)</f>
        <v/>
      </c>
      <c r="B126" s="61" t="n"/>
      <c r="C126" s="61" t="n"/>
      <c r="D126" s="62" t="n"/>
      <c r="E126" s="62" t="n"/>
      <c r="F126" s="62" t="n"/>
      <c r="G126" s="62" t="n"/>
      <c r="H126" s="63" t="n"/>
      <c r="I126" s="63" t="n"/>
      <c r="J126" s="64">
        <f>IF(OR($H126="",$I126=""),"",$I126-$H126+1)</f>
        <v/>
      </c>
      <c r="K126" s="65" t="n"/>
      <c r="L126" s="66">
        <f>IF($I126="","",$I126+N($K126))</f>
        <v/>
      </c>
      <c r="M126" s="67" t="n"/>
      <c r="N126" s="60">
        <f>IF($C126="","",IF(N($M126)&gt;=1,"Tamamlandı",IF(AND($I126&lt;&gt;"",$L126&lt;TODAY()),"Gecikmiş",IF(OR(N($M126)&gt;0,AND($H126&lt;&gt;"",$H126&lt;=TODAY())),"Devam Ediyor","Planlanan"))))</f>
        <v/>
      </c>
      <c r="O126" s="61" t="n"/>
      <c r="P126" s="61" t="n"/>
      <c r="Q126" s="68">
        <f>IF($C126="","",IF($N126="Tamamlandı","",IF($L126="","",IF($L126&lt;TODAY(),"⚠ "&amp;TEXT(TODAY()-$L126,"0")&amp;" gün gecikme",IF($L126-TODAY()&lt;=14,"● "&amp;TEXT($L126-TODAY(),"0")&amp;" gün kaldı","")))))</f>
        <v/>
      </c>
    </row>
    <row r="127" ht="18" customHeight="1">
      <c r="A127" s="60">
        <f>IF($C127="","",ROW()-4)</f>
        <v/>
      </c>
      <c r="B127" s="61" t="n"/>
      <c r="C127" s="61" t="n"/>
      <c r="D127" s="62" t="n"/>
      <c r="E127" s="62" t="n"/>
      <c r="F127" s="62" t="n"/>
      <c r="G127" s="62" t="n"/>
      <c r="H127" s="63" t="n"/>
      <c r="I127" s="63" t="n"/>
      <c r="J127" s="64">
        <f>IF(OR($H127="",$I127=""),"",$I127-$H127+1)</f>
        <v/>
      </c>
      <c r="K127" s="65" t="n"/>
      <c r="L127" s="66">
        <f>IF($I127="","",$I127+N($K127))</f>
        <v/>
      </c>
      <c r="M127" s="67" t="n"/>
      <c r="N127" s="60">
        <f>IF($C127="","",IF(N($M127)&gt;=1,"Tamamlandı",IF(AND($I127&lt;&gt;"",$L127&lt;TODAY()),"Gecikmiş",IF(OR(N($M127)&gt;0,AND($H127&lt;&gt;"",$H127&lt;=TODAY())),"Devam Ediyor","Planlanan"))))</f>
        <v/>
      </c>
      <c r="O127" s="61" t="n"/>
      <c r="P127" s="61" t="n"/>
      <c r="Q127" s="68">
        <f>IF($C127="","",IF($N127="Tamamlandı","",IF($L127="","",IF($L127&lt;TODAY(),"⚠ "&amp;TEXT(TODAY()-$L127,"0")&amp;" gün gecikme",IF($L127-TODAY()&lt;=14,"● "&amp;TEXT($L127-TODAY(),"0")&amp;" gün kaldı","")))))</f>
        <v/>
      </c>
    </row>
    <row r="128" ht="18" customHeight="1">
      <c r="A128" s="60">
        <f>IF($C128="","",ROW()-4)</f>
        <v/>
      </c>
      <c r="B128" s="61" t="n"/>
      <c r="C128" s="61" t="n"/>
      <c r="D128" s="62" t="n"/>
      <c r="E128" s="62" t="n"/>
      <c r="F128" s="62" t="n"/>
      <c r="G128" s="62" t="n"/>
      <c r="H128" s="63" t="n"/>
      <c r="I128" s="63" t="n"/>
      <c r="J128" s="64">
        <f>IF(OR($H128="",$I128=""),"",$I128-$H128+1)</f>
        <v/>
      </c>
      <c r="K128" s="65" t="n"/>
      <c r="L128" s="66">
        <f>IF($I128="","",$I128+N($K128))</f>
        <v/>
      </c>
      <c r="M128" s="67" t="n"/>
      <c r="N128" s="60">
        <f>IF($C128="","",IF(N($M128)&gt;=1,"Tamamlandı",IF(AND($I128&lt;&gt;"",$L128&lt;TODAY()),"Gecikmiş",IF(OR(N($M128)&gt;0,AND($H128&lt;&gt;"",$H128&lt;=TODAY())),"Devam Ediyor","Planlanan"))))</f>
        <v/>
      </c>
      <c r="O128" s="61" t="n"/>
      <c r="P128" s="61" t="n"/>
      <c r="Q128" s="68">
        <f>IF($C128="","",IF($N128="Tamamlandı","",IF($L128="","",IF($L128&lt;TODAY(),"⚠ "&amp;TEXT(TODAY()-$L128,"0")&amp;" gün gecikme",IF($L128-TODAY()&lt;=14,"● "&amp;TEXT($L128-TODAY(),"0")&amp;" gün kaldı","")))))</f>
        <v/>
      </c>
    </row>
    <row r="129" ht="18" customHeight="1">
      <c r="A129" s="60">
        <f>IF($C129="","",ROW()-4)</f>
        <v/>
      </c>
      <c r="B129" s="61" t="n"/>
      <c r="C129" s="61" t="n"/>
      <c r="D129" s="62" t="n"/>
      <c r="E129" s="62" t="n"/>
      <c r="F129" s="62" t="n"/>
      <c r="G129" s="62" t="n"/>
      <c r="H129" s="63" t="n"/>
      <c r="I129" s="63" t="n"/>
      <c r="J129" s="64">
        <f>IF(OR($H129="",$I129=""),"",$I129-$H129+1)</f>
        <v/>
      </c>
      <c r="K129" s="65" t="n"/>
      <c r="L129" s="66">
        <f>IF($I129="","",$I129+N($K129))</f>
        <v/>
      </c>
      <c r="M129" s="67" t="n"/>
      <c r="N129" s="60">
        <f>IF($C129="","",IF(N($M129)&gt;=1,"Tamamlandı",IF(AND($I129&lt;&gt;"",$L129&lt;TODAY()),"Gecikmiş",IF(OR(N($M129)&gt;0,AND($H129&lt;&gt;"",$H129&lt;=TODAY())),"Devam Ediyor","Planlanan"))))</f>
        <v/>
      </c>
      <c r="O129" s="61" t="n"/>
      <c r="P129" s="61" t="n"/>
      <c r="Q129" s="68">
        <f>IF($C129="","",IF($N129="Tamamlandı","",IF($L129="","",IF($L129&lt;TODAY(),"⚠ "&amp;TEXT(TODAY()-$L129,"0")&amp;" gün gecikme",IF($L129-TODAY()&lt;=14,"● "&amp;TEXT($L129-TODAY(),"0")&amp;" gün kaldı","")))))</f>
        <v/>
      </c>
    </row>
    <row r="130" ht="18" customHeight="1">
      <c r="A130" s="60">
        <f>IF($C130="","",ROW()-4)</f>
        <v/>
      </c>
      <c r="B130" s="61" t="n"/>
      <c r="C130" s="61" t="n"/>
      <c r="D130" s="62" t="n"/>
      <c r="E130" s="62" t="n"/>
      <c r="F130" s="62" t="n"/>
      <c r="G130" s="62" t="n"/>
      <c r="H130" s="63" t="n"/>
      <c r="I130" s="63" t="n"/>
      <c r="J130" s="64">
        <f>IF(OR($H130="",$I130=""),"",$I130-$H130+1)</f>
        <v/>
      </c>
      <c r="K130" s="65" t="n"/>
      <c r="L130" s="66">
        <f>IF($I130="","",$I130+N($K130))</f>
        <v/>
      </c>
      <c r="M130" s="67" t="n"/>
      <c r="N130" s="60">
        <f>IF($C130="","",IF(N($M130)&gt;=1,"Tamamlandı",IF(AND($I130&lt;&gt;"",$L130&lt;TODAY()),"Gecikmiş",IF(OR(N($M130)&gt;0,AND($H130&lt;&gt;"",$H130&lt;=TODAY())),"Devam Ediyor","Planlanan"))))</f>
        <v/>
      </c>
      <c r="O130" s="61" t="n"/>
      <c r="P130" s="61" t="n"/>
      <c r="Q130" s="68">
        <f>IF($C130="","",IF($N130="Tamamlandı","",IF($L130="","",IF($L130&lt;TODAY(),"⚠ "&amp;TEXT(TODAY()-$L130,"0")&amp;" gün gecikme",IF($L130-TODAY()&lt;=14,"● "&amp;TEXT($L130-TODAY(),"0")&amp;" gün kaldı","")))))</f>
        <v/>
      </c>
    </row>
    <row r="131" ht="18" customHeight="1">
      <c r="A131" s="60">
        <f>IF($C131="","",ROW()-4)</f>
        <v/>
      </c>
      <c r="B131" s="61" t="n"/>
      <c r="C131" s="61" t="n"/>
      <c r="D131" s="62" t="n"/>
      <c r="E131" s="62" t="n"/>
      <c r="F131" s="62" t="n"/>
      <c r="G131" s="62" t="n"/>
      <c r="H131" s="63" t="n"/>
      <c r="I131" s="63" t="n"/>
      <c r="J131" s="64">
        <f>IF(OR($H131="",$I131=""),"",$I131-$H131+1)</f>
        <v/>
      </c>
      <c r="K131" s="65" t="n"/>
      <c r="L131" s="66">
        <f>IF($I131="","",$I131+N($K131))</f>
        <v/>
      </c>
      <c r="M131" s="67" t="n"/>
      <c r="N131" s="60">
        <f>IF($C131="","",IF(N($M131)&gt;=1,"Tamamlandı",IF(AND($I131&lt;&gt;"",$L131&lt;TODAY()),"Gecikmiş",IF(OR(N($M131)&gt;0,AND($H131&lt;&gt;"",$H131&lt;=TODAY())),"Devam Ediyor","Planlanan"))))</f>
        <v/>
      </c>
      <c r="O131" s="61" t="n"/>
      <c r="P131" s="61" t="n"/>
      <c r="Q131" s="68">
        <f>IF($C131="","",IF($N131="Tamamlandı","",IF($L131="","",IF($L131&lt;TODAY(),"⚠ "&amp;TEXT(TODAY()-$L131,"0")&amp;" gün gecikme",IF($L131-TODAY()&lt;=14,"● "&amp;TEXT($L131-TODAY(),"0")&amp;" gün kaldı","")))))</f>
        <v/>
      </c>
    </row>
    <row r="132" ht="18" customHeight="1">
      <c r="A132" s="60">
        <f>IF($C132="","",ROW()-4)</f>
        <v/>
      </c>
      <c r="B132" s="61" t="n"/>
      <c r="C132" s="61" t="n"/>
      <c r="D132" s="62" t="n"/>
      <c r="E132" s="62" t="n"/>
      <c r="F132" s="62" t="n"/>
      <c r="G132" s="62" t="n"/>
      <c r="H132" s="63" t="n"/>
      <c r="I132" s="63" t="n"/>
      <c r="J132" s="64">
        <f>IF(OR($H132="",$I132=""),"",$I132-$H132+1)</f>
        <v/>
      </c>
      <c r="K132" s="65" t="n"/>
      <c r="L132" s="66">
        <f>IF($I132="","",$I132+N($K132))</f>
        <v/>
      </c>
      <c r="M132" s="67" t="n"/>
      <c r="N132" s="60">
        <f>IF($C132="","",IF(N($M132)&gt;=1,"Tamamlandı",IF(AND($I132&lt;&gt;"",$L132&lt;TODAY()),"Gecikmiş",IF(OR(N($M132)&gt;0,AND($H132&lt;&gt;"",$H132&lt;=TODAY())),"Devam Ediyor","Planlanan"))))</f>
        <v/>
      </c>
      <c r="O132" s="61" t="n"/>
      <c r="P132" s="61" t="n"/>
      <c r="Q132" s="68">
        <f>IF($C132="","",IF($N132="Tamamlandı","",IF($L132="","",IF($L132&lt;TODAY(),"⚠ "&amp;TEXT(TODAY()-$L132,"0")&amp;" gün gecikme",IF($L132-TODAY()&lt;=14,"● "&amp;TEXT($L132-TODAY(),"0")&amp;" gün kaldı","")))))</f>
        <v/>
      </c>
    </row>
    <row r="133" ht="18" customHeight="1">
      <c r="A133" s="60">
        <f>IF($C133="","",ROW()-4)</f>
        <v/>
      </c>
      <c r="B133" s="61" t="n"/>
      <c r="C133" s="61" t="n"/>
      <c r="D133" s="62" t="n"/>
      <c r="E133" s="62" t="n"/>
      <c r="F133" s="62" t="n"/>
      <c r="G133" s="62" t="n"/>
      <c r="H133" s="63" t="n"/>
      <c r="I133" s="63" t="n"/>
      <c r="J133" s="64">
        <f>IF(OR($H133="",$I133=""),"",$I133-$H133+1)</f>
        <v/>
      </c>
      <c r="K133" s="65" t="n"/>
      <c r="L133" s="66">
        <f>IF($I133="","",$I133+N($K133))</f>
        <v/>
      </c>
      <c r="M133" s="67" t="n"/>
      <c r="N133" s="60">
        <f>IF($C133="","",IF(N($M133)&gt;=1,"Tamamlandı",IF(AND($I133&lt;&gt;"",$L133&lt;TODAY()),"Gecikmiş",IF(OR(N($M133)&gt;0,AND($H133&lt;&gt;"",$H133&lt;=TODAY())),"Devam Ediyor","Planlanan"))))</f>
        <v/>
      </c>
      <c r="O133" s="61" t="n"/>
      <c r="P133" s="61" t="n"/>
      <c r="Q133" s="68">
        <f>IF($C133="","",IF($N133="Tamamlandı","",IF($L133="","",IF($L133&lt;TODAY(),"⚠ "&amp;TEXT(TODAY()-$L133,"0")&amp;" gün gecikme",IF($L133-TODAY()&lt;=14,"● "&amp;TEXT($L133-TODAY(),"0")&amp;" gün kaldı","")))))</f>
        <v/>
      </c>
    </row>
    <row r="134" ht="18" customHeight="1">
      <c r="A134" s="60">
        <f>IF($C134="","",ROW()-4)</f>
        <v/>
      </c>
      <c r="B134" s="61" t="n"/>
      <c r="C134" s="61" t="n"/>
      <c r="D134" s="62" t="n"/>
      <c r="E134" s="62" t="n"/>
      <c r="F134" s="62" t="n"/>
      <c r="G134" s="62" t="n"/>
      <c r="H134" s="63" t="n"/>
      <c r="I134" s="63" t="n"/>
      <c r="J134" s="64">
        <f>IF(OR($H134="",$I134=""),"",$I134-$H134+1)</f>
        <v/>
      </c>
      <c r="K134" s="65" t="n"/>
      <c r="L134" s="66">
        <f>IF($I134="","",$I134+N($K134))</f>
        <v/>
      </c>
      <c r="M134" s="67" t="n"/>
      <c r="N134" s="60">
        <f>IF($C134="","",IF(N($M134)&gt;=1,"Tamamlandı",IF(AND($I134&lt;&gt;"",$L134&lt;TODAY()),"Gecikmiş",IF(OR(N($M134)&gt;0,AND($H134&lt;&gt;"",$H134&lt;=TODAY())),"Devam Ediyor","Planlanan"))))</f>
        <v/>
      </c>
      <c r="O134" s="61" t="n"/>
      <c r="P134" s="61" t="n"/>
      <c r="Q134" s="68">
        <f>IF($C134="","",IF($N134="Tamamlandı","",IF($L134="","",IF($L134&lt;TODAY(),"⚠ "&amp;TEXT(TODAY()-$L134,"0")&amp;" gün gecikme",IF($L134-TODAY()&lt;=14,"● "&amp;TEXT($L134-TODAY(),"0")&amp;" gün kaldı","")))))</f>
        <v/>
      </c>
    </row>
    <row r="135" ht="18" customHeight="1">
      <c r="A135" s="60">
        <f>IF($C135="","",ROW()-4)</f>
        <v/>
      </c>
      <c r="B135" s="61" t="n"/>
      <c r="C135" s="61" t="n"/>
      <c r="D135" s="62" t="n"/>
      <c r="E135" s="62" t="n"/>
      <c r="F135" s="62" t="n"/>
      <c r="G135" s="62" t="n"/>
      <c r="H135" s="63" t="n"/>
      <c r="I135" s="63" t="n"/>
      <c r="J135" s="64">
        <f>IF(OR($H135="",$I135=""),"",$I135-$H135+1)</f>
        <v/>
      </c>
      <c r="K135" s="65" t="n"/>
      <c r="L135" s="66">
        <f>IF($I135="","",$I135+N($K135))</f>
        <v/>
      </c>
      <c r="M135" s="67" t="n"/>
      <c r="N135" s="60">
        <f>IF($C135="","",IF(N($M135)&gt;=1,"Tamamlandı",IF(AND($I135&lt;&gt;"",$L135&lt;TODAY()),"Gecikmiş",IF(OR(N($M135)&gt;0,AND($H135&lt;&gt;"",$H135&lt;=TODAY())),"Devam Ediyor","Planlanan"))))</f>
        <v/>
      </c>
      <c r="O135" s="61" t="n"/>
      <c r="P135" s="61" t="n"/>
      <c r="Q135" s="68">
        <f>IF($C135="","",IF($N135="Tamamlandı","",IF($L135="","",IF($L135&lt;TODAY(),"⚠ "&amp;TEXT(TODAY()-$L135,"0")&amp;" gün gecikme",IF($L135-TODAY()&lt;=14,"● "&amp;TEXT($L135-TODAY(),"0")&amp;" gün kaldı","")))))</f>
        <v/>
      </c>
    </row>
    <row r="136" ht="18" customHeight="1">
      <c r="A136" s="60">
        <f>IF($C136="","",ROW()-4)</f>
        <v/>
      </c>
      <c r="B136" s="61" t="n"/>
      <c r="C136" s="61" t="n"/>
      <c r="D136" s="62" t="n"/>
      <c r="E136" s="62" t="n"/>
      <c r="F136" s="62" t="n"/>
      <c r="G136" s="62" t="n"/>
      <c r="H136" s="63" t="n"/>
      <c r="I136" s="63" t="n"/>
      <c r="J136" s="64">
        <f>IF(OR($H136="",$I136=""),"",$I136-$H136+1)</f>
        <v/>
      </c>
      <c r="K136" s="65" t="n"/>
      <c r="L136" s="66">
        <f>IF($I136="","",$I136+N($K136))</f>
        <v/>
      </c>
      <c r="M136" s="67" t="n"/>
      <c r="N136" s="60">
        <f>IF($C136="","",IF(N($M136)&gt;=1,"Tamamlandı",IF(AND($I136&lt;&gt;"",$L136&lt;TODAY()),"Gecikmiş",IF(OR(N($M136)&gt;0,AND($H136&lt;&gt;"",$H136&lt;=TODAY())),"Devam Ediyor","Planlanan"))))</f>
        <v/>
      </c>
      <c r="O136" s="61" t="n"/>
      <c r="P136" s="61" t="n"/>
      <c r="Q136" s="68">
        <f>IF($C136="","",IF($N136="Tamamlandı","",IF($L136="","",IF($L136&lt;TODAY(),"⚠ "&amp;TEXT(TODAY()-$L136,"0")&amp;" gün gecikme",IF($L136-TODAY()&lt;=14,"● "&amp;TEXT($L136-TODAY(),"0")&amp;" gün kaldı","")))))</f>
        <v/>
      </c>
    </row>
    <row r="137" ht="18" customHeight="1">
      <c r="A137" s="60">
        <f>IF($C137="","",ROW()-4)</f>
        <v/>
      </c>
      <c r="B137" s="61" t="n"/>
      <c r="C137" s="61" t="n"/>
      <c r="D137" s="62" t="n"/>
      <c r="E137" s="62" t="n"/>
      <c r="F137" s="62" t="n"/>
      <c r="G137" s="62" t="n"/>
      <c r="H137" s="63" t="n"/>
      <c r="I137" s="63" t="n"/>
      <c r="J137" s="64">
        <f>IF(OR($H137="",$I137=""),"",$I137-$H137+1)</f>
        <v/>
      </c>
      <c r="K137" s="65" t="n"/>
      <c r="L137" s="66">
        <f>IF($I137="","",$I137+N($K137))</f>
        <v/>
      </c>
      <c r="M137" s="67" t="n"/>
      <c r="N137" s="60">
        <f>IF($C137="","",IF(N($M137)&gt;=1,"Tamamlandı",IF(AND($I137&lt;&gt;"",$L137&lt;TODAY()),"Gecikmiş",IF(OR(N($M137)&gt;0,AND($H137&lt;&gt;"",$H137&lt;=TODAY())),"Devam Ediyor","Planlanan"))))</f>
        <v/>
      </c>
      <c r="O137" s="61" t="n"/>
      <c r="P137" s="61" t="n"/>
      <c r="Q137" s="68">
        <f>IF($C137="","",IF($N137="Tamamlandı","",IF($L137="","",IF($L137&lt;TODAY(),"⚠ "&amp;TEXT(TODAY()-$L137,"0")&amp;" gün gecikme",IF($L137-TODAY()&lt;=14,"● "&amp;TEXT($L137-TODAY(),"0")&amp;" gün kaldı","")))))</f>
        <v/>
      </c>
    </row>
    <row r="138" ht="18" customHeight="1">
      <c r="A138" s="60">
        <f>IF($C138="","",ROW()-4)</f>
        <v/>
      </c>
      <c r="B138" s="61" t="n"/>
      <c r="C138" s="61" t="n"/>
      <c r="D138" s="62" t="n"/>
      <c r="E138" s="62" t="n"/>
      <c r="F138" s="62" t="n"/>
      <c r="G138" s="62" t="n"/>
      <c r="H138" s="63" t="n"/>
      <c r="I138" s="63" t="n"/>
      <c r="J138" s="64">
        <f>IF(OR($H138="",$I138=""),"",$I138-$H138+1)</f>
        <v/>
      </c>
      <c r="K138" s="65" t="n"/>
      <c r="L138" s="66">
        <f>IF($I138="","",$I138+N($K138))</f>
        <v/>
      </c>
      <c r="M138" s="67" t="n"/>
      <c r="N138" s="60">
        <f>IF($C138="","",IF(N($M138)&gt;=1,"Tamamlandı",IF(AND($I138&lt;&gt;"",$L138&lt;TODAY()),"Gecikmiş",IF(OR(N($M138)&gt;0,AND($H138&lt;&gt;"",$H138&lt;=TODAY())),"Devam Ediyor","Planlanan"))))</f>
        <v/>
      </c>
      <c r="O138" s="61" t="n"/>
      <c r="P138" s="61" t="n"/>
      <c r="Q138" s="68">
        <f>IF($C138="","",IF($N138="Tamamlandı","",IF($L138="","",IF($L138&lt;TODAY(),"⚠ "&amp;TEXT(TODAY()-$L138,"0")&amp;" gün gecikme",IF($L138-TODAY()&lt;=14,"● "&amp;TEXT($L138-TODAY(),"0")&amp;" gün kaldı","")))))</f>
        <v/>
      </c>
    </row>
    <row r="139" ht="18" customHeight="1">
      <c r="A139" s="60">
        <f>IF($C139="","",ROW()-4)</f>
        <v/>
      </c>
      <c r="B139" s="61" t="n"/>
      <c r="C139" s="61" t="n"/>
      <c r="D139" s="62" t="n"/>
      <c r="E139" s="62" t="n"/>
      <c r="F139" s="62" t="n"/>
      <c r="G139" s="62" t="n"/>
      <c r="H139" s="63" t="n"/>
      <c r="I139" s="63" t="n"/>
      <c r="J139" s="64">
        <f>IF(OR($H139="",$I139=""),"",$I139-$H139+1)</f>
        <v/>
      </c>
      <c r="K139" s="65" t="n"/>
      <c r="L139" s="66">
        <f>IF($I139="","",$I139+N($K139))</f>
        <v/>
      </c>
      <c r="M139" s="67" t="n"/>
      <c r="N139" s="60">
        <f>IF($C139="","",IF(N($M139)&gt;=1,"Tamamlandı",IF(AND($I139&lt;&gt;"",$L139&lt;TODAY()),"Gecikmiş",IF(OR(N($M139)&gt;0,AND($H139&lt;&gt;"",$H139&lt;=TODAY())),"Devam Ediyor","Planlanan"))))</f>
        <v/>
      </c>
      <c r="O139" s="61" t="n"/>
      <c r="P139" s="61" t="n"/>
      <c r="Q139" s="68">
        <f>IF($C139="","",IF($N139="Tamamlandı","",IF($L139="","",IF($L139&lt;TODAY(),"⚠ "&amp;TEXT(TODAY()-$L139,"0")&amp;" gün gecikme",IF($L139-TODAY()&lt;=14,"● "&amp;TEXT($L139-TODAY(),"0")&amp;" gün kaldı","")))))</f>
        <v/>
      </c>
    </row>
    <row r="140" ht="18" customHeight="1">
      <c r="A140" s="60">
        <f>IF($C140="","",ROW()-4)</f>
        <v/>
      </c>
      <c r="B140" s="61" t="n"/>
      <c r="C140" s="61" t="n"/>
      <c r="D140" s="62" t="n"/>
      <c r="E140" s="62" t="n"/>
      <c r="F140" s="62" t="n"/>
      <c r="G140" s="62" t="n"/>
      <c r="H140" s="63" t="n"/>
      <c r="I140" s="63" t="n"/>
      <c r="J140" s="64">
        <f>IF(OR($H140="",$I140=""),"",$I140-$H140+1)</f>
        <v/>
      </c>
      <c r="K140" s="65" t="n"/>
      <c r="L140" s="66">
        <f>IF($I140="","",$I140+N($K140))</f>
        <v/>
      </c>
      <c r="M140" s="67" t="n"/>
      <c r="N140" s="60">
        <f>IF($C140="","",IF(N($M140)&gt;=1,"Tamamlandı",IF(AND($I140&lt;&gt;"",$L140&lt;TODAY()),"Gecikmiş",IF(OR(N($M140)&gt;0,AND($H140&lt;&gt;"",$H140&lt;=TODAY())),"Devam Ediyor","Planlanan"))))</f>
        <v/>
      </c>
      <c r="O140" s="61" t="n"/>
      <c r="P140" s="61" t="n"/>
      <c r="Q140" s="68">
        <f>IF($C140="","",IF($N140="Tamamlandı","",IF($L140="","",IF($L140&lt;TODAY(),"⚠ "&amp;TEXT(TODAY()-$L140,"0")&amp;" gün gecikme",IF($L140-TODAY()&lt;=14,"● "&amp;TEXT($L140-TODAY(),"0")&amp;" gün kaldı","")))))</f>
        <v/>
      </c>
    </row>
    <row r="141" ht="18" customHeight="1">
      <c r="A141" s="60">
        <f>IF($C141="","",ROW()-4)</f>
        <v/>
      </c>
      <c r="B141" s="61" t="n"/>
      <c r="C141" s="61" t="n"/>
      <c r="D141" s="62" t="n"/>
      <c r="E141" s="62" t="n"/>
      <c r="F141" s="62" t="n"/>
      <c r="G141" s="62" t="n"/>
      <c r="H141" s="63" t="n"/>
      <c r="I141" s="63" t="n"/>
      <c r="J141" s="64">
        <f>IF(OR($H141="",$I141=""),"",$I141-$H141+1)</f>
        <v/>
      </c>
      <c r="K141" s="65" t="n"/>
      <c r="L141" s="66">
        <f>IF($I141="","",$I141+N($K141))</f>
        <v/>
      </c>
      <c r="M141" s="67" t="n"/>
      <c r="N141" s="60">
        <f>IF($C141="","",IF(N($M141)&gt;=1,"Tamamlandı",IF(AND($I141&lt;&gt;"",$L141&lt;TODAY()),"Gecikmiş",IF(OR(N($M141)&gt;0,AND($H141&lt;&gt;"",$H141&lt;=TODAY())),"Devam Ediyor","Planlanan"))))</f>
        <v/>
      </c>
      <c r="O141" s="61" t="n"/>
      <c r="P141" s="61" t="n"/>
      <c r="Q141" s="68">
        <f>IF($C141="","",IF($N141="Tamamlandı","",IF($L141="","",IF($L141&lt;TODAY(),"⚠ "&amp;TEXT(TODAY()-$L141,"0")&amp;" gün gecikme",IF($L141-TODAY()&lt;=14,"● "&amp;TEXT($L141-TODAY(),"0")&amp;" gün kaldı","")))))</f>
        <v/>
      </c>
    </row>
    <row r="142" ht="18" customHeight="1">
      <c r="A142" s="60">
        <f>IF($C142="","",ROW()-4)</f>
        <v/>
      </c>
      <c r="B142" s="61" t="n"/>
      <c r="C142" s="61" t="n"/>
      <c r="D142" s="62" t="n"/>
      <c r="E142" s="62" t="n"/>
      <c r="F142" s="62" t="n"/>
      <c r="G142" s="62" t="n"/>
      <c r="H142" s="63" t="n"/>
      <c r="I142" s="63" t="n"/>
      <c r="J142" s="64">
        <f>IF(OR($H142="",$I142=""),"",$I142-$H142+1)</f>
        <v/>
      </c>
      <c r="K142" s="65" t="n"/>
      <c r="L142" s="66">
        <f>IF($I142="","",$I142+N($K142))</f>
        <v/>
      </c>
      <c r="M142" s="67" t="n"/>
      <c r="N142" s="60">
        <f>IF($C142="","",IF(N($M142)&gt;=1,"Tamamlandı",IF(AND($I142&lt;&gt;"",$L142&lt;TODAY()),"Gecikmiş",IF(OR(N($M142)&gt;0,AND($H142&lt;&gt;"",$H142&lt;=TODAY())),"Devam Ediyor","Planlanan"))))</f>
        <v/>
      </c>
      <c r="O142" s="61" t="n"/>
      <c r="P142" s="61" t="n"/>
      <c r="Q142" s="68">
        <f>IF($C142="","",IF($N142="Tamamlandı","",IF($L142="","",IF($L142&lt;TODAY(),"⚠ "&amp;TEXT(TODAY()-$L142,"0")&amp;" gün gecikme",IF($L142-TODAY()&lt;=14,"● "&amp;TEXT($L142-TODAY(),"0")&amp;" gün kaldı","")))))</f>
        <v/>
      </c>
    </row>
    <row r="143" ht="18" customHeight="1">
      <c r="A143" s="60">
        <f>IF($C143="","",ROW()-4)</f>
        <v/>
      </c>
      <c r="B143" s="61" t="n"/>
      <c r="C143" s="61" t="n"/>
      <c r="D143" s="62" t="n"/>
      <c r="E143" s="62" t="n"/>
      <c r="F143" s="62" t="n"/>
      <c r="G143" s="62" t="n"/>
      <c r="H143" s="63" t="n"/>
      <c r="I143" s="63" t="n"/>
      <c r="J143" s="64">
        <f>IF(OR($H143="",$I143=""),"",$I143-$H143+1)</f>
        <v/>
      </c>
      <c r="K143" s="65" t="n"/>
      <c r="L143" s="66">
        <f>IF($I143="","",$I143+N($K143))</f>
        <v/>
      </c>
      <c r="M143" s="67" t="n"/>
      <c r="N143" s="60">
        <f>IF($C143="","",IF(N($M143)&gt;=1,"Tamamlandı",IF(AND($I143&lt;&gt;"",$L143&lt;TODAY()),"Gecikmiş",IF(OR(N($M143)&gt;0,AND($H143&lt;&gt;"",$H143&lt;=TODAY())),"Devam Ediyor","Planlanan"))))</f>
        <v/>
      </c>
      <c r="O143" s="61" t="n"/>
      <c r="P143" s="61" t="n"/>
      <c r="Q143" s="68">
        <f>IF($C143="","",IF($N143="Tamamlandı","",IF($L143="","",IF($L143&lt;TODAY(),"⚠ "&amp;TEXT(TODAY()-$L143,"0")&amp;" gün gecikme",IF($L143-TODAY()&lt;=14,"● "&amp;TEXT($L143-TODAY(),"0")&amp;" gün kaldı","")))))</f>
        <v/>
      </c>
    </row>
    <row r="144" ht="18" customHeight="1">
      <c r="A144" s="60">
        <f>IF($C144="","",ROW()-4)</f>
        <v/>
      </c>
      <c r="B144" s="61" t="n"/>
      <c r="C144" s="61" t="n"/>
      <c r="D144" s="62" t="n"/>
      <c r="E144" s="62" t="n"/>
      <c r="F144" s="62" t="n"/>
      <c r="G144" s="62" t="n"/>
      <c r="H144" s="63" t="n"/>
      <c r="I144" s="63" t="n"/>
      <c r="J144" s="64">
        <f>IF(OR($H144="",$I144=""),"",$I144-$H144+1)</f>
        <v/>
      </c>
      <c r="K144" s="65" t="n"/>
      <c r="L144" s="66">
        <f>IF($I144="","",$I144+N($K144))</f>
        <v/>
      </c>
      <c r="M144" s="67" t="n"/>
      <c r="N144" s="60">
        <f>IF($C144="","",IF(N($M144)&gt;=1,"Tamamlandı",IF(AND($I144&lt;&gt;"",$L144&lt;TODAY()),"Gecikmiş",IF(OR(N($M144)&gt;0,AND($H144&lt;&gt;"",$H144&lt;=TODAY())),"Devam Ediyor","Planlanan"))))</f>
        <v/>
      </c>
      <c r="O144" s="61" t="n"/>
      <c r="P144" s="61" t="n"/>
      <c r="Q144" s="68">
        <f>IF($C144="","",IF($N144="Tamamlandı","",IF($L144="","",IF($L144&lt;TODAY(),"⚠ "&amp;TEXT(TODAY()-$L144,"0")&amp;" gün gecikme",IF($L144-TODAY()&lt;=14,"● "&amp;TEXT($L144-TODAY(),"0")&amp;" gün kaldı","")))))</f>
        <v/>
      </c>
    </row>
    <row r="145" ht="18" customHeight="1">
      <c r="A145" s="60">
        <f>IF($C145="","",ROW()-4)</f>
        <v/>
      </c>
      <c r="B145" s="61" t="n"/>
      <c r="C145" s="61" t="n"/>
      <c r="D145" s="62" t="n"/>
      <c r="E145" s="62" t="n"/>
      <c r="F145" s="62" t="n"/>
      <c r="G145" s="62" t="n"/>
      <c r="H145" s="63" t="n"/>
      <c r="I145" s="63" t="n"/>
      <c r="J145" s="64">
        <f>IF(OR($H145="",$I145=""),"",$I145-$H145+1)</f>
        <v/>
      </c>
      <c r="K145" s="65" t="n"/>
      <c r="L145" s="66">
        <f>IF($I145="","",$I145+N($K145))</f>
        <v/>
      </c>
      <c r="M145" s="67" t="n"/>
      <c r="N145" s="60">
        <f>IF($C145="","",IF(N($M145)&gt;=1,"Tamamlandı",IF(AND($I145&lt;&gt;"",$L145&lt;TODAY()),"Gecikmiş",IF(OR(N($M145)&gt;0,AND($H145&lt;&gt;"",$H145&lt;=TODAY())),"Devam Ediyor","Planlanan"))))</f>
        <v/>
      </c>
      <c r="O145" s="61" t="n"/>
      <c r="P145" s="61" t="n"/>
      <c r="Q145" s="68">
        <f>IF($C145="","",IF($N145="Tamamlandı","",IF($L145="","",IF($L145&lt;TODAY(),"⚠ "&amp;TEXT(TODAY()-$L145,"0")&amp;" gün gecikme",IF($L145-TODAY()&lt;=14,"● "&amp;TEXT($L145-TODAY(),"0")&amp;" gün kaldı","")))))</f>
        <v/>
      </c>
    </row>
    <row r="146" ht="18" customHeight="1">
      <c r="A146" s="60">
        <f>IF($C146="","",ROW()-4)</f>
        <v/>
      </c>
      <c r="B146" s="61" t="n"/>
      <c r="C146" s="61" t="n"/>
      <c r="D146" s="62" t="n"/>
      <c r="E146" s="62" t="n"/>
      <c r="F146" s="62" t="n"/>
      <c r="G146" s="62" t="n"/>
      <c r="H146" s="63" t="n"/>
      <c r="I146" s="63" t="n"/>
      <c r="J146" s="64">
        <f>IF(OR($H146="",$I146=""),"",$I146-$H146+1)</f>
        <v/>
      </c>
      <c r="K146" s="65" t="n"/>
      <c r="L146" s="66">
        <f>IF($I146="","",$I146+N($K146))</f>
        <v/>
      </c>
      <c r="M146" s="67" t="n"/>
      <c r="N146" s="60">
        <f>IF($C146="","",IF(N($M146)&gt;=1,"Tamamlandı",IF(AND($I146&lt;&gt;"",$L146&lt;TODAY()),"Gecikmiş",IF(OR(N($M146)&gt;0,AND($H146&lt;&gt;"",$H146&lt;=TODAY())),"Devam Ediyor","Planlanan"))))</f>
        <v/>
      </c>
      <c r="O146" s="61" t="n"/>
      <c r="P146" s="61" t="n"/>
      <c r="Q146" s="68">
        <f>IF($C146="","",IF($N146="Tamamlandı","",IF($L146="","",IF($L146&lt;TODAY(),"⚠ "&amp;TEXT(TODAY()-$L146,"0")&amp;" gün gecikme",IF($L146-TODAY()&lt;=14,"● "&amp;TEXT($L146-TODAY(),"0")&amp;" gün kaldı","")))))</f>
        <v/>
      </c>
    </row>
    <row r="147" ht="18" customHeight="1">
      <c r="A147" s="60">
        <f>IF($C147="","",ROW()-4)</f>
        <v/>
      </c>
      <c r="B147" s="61" t="n"/>
      <c r="C147" s="61" t="n"/>
      <c r="D147" s="62" t="n"/>
      <c r="E147" s="62" t="n"/>
      <c r="F147" s="62" t="n"/>
      <c r="G147" s="62" t="n"/>
      <c r="H147" s="63" t="n"/>
      <c r="I147" s="63" t="n"/>
      <c r="J147" s="64">
        <f>IF(OR($H147="",$I147=""),"",$I147-$H147+1)</f>
        <v/>
      </c>
      <c r="K147" s="65" t="n"/>
      <c r="L147" s="66">
        <f>IF($I147="","",$I147+N($K147))</f>
        <v/>
      </c>
      <c r="M147" s="67" t="n"/>
      <c r="N147" s="60">
        <f>IF($C147="","",IF(N($M147)&gt;=1,"Tamamlandı",IF(AND($I147&lt;&gt;"",$L147&lt;TODAY()),"Gecikmiş",IF(OR(N($M147)&gt;0,AND($H147&lt;&gt;"",$H147&lt;=TODAY())),"Devam Ediyor","Planlanan"))))</f>
        <v/>
      </c>
      <c r="O147" s="61" t="n"/>
      <c r="P147" s="61" t="n"/>
      <c r="Q147" s="68">
        <f>IF($C147="","",IF($N147="Tamamlandı","",IF($L147="","",IF($L147&lt;TODAY(),"⚠ "&amp;TEXT(TODAY()-$L147,"0")&amp;" gün gecikme",IF($L147-TODAY()&lt;=14,"● "&amp;TEXT($L147-TODAY(),"0")&amp;" gün kaldı","")))))</f>
        <v/>
      </c>
    </row>
    <row r="148" ht="18" customHeight="1">
      <c r="A148" s="60">
        <f>IF($C148="","",ROW()-4)</f>
        <v/>
      </c>
      <c r="B148" s="61" t="n"/>
      <c r="C148" s="61" t="n"/>
      <c r="D148" s="62" t="n"/>
      <c r="E148" s="62" t="n"/>
      <c r="F148" s="62" t="n"/>
      <c r="G148" s="62" t="n"/>
      <c r="H148" s="63" t="n"/>
      <c r="I148" s="63" t="n"/>
      <c r="J148" s="64">
        <f>IF(OR($H148="",$I148=""),"",$I148-$H148+1)</f>
        <v/>
      </c>
      <c r="K148" s="65" t="n"/>
      <c r="L148" s="66">
        <f>IF($I148="","",$I148+N($K148))</f>
        <v/>
      </c>
      <c r="M148" s="67" t="n"/>
      <c r="N148" s="60">
        <f>IF($C148="","",IF(N($M148)&gt;=1,"Tamamlandı",IF(AND($I148&lt;&gt;"",$L148&lt;TODAY()),"Gecikmiş",IF(OR(N($M148)&gt;0,AND($H148&lt;&gt;"",$H148&lt;=TODAY())),"Devam Ediyor","Planlanan"))))</f>
        <v/>
      </c>
      <c r="O148" s="61" t="n"/>
      <c r="P148" s="61" t="n"/>
      <c r="Q148" s="68">
        <f>IF($C148="","",IF($N148="Tamamlandı","",IF($L148="","",IF($L148&lt;TODAY(),"⚠ "&amp;TEXT(TODAY()-$L148,"0")&amp;" gün gecikme",IF($L148-TODAY()&lt;=14,"● "&amp;TEXT($L148-TODAY(),"0")&amp;" gün kaldı","")))))</f>
        <v/>
      </c>
    </row>
    <row r="149" ht="18" customHeight="1">
      <c r="A149" s="60">
        <f>IF($C149="","",ROW()-4)</f>
        <v/>
      </c>
      <c r="B149" s="61" t="n"/>
      <c r="C149" s="61" t="n"/>
      <c r="D149" s="62" t="n"/>
      <c r="E149" s="62" t="n"/>
      <c r="F149" s="62" t="n"/>
      <c r="G149" s="62" t="n"/>
      <c r="H149" s="63" t="n"/>
      <c r="I149" s="63" t="n"/>
      <c r="J149" s="64">
        <f>IF(OR($H149="",$I149=""),"",$I149-$H149+1)</f>
        <v/>
      </c>
      <c r="K149" s="65" t="n"/>
      <c r="L149" s="66">
        <f>IF($I149="","",$I149+N($K149))</f>
        <v/>
      </c>
      <c r="M149" s="67" t="n"/>
      <c r="N149" s="60">
        <f>IF($C149="","",IF(N($M149)&gt;=1,"Tamamlandı",IF(AND($I149&lt;&gt;"",$L149&lt;TODAY()),"Gecikmiş",IF(OR(N($M149)&gt;0,AND($H149&lt;&gt;"",$H149&lt;=TODAY())),"Devam Ediyor","Planlanan"))))</f>
        <v/>
      </c>
      <c r="O149" s="61" t="n"/>
      <c r="P149" s="61" t="n"/>
      <c r="Q149" s="68">
        <f>IF($C149="","",IF($N149="Tamamlandı","",IF($L149="","",IF($L149&lt;TODAY(),"⚠ "&amp;TEXT(TODAY()-$L149,"0")&amp;" gün gecikme",IF($L149-TODAY()&lt;=14,"● "&amp;TEXT($L149-TODAY(),"0")&amp;" gün kaldı","")))))</f>
        <v/>
      </c>
    </row>
    <row r="150" ht="18" customHeight="1">
      <c r="A150" s="60">
        <f>IF($C150="","",ROW()-4)</f>
        <v/>
      </c>
      <c r="B150" s="61" t="n"/>
      <c r="C150" s="61" t="n"/>
      <c r="D150" s="62" t="n"/>
      <c r="E150" s="62" t="n"/>
      <c r="F150" s="62" t="n"/>
      <c r="G150" s="62" t="n"/>
      <c r="H150" s="63" t="n"/>
      <c r="I150" s="63" t="n"/>
      <c r="J150" s="64">
        <f>IF(OR($H150="",$I150=""),"",$I150-$H150+1)</f>
        <v/>
      </c>
      <c r="K150" s="65" t="n"/>
      <c r="L150" s="66">
        <f>IF($I150="","",$I150+N($K150))</f>
        <v/>
      </c>
      <c r="M150" s="67" t="n"/>
      <c r="N150" s="60">
        <f>IF($C150="","",IF(N($M150)&gt;=1,"Tamamlandı",IF(AND($I150&lt;&gt;"",$L150&lt;TODAY()),"Gecikmiş",IF(OR(N($M150)&gt;0,AND($H150&lt;&gt;"",$H150&lt;=TODAY())),"Devam Ediyor","Planlanan"))))</f>
        <v/>
      </c>
      <c r="O150" s="61" t="n"/>
      <c r="P150" s="61" t="n"/>
      <c r="Q150" s="68">
        <f>IF($C150="","",IF($N150="Tamamlandı","",IF($L150="","",IF($L150&lt;TODAY(),"⚠ "&amp;TEXT(TODAY()-$L150,"0")&amp;" gün gecikme",IF($L150-TODAY()&lt;=14,"● "&amp;TEXT($L150-TODAY(),"0")&amp;" gün kaldı","")))))</f>
        <v/>
      </c>
    </row>
    <row r="151" ht="18" customHeight="1">
      <c r="A151" s="60">
        <f>IF($C151="","",ROW()-4)</f>
        <v/>
      </c>
      <c r="B151" s="61" t="n"/>
      <c r="C151" s="61" t="n"/>
      <c r="D151" s="62" t="n"/>
      <c r="E151" s="62" t="n"/>
      <c r="F151" s="62" t="n"/>
      <c r="G151" s="62" t="n"/>
      <c r="H151" s="63" t="n"/>
      <c r="I151" s="63" t="n"/>
      <c r="J151" s="64">
        <f>IF(OR($H151="",$I151=""),"",$I151-$H151+1)</f>
        <v/>
      </c>
      <c r="K151" s="65" t="n"/>
      <c r="L151" s="66">
        <f>IF($I151="","",$I151+N($K151))</f>
        <v/>
      </c>
      <c r="M151" s="67" t="n"/>
      <c r="N151" s="60">
        <f>IF($C151="","",IF(N($M151)&gt;=1,"Tamamlandı",IF(AND($I151&lt;&gt;"",$L151&lt;TODAY()),"Gecikmiş",IF(OR(N($M151)&gt;0,AND($H151&lt;&gt;"",$H151&lt;=TODAY())),"Devam Ediyor","Planlanan"))))</f>
        <v/>
      </c>
      <c r="O151" s="61" t="n"/>
      <c r="P151" s="61" t="n"/>
      <c r="Q151" s="68">
        <f>IF($C151="","",IF($N151="Tamamlandı","",IF($L151="","",IF($L151&lt;TODAY(),"⚠ "&amp;TEXT(TODAY()-$L151,"0")&amp;" gün gecikme",IF($L151-TODAY()&lt;=14,"● "&amp;TEXT($L151-TODAY(),"0")&amp;" gün kaldı","")))))</f>
        <v/>
      </c>
    </row>
    <row r="152" ht="18" customHeight="1">
      <c r="A152" s="60">
        <f>IF($C152="","",ROW()-4)</f>
        <v/>
      </c>
      <c r="B152" s="61" t="n"/>
      <c r="C152" s="61" t="n"/>
      <c r="D152" s="62" t="n"/>
      <c r="E152" s="62" t="n"/>
      <c r="F152" s="62" t="n"/>
      <c r="G152" s="62" t="n"/>
      <c r="H152" s="63" t="n"/>
      <c r="I152" s="63" t="n"/>
      <c r="J152" s="64">
        <f>IF(OR($H152="",$I152=""),"",$I152-$H152+1)</f>
        <v/>
      </c>
      <c r="K152" s="65" t="n"/>
      <c r="L152" s="66">
        <f>IF($I152="","",$I152+N($K152))</f>
        <v/>
      </c>
      <c r="M152" s="67" t="n"/>
      <c r="N152" s="60">
        <f>IF($C152="","",IF(N($M152)&gt;=1,"Tamamlandı",IF(AND($I152&lt;&gt;"",$L152&lt;TODAY()),"Gecikmiş",IF(OR(N($M152)&gt;0,AND($H152&lt;&gt;"",$H152&lt;=TODAY())),"Devam Ediyor","Planlanan"))))</f>
        <v/>
      </c>
      <c r="O152" s="61" t="n"/>
      <c r="P152" s="61" t="n"/>
      <c r="Q152" s="68">
        <f>IF($C152="","",IF($N152="Tamamlandı","",IF($L152="","",IF($L152&lt;TODAY(),"⚠ "&amp;TEXT(TODAY()-$L152,"0")&amp;" gün gecikme",IF($L152-TODAY()&lt;=14,"● "&amp;TEXT($L152-TODAY(),"0")&amp;" gün kaldı","")))))</f>
        <v/>
      </c>
    </row>
    <row r="153" ht="18" customHeight="1">
      <c r="A153" s="60">
        <f>IF($C153="","",ROW()-4)</f>
        <v/>
      </c>
      <c r="B153" s="61" t="n"/>
      <c r="C153" s="61" t="n"/>
      <c r="D153" s="62" t="n"/>
      <c r="E153" s="62" t="n"/>
      <c r="F153" s="62" t="n"/>
      <c r="G153" s="62" t="n"/>
      <c r="H153" s="63" t="n"/>
      <c r="I153" s="63" t="n"/>
      <c r="J153" s="64">
        <f>IF(OR($H153="",$I153=""),"",$I153-$H153+1)</f>
        <v/>
      </c>
      <c r="K153" s="65" t="n"/>
      <c r="L153" s="66">
        <f>IF($I153="","",$I153+N($K153))</f>
        <v/>
      </c>
      <c r="M153" s="67" t="n"/>
      <c r="N153" s="60">
        <f>IF($C153="","",IF(N($M153)&gt;=1,"Tamamlandı",IF(AND($I153&lt;&gt;"",$L153&lt;TODAY()),"Gecikmiş",IF(OR(N($M153)&gt;0,AND($H153&lt;&gt;"",$H153&lt;=TODAY())),"Devam Ediyor","Planlanan"))))</f>
        <v/>
      </c>
      <c r="O153" s="61" t="n"/>
      <c r="P153" s="61" t="n"/>
      <c r="Q153" s="68">
        <f>IF($C153="","",IF($N153="Tamamlandı","",IF($L153="","",IF($L153&lt;TODAY(),"⚠ "&amp;TEXT(TODAY()-$L153,"0")&amp;" gün gecikme",IF($L153-TODAY()&lt;=14,"● "&amp;TEXT($L153-TODAY(),"0")&amp;" gün kaldı","")))))</f>
        <v/>
      </c>
    </row>
    <row r="154" ht="18" customHeight="1">
      <c r="A154" s="60">
        <f>IF($C154="","",ROW()-4)</f>
        <v/>
      </c>
      <c r="B154" s="61" t="n"/>
      <c r="C154" s="61" t="n"/>
      <c r="D154" s="62" t="n"/>
      <c r="E154" s="62" t="n"/>
      <c r="F154" s="62" t="n"/>
      <c r="G154" s="62" t="n"/>
      <c r="H154" s="63" t="n"/>
      <c r="I154" s="63" t="n"/>
      <c r="J154" s="64">
        <f>IF(OR($H154="",$I154=""),"",$I154-$H154+1)</f>
        <v/>
      </c>
      <c r="K154" s="65" t="n"/>
      <c r="L154" s="66">
        <f>IF($I154="","",$I154+N($K154))</f>
        <v/>
      </c>
      <c r="M154" s="67" t="n"/>
      <c r="N154" s="60">
        <f>IF($C154="","",IF(N($M154)&gt;=1,"Tamamlandı",IF(AND($I154&lt;&gt;"",$L154&lt;TODAY()),"Gecikmiş",IF(OR(N($M154)&gt;0,AND($H154&lt;&gt;"",$H154&lt;=TODAY())),"Devam Ediyor","Planlanan"))))</f>
        <v/>
      </c>
      <c r="O154" s="61" t="n"/>
      <c r="P154" s="61" t="n"/>
      <c r="Q154" s="68">
        <f>IF($C154="","",IF($N154="Tamamlandı","",IF($L154="","",IF($L154&lt;TODAY(),"⚠ "&amp;TEXT(TODAY()-$L154,"0")&amp;" gün gecikme",IF($L154-TODAY()&lt;=14,"● "&amp;TEXT($L154-TODAY(),"0")&amp;" gün kaldı","")))))</f>
        <v/>
      </c>
    </row>
    <row r="155" ht="18" customHeight="1">
      <c r="A155" s="60">
        <f>IF($C155="","",ROW()-4)</f>
        <v/>
      </c>
      <c r="B155" s="61" t="n"/>
      <c r="C155" s="61" t="n"/>
      <c r="D155" s="62" t="n"/>
      <c r="E155" s="62" t="n"/>
      <c r="F155" s="62" t="n"/>
      <c r="G155" s="62" t="n"/>
      <c r="H155" s="63" t="n"/>
      <c r="I155" s="63" t="n"/>
      <c r="J155" s="64">
        <f>IF(OR($H155="",$I155=""),"",$I155-$H155+1)</f>
        <v/>
      </c>
      <c r="K155" s="65" t="n"/>
      <c r="L155" s="66">
        <f>IF($I155="","",$I155+N($K155))</f>
        <v/>
      </c>
      <c r="M155" s="67" t="n"/>
      <c r="N155" s="60">
        <f>IF($C155="","",IF(N($M155)&gt;=1,"Tamamlandı",IF(AND($I155&lt;&gt;"",$L155&lt;TODAY()),"Gecikmiş",IF(OR(N($M155)&gt;0,AND($H155&lt;&gt;"",$H155&lt;=TODAY())),"Devam Ediyor","Planlanan"))))</f>
        <v/>
      </c>
      <c r="O155" s="61" t="n"/>
      <c r="P155" s="61" t="n"/>
      <c r="Q155" s="68">
        <f>IF($C155="","",IF($N155="Tamamlandı","",IF($L155="","",IF($L155&lt;TODAY(),"⚠ "&amp;TEXT(TODAY()-$L155,"0")&amp;" gün gecikme",IF($L155-TODAY()&lt;=14,"● "&amp;TEXT($L155-TODAY(),"0")&amp;" gün kaldı","")))))</f>
        <v/>
      </c>
    </row>
    <row r="156" ht="18" customHeight="1">
      <c r="A156" s="60">
        <f>IF($C156="","",ROW()-4)</f>
        <v/>
      </c>
      <c r="B156" s="61" t="n"/>
      <c r="C156" s="61" t="n"/>
      <c r="D156" s="62" t="n"/>
      <c r="E156" s="62" t="n"/>
      <c r="F156" s="62" t="n"/>
      <c r="G156" s="62" t="n"/>
      <c r="H156" s="63" t="n"/>
      <c r="I156" s="63" t="n"/>
      <c r="J156" s="64">
        <f>IF(OR($H156="",$I156=""),"",$I156-$H156+1)</f>
        <v/>
      </c>
      <c r="K156" s="65" t="n"/>
      <c r="L156" s="66">
        <f>IF($I156="","",$I156+N($K156))</f>
        <v/>
      </c>
      <c r="M156" s="67" t="n"/>
      <c r="N156" s="60">
        <f>IF($C156="","",IF(N($M156)&gt;=1,"Tamamlandı",IF(AND($I156&lt;&gt;"",$L156&lt;TODAY()),"Gecikmiş",IF(OR(N($M156)&gt;0,AND($H156&lt;&gt;"",$H156&lt;=TODAY())),"Devam Ediyor","Planlanan"))))</f>
        <v/>
      </c>
      <c r="O156" s="61" t="n"/>
      <c r="P156" s="61" t="n"/>
      <c r="Q156" s="68">
        <f>IF($C156="","",IF($N156="Tamamlandı","",IF($L156="","",IF($L156&lt;TODAY(),"⚠ "&amp;TEXT(TODAY()-$L156,"0")&amp;" gün gecikme",IF($L156-TODAY()&lt;=14,"● "&amp;TEXT($L156-TODAY(),"0")&amp;" gün kaldı","")))))</f>
        <v/>
      </c>
    </row>
    <row r="157" ht="18" customHeight="1">
      <c r="A157" s="60">
        <f>IF($C157="","",ROW()-4)</f>
        <v/>
      </c>
      <c r="B157" s="61" t="n"/>
      <c r="C157" s="61" t="n"/>
      <c r="D157" s="62" t="n"/>
      <c r="E157" s="62" t="n"/>
      <c r="F157" s="62" t="n"/>
      <c r="G157" s="62" t="n"/>
      <c r="H157" s="63" t="n"/>
      <c r="I157" s="63" t="n"/>
      <c r="J157" s="64">
        <f>IF(OR($H157="",$I157=""),"",$I157-$H157+1)</f>
        <v/>
      </c>
      <c r="K157" s="65" t="n"/>
      <c r="L157" s="66">
        <f>IF($I157="","",$I157+N($K157))</f>
        <v/>
      </c>
      <c r="M157" s="67" t="n"/>
      <c r="N157" s="60">
        <f>IF($C157="","",IF(N($M157)&gt;=1,"Tamamlandı",IF(AND($I157&lt;&gt;"",$L157&lt;TODAY()),"Gecikmiş",IF(OR(N($M157)&gt;0,AND($H157&lt;&gt;"",$H157&lt;=TODAY())),"Devam Ediyor","Planlanan"))))</f>
        <v/>
      </c>
      <c r="O157" s="61" t="n"/>
      <c r="P157" s="61" t="n"/>
      <c r="Q157" s="68">
        <f>IF($C157="","",IF($N157="Tamamlandı","",IF($L157="","",IF($L157&lt;TODAY(),"⚠ "&amp;TEXT(TODAY()-$L157,"0")&amp;" gün gecikme",IF($L157-TODAY()&lt;=14,"● "&amp;TEXT($L157-TODAY(),"0")&amp;" gün kaldı","")))))</f>
        <v/>
      </c>
    </row>
    <row r="158" ht="18" customHeight="1">
      <c r="A158" s="60">
        <f>IF($C158="","",ROW()-4)</f>
        <v/>
      </c>
      <c r="B158" s="61" t="n"/>
      <c r="C158" s="61" t="n"/>
      <c r="D158" s="62" t="n"/>
      <c r="E158" s="62" t="n"/>
      <c r="F158" s="62" t="n"/>
      <c r="G158" s="62" t="n"/>
      <c r="H158" s="63" t="n"/>
      <c r="I158" s="63" t="n"/>
      <c r="J158" s="64">
        <f>IF(OR($H158="",$I158=""),"",$I158-$H158+1)</f>
        <v/>
      </c>
      <c r="K158" s="65" t="n"/>
      <c r="L158" s="66">
        <f>IF($I158="","",$I158+N($K158))</f>
        <v/>
      </c>
      <c r="M158" s="67" t="n"/>
      <c r="N158" s="60">
        <f>IF($C158="","",IF(N($M158)&gt;=1,"Tamamlandı",IF(AND($I158&lt;&gt;"",$L158&lt;TODAY()),"Gecikmiş",IF(OR(N($M158)&gt;0,AND($H158&lt;&gt;"",$H158&lt;=TODAY())),"Devam Ediyor","Planlanan"))))</f>
        <v/>
      </c>
      <c r="O158" s="61" t="n"/>
      <c r="P158" s="61" t="n"/>
      <c r="Q158" s="68">
        <f>IF($C158="","",IF($N158="Tamamlandı","",IF($L158="","",IF($L158&lt;TODAY(),"⚠ "&amp;TEXT(TODAY()-$L158,"0")&amp;" gün gecikme",IF($L158-TODAY()&lt;=14,"● "&amp;TEXT($L158-TODAY(),"0")&amp;" gün kaldı","")))))</f>
        <v/>
      </c>
    </row>
    <row r="159" ht="18" customHeight="1">
      <c r="A159" s="60">
        <f>IF($C159="","",ROW()-4)</f>
        <v/>
      </c>
      <c r="B159" s="61" t="n"/>
      <c r="C159" s="61" t="n"/>
      <c r="D159" s="62" t="n"/>
      <c r="E159" s="62" t="n"/>
      <c r="F159" s="62" t="n"/>
      <c r="G159" s="62" t="n"/>
      <c r="H159" s="63" t="n"/>
      <c r="I159" s="63" t="n"/>
      <c r="J159" s="64">
        <f>IF(OR($H159="",$I159=""),"",$I159-$H159+1)</f>
        <v/>
      </c>
      <c r="K159" s="65" t="n"/>
      <c r="L159" s="66">
        <f>IF($I159="","",$I159+N($K159))</f>
        <v/>
      </c>
      <c r="M159" s="67" t="n"/>
      <c r="N159" s="60">
        <f>IF($C159="","",IF(N($M159)&gt;=1,"Tamamlandı",IF(AND($I159&lt;&gt;"",$L159&lt;TODAY()),"Gecikmiş",IF(OR(N($M159)&gt;0,AND($H159&lt;&gt;"",$H159&lt;=TODAY())),"Devam Ediyor","Planlanan"))))</f>
        <v/>
      </c>
      <c r="O159" s="61" t="n"/>
      <c r="P159" s="61" t="n"/>
      <c r="Q159" s="68">
        <f>IF($C159="","",IF($N159="Tamamlandı","",IF($L159="","",IF($L159&lt;TODAY(),"⚠ "&amp;TEXT(TODAY()-$L159,"0")&amp;" gün gecikme",IF($L159-TODAY()&lt;=14,"● "&amp;TEXT($L159-TODAY(),"0")&amp;" gün kaldı","")))))</f>
        <v/>
      </c>
    </row>
    <row r="160" ht="18" customHeight="1">
      <c r="A160" s="60">
        <f>IF($C160="","",ROW()-4)</f>
        <v/>
      </c>
      <c r="B160" s="61" t="n"/>
      <c r="C160" s="61" t="n"/>
      <c r="D160" s="62" t="n"/>
      <c r="E160" s="62" t="n"/>
      <c r="F160" s="62" t="n"/>
      <c r="G160" s="62" t="n"/>
      <c r="H160" s="63" t="n"/>
      <c r="I160" s="63" t="n"/>
      <c r="J160" s="64">
        <f>IF(OR($H160="",$I160=""),"",$I160-$H160+1)</f>
        <v/>
      </c>
      <c r="K160" s="65" t="n"/>
      <c r="L160" s="66">
        <f>IF($I160="","",$I160+N($K160))</f>
        <v/>
      </c>
      <c r="M160" s="67" t="n"/>
      <c r="N160" s="60">
        <f>IF($C160="","",IF(N($M160)&gt;=1,"Tamamlandı",IF(AND($I160&lt;&gt;"",$L160&lt;TODAY()),"Gecikmiş",IF(OR(N($M160)&gt;0,AND($H160&lt;&gt;"",$H160&lt;=TODAY())),"Devam Ediyor","Planlanan"))))</f>
        <v/>
      </c>
      <c r="O160" s="61" t="n"/>
      <c r="P160" s="61" t="n"/>
      <c r="Q160" s="68">
        <f>IF($C160="","",IF($N160="Tamamlandı","",IF($L160="","",IF($L160&lt;TODAY(),"⚠ "&amp;TEXT(TODAY()-$L160,"0")&amp;" gün gecikme",IF($L160-TODAY()&lt;=14,"● "&amp;TEXT($L160-TODAY(),"0")&amp;" gün kaldı","")))))</f>
        <v/>
      </c>
    </row>
    <row r="161" ht="18" customHeight="1">
      <c r="A161" s="60">
        <f>IF($C161="","",ROW()-4)</f>
        <v/>
      </c>
      <c r="B161" s="61" t="n"/>
      <c r="C161" s="61" t="n"/>
      <c r="D161" s="62" t="n"/>
      <c r="E161" s="62" t="n"/>
      <c r="F161" s="62" t="n"/>
      <c r="G161" s="62" t="n"/>
      <c r="H161" s="63" t="n"/>
      <c r="I161" s="63" t="n"/>
      <c r="J161" s="64">
        <f>IF(OR($H161="",$I161=""),"",$I161-$H161+1)</f>
        <v/>
      </c>
      <c r="K161" s="65" t="n"/>
      <c r="L161" s="66">
        <f>IF($I161="","",$I161+N($K161))</f>
        <v/>
      </c>
      <c r="M161" s="67" t="n"/>
      <c r="N161" s="60">
        <f>IF($C161="","",IF(N($M161)&gt;=1,"Tamamlandı",IF(AND($I161&lt;&gt;"",$L161&lt;TODAY()),"Gecikmiş",IF(OR(N($M161)&gt;0,AND($H161&lt;&gt;"",$H161&lt;=TODAY())),"Devam Ediyor","Planlanan"))))</f>
        <v/>
      </c>
      <c r="O161" s="61" t="n"/>
      <c r="P161" s="61" t="n"/>
      <c r="Q161" s="68">
        <f>IF($C161="","",IF($N161="Tamamlandı","",IF($L161="","",IF($L161&lt;TODAY(),"⚠ "&amp;TEXT(TODAY()-$L161,"0")&amp;" gün gecikme",IF($L161-TODAY()&lt;=14,"● "&amp;TEXT($L161-TODAY(),"0")&amp;" gün kaldı","")))))</f>
        <v/>
      </c>
    </row>
    <row r="162" ht="18" customHeight="1">
      <c r="A162" s="60">
        <f>IF($C162="","",ROW()-4)</f>
        <v/>
      </c>
      <c r="B162" s="61" t="n"/>
      <c r="C162" s="61" t="n"/>
      <c r="D162" s="62" t="n"/>
      <c r="E162" s="62" t="n"/>
      <c r="F162" s="62" t="n"/>
      <c r="G162" s="62" t="n"/>
      <c r="H162" s="63" t="n"/>
      <c r="I162" s="63" t="n"/>
      <c r="J162" s="64">
        <f>IF(OR($H162="",$I162=""),"",$I162-$H162+1)</f>
        <v/>
      </c>
      <c r="K162" s="65" t="n"/>
      <c r="L162" s="66">
        <f>IF($I162="","",$I162+N($K162))</f>
        <v/>
      </c>
      <c r="M162" s="67" t="n"/>
      <c r="N162" s="60">
        <f>IF($C162="","",IF(N($M162)&gt;=1,"Tamamlandı",IF(AND($I162&lt;&gt;"",$L162&lt;TODAY()),"Gecikmiş",IF(OR(N($M162)&gt;0,AND($H162&lt;&gt;"",$H162&lt;=TODAY())),"Devam Ediyor","Planlanan"))))</f>
        <v/>
      </c>
      <c r="O162" s="61" t="n"/>
      <c r="P162" s="61" t="n"/>
      <c r="Q162" s="68">
        <f>IF($C162="","",IF($N162="Tamamlandı","",IF($L162="","",IF($L162&lt;TODAY(),"⚠ "&amp;TEXT(TODAY()-$L162,"0")&amp;" gün gecikme",IF($L162-TODAY()&lt;=14,"● "&amp;TEXT($L162-TODAY(),"0")&amp;" gün kaldı","")))))</f>
        <v/>
      </c>
    </row>
    <row r="163" ht="18" customHeight="1">
      <c r="A163" s="60">
        <f>IF($C163="","",ROW()-4)</f>
        <v/>
      </c>
      <c r="B163" s="61" t="n"/>
      <c r="C163" s="61" t="n"/>
      <c r="D163" s="62" t="n"/>
      <c r="E163" s="62" t="n"/>
      <c r="F163" s="62" t="n"/>
      <c r="G163" s="62" t="n"/>
      <c r="H163" s="63" t="n"/>
      <c r="I163" s="63" t="n"/>
      <c r="J163" s="64">
        <f>IF(OR($H163="",$I163=""),"",$I163-$H163+1)</f>
        <v/>
      </c>
      <c r="K163" s="65" t="n"/>
      <c r="L163" s="66">
        <f>IF($I163="","",$I163+N($K163))</f>
        <v/>
      </c>
      <c r="M163" s="67" t="n"/>
      <c r="N163" s="60">
        <f>IF($C163="","",IF(N($M163)&gt;=1,"Tamamlandı",IF(AND($I163&lt;&gt;"",$L163&lt;TODAY()),"Gecikmiş",IF(OR(N($M163)&gt;0,AND($H163&lt;&gt;"",$H163&lt;=TODAY())),"Devam Ediyor","Planlanan"))))</f>
        <v/>
      </c>
      <c r="O163" s="61" t="n"/>
      <c r="P163" s="61" t="n"/>
      <c r="Q163" s="68">
        <f>IF($C163="","",IF($N163="Tamamlandı","",IF($L163="","",IF($L163&lt;TODAY(),"⚠ "&amp;TEXT(TODAY()-$L163,"0")&amp;" gün gecikme",IF($L163-TODAY()&lt;=14,"● "&amp;TEXT($L163-TODAY(),"0")&amp;" gün kaldı","")))))</f>
        <v/>
      </c>
    </row>
    <row r="164" ht="18" customHeight="1">
      <c r="A164" s="60">
        <f>IF($C164="","",ROW()-4)</f>
        <v/>
      </c>
      <c r="B164" s="61" t="n"/>
      <c r="C164" s="61" t="n"/>
      <c r="D164" s="62" t="n"/>
      <c r="E164" s="62" t="n"/>
      <c r="F164" s="62" t="n"/>
      <c r="G164" s="62" t="n"/>
      <c r="H164" s="63" t="n"/>
      <c r="I164" s="63" t="n"/>
      <c r="J164" s="64">
        <f>IF(OR($H164="",$I164=""),"",$I164-$H164+1)</f>
        <v/>
      </c>
      <c r="K164" s="65" t="n"/>
      <c r="L164" s="66">
        <f>IF($I164="","",$I164+N($K164))</f>
        <v/>
      </c>
      <c r="M164" s="67" t="n"/>
      <c r="N164" s="60">
        <f>IF($C164="","",IF(N($M164)&gt;=1,"Tamamlandı",IF(AND($I164&lt;&gt;"",$L164&lt;TODAY()),"Gecikmiş",IF(OR(N($M164)&gt;0,AND($H164&lt;&gt;"",$H164&lt;=TODAY())),"Devam Ediyor","Planlanan"))))</f>
        <v/>
      </c>
      <c r="O164" s="61" t="n"/>
      <c r="P164" s="61" t="n"/>
      <c r="Q164" s="68">
        <f>IF($C164="","",IF($N164="Tamamlandı","",IF($L164="","",IF($L164&lt;TODAY(),"⚠ "&amp;TEXT(TODAY()-$L164,"0")&amp;" gün gecikme",IF($L164-TODAY()&lt;=14,"● "&amp;TEXT($L164-TODAY(),"0")&amp;" gün kaldı","")))))</f>
        <v/>
      </c>
    </row>
    <row r="165" ht="18" customHeight="1">
      <c r="A165" s="60">
        <f>IF($C165="","",ROW()-4)</f>
        <v/>
      </c>
      <c r="B165" s="61" t="n"/>
      <c r="C165" s="61" t="n"/>
      <c r="D165" s="62" t="n"/>
      <c r="E165" s="62" t="n"/>
      <c r="F165" s="62" t="n"/>
      <c r="G165" s="62" t="n"/>
      <c r="H165" s="63" t="n"/>
      <c r="I165" s="63" t="n"/>
      <c r="J165" s="64">
        <f>IF(OR($H165="",$I165=""),"",$I165-$H165+1)</f>
        <v/>
      </c>
      <c r="K165" s="65" t="n"/>
      <c r="L165" s="66">
        <f>IF($I165="","",$I165+N($K165))</f>
        <v/>
      </c>
      <c r="M165" s="67" t="n"/>
      <c r="N165" s="60">
        <f>IF($C165="","",IF(N($M165)&gt;=1,"Tamamlandı",IF(AND($I165&lt;&gt;"",$L165&lt;TODAY()),"Gecikmiş",IF(OR(N($M165)&gt;0,AND($H165&lt;&gt;"",$H165&lt;=TODAY())),"Devam Ediyor","Planlanan"))))</f>
        <v/>
      </c>
      <c r="O165" s="61" t="n"/>
      <c r="P165" s="61" t="n"/>
      <c r="Q165" s="68">
        <f>IF($C165="","",IF($N165="Tamamlandı","",IF($L165="","",IF($L165&lt;TODAY(),"⚠ "&amp;TEXT(TODAY()-$L165,"0")&amp;" gün gecikme",IF($L165-TODAY()&lt;=14,"● "&amp;TEXT($L165-TODAY(),"0")&amp;" gün kaldı","")))))</f>
        <v/>
      </c>
    </row>
    <row r="166" ht="18" customHeight="1">
      <c r="A166" s="60">
        <f>IF($C166="","",ROW()-4)</f>
        <v/>
      </c>
      <c r="B166" s="61" t="n"/>
      <c r="C166" s="61" t="n"/>
      <c r="D166" s="62" t="n"/>
      <c r="E166" s="62" t="n"/>
      <c r="F166" s="62" t="n"/>
      <c r="G166" s="62" t="n"/>
      <c r="H166" s="63" t="n"/>
      <c r="I166" s="63" t="n"/>
      <c r="J166" s="64">
        <f>IF(OR($H166="",$I166=""),"",$I166-$H166+1)</f>
        <v/>
      </c>
      <c r="K166" s="65" t="n"/>
      <c r="L166" s="66">
        <f>IF($I166="","",$I166+N($K166))</f>
        <v/>
      </c>
      <c r="M166" s="67" t="n"/>
      <c r="N166" s="60">
        <f>IF($C166="","",IF(N($M166)&gt;=1,"Tamamlandı",IF(AND($I166&lt;&gt;"",$L166&lt;TODAY()),"Gecikmiş",IF(OR(N($M166)&gt;0,AND($H166&lt;&gt;"",$H166&lt;=TODAY())),"Devam Ediyor","Planlanan"))))</f>
        <v/>
      </c>
      <c r="O166" s="61" t="n"/>
      <c r="P166" s="61" t="n"/>
      <c r="Q166" s="68">
        <f>IF($C166="","",IF($N166="Tamamlandı","",IF($L166="","",IF($L166&lt;TODAY(),"⚠ "&amp;TEXT(TODAY()-$L166,"0")&amp;" gün gecikme",IF($L166-TODAY()&lt;=14,"● "&amp;TEXT($L166-TODAY(),"0")&amp;" gün kaldı","")))))</f>
        <v/>
      </c>
    </row>
    <row r="167" ht="18" customHeight="1">
      <c r="A167" s="60">
        <f>IF($C167="","",ROW()-4)</f>
        <v/>
      </c>
      <c r="B167" s="61" t="n"/>
      <c r="C167" s="61" t="n"/>
      <c r="D167" s="62" t="n"/>
      <c r="E167" s="62" t="n"/>
      <c r="F167" s="62" t="n"/>
      <c r="G167" s="62" t="n"/>
      <c r="H167" s="63" t="n"/>
      <c r="I167" s="63" t="n"/>
      <c r="J167" s="64">
        <f>IF(OR($H167="",$I167=""),"",$I167-$H167+1)</f>
        <v/>
      </c>
      <c r="K167" s="65" t="n"/>
      <c r="L167" s="66">
        <f>IF($I167="","",$I167+N($K167))</f>
        <v/>
      </c>
      <c r="M167" s="67" t="n"/>
      <c r="N167" s="60">
        <f>IF($C167="","",IF(N($M167)&gt;=1,"Tamamlandı",IF(AND($I167&lt;&gt;"",$L167&lt;TODAY()),"Gecikmiş",IF(OR(N($M167)&gt;0,AND($H167&lt;&gt;"",$H167&lt;=TODAY())),"Devam Ediyor","Planlanan"))))</f>
        <v/>
      </c>
      <c r="O167" s="61" t="n"/>
      <c r="P167" s="61" t="n"/>
      <c r="Q167" s="68">
        <f>IF($C167="","",IF($N167="Tamamlandı","",IF($L167="","",IF($L167&lt;TODAY(),"⚠ "&amp;TEXT(TODAY()-$L167,"0")&amp;" gün gecikme",IF($L167-TODAY()&lt;=14,"● "&amp;TEXT($L167-TODAY(),"0")&amp;" gün kaldı","")))))</f>
        <v/>
      </c>
    </row>
    <row r="168" ht="18" customHeight="1">
      <c r="A168" s="60">
        <f>IF($C168="","",ROW()-4)</f>
        <v/>
      </c>
      <c r="B168" s="61" t="n"/>
      <c r="C168" s="61" t="n"/>
      <c r="D168" s="62" t="n"/>
      <c r="E168" s="62" t="n"/>
      <c r="F168" s="62" t="n"/>
      <c r="G168" s="62" t="n"/>
      <c r="H168" s="63" t="n"/>
      <c r="I168" s="63" t="n"/>
      <c r="J168" s="64">
        <f>IF(OR($H168="",$I168=""),"",$I168-$H168+1)</f>
        <v/>
      </c>
      <c r="K168" s="65" t="n"/>
      <c r="L168" s="66">
        <f>IF($I168="","",$I168+N($K168))</f>
        <v/>
      </c>
      <c r="M168" s="67" t="n"/>
      <c r="N168" s="60">
        <f>IF($C168="","",IF(N($M168)&gt;=1,"Tamamlandı",IF(AND($I168&lt;&gt;"",$L168&lt;TODAY()),"Gecikmiş",IF(OR(N($M168)&gt;0,AND($H168&lt;&gt;"",$H168&lt;=TODAY())),"Devam Ediyor","Planlanan"))))</f>
        <v/>
      </c>
      <c r="O168" s="61" t="n"/>
      <c r="P168" s="61" t="n"/>
      <c r="Q168" s="68">
        <f>IF($C168="","",IF($N168="Tamamlandı","",IF($L168="","",IF($L168&lt;TODAY(),"⚠ "&amp;TEXT(TODAY()-$L168,"0")&amp;" gün gecikme",IF($L168-TODAY()&lt;=14,"● "&amp;TEXT($L168-TODAY(),"0")&amp;" gün kaldı","")))))</f>
        <v/>
      </c>
    </row>
    <row r="169" ht="18" customHeight="1">
      <c r="A169" s="60">
        <f>IF($C169="","",ROW()-4)</f>
        <v/>
      </c>
      <c r="B169" s="61" t="n"/>
      <c r="C169" s="61" t="n"/>
      <c r="D169" s="62" t="n"/>
      <c r="E169" s="62" t="n"/>
      <c r="F169" s="62" t="n"/>
      <c r="G169" s="62" t="n"/>
      <c r="H169" s="63" t="n"/>
      <c r="I169" s="63" t="n"/>
      <c r="J169" s="64">
        <f>IF(OR($H169="",$I169=""),"",$I169-$H169+1)</f>
        <v/>
      </c>
      <c r="K169" s="65" t="n"/>
      <c r="L169" s="66">
        <f>IF($I169="","",$I169+N($K169))</f>
        <v/>
      </c>
      <c r="M169" s="67" t="n"/>
      <c r="N169" s="60">
        <f>IF($C169="","",IF(N($M169)&gt;=1,"Tamamlandı",IF(AND($I169&lt;&gt;"",$L169&lt;TODAY()),"Gecikmiş",IF(OR(N($M169)&gt;0,AND($H169&lt;&gt;"",$H169&lt;=TODAY())),"Devam Ediyor","Planlanan"))))</f>
        <v/>
      </c>
      <c r="O169" s="61" t="n"/>
      <c r="P169" s="61" t="n"/>
      <c r="Q169" s="68">
        <f>IF($C169="","",IF($N169="Tamamlandı","",IF($L169="","",IF($L169&lt;TODAY(),"⚠ "&amp;TEXT(TODAY()-$L169,"0")&amp;" gün gecikme",IF($L169-TODAY()&lt;=14,"● "&amp;TEXT($L169-TODAY(),"0")&amp;" gün kaldı","")))))</f>
        <v/>
      </c>
    </row>
    <row r="170" ht="18" customHeight="1">
      <c r="A170" s="60">
        <f>IF($C170="","",ROW()-4)</f>
        <v/>
      </c>
      <c r="B170" s="61" t="n"/>
      <c r="C170" s="61" t="n"/>
      <c r="D170" s="62" t="n"/>
      <c r="E170" s="62" t="n"/>
      <c r="F170" s="62" t="n"/>
      <c r="G170" s="62" t="n"/>
      <c r="H170" s="63" t="n"/>
      <c r="I170" s="63" t="n"/>
      <c r="J170" s="64">
        <f>IF(OR($H170="",$I170=""),"",$I170-$H170+1)</f>
        <v/>
      </c>
      <c r="K170" s="65" t="n"/>
      <c r="L170" s="66">
        <f>IF($I170="","",$I170+N($K170))</f>
        <v/>
      </c>
      <c r="M170" s="67" t="n"/>
      <c r="N170" s="60">
        <f>IF($C170="","",IF(N($M170)&gt;=1,"Tamamlandı",IF(AND($I170&lt;&gt;"",$L170&lt;TODAY()),"Gecikmiş",IF(OR(N($M170)&gt;0,AND($H170&lt;&gt;"",$H170&lt;=TODAY())),"Devam Ediyor","Planlanan"))))</f>
        <v/>
      </c>
      <c r="O170" s="61" t="n"/>
      <c r="P170" s="61" t="n"/>
      <c r="Q170" s="68">
        <f>IF($C170="","",IF($N170="Tamamlandı","",IF($L170="","",IF($L170&lt;TODAY(),"⚠ "&amp;TEXT(TODAY()-$L170,"0")&amp;" gün gecikme",IF($L170-TODAY()&lt;=14,"● "&amp;TEXT($L170-TODAY(),"0")&amp;" gün kaldı","")))))</f>
        <v/>
      </c>
    </row>
    <row r="171" ht="18" customHeight="1">
      <c r="A171" s="60">
        <f>IF($C171="","",ROW()-4)</f>
        <v/>
      </c>
      <c r="B171" s="61" t="n"/>
      <c r="C171" s="61" t="n"/>
      <c r="D171" s="62" t="n"/>
      <c r="E171" s="62" t="n"/>
      <c r="F171" s="62" t="n"/>
      <c r="G171" s="62" t="n"/>
      <c r="H171" s="63" t="n"/>
      <c r="I171" s="63" t="n"/>
      <c r="J171" s="64">
        <f>IF(OR($H171="",$I171=""),"",$I171-$H171+1)</f>
        <v/>
      </c>
      <c r="K171" s="65" t="n"/>
      <c r="L171" s="66">
        <f>IF($I171="","",$I171+N($K171))</f>
        <v/>
      </c>
      <c r="M171" s="67" t="n"/>
      <c r="N171" s="60">
        <f>IF($C171="","",IF(N($M171)&gt;=1,"Tamamlandı",IF(AND($I171&lt;&gt;"",$L171&lt;TODAY()),"Gecikmiş",IF(OR(N($M171)&gt;0,AND($H171&lt;&gt;"",$H171&lt;=TODAY())),"Devam Ediyor","Planlanan"))))</f>
        <v/>
      </c>
      <c r="O171" s="61" t="n"/>
      <c r="P171" s="61" t="n"/>
      <c r="Q171" s="68">
        <f>IF($C171="","",IF($N171="Tamamlandı","",IF($L171="","",IF($L171&lt;TODAY(),"⚠ "&amp;TEXT(TODAY()-$L171,"0")&amp;" gün gecikme",IF($L171-TODAY()&lt;=14,"● "&amp;TEXT($L171-TODAY(),"0")&amp;" gün kaldı","")))))</f>
        <v/>
      </c>
    </row>
    <row r="172" ht="18" customHeight="1">
      <c r="A172" s="60">
        <f>IF($C172="","",ROW()-4)</f>
        <v/>
      </c>
      <c r="B172" s="61" t="n"/>
      <c r="C172" s="61" t="n"/>
      <c r="D172" s="62" t="n"/>
      <c r="E172" s="62" t="n"/>
      <c r="F172" s="62" t="n"/>
      <c r="G172" s="62" t="n"/>
      <c r="H172" s="63" t="n"/>
      <c r="I172" s="63" t="n"/>
      <c r="J172" s="64">
        <f>IF(OR($H172="",$I172=""),"",$I172-$H172+1)</f>
        <v/>
      </c>
      <c r="K172" s="65" t="n"/>
      <c r="L172" s="66">
        <f>IF($I172="","",$I172+N($K172))</f>
        <v/>
      </c>
      <c r="M172" s="67" t="n"/>
      <c r="N172" s="60">
        <f>IF($C172="","",IF(N($M172)&gt;=1,"Tamamlandı",IF(AND($I172&lt;&gt;"",$L172&lt;TODAY()),"Gecikmiş",IF(OR(N($M172)&gt;0,AND($H172&lt;&gt;"",$H172&lt;=TODAY())),"Devam Ediyor","Planlanan"))))</f>
        <v/>
      </c>
      <c r="O172" s="61" t="n"/>
      <c r="P172" s="61" t="n"/>
      <c r="Q172" s="68">
        <f>IF($C172="","",IF($N172="Tamamlandı","",IF($L172="","",IF($L172&lt;TODAY(),"⚠ "&amp;TEXT(TODAY()-$L172,"0")&amp;" gün gecikme",IF($L172-TODAY()&lt;=14,"● "&amp;TEXT($L172-TODAY(),"0")&amp;" gün kaldı","")))))</f>
        <v/>
      </c>
    </row>
    <row r="173" ht="18" customHeight="1">
      <c r="A173" s="60">
        <f>IF($C173="","",ROW()-4)</f>
        <v/>
      </c>
      <c r="B173" s="61" t="n"/>
      <c r="C173" s="61" t="n"/>
      <c r="D173" s="62" t="n"/>
      <c r="E173" s="62" t="n"/>
      <c r="F173" s="62" t="n"/>
      <c r="G173" s="62" t="n"/>
      <c r="H173" s="63" t="n"/>
      <c r="I173" s="63" t="n"/>
      <c r="J173" s="64">
        <f>IF(OR($H173="",$I173=""),"",$I173-$H173+1)</f>
        <v/>
      </c>
      <c r="K173" s="65" t="n"/>
      <c r="L173" s="66">
        <f>IF($I173="","",$I173+N($K173))</f>
        <v/>
      </c>
      <c r="M173" s="67" t="n"/>
      <c r="N173" s="60">
        <f>IF($C173="","",IF(N($M173)&gt;=1,"Tamamlandı",IF(AND($I173&lt;&gt;"",$L173&lt;TODAY()),"Gecikmiş",IF(OR(N($M173)&gt;0,AND($H173&lt;&gt;"",$H173&lt;=TODAY())),"Devam Ediyor","Planlanan"))))</f>
        <v/>
      </c>
      <c r="O173" s="61" t="n"/>
      <c r="P173" s="61" t="n"/>
      <c r="Q173" s="68">
        <f>IF($C173="","",IF($N173="Tamamlandı","",IF($L173="","",IF($L173&lt;TODAY(),"⚠ "&amp;TEXT(TODAY()-$L173,"0")&amp;" gün gecikme",IF($L173-TODAY()&lt;=14,"● "&amp;TEXT($L173-TODAY(),"0")&amp;" gün kaldı","")))))</f>
        <v/>
      </c>
    </row>
    <row r="174" ht="18" customHeight="1">
      <c r="A174" s="60">
        <f>IF($C174="","",ROW()-4)</f>
        <v/>
      </c>
      <c r="B174" s="61" t="n"/>
      <c r="C174" s="61" t="n"/>
      <c r="D174" s="62" t="n"/>
      <c r="E174" s="62" t="n"/>
      <c r="F174" s="62" t="n"/>
      <c r="G174" s="62" t="n"/>
      <c r="H174" s="63" t="n"/>
      <c r="I174" s="63" t="n"/>
      <c r="J174" s="64">
        <f>IF(OR($H174="",$I174=""),"",$I174-$H174+1)</f>
        <v/>
      </c>
      <c r="K174" s="65" t="n"/>
      <c r="L174" s="66">
        <f>IF($I174="","",$I174+N($K174))</f>
        <v/>
      </c>
      <c r="M174" s="67" t="n"/>
      <c r="N174" s="60">
        <f>IF($C174="","",IF(N($M174)&gt;=1,"Tamamlandı",IF(AND($I174&lt;&gt;"",$L174&lt;TODAY()),"Gecikmiş",IF(OR(N($M174)&gt;0,AND($H174&lt;&gt;"",$H174&lt;=TODAY())),"Devam Ediyor","Planlanan"))))</f>
        <v/>
      </c>
      <c r="O174" s="61" t="n"/>
      <c r="P174" s="61" t="n"/>
      <c r="Q174" s="68">
        <f>IF($C174="","",IF($N174="Tamamlandı","",IF($L174="","",IF($L174&lt;TODAY(),"⚠ "&amp;TEXT(TODAY()-$L174,"0")&amp;" gün gecikme",IF($L174-TODAY()&lt;=14,"● "&amp;TEXT($L174-TODAY(),"0")&amp;" gün kaldı","")))))</f>
        <v/>
      </c>
    </row>
    <row r="175" ht="18" customHeight="1">
      <c r="A175" s="60">
        <f>IF($C175="","",ROW()-4)</f>
        <v/>
      </c>
      <c r="B175" s="61" t="n"/>
      <c r="C175" s="61" t="n"/>
      <c r="D175" s="62" t="n"/>
      <c r="E175" s="62" t="n"/>
      <c r="F175" s="62" t="n"/>
      <c r="G175" s="62" t="n"/>
      <c r="H175" s="63" t="n"/>
      <c r="I175" s="63" t="n"/>
      <c r="J175" s="64">
        <f>IF(OR($H175="",$I175=""),"",$I175-$H175+1)</f>
        <v/>
      </c>
      <c r="K175" s="65" t="n"/>
      <c r="L175" s="66">
        <f>IF($I175="","",$I175+N($K175))</f>
        <v/>
      </c>
      <c r="M175" s="67" t="n"/>
      <c r="N175" s="60">
        <f>IF($C175="","",IF(N($M175)&gt;=1,"Tamamlandı",IF(AND($I175&lt;&gt;"",$L175&lt;TODAY()),"Gecikmiş",IF(OR(N($M175)&gt;0,AND($H175&lt;&gt;"",$H175&lt;=TODAY())),"Devam Ediyor","Planlanan"))))</f>
        <v/>
      </c>
      <c r="O175" s="61" t="n"/>
      <c r="P175" s="61" t="n"/>
      <c r="Q175" s="68">
        <f>IF($C175="","",IF($N175="Tamamlandı","",IF($L175="","",IF($L175&lt;TODAY(),"⚠ "&amp;TEXT(TODAY()-$L175,"0")&amp;" gün gecikme",IF($L175-TODAY()&lt;=14,"● "&amp;TEXT($L175-TODAY(),"0")&amp;" gün kaldı","")))))</f>
        <v/>
      </c>
    </row>
    <row r="176" ht="18" customHeight="1">
      <c r="A176" s="60">
        <f>IF($C176="","",ROW()-4)</f>
        <v/>
      </c>
      <c r="B176" s="61" t="n"/>
      <c r="C176" s="61" t="n"/>
      <c r="D176" s="62" t="n"/>
      <c r="E176" s="62" t="n"/>
      <c r="F176" s="62" t="n"/>
      <c r="G176" s="62" t="n"/>
      <c r="H176" s="63" t="n"/>
      <c r="I176" s="63" t="n"/>
      <c r="J176" s="64">
        <f>IF(OR($H176="",$I176=""),"",$I176-$H176+1)</f>
        <v/>
      </c>
      <c r="K176" s="65" t="n"/>
      <c r="L176" s="66">
        <f>IF($I176="","",$I176+N($K176))</f>
        <v/>
      </c>
      <c r="M176" s="67" t="n"/>
      <c r="N176" s="60">
        <f>IF($C176="","",IF(N($M176)&gt;=1,"Tamamlandı",IF(AND($I176&lt;&gt;"",$L176&lt;TODAY()),"Gecikmiş",IF(OR(N($M176)&gt;0,AND($H176&lt;&gt;"",$H176&lt;=TODAY())),"Devam Ediyor","Planlanan"))))</f>
        <v/>
      </c>
      <c r="O176" s="61" t="n"/>
      <c r="P176" s="61" t="n"/>
      <c r="Q176" s="68">
        <f>IF($C176="","",IF($N176="Tamamlandı","",IF($L176="","",IF($L176&lt;TODAY(),"⚠ "&amp;TEXT(TODAY()-$L176,"0")&amp;" gün gecikme",IF($L176-TODAY()&lt;=14,"● "&amp;TEXT($L176-TODAY(),"0")&amp;" gün kaldı","")))))</f>
        <v/>
      </c>
    </row>
    <row r="177" ht="18" customHeight="1">
      <c r="A177" s="60">
        <f>IF($C177="","",ROW()-4)</f>
        <v/>
      </c>
      <c r="B177" s="61" t="n"/>
      <c r="C177" s="61" t="n"/>
      <c r="D177" s="62" t="n"/>
      <c r="E177" s="62" t="n"/>
      <c r="F177" s="62" t="n"/>
      <c r="G177" s="62" t="n"/>
      <c r="H177" s="63" t="n"/>
      <c r="I177" s="63" t="n"/>
      <c r="J177" s="64">
        <f>IF(OR($H177="",$I177=""),"",$I177-$H177+1)</f>
        <v/>
      </c>
      <c r="K177" s="65" t="n"/>
      <c r="L177" s="66">
        <f>IF($I177="","",$I177+N($K177))</f>
        <v/>
      </c>
      <c r="M177" s="67" t="n"/>
      <c r="N177" s="60">
        <f>IF($C177="","",IF(N($M177)&gt;=1,"Tamamlandı",IF(AND($I177&lt;&gt;"",$L177&lt;TODAY()),"Gecikmiş",IF(OR(N($M177)&gt;0,AND($H177&lt;&gt;"",$H177&lt;=TODAY())),"Devam Ediyor","Planlanan"))))</f>
        <v/>
      </c>
      <c r="O177" s="61" t="n"/>
      <c r="P177" s="61" t="n"/>
      <c r="Q177" s="68">
        <f>IF($C177="","",IF($N177="Tamamlandı","",IF($L177="","",IF($L177&lt;TODAY(),"⚠ "&amp;TEXT(TODAY()-$L177,"0")&amp;" gün gecikme",IF($L177-TODAY()&lt;=14,"● "&amp;TEXT($L177-TODAY(),"0")&amp;" gün kaldı","")))))</f>
        <v/>
      </c>
    </row>
    <row r="178" ht="18" customHeight="1">
      <c r="A178" s="60">
        <f>IF($C178="","",ROW()-4)</f>
        <v/>
      </c>
      <c r="B178" s="61" t="n"/>
      <c r="C178" s="61" t="n"/>
      <c r="D178" s="62" t="n"/>
      <c r="E178" s="62" t="n"/>
      <c r="F178" s="62" t="n"/>
      <c r="G178" s="62" t="n"/>
      <c r="H178" s="63" t="n"/>
      <c r="I178" s="63" t="n"/>
      <c r="J178" s="64">
        <f>IF(OR($H178="",$I178=""),"",$I178-$H178+1)</f>
        <v/>
      </c>
      <c r="K178" s="65" t="n"/>
      <c r="L178" s="66">
        <f>IF($I178="","",$I178+N($K178))</f>
        <v/>
      </c>
      <c r="M178" s="67" t="n"/>
      <c r="N178" s="60">
        <f>IF($C178="","",IF(N($M178)&gt;=1,"Tamamlandı",IF(AND($I178&lt;&gt;"",$L178&lt;TODAY()),"Gecikmiş",IF(OR(N($M178)&gt;0,AND($H178&lt;&gt;"",$H178&lt;=TODAY())),"Devam Ediyor","Planlanan"))))</f>
        <v/>
      </c>
      <c r="O178" s="61" t="n"/>
      <c r="P178" s="61" t="n"/>
      <c r="Q178" s="68">
        <f>IF($C178="","",IF($N178="Tamamlandı","",IF($L178="","",IF($L178&lt;TODAY(),"⚠ "&amp;TEXT(TODAY()-$L178,"0")&amp;" gün gecikme",IF($L178-TODAY()&lt;=14,"● "&amp;TEXT($L178-TODAY(),"0")&amp;" gün kaldı","")))))</f>
        <v/>
      </c>
    </row>
    <row r="179" ht="18" customHeight="1">
      <c r="A179" s="60">
        <f>IF($C179="","",ROW()-4)</f>
        <v/>
      </c>
      <c r="B179" s="61" t="n"/>
      <c r="C179" s="61" t="n"/>
      <c r="D179" s="62" t="n"/>
      <c r="E179" s="62" t="n"/>
      <c r="F179" s="62" t="n"/>
      <c r="G179" s="62" t="n"/>
      <c r="H179" s="63" t="n"/>
      <c r="I179" s="63" t="n"/>
      <c r="J179" s="64">
        <f>IF(OR($H179="",$I179=""),"",$I179-$H179+1)</f>
        <v/>
      </c>
      <c r="K179" s="65" t="n"/>
      <c r="L179" s="66">
        <f>IF($I179="","",$I179+N($K179))</f>
        <v/>
      </c>
      <c r="M179" s="67" t="n"/>
      <c r="N179" s="60">
        <f>IF($C179="","",IF(N($M179)&gt;=1,"Tamamlandı",IF(AND($I179&lt;&gt;"",$L179&lt;TODAY()),"Gecikmiş",IF(OR(N($M179)&gt;0,AND($H179&lt;&gt;"",$H179&lt;=TODAY())),"Devam Ediyor","Planlanan"))))</f>
        <v/>
      </c>
      <c r="O179" s="61" t="n"/>
      <c r="P179" s="61" t="n"/>
      <c r="Q179" s="68">
        <f>IF($C179="","",IF($N179="Tamamlandı","",IF($L179="","",IF($L179&lt;TODAY(),"⚠ "&amp;TEXT(TODAY()-$L179,"0")&amp;" gün gecikme",IF($L179-TODAY()&lt;=14,"● "&amp;TEXT($L179-TODAY(),"0")&amp;" gün kaldı","")))))</f>
        <v/>
      </c>
    </row>
    <row r="180" ht="18" customHeight="1">
      <c r="A180" s="60">
        <f>IF($C180="","",ROW()-4)</f>
        <v/>
      </c>
      <c r="B180" s="61" t="n"/>
      <c r="C180" s="61" t="n"/>
      <c r="D180" s="62" t="n"/>
      <c r="E180" s="62" t="n"/>
      <c r="F180" s="62" t="n"/>
      <c r="G180" s="62" t="n"/>
      <c r="H180" s="63" t="n"/>
      <c r="I180" s="63" t="n"/>
      <c r="J180" s="64">
        <f>IF(OR($H180="",$I180=""),"",$I180-$H180+1)</f>
        <v/>
      </c>
      <c r="K180" s="65" t="n"/>
      <c r="L180" s="66">
        <f>IF($I180="","",$I180+N($K180))</f>
        <v/>
      </c>
      <c r="M180" s="67" t="n"/>
      <c r="N180" s="60">
        <f>IF($C180="","",IF(N($M180)&gt;=1,"Tamamlandı",IF(AND($I180&lt;&gt;"",$L180&lt;TODAY()),"Gecikmiş",IF(OR(N($M180)&gt;0,AND($H180&lt;&gt;"",$H180&lt;=TODAY())),"Devam Ediyor","Planlanan"))))</f>
        <v/>
      </c>
      <c r="O180" s="61" t="n"/>
      <c r="P180" s="61" t="n"/>
      <c r="Q180" s="68">
        <f>IF($C180="","",IF($N180="Tamamlandı","",IF($L180="","",IF($L180&lt;TODAY(),"⚠ "&amp;TEXT(TODAY()-$L180,"0")&amp;" gün gecikme",IF($L180-TODAY()&lt;=14,"● "&amp;TEXT($L180-TODAY(),"0")&amp;" gün kaldı","")))))</f>
        <v/>
      </c>
    </row>
    <row r="181" ht="18" customHeight="1">
      <c r="A181" s="60">
        <f>IF($C181="","",ROW()-4)</f>
        <v/>
      </c>
      <c r="B181" s="61" t="n"/>
      <c r="C181" s="61" t="n"/>
      <c r="D181" s="62" t="n"/>
      <c r="E181" s="62" t="n"/>
      <c r="F181" s="62" t="n"/>
      <c r="G181" s="62" t="n"/>
      <c r="H181" s="63" t="n"/>
      <c r="I181" s="63" t="n"/>
      <c r="J181" s="64">
        <f>IF(OR($H181="",$I181=""),"",$I181-$H181+1)</f>
        <v/>
      </c>
      <c r="K181" s="65" t="n"/>
      <c r="L181" s="66">
        <f>IF($I181="","",$I181+N($K181))</f>
        <v/>
      </c>
      <c r="M181" s="67" t="n"/>
      <c r="N181" s="60">
        <f>IF($C181="","",IF(N($M181)&gt;=1,"Tamamlandı",IF(AND($I181&lt;&gt;"",$L181&lt;TODAY()),"Gecikmiş",IF(OR(N($M181)&gt;0,AND($H181&lt;&gt;"",$H181&lt;=TODAY())),"Devam Ediyor","Planlanan"))))</f>
        <v/>
      </c>
      <c r="O181" s="61" t="n"/>
      <c r="P181" s="61" t="n"/>
      <c r="Q181" s="68">
        <f>IF($C181="","",IF($N181="Tamamlandı","",IF($L181="","",IF($L181&lt;TODAY(),"⚠ "&amp;TEXT(TODAY()-$L181,"0")&amp;" gün gecikme",IF($L181-TODAY()&lt;=14,"● "&amp;TEXT($L181-TODAY(),"0")&amp;" gün kaldı","")))))</f>
        <v/>
      </c>
    </row>
    <row r="182" ht="18" customHeight="1">
      <c r="A182" s="60">
        <f>IF($C182="","",ROW()-4)</f>
        <v/>
      </c>
      <c r="B182" s="61" t="n"/>
      <c r="C182" s="61" t="n"/>
      <c r="D182" s="62" t="n"/>
      <c r="E182" s="62" t="n"/>
      <c r="F182" s="62" t="n"/>
      <c r="G182" s="62" t="n"/>
      <c r="H182" s="63" t="n"/>
      <c r="I182" s="63" t="n"/>
      <c r="J182" s="64">
        <f>IF(OR($H182="",$I182=""),"",$I182-$H182+1)</f>
        <v/>
      </c>
      <c r="K182" s="65" t="n"/>
      <c r="L182" s="66">
        <f>IF($I182="","",$I182+N($K182))</f>
        <v/>
      </c>
      <c r="M182" s="67" t="n"/>
      <c r="N182" s="60">
        <f>IF($C182="","",IF(N($M182)&gt;=1,"Tamamlandı",IF(AND($I182&lt;&gt;"",$L182&lt;TODAY()),"Gecikmiş",IF(OR(N($M182)&gt;0,AND($H182&lt;&gt;"",$H182&lt;=TODAY())),"Devam Ediyor","Planlanan"))))</f>
        <v/>
      </c>
      <c r="O182" s="61" t="n"/>
      <c r="P182" s="61" t="n"/>
      <c r="Q182" s="68">
        <f>IF($C182="","",IF($N182="Tamamlandı","",IF($L182="","",IF($L182&lt;TODAY(),"⚠ "&amp;TEXT(TODAY()-$L182,"0")&amp;" gün gecikme",IF($L182-TODAY()&lt;=14,"● "&amp;TEXT($L182-TODAY(),"0")&amp;" gün kaldı","")))))</f>
        <v/>
      </c>
    </row>
    <row r="183" ht="18" customHeight="1">
      <c r="A183" s="60">
        <f>IF($C183="","",ROW()-4)</f>
        <v/>
      </c>
      <c r="B183" s="61" t="n"/>
      <c r="C183" s="61" t="n"/>
      <c r="D183" s="62" t="n"/>
      <c r="E183" s="62" t="n"/>
      <c r="F183" s="62" t="n"/>
      <c r="G183" s="62" t="n"/>
      <c r="H183" s="63" t="n"/>
      <c r="I183" s="63" t="n"/>
      <c r="J183" s="64">
        <f>IF(OR($H183="",$I183=""),"",$I183-$H183+1)</f>
        <v/>
      </c>
      <c r="K183" s="65" t="n"/>
      <c r="L183" s="66">
        <f>IF($I183="","",$I183+N($K183))</f>
        <v/>
      </c>
      <c r="M183" s="67" t="n"/>
      <c r="N183" s="60">
        <f>IF($C183="","",IF(N($M183)&gt;=1,"Tamamlandı",IF(AND($I183&lt;&gt;"",$L183&lt;TODAY()),"Gecikmiş",IF(OR(N($M183)&gt;0,AND($H183&lt;&gt;"",$H183&lt;=TODAY())),"Devam Ediyor","Planlanan"))))</f>
        <v/>
      </c>
      <c r="O183" s="61" t="n"/>
      <c r="P183" s="61" t="n"/>
      <c r="Q183" s="68">
        <f>IF($C183="","",IF($N183="Tamamlandı","",IF($L183="","",IF($L183&lt;TODAY(),"⚠ "&amp;TEXT(TODAY()-$L183,"0")&amp;" gün gecikme",IF($L183-TODAY()&lt;=14,"● "&amp;TEXT($L183-TODAY(),"0")&amp;" gün kaldı","")))))</f>
        <v/>
      </c>
    </row>
    <row r="184" ht="18" customHeight="1">
      <c r="A184" s="60">
        <f>IF($C184="","",ROW()-4)</f>
        <v/>
      </c>
      <c r="B184" s="61" t="n"/>
      <c r="C184" s="61" t="n"/>
      <c r="D184" s="62" t="n"/>
      <c r="E184" s="62" t="n"/>
      <c r="F184" s="62" t="n"/>
      <c r="G184" s="62" t="n"/>
      <c r="H184" s="63" t="n"/>
      <c r="I184" s="63" t="n"/>
      <c r="J184" s="64">
        <f>IF(OR($H184="",$I184=""),"",$I184-$H184+1)</f>
        <v/>
      </c>
      <c r="K184" s="65" t="n"/>
      <c r="L184" s="66">
        <f>IF($I184="","",$I184+N($K184))</f>
        <v/>
      </c>
      <c r="M184" s="67" t="n"/>
      <c r="N184" s="60">
        <f>IF($C184="","",IF(N($M184)&gt;=1,"Tamamlandı",IF(AND($I184&lt;&gt;"",$L184&lt;TODAY()),"Gecikmiş",IF(OR(N($M184)&gt;0,AND($H184&lt;&gt;"",$H184&lt;=TODAY())),"Devam Ediyor","Planlanan"))))</f>
        <v/>
      </c>
      <c r="O184" s="61" t="n"/>
      <c r="P184" s="61" t="n"/>
      <c r="Q184" s="68">
        <f>IF($C184="","",IF($N184="Tamamlandı","",IF($L184="","",IF($L184&lt;TODAY(),"⚠ "&amp;TEXT(TODAY()-$L184,"0")&amp;" gün gecikme",IF($L184-TODAY()&lt;=14,"● "&amp;TEXT($L184-TODAY(),"0")&amp;" gün kaldı","")))))</f>
        <v/>
      </c>
    </row>
    <row r="185" ht="18" customHeight="1">
      <c r="A185" s="60">
        <f>IF($C185="","",ROW()-4)</f>
        <v/>
      </c>
      <c r="B185" s="61" t="n"/>
      <c r="C185" s="61" t="n"/>
      <c r="D185" s="62" t="n"/>
      <c r="E185" s="62" t="n"/>
      <c r="F185" s="62" t="n"/>
      <c r="G185" s="62" t="n"/>
      <c r="H185" s="63" t="n"/>
      <c r="I185" s="63" t="n"/>
      <c r="J185" s="64">
        <f>IF(OR($H185="",$I185=""),"",$I185-$H185+1)</f>
        <v/>
      </c>
      <c r="K185" s="65" t="n"/>
      <c r="L185" s="66">
        <f>IF($I185="","",$I185+N($K185))</f>
        <v/>
      </c>
      <c r="M185" s="67" t="n"/>
      <c r="N185" s="60">
        <f>IF($C185="","",IF(N($M185)&gt;=1,"Tamamlandı",IF(AND($I185&lt;&gt;"",$L185&lt;TODAY()),"Gecikmiş",IF(OR(N($M185)&gt;0,AND($H185&lt;&gt;"",$H185&lt;=TODAY())),"Devam Ediyor","Planlanan"))))</f>
        <v/>
      </c>
      <c r="O185" s="61" t="n"/>
      <c r="P185" s="61" t="n"/>
      <c r="Q185" s="68">
        <f>IF($C185="","",IF($N185="Tamamlandı","",IF($L185="","",IF($L185&lt;TODAY(),"⚠ "&amp;TEXT(TODAY()-$L185,"0")&amp;" gün gecikme",IF($L185-TODAY()&lt;=14,"● "&amp;TEXT($L185-TODAY(),"0")&amp;" gün kaldı","")))))</f>
        <v/>
      </c>
    </row>
    <row r="186" ht="18" customHeight="1">
      <c r="A186" s="60">
        <f>IF($C186="","",ROW()-4)</f>
        <v/>
      </c>
      <c r="B186" s="61" t="n"/>
      <c r="C186" s="61" t="n"/>
      <c r="D186" s="62" t="n"/>
      <c r="E186" s="62" t="n"/>
      <c r="F186" s="62" t="n"/>
      <c r="G186" s="62" t="n"/>
      <c r="H186" s="63" t="n"/>
      <c r="I186" s="63" t="n"/>
      <c r="J186" s="64">
        <f>IF(OR($H186="",$I186=""),"",$I186-$H186+1)</f>
        <v/>
      </c>
      <c r="K186" s="65" t="n"/>
      <c r="L186" s="66">
        <f>IF($I186="","",$I186+N($K186))</f>
        <v/>
      </c>
      <c r="M186" s="67" t="n"/>
      <c r="N186" s="60">
        <f>IF($C186="","",IF(N($M186)&gt;=1,"Tamamlandı",IF(AND($I186&lt;&gt;"",$L186&lt;TODAY()),"Gecikmiş",IF(OR(N($M186)&gt;0,AND($H186&lt;&gt;"",$H186&lt;=TODAY())),"Devam Ediyor","Planlanan"))))</f>
        <v/>
      </c>
      <c r="O186" s="61" t="n"/>
      <c r="P186" s="61" t="n"/>
      <c r="Q186" s="68">
        <f>IF($C186="","",IF($N186="Tamamlandı","",IF($L186="","",IF($L186&lt;TODAY(),"⚠ "&amp;TEXT(TODAY()-$L186,"0")&amp;" gün gecikme",IF($L186-TODAY()&lt;=14,"● "&amp;TEXT($L186-TODAY(),"0")&amp;" gün kaldı","")))))</f>
        <v/>
      </c>
    </row>
    <row r="187" ht="18" customHeight="1">
      <c r="A187" s="60">
        <f>IF($C187="","",ROW()-4)</f>
        <v/>
      </c>
      <c r="B187" s="61" t="n"/>
      <c r="C187" s="61" t="n"/>
      <c r="D187" s="62" t="n"/>
      <c r="E187" s="62" t="n"/>
      <c r="F187" s="62" t="n"/>
      <c r="G187" s="62" t="n"/>
      <c r="H187" s="63" t="n"/>
      <c r="I187" s="63" t="n"/>
      <c r="J187" s="64">
        <f>IF(OR($H187="",$I187=""),"",$I187-$H187+1)</f>
        <v/>
      </c>
      <c r="K187" s="65" t="n"/>
      <c r="L187" s="66">
        <f>IF($I187="","",$I187+N($K187))</f>
        <v/>
      </c>
      <c r="M187" s="67" t="n"/>
      <c r="N187" s="60">
        <f>IF($C187="","",IF(N($M187)&gt;=1,"Tamamlandı",IF(AND($I187&lt;&gt;"",$L187&lt;TODAY()),"Gecikmiş",IF(OR(N($M187)&gt;0,AND($H187&lt;&gt;"",$H187&lt;=TODAY())),"Devam Ediyor","Planlanan"))))</f>
        <v/>
      </c>
      <c r="O187" s="61" t="n"/>
      <c r="P187" s="61" t="n"/>
      <c r="Q187" s="68">
        <f>IF($C187="","",IF($N187="Tamamlandı","",IF($L187="","",IF($L187&lt;TODAY(),"⚠ "&amp;TEXT(TODAY()-$L187,"0")&amp;" gün gecikme",IF($L187-TODAY()&lt;=14,"● "&amp;TEXT($L187-TODAY(),"0")&amp;" gün kaldı","")))))</f>
        <v/>
      </c>
    </row>
    <row r="188" ht="18" customHeight="1">
      <c r="A188" s="60">
        <f>IF($C188="","",ROW()-4)</f>
        <v/>
      </c>
      <c r="B188" s="61" t="n"/>
      <c r="C188" s="61" t="n"/>
      <c r="D188" s="62" t="n"/>
      <c r="E188" s="62" t="n"/>
      <c r="F188" s="62" t="n"/>
      <c r="G188" s="62" t="n"/>
      <c r="H188" s="63" t="n"/>
      <c r="I188" s="63" t="n"/>
      <c r="J188" s="64">
        <f>IF(OR($H188="",$I188=""),"",$I188-$H188+1)</f>
        <v/>
      </c>
      <c r="K188" s="65" t="n"/>
      <c r="L188" s="66">
        <f>IF($I188="","",$I188+N($K188))</f>
        <v/>
      </c>
      <c r="M188" s="67" t="n"/>
      <c r="N188" s="60">
        <f>IF($C188="","",IF(N($M188)&gt;=1,"Tamamlandı",IF(AND($I188&lt;&gt;"",$L188&lt;TODAY()),"Gecikmiş",IF(OR(N($M188)&gt;0,AND($H188&lt;&gt;"",$H188&lt;=TODAY())),"Devam Ediyor","Planlanan"))))</f>
        <v/>
      </c>
      <c r="O188" s="61" t="n"/>
      <c r="P188" s="61" t="n"/>
      <c r="Q188" s="68">
        <f>IF($C188="","",IF($N188="Tamamlandı","",IF($L188="","",IF($L188&lt;TODAY(),"⚠ "&amp;TEXT(TODAY()-$L188,"0")&amp;" gün gecikme",IF($L188-TODAY()&lt;=14,"● "&amp;TEXT($L188-TODAY(),"0")&amp;" gün kaldı","")))))</f>
        <v/>
      </c>
    </row>
    <row r="189" ht="18" customHeight="1">
      <c r="A189" s="60">
        <f>IF($C189="","",ROW()-4)</f>
        <v/>
      </c>
      <c r="B189" s="61" t="n"/>
      <c r="C189" s="61" t="n"/>
      <c r="D189" s="62" t="n"/>
      <c r="E189" s="62" t="n"/>
      <c r="F189" s="62" t="n"/>
      <c r="G189" s="62" t="n"/>
      <c r="H189" s="63" t="n"/>
      <c r="I189" s="63" t="n"/>
      <c r="J189" s="64">
        <f>IF(OR($H189="",$I189=""),"",$I189-$H189+1)</f>
        <v/>
      </c>
      <c r="K189" s="65" t="n"/>
      <c r="L189" s="66">
        <f>IF($I189="","",$I189+N($K189))</f>
        <v/>
      </c>
      <c r="M189" s="67" t="n"/>
      <c r="N189" s="60">
        <f>IF($C189="","",IF(N($M189)&gt;=1,"Tamamlandı",IF(AND($I189&lt;&gt;"",$L189&lt;TODAY()),"Gecikmiş",IF(OR(N($M189)&gt;0,AND($H189&lt;&gt;"",$H189&lt;=TODAY())),"Devam Ediyor","Planlanan"))))</f>
        <v/>
      </c>
      <c r="O189" s="61" t="n"/>
      <c r="P189" s="61" t="n"/>
      <c r="Q189" s="68">
        <f>IF($C189="","",IF($N189="Tamamlandı","",IF($L189="","",IF($L189&lt;TODAY(),"⚠ "&amp;TEXT(TODAY()-$L189,"0")&amp;" gün gecikme",IF($L189-TODAY()&lt;=14,"● "&amp;TEXT($L189-TODAY(),"0")&amp;" gün kaldı","")))))</f>
        <v/>
      </c>
    </row>
    <row r="190" ht="18" customHeight="1">
      <c r="A190" s="60">
        <f>IF($C190="","",ROW()-4)</f>
        <v/>
      </c>
      <c r="B190" s="61" t="n"/>
      <c r="C190" s="61" t="n"/>
      <c r="D190" s="62" t="n"/>
      <c r="E190" s="62" t="n"/>
      <c r="F190" s="62" t="n"/>
      <c r="G190" s="62" t="n"/>
      <c r="H190" s="63" t="n"/>
      <c r="I190" s="63" t="n"/>
      <c r="J190" s="64">
        <f>IF(OR($H190="",$I190=""),"",$I190-$H190+1)</f>
        <v/>
      </c>
      <c r="K190" s="65" t="n"/>
      <c r="L190" s="66">
        <f>IF($I190="","",$I190+N($K190))</f>
        <v/>
      </c>
      <c r="M190" s="67" t="n"/>
      <c r="N190" s="60">
        <f>IF($C190="","",IF(N($M190)&gt;=1,"Tamamlandı",IF(AND($I190&lt;&gt;"",$L190&lt;TODAY()),"Gecikmiş",IF(OR(N($M190)&gt;0,AND($H190&lt;&gt;"",$H190&lt;=TODAY())),"Devam Ediyor","Planlanan"))))</f>
        <v/>
      </c>
      <c r="O190" s="61" t="n"/>
      <c r="P190" s="61" t="n"/>
      <c r="Q190" s="68">
        <f>IF($C190="","",IF($N190="Tamamlandı","",IF($L190="","",IF($L190&lt;TODAY(),"⚠ "&amp;TEXT(TODAY()-$L190,"0")&amp;" gün gecikme",IF($L190-TODAY()&lt;=14,"● "&amp;TEXT($L190-TODAY(),"0")&amp;" gün kaldı","")))))</f>
        <v/>
      </c>
    </row>
    <row r="191" ht="18" customHeight="1">
      <c r="A191" s="60">
        <f>IF($C191="","",ROW()-4)</f>
        <v/>
      </c>
      <c r="B191" s="61" t="n"/>
      <c r="C191" s="61" t="n"/>
      <c r="D191" s="62" t="n"/>
      <c r="E191" s="62" t="n"/>
      <c r="F191" s="62" t="n"/>
      <c r="G191" s="62" t="n"/>
      <c r="H191" s="63" t="n"/>
      <c r="I191" s="63" t="n"/>
      <c r="J191" s="64">
        <f>IF(OR($H191="",$I191=""),"",$I191-$H191+1)</f>
        <v/>
      </c>
      <c r="K191" s="65" t="n"/>
      <c r="L191" s="66">
        <f>IF($I191="","",$I191+N($K191))</f>
        <v/>
      </c>
      <c r="M191" s="67" t="n"/>
      <c r="N191" s="60">
        <f>IF($C191="","",IF(N($M191)&gt;=1,"Tamamlandı",IF(AND($I191&lt;&gt;"",$L191&lt;TODAY()),"Gecikmiş",IF(OR(N($M191)&gt;0,AND($H191&lt;&gt;"",$H191&lt;=TODAY())),"Devam Ediyor","Planlanan"))))</f>
        <v/>
      </c>
      <c r="O191" s="61" t="n"/>
      <c r="P191" s="61" t="n"/>
      <c r="Q191" s="68">
        <f>IF($C191="","",IF($N191="Tamamlandı","",IF($L191="","",IF($L191&lt;TODAY(),"⚠ "&amp;TEXT(TODAY()-$L191,"0")&amp;" gün gecikme",IF($L191-TODAY()&lt;=14,"● "&amp;TEXT($L191-TODAY(),"0")&amp;" gün kaldı","")))))</f>
        <v/>
      </c>
    </row>
    <row r="192" ht="18" customHeight="1">
      <c r="A192" s="60">
        <f>IF($C192="","",ROW()-4)</f>
        <v/>
      </c>
      <c r="B192" s="61" t="n"/>
      <c r="C192" s="61" t="n"/>
      <c r="D192" s="62" t="n"/>
      <c r="E192" s="62" t="n"/>
      <c r="F192" s="62" t="n"/>
      <c r="G192" s="62" t="n"/>
      <c r="H192" s="63" t="n"/>
      <c r="I192" s="63" t="n"/>
      <c r="J192" s="64">
        <f>IF(OR($H192="",$I192=""),"",$I192-$H192+1)</f>
        <v/>
      </c>
      <c r="K192" s="65" t="n"/>
      <c r="L192" s="66">
        <f>IF($I192="","",$I192+N($K192))</f>
        <v/>
      </c>
      <c r="M192" s="67" t="n"/>
      <c r="N192" s="60">
        <f>IF($C192="","",IF(N($M192)&gt;=1,"Tamamlandı",IF(AND($I192&lt;&gt;"",$L192&lt;TODAY()),"Gecikmiş",IF(OR(N($M192)&gt;0,AND($H192&lt;&gt;"",$H192&lt;=TODAY())),"Devam Ediyor","Planlanan"))))</f>
        <v/>
      </c>
      <c r="O192" s="61" t="n"/>
      <c r="P192" s="61" t="n"/>
      <c r="Q192" s="68">
        <f>IF($C192="","",IF($N192="Tamamlandı","",IF($L192="","",IF($L192&lt;TODAY(),"⚠ "&amp;TEXT(TODAY()-$L192,"0")&amp;" gün gecikme",IF($L192-TODAY()&lt;=14,"● "&amp;TEXT($L192-TODAY(),"0")&amp;" gün kaldı","")))))</f>
        <v/>
      </c>
    </row>
    <row r="193" ht="18" customHeight="1">
      <c r="A193" s="60">
        <f>IF($C193="","",ROW()-4)</f>
        <v/>
      </c>
      <c r="B193" s="61" t="n"/>
      <c r="C193" s="61" t="n"/>
      <c r="D193" s="62" t="n"/>
      <c r="E193" s="62" t="n"/>
      <c r="F193" s="62" t="n"/>
      <c r="G193" s="62" t="n"/>
      <c r="H193" s="63" t="n"/>
      <c r="I193" s="63" t="n"/>
      <c r="J193" s="64">
        <f>IF(OR($H193="",$I193=""),"",$I193-$H193+1)</f>
        <v/>
      </c>
      <c r="K193" s="65" t="n"/>
      <c r="L193" s="66">
        <f>IF($I193="","",$I193+N($K193))</f>
        <v/>
      </c>
      <c r="M193" s="67" t="n"/>
      <c r="N193" s="60">
        <f>IF($C193="","",IF(N($M193)&gt;=1,"Tamamlandı",IF(AND($I193&lt;&gt;"",$L193&lt;TODAY()),"Gecikmiş",IF(OR(N($M193)&gt;0,AND($H193&lt;&gt;"",$H193&lt;=TODAY())),"Devam Ediyor","Planlanan"))))</f>
        <v/>
      </c>
      <c r="O193" s="61" t="n"/>
      <c r="P193" s="61" t="n"/>
      <c r="Q193" s="68">
        <f>IF($C193="","",IF($N193="Tamamlandı","",IF($L193="","",IF($L193&lt;TODAY(),"⚠ "&amp;TEXT(TODAY()-$L193,"0")&amp;" gün gecikme",IF($L193-TODAY()&lt;=14,"● "&amp;TEXT($L193-TODAY(),"0")&amp;" gün kaldı","")))))</f>
        <v/>
      </c>
    </row>
    <row r="194" ht="18" customHeight="1">
      <c r="A194" s="60">
        <f>IF($C194="","",ROW()-4)</f>
        <v/>
      </c>
      <c r="B194" s="61" t="n"/>
      <c r="C194" s="61" t="n"/>
      <c r="D194" s="62" t="n"/>
      <c r="E194" s="62" t="n"/>
      <c r="F194" s="62" t="n"/>
      <c r="G194" s="62" t="n"/>
      <c r="H194" s="63" t="n"/>
      <c r="I194" s="63" t="n"/>
      <c r="J194" s="64">
        <f>IF(OR($H194="",$I194=""),"",$I194-$H194+1)</f>
        <v/>
      </c>
      <c r="K194" s="65" t="n"/>
      <c r="L194" s="66">
        <f>IF($I194="","",$I194+N($K194))</f>
        <v/>
      </c>
      <c r="M194" s="67" t="n"/>
      <c r="N194" s="60">
        <f>IF($C194="","",IF(N($M194)&gt;=1,"Tamamlandı",IF(AND($I194&lt;&gt;"",$L194&lt;TODAY()),"Gecikmiş",IF(OR(N($M194)&gt;0,AND($H194&lt;&gt;"",$H194&lt;=TODAY())),"Devam Ediyor","Planlanan"))))</f>
        <v/>
      </c>
      <c r="O194" s="61" t="n"/>
      <c r="P194" s="61" t="n"/>
      <c r="Q194" s="68">
        <f>IF($C194="","",IF($N194="Tamamlandı","",IF($L194="","",IF($L194&lt;TODAY(),"⚠ "&amp;TEXT(TODAY()-$L194,"0")&amp;" gün gecikme",IF($L194-TODAY()&lt;=14,"● "&amp;TEXT($L194-TODAY(),"0")&amp;" gün kaldı","")))))</f>
        <v/>
      </c>
    </row>
    <row r="195" ht="18" customHeight="1">
      <c r="A195" s="60">
        <f>IF($C195="","",ROW()-4)</f>
        <v/>
      </c>
      <c r="B195" s="61" t="n"/>
      <c r="C195" s="61" t="n"/>
      <c r="D195" s="62" t="n"/>
      <c r="E195" s="62" t="n"/>
      <c r="F195" s="62" t="n"/>
      <c r="G195" s="62" t="n"/>
      <c r="H195" s="63" t="n"/>
      <c r="I195" s="63" t="n"/>
      <c r="J195" s="64">
        <f>IF(OR($H195="",$I195=""),"",$I195-$H195+1)</f>
        <v/>
      </c>
      <c r="K195" s="65" t="n"/>
      <c r="L195" s="66">
        <f>IF($I195="","",$I195+N($K195))</f>
        <v/>
      </c>
      <c r="M195" s="67" t="n"/>
      <c r="N195" s="60">
        <f>IF($C195="","",IF(N($M195)&gt;=1,"Tamamlandı",IF(AND($I195&lt;&gt;"",$L195&lt;TODAY()),"Gecikmiş",IF(OR(N($M195)&gt;0,AND($H195&lt;&gt;"",$H195&lt;=TODAY())),"Devam Ediyor","Planlanan"))))</f>
        <v/>
      </c>
      <c r="O195" s="61" t="n"/>
      <c r="P195" s="61" t="n"/>
      <c r="Q195" s="68">
        <f>IF($C195="","",IF($N195="Tamamlandı","",IF($L195="","",IF($L195&lt;TODAY(),"⚠ "&amp;TEXT(TODAY()-$L195,"0")&amp;" gün gecikme",IF($L195-TODAY()&lt;=14,"● "&amp;TEXT($L195-TODAY(),"0")&amp;" gün kaldı","")))))</f>
        <v/>
      </c>
    </row>
    <row r="196" ht="18" customHeight="1">
      <c r="A196" s="60">
        <f>IF($C196="","",ROW()-4)</f>
        <v/>
      </c>
      <c r="B196" s="61" t="n"/>
      <c r="C196" s="61" t="n"/>
      <c r="D196" s="62" t="n"/>
      <c r="E196" s="62" t="n"/>
      <c r="F196" s="62" t="n"/>
      <c r="G196" s="62" t="n"/>
      <c r="H196" s="63" t="n"/>
      <c r="I196" s="63" t="n"/>
      <c r="J196" s="64">
        <f>IF(OR($H196="",$I196=""),"",$I196-$H196+1)</f>
        <v/>
      </c>
      <c r="K196" s="65" t="n"/>
      <c r="L196" s="66">
        <f>IF($I196="","",$I196+N($K196))</f>
        <v/>
      </c>
      <c r="M196" s="67" t="n"/>
      <c r="N196" s="60">
        <f>IF($C196="","",IF(N($M196)&gt;=1,"Tamamlandı",IF(AND($I196&lt;&gt;"",$L196&lt;TODAY()),"Gecikmiş",IF(OR(N($M196)&gt;0,AND($H196&lt;&gt;"",$H196&lt;=TODAY())),"Devam Ediyor","Planlanan"))))</f>
        <v/>
      </c>
      <c r="O196" s="61" t="n"/>
      <c r="P196" s="61" t="n"/>
      <c r="Q196" s="68">
        <f>IF($C196="","",IF($N196="Tamamlandı","",IF($L196="","",IF($L196&lt;TODAY(),"⚠ "&amp;TEXT(TODAY()-$L196,"0")&amp;" gün gecikme",IF($L196-TODAY()&lt;=14,"● "&amp;TEXT($L196-TODAY(),"0")&amp;" gün kaldı","")))))</f>
        <v/>
      </c>
    </row>
    <row r="197" ht="18" customHeight="1">
      <c r="A197" s="60">
        <f>IF($C197="","",ROW()-4)</f>
        <v/>
      </c>
      <c r="B197" s="61" t="n"/>
      <c r="C197" s="61" t="n"/>
      <c r="D197" s="62" t="n"/>
      <c r="E197" s="62" t="n"/>
      <c r="F197" s="62" t="n"/>
      <c r="G197" s="62" t="n"/>
      <c r="H197" s="63" t="n"/>
      <c r="I197" s="63" t="n"/>
      <c r="J197" s="64">
        <f>IF(OR($H197="",$I197=""),"",$I197-$H197+1)</f>
        <v/>
      </c>
      <c r="K197" s="65" t="n"/>
      <c r="L197" s="66">
        <f>IF($I197="","",$I197+N($K197))</f>
        <v/>
      </c>
      <c r="M197" s="67" t="n"/>
      <c r="N197" s="60">
        <f>IF($C197="","",IF(N($M197)&gt;=1,"Tamamlandı",IF(AND($I197&lt;&gt;"",$L197&lt;TODAY()),"Gecikmiş",IF(OR(N($M197)&gt;0,AND($H197&lt;&gt;"",$H197&lt;=TODAY())),"Devam Ediyor","Planlanan"))))</f>
        <v/>
      </c>
      <c r="O197" s="61" t="n"/>
      <c r="P197" s="61" t="n"/>
      <c r="Q197" s="68">
        <f>IF($C197="","",IF($N197="Tamamlandı","",IF($L197="","",IF($L197&lt;TODAY(),"⚠ "&amp;TEXT(TODAY()-$L197,"0")&amp;" gün gecikme",IF($L197-TODAY()&lt;=14,"● "&amp;TEXT($L197-TODAY(),"0")&amp;" gün kaldı","")))))</f>
        <v/>
      </c>
    </row>
    <row r="198" ht="18" customHeight="1">
      <c r="A198" s="60">
        <f>IF($C198="","",ROW()-4)</f>
        <v/>
      </c>
      <c r="B198" s="61" t="n"/>
      <c r="C198" s="61" t="n"/>
      <c r="D198" s="62" t="n"/>
      <c r="E198" s="62" t="n"/>
      <c r="F198" s="62" t="n"/>
      <c r="G198" s="62" t="n"/>
      <c r="H198" s="63" t="n"/>
      <c r="I198" s="63" t="n"/>
      <c r="J198" s="64">
        <f>IF(OR($H198="",$I198=""),"",$I198-$H198+1)</f>
        <v/>
      </c>
      <c r="K198" s="65" t="n"/>
      <c r="L198" s="66">
        <f>IF($I198="","",$I198+N($K198))</f>
        <v/>
      </c>
      <c r="M198" s="67" t="n"/>
      <c r="N198" s="60">
        <f>IF($C198="","",IF(N($M198)&gt;=1,"Tamamlandı",IF(AND($I198&lt;&gt;"",$L198&lt;TODAY()),"Gecikmiş",IF(OR(N($M198)&gt;0,AND($H198&lt;&gt;"",$H198&lt;=TODAY())),"Devam Ediyor","Planlanan"))))</f>
        <v/>
      </c>
      <c r="O198" s="61" t="n"/>
      <c r="P198" s="61" t="n"/>
      <c r="Q198" s="68">
        <f>IF($C198="","",IF($N198="Tamamlandı","",IF($L198="","",IF($L198&lt;TODAY(),"⚠ "&amp;TEXT(TODAY()-$L198,"0")&amp;" gün gecikme",IF($L198-TODAY()&lt;=14,"● "&amp;TEXT($L198-TODAY(),"0")&amp;" gün kaldı","")))))</f>
        <v/>
      </c>
    </row>
    <row r="199" ht="18" customHeight="1">
      <c r="A199" s="60">
        <f>IF($C199="","",ROW()-4)</f>
        <v/>
      </c>
      <c r="B199" s="61" t="n"/>
      <c r="C199" s="61" t="n"/>
      <c r="D199" s="62" t="n"/>
      <c r="E199" s="62" t="n"/>
      <c r="F199" s="62" t="n"/>
      <c r="G199" s="62" t="n"/>
      <c r="H199" s="63" t="n"/>
      <c r="I199" s="63" t="n"/>
      <c r="J199" s="64">
        <f>IF(OR($H199="",$I199=""),"",$I199-$H199+1)</f>
        <v/>
      </c>
      <c r="K199" s="65" t="n"/>
      <c r="L199" s="66">
        <f>IF($I199="","",$I199+N($K199))</f>
        <v/>
      </c>
      <c r="M199" s="67" t="n"/>
      <c r="N199" s="60">
        <f>IF($C199="","",IF(N($M199)&gt;=1,"Tamamlandı",IF(AND($I199&lt;&gt;"",$L199&lt;TODAY()),"Gecikmiş",IF(OR(N($M199)&gt;0,AND($H199&lt;&gt;"",$H199&lt;=TODAY())),"Devam Ediyor","Planlanan"))))</f>
        <v/>
      </c>
      <c r="O199" s="61" t="n"/>
      <c r="P199" s="61" t="n"/>
      <c r="Q199" s="68">
        <f>IF($C199="","",IF($N199="Tamamlandı","",IF($L199="","",IF($L199&lt;TODAY(),"⚠ "&amp;TEXT(TODAY()-$L199,"0")&amp;" gün gecikme",IF($L199-TODAY()&lt;=14,"● "&amp;TEXT($L199-TODAY(),"0")&amp;" gün kaldı","")))))</f>
        <v/>
      </c>
    </row>
    <row r="200" ht="18" customHeight="1">
      <c r="A200" s="60">
        <f>IF($C200="","",ROW()-4)</f>
        <v/>
      </c>
      <c r="B200" s="61" t="n"/>
      <c r="C200" s="61" t="n"/>
      <c r="D200" s="62" t="n"/>
      <c r="E200" s="62" t="n"/>
      <c r="F200" s="62" t="n"/>
      <c r="G200" s="62" t="n"/>
      <c r="H200" s="63" t="n"/>
      <c r="I200" s="63" t="n"/>
      <c r="J200" s="64">
        <f>IF(OR($H200="",$I200=""),"",$I200-$H200+1)</f>
        <v/>
      </c>
      <c r="K200" s="65" t="n"/>
      <c r="L200" s="66">
        <f>IF($I200="","",$I200+N($K200))</f>
        <v/>
      </c>
      <c r="M200" s="67" t="n"/>
      <c r="N200" s="60">
        <f>IF($C200="","",IF(N($M200)&gt;=1,"Tamamlandı",IF(AND($I200&lt;&gt;"",$L200&lt;TODAY()),"Gecikmiş",IF(OR(N($M200)&gt;0,AND($H200&lt;&gt;"",$H200&lt;=TODAY())),"Devam Ediyor","Planlanan"))))</f>
        <v/>
      </c>
      <c r="O200" s="61" t="n"/>
      <c r="P200" s="61" t="n"/>
      <c r="Q200" s="68">
        <f>IF($C200="","",IF($N200="Tamamlandı","",IF($L200="","",IF($L200&lt;TODAY(),"⚠ "&amp;TEXT(TODAY()-$L200,"0")&amp;" gün gecikme",IF($L200-TODAY()&lt;=14,"● "&amp;TEXT($L200-TODAY(),"0")&amp;" gün kaldı","")))))</f>
        <v/>
      </c>
    </row>
    <row r="201" ht="18" customHeight="1">
      <c r="A201" s="60">
        <f>IF($C201="","",ROW()-4)</f>
        <v/>
      </c>
      <c r="B201" s="61" t="n"/>
      <c r="C201" s="61" t="n"/>
      <c r="D201" s="62" t="n"/>
      <c r="E201" s="62" t="n"/>
      <c r="F201" s="62" t="n"/>
      <c r="G201" s="62" t="n"/>
      <c r="H201" s="63" t="n"/>
      <c r="I201" s="63" t="n"/>
      <c r="J201" s="64">
        <f>IF(OR($H201="",$I201=""),"",$I201-$H201+1)</f>
        <v/>
      </c>
      <c r="K201" s="65" t="n"/>
      <c r="L201" s="66">
        <f>IF($I201="","",$I201+N($K201))</f>
        <v/>
      </c>
      <c r="M201" s="67" t="n"/>
      <c r="N201" s="60">
        <f>IF($C201="","",IF(N($M201)&gt;=1,"Tamamlandı",IF(AND($I201&lt;&gt;"",$L201&lt;TODAY()),"Gecikmiş",IF(OR(N($M201)&gt;0,AND($H201&lt;&gt;"",$H201&lt;=TODAY())),"Devam Ediyor","Planlanan"))))</f>
        <v/>
      </c>
      <c r="O201" s="61" t="n"/>
      <c r="P201" s="61" t="n"/>
      <c r="Q201" s="68">
        <f>IF($C201="","",IF($N201="Tamamlandı","",IF($L201="","",IF($L201&lt;TODAY(),"⚠ "&amp;TEXT(TODAY()-$L201,"0")&amp;" gün gecikme",IF($L201-TODAY()&lt;=14,"● "&amp;TEXT($L201-TODAY(),"0")&amp;" gün kaldı","")))))</f>
        <v/>
      </c>
    </row>
    <row r="202" ht="18" customHeight="1">
      <c r="A202" s="60">
        <f>IF($C202="","",ROW()-4)</f>
        <v/>
      </c>
      <c r="B202" s="61" t="n"/>
      <c r="C202" s="61" t="n"/>
      <c r="D202" s="62" t="n"/>
      <c r="E202" s="62" t="n"/>
      <c r="F202" s="62" t="n"/>
      <c r="G202" s="62" t="n"/>
      <c r="H202" s="63" t="n"/>
      <c r="I202" s="63" t="n"/>
      <c r="J202" s="64">
        <f>IF(OR($H202="",$I202=""),"",$I202-$H202+1)</f>
        <v/>
      </c>
      <c r="K202" s="65" t="n"/>
      <c r="L202" s="66">
        <f>IF($I202="","",$I202+N($K202))</f>
        <v/>
      </c>
      <c r="M202" s="67" t="n"/>
      <c r="N202" s="60">
        <f>IF($C202="","",IF(N($M202)&gt;=1,"Tamamlandı",IF(AND($I202&lt;&gt;"",$L202&lt;TODAY()),"Gecikmiş",IF(OR(N($M202)&gt;0,AND($H202&lt;&gt;"",$H202&lt;=TODAY())),"Devam Ediyor","Planlanan"))))</f>
        <v/>
      </c>
      <c r="O202" s="61" t="n"/>
      <c r="P202" s="61" t="n"/>
      <c r="Q202" s="68">
        <f>IF($C202="","",IF($N202="Tamamlandı","",IF($L202="","",IF($L202&lt;TODAY(),"⚠ "&amp;TEXT(TODAY()-$L202,"0")&amp;" gün gecikme",IF($L202-TODAY()&lt;=14,"● "&amp;TEXT($L202-TODAY(),"0")&amp;" gün kaldı","")))))</f>
        <v/>
      </c>
    </row>
    <row r="203" ht="18" customHeight="1">
      <c r="A203" s="60">
        <f>IF($C203="","",ROW()-4)</f>
        <v/>
      </c>
      <c r="B203" s="61" t="n"/>
      <c r="C203" s="61" t="n"/>
      <c r="D203" s="62" t="n"/>
      <c r="E203" s="62" t="n"/>
      <c r="F203" s="62" t="n"/>
      <c r="G203" s="62" t="n"/>
      <c r="H203" s="63" t="n"/>
      <c r="I203" s="63" t="n"/>
      <c r="J203" s="64">
        <f>IF(OR($H203="",$I203=""),"",$I203-$H203+1)</f>
        <v/>
      </c>
      <c r="K203" s="65" t="n"/>
      <c r="L203" s="66">
        <f>IF($I203="","",$I203+N($K203))</f>
        <v/>
      </c>
      <c r="M203" s="67" t="n"/>
      <c r="N203" s="60">
        <f>IF($C203="","",IF(N($M203)&gt;=1,"Tamamlandı",IF(AND($I203&lt;&gt;"",$L203&lt;TODAY()),"Gecikmiş",IF(OR(N($M203)&gt;0,AND($H203&lt;&gt;"",$H203&lt;=TODAY())),"Devam Ediyor","Planlanan"))))</f>
        <v/>
      </c>
      <c r="O203" s="61" t="n"/>
      <c r="P203" s="61" t="n"/>
      <c r="Q203" s="68">
        <f>IF($C203="","",IF($N203="Tamamlandı","",IF($L203="","",IF($L203&lt;TODAY(),"⚠ "&amp;TEXT(TODAY()-$L203,"0")&amp;" gün gecikme",IF($L203-TODAY()&lt;=14,"● "&amp;TEXT($L203-TODAY(),"0")&amp;" gün kaldı","")))))</f>
        <v/>
      </c>
    </row>
    <row r="204" ht="18" customHeight="1">
      <c r="A204" s="60">
        <f>IF($C204="","",ROW()-4)</f>
        <v/>
      </c>
      <c r="B204" s="61" t="n"/>
      <c r="C204" s="61" t="n"/>
      <c r="D204" s="62" t="n"/>
      <c r="E204" s="62" t="n"/>
      <c r="F204" s="62" t="n"/>
      <c r="G204" s="62" t="n"/>
      <c r="H204" s="63" t="n"/>
      <c r="I204" s="63" t="n"/>
      <c r="J204" s="64">
        <f>IF(OR($H204="",$I204=""),"",$I204-$H204+1)</f>
        <v/>
      </c>
      <c r="K204" s="65" t="n"/>
      <c r="L204" s="66">
        <f>IF($I204="","",$I204+N($K204))</f>
        <v/>
      </c>
      <c r="M204" s="67" t="n"/>
      <c r="N204" s="60">
        <f>IF($C204="","",IF(N($M204)&gt;=1,"Tamamlandı",IF(AND($I204&lt;&gt;"",$L204&lt;TODAY()),"Gecikmiş",IF(OR(N($M204)&gt;0,AND($H204&lt;&gt;"",$H204&lt;=TODAY())),"Devam Ediyor","Planlanan"))))</f>
        <v/>
      </c>
      <c r="O204" s="61" t="n"/>
      <c r="P204" s="61" t="n"/>
      <c r="Q204" s="68">
        <f>IF($C204="","",IF($N204="Tamamlandı","",IF($L204="","",IF($L204&lt;TODAY(),"⚠ "&amp;TEXT(TODAY()-$L204,"0")&amp;" gün gecikme",IF($L204-TODAY()&lt;=14,"● "&amp;TEXT($L204-TODAY(),"0")&amp;" gün kaldı","")))))</f>
        <v/>
      </c>
    </row>
  </sheetData>
  <autoFilter ref="A4:Q204"/>
  <mergeCells count="2">
    <mergeCell ref="A3:Q3"/>
    <mergeCell ref="A1:Q2"/>
  </mergeCells>
  <conditionalFormatting sqref="N5:N204">
    <cfRule type="cellIs" priority="1" operator="equal" dxfId="0">
      <formula>"Planlanan"</formula>
    </cfRule>
    <cfRule type="cellIs" priority="2" operator="equal" dxfId="1">
      <formula>"Devam Ediyor"</formula>
    </cfRule>
    <cfRule type="cellIs" priority="3" operator="equal" dxfId="2">
      <formula>"Tamamlandı"</formula>
    </cfRule>
    <cfRule type="cellIs" priority="4" operator="equal" dxfId="3">
      <formula>"Gecikmiş"</formula>
    </cfRule>
  </conditionalFormatting>
  <conditionalFormatting sqref="Q5:Q204">
    <cfRule type="expression" priority="5" dxfId="4">
      <formula>ISNUMBER(SEARCH("gecikme",$Q5))</formula>
    </cfRule>
    <cfRule type="expression" priority="6" dxfId="5">
      <formula>ISNUMBER(SEARCH("kaldı",$Q5))</formula>
    </cfRule>
  </conditionalFormatting>
  <conditionalFormatting sqref="G5:G204">
    <cfRule type="cellIs" priority="7" operator="equal" dxfId="6">
      <formula>"Yüksek"</formula>
    </cfRule>
  </conditionalFormatting>
  <conditionalFormatting sqref="M5:M204">
    <cfRule type="dataBar" priority="8">
      <dataBar showValue="1">
        <cfvo type="num" val="0"/>
        <cfvo type="num" val="1"/>
        <color rgb="002E75B6"/>
      </dataBar>
    </cfRule>
  </conditionalFormatting>
  <conditionalFormatting sqref="B5:Q204">
    <cfRule type="expression" priority="9" dxfId="7">
      <formula>$N5="Gecikmiş"</formula>
    </cfRule>
  </conditionalFormatting>
  <dataValidations count="7">
    <dataValidation sqref="B5:B204" showDropDown="0" showInputMessage="0" showErrorMessage="0" allowBlank="1" type="list">
      <formula1>=Listeler!$B$4:$B$43</formula1>
    </dataValidation>
    <dataValidation sqref="D5:D204" showDropDown="0" showInputMessage="0" showErrorMessage="0" allowBlank="1" type="list">
      <formula1>=Listeler!$D$4:$D$43</formula1>
    </dataValidation>
    <dataValidation sqref="E5:E204" showDropDown="0" showInputMessage="0" showErrorMessage="0" allowBlank="1" type="list">
      <formula1>=Listeler!$D$4:$D$43</formula1>
    </dataValidation>
    <dataValidation sqref="F5:F204" showDropDown="0" showInputMessage="0" showErrorMessage="0" allowBlank="1" type="list">
      <formula1>=Listeler!$D$4:$D$43</formula1>
    </dataValidation>
    <dataValidation sqref="G5:G204" showDropDown="0" showInputMessage="0" showErrorMessage="0" allowBlank="1" type="list">
      <formula1>=Listeler!$F$4:$F$13</formula1>
    </dataValidation>
    <dataValidation sqref="M5:M204" showDropDown="0" showInputMessage="0" showErrorMessage="0" allowBlank="1" errorTitle="Geçersiz değer" error="İlerleme %0 ile %100 arasında olmalıdır." type="decimal" operator="between">
      <formula1>0</formula1>
      <formula2>1</formula2>
    </dataValidation>
    <dataValidation sqref="K5:K204" showDropDown="0" showInputMessage="0" showErrorMessage="0" allowBlank="1" errorTitle="Geçersiz değer" error="Gecikme negatif olamaz." type="whole" operator="greaterThanOrEqual">
      <formula1>0</formula1>
    </dataValidation>
  </dataValidations>
  <pageMargins left="0.75" right="0.75" top="1" bottom="1" header="0.5" footer="0.5"/>
  <pageSetup orientation="landscape"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BE204"/>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12" customWidth="1" min="3" max="3"/>
    <col width="13" customWidth="1" min="4" max="4"/>
    <col width="1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s>
  <sheetData>
    <row r="1" ht="24" customHeight="1">
      <c r="A1" s="57" t="inlineStr">
        <is>
          <t>GANTT ŞEMASI  |  GANTT HAFTALIK  |  2026</t>
        </is>
      </c>
    </row>
    <row r="2" ht="16" customHeight="1"/>
    <row r="3" ht="18" customHeight="1">
      <c r="A3" s="59" t="inlineStr">
        <is>
          <t>İş Kalemi</t>
        </is>
      </c>
      <c r="B3" s="59" t="inlineStr">
        <is>
          <t>Grup</t>
        </is>
      </c>
      <c r="C3" s="59" t="inlineStr">
        <is>
          <t>Başlangıç</t>
        </is>
      </c>
      <c r="D3" s="59" t="inlineStr">
        <is>
          <t>Bitiş (Revize)</t>
        </is>
      </c>
      <c r="E3" s="59" t="inlineStr">
        <is>
          <t>Durum</t>
        </is>
      </c>
      <c r="F3" s="69" t="inlineStr">
        <is>
          <t>Oca</t>
        </is>
      </c>
      <c r="G3" s="70" t="n"/>
      <c r="H3" s="70" t="n"/>
      <c r="I3" s="70" t="n"/>
      <c r="J3" s="70" t="n"/>
      <c r="K3" s="71" t="inlineStr">
        <is>
          <t>Şub</t>
        </is>
      </c>
      <c r="L3" s="72" t="n"/>
      <c r="M3" s="72" t="n"/>
      <c r="N3" s="72" t="n"/>
      <c r="O3" s="69" t="inlineStr">
        <is>
          <t>Mar</t>
        </is>
      </c>
      <c r="P3" s="70" t="n"/>
      <c r="Q3" s="70" t="n"/>
      <c r="R3" s="70" t="n"/>
      <c r="S3" s="71" t="inlineStr">
        <is>
          <t>Nis</t>
        </is>
      </c>
      <c r="T3" s="72" t="n"/>
      <c r="U3" s="72" t="n"/>
      <c r="V3" s="72" t="n"/>
      <c r="W3" s="72" t="n"/>
      <c r="X3" s="69" t="inlineStr">
        <is>
          <t>May</t>
        </is>
      </c>
      <c r="Y3" s="70" t="n"/>
      <c r="Z3" s="70" t="n"/>
      <c r="AA3" s="70" t="n"/>
      <c r="AB3" s="71" t="inlineStr">
        <is>
          <t>Haz</t>
        </is>
      </c>
      <c r="AC3" s="72" t="n"/>
      <c r="AD3" s="72" t="n"/>
      <c r="AE3" s="72" t="n"/>
      <c r="AF3" s="69" t="inlineStr">
        <is>
          <t>Tem</t>
        </is>
      </c>
      <c r="AG3" s="70" t="n"/>
      <c r="AH3" s="70" t="n"/>
      <c r="AI3" s="70" t="n"/>
      <c r="AJ3" s="70" t="n"/>
      <c r="AK3" s="71" t="inlineStr">
        <is>
          <t>Ağu</t>
        </is>
      </c>
      <c r="AL3" s="72" t="n"/>
      <c r="AM3" s="72" t="n"/>
      <c r="AN3" s="72" t="n"/>
      <c r="AO3" s="69" t="inlineStr">
        <is>
          <t>Eyl</t>
        </is>
      </c>
      <c r="AP3" s="70" t="n"/>
      <c r="AQ3" s="70" t="n"/>
      <c r="AR3" s="70" t="n"/>
      <c r="AS3" s="71" t="inlineStr">
        <is>
          <t>Eki</t>
        </is>
      </c>
      <c r="AT3" s="72" t="n"/>
      <c r="AU3" s="72" t="n"/>
      <c r="AV3" s="72" t="n"/>
      <c r="AW3" s="72" t="n"/>
      <c r="AX3" s="69" t="inlineStr">
        <is>
          <t>Kas</t>
        </is>
      </c>
      <c r="AY3" s="70" t="n"/>
      <c r="AZ3" s="70" t="n"/>
      <c r="BA3" s="70" t="n"/>
      <c r="BB3" s="71" t="inlineStr">
        <is>
          <t>Ara</t>
        </is>
      </c>
      <c r="BC3" s="72" t="n"/>
      <c r="BD3" s="72" t="n"/>
      <c r="BE3" s="72" t="n"/>
    </row>
    <row r="4" ht="20" customHeight="1">
      <c r="A4" s="73" t="n"/>
      <c r="B4" s="73" t="n"/>
      <c r="C4" s="73" t="n"/>
      <c r="D4" s="73" t="n"/>
      <c r="E4" s="73" t="n"/>
      <c r="F4" s="74" t="n">
        <v>46023</v>
      </c>
      <c r="G4" s="74" t="n">
        <v>46030</v>
      </c>
      <c r="H4" s="74" t="n">
        <v>46037</v>
      </c>
      <c r="I4" s="74" t="n">
        <v>46044</v>
      </c>
      <c r="J4" s="74" t="n">
        <v>46051</v>
      </c>
      <c r="K4" s="74" t="n">
        <v>46058</v>
      </c>
      <c r="L4" s="74" t="n">
        <v>46065</v>
      </c>
      <c r="M4" s="74" t="n">
        <v>46072</v>
      </c>
      <c r="N4" s="74" t="n">
        <v>46079</v>
      </c>
      <c r="O4" s="74" t="n">
        <v>46086</v>
      </c>
      <c r="P4" s="74" t="n">
        <v>46093</v>
      </c>
      <c r="Q4" s="74" t="n">
        <v>46100</v>
      </c>
      <c r="R4" s="74" t="n">
        <v>46107</v>
      </c>
      <c r="S4" s="74" t="n">
        <v>46114</v>
      </c>
      <c r="T4" s="74" t="n">
        <v>46121</v>
      </c>
      <c r="U4" s="74" t="n">
        <v>46128</v>
      </c>
      <c r="V4" s="74" t="n">
        <v>46135</v>
      </c>
      <c r="W4" s="74" t="n">
        <v>46142</v>
      </c>
      <c r="X4" s="74" t="n">
        <v>46149</v>
      </c>
      <c r="Y4" s="74" t="n">
        <v>46156</v>
      </c>
      <c r="Z4" s="74" t="n">
        <v>46163</v>
      </c>
      <c r="AA4" s="74" t="n">
        <v>46170</v>
      </c>
      <c r="AB4" s="74" t="n">
        <v>46177</v>
      </c>
      <c r="AC4" s="74" t="n">
        <v>46184</v>
      </c>
      <c r="AD4" s="74" t="n">
        <v>46191</v>
      </c>
      <c r="AE4" s="74" t="n">
        <v>46198</v>
      </c>
      <c r="AF4" s="74" t="n">
        <v>46205</v>
      </c>
      <c r="AG4" s="74" t="n">
        <v>46212</v>
      </c>
      <c r="AH4" s="74" t="n">
        <v>46219</v>
      </c>
      <c r="AI4" s="74" t="n">
        <v>46226</v>
      </c>
      <c r="AJ4" s="74" t="n">
        <v>46233</v>
      </c>
      <c r="AK4" s="74" t="n">
        <v>46240</v>
      </c>
      <c r="AL4" s="74" t="n">
        <v>46247</v>
      </c>
      <c r="AM4" s="74" t="n">
        <v>46254</v>
      </c>
      <c r="AN4" s="74" t="n">
        <v>46261</v>
      </c>
      <c r="AO4" s="74" t="n">
        <v>46268</v>
      </c>
      <c r="AP4" s="74" t="n">
        <v>46275</v>
      </c>
      <c r="AQ4" s="74" t="n">
        <v>46282</v>
      </c>
      <c r="AR4" s="74" t="n">
        <v>46289</v>
      </c>
      <c r="AS4" s="74" t="n">
        <v>46296</v>
      </c>
      <c r="AT4" s="74" t="n">
        <v>46303</v>
      </c>
      <c r="AU4" s="74" t="n">
        <v>46310</v>
      </c>
      <c r="AV4" s="74" t="n">
        <v>46317</v>
      </c>
      <c r="AW4" s="74" t="n">
        <v>46324</v>
      </c>
      <c r="AX4" s="74" t="n">
        <v>46331</v>
      </c>
      <c r="AY4" s="74" t="n">
        <v>46338</v>
      </c>
      <c r="AZ4" s="74" t="n">
        <v>46345</v>
      </c>
      <c r="BA4" s="74" t="n">
        <v>46352</v>
      </c>
      <c r="BB4" s="74" t="n">
        <v>46359</v>
      </c>
      <c r="BC4" s="74" t="n">
        <v>46366</v>
      </c>
      <c r="BD4" s="74" t="n">
        <v>46373</v>
      </c>
      <c r="BE4" s="74" t="n">
        <v>46380</v>
      </c>
    </row>
    <row r="5" ht="18" customHeight="1">
      <c r="A5" s="49">
        <f>IF('İş Planı'!$C5="","",'İş Planı'!$C5)</f>
        <v/>
      </c>
      <c r="B5" s="49">
        <f>IF('İş Planı'!$B5="","",'İş Planı'!$B5)</f>
        <v/>
      </c>
      <c r="C5" s="63">
        <f>IF('İş Planı'!$H5="","",'İş Planı'!$H5)</f>
        <v/>
      </c>
      <c r="D5" s="63">
        <f>IF('İş Planı'!$L5="","",'İş Planı'!$L5)</f>
        <v/>
      </c>
      <c r="E5" s="62">
        <f>IF('İş Planı'!$N5="","",'İş Planı'!$N5)</f>
        <v/>
      </c>
      <c r="F5" s="75" t="n"/>
      <c r="G5" s="75" t="n"/>
      <c r="H5" s="75" t="n"/>
      <c r="I5" s="75" t="n"/>
      <c r="J5" s="75" t="n"/>
      <c r="K5" s="75" t="n"/>
      <c r="L5" s="75" t="n"/>
      <c r="M5" s="75" t="n"/>
      <c r="N5" s="75" t="n"/>
      <c r="O5" s="75" t="n"/>
      <c r="P5" s="75" t="n"/>
      <c r="Q5" s="75" t="n"/>
      <c r="R5" s="75"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row>
    <row r="6" ht="18" customHeight="1">
      <c r="A6" s="49">
        <f>IF('İş Planı'!$C6="","",'İş Planı'!$C6)</f>
        <v/>
      </c>
      <c r="B6" s="49">
        <f>IF('İş Planı'!$B6="","",'İş Planı'!$B6)</f>
        <v/>
      </c>
      <c r="C6" s="63">
        <f>IF('İş Planı'!$H6="","",'İş Planı'!$H6)</f>
        <v/>
      </c>
      <c r="D6" s="63">
        <f>IF('İş Planı'!$L6="","",'İş Planı'!$L6)</f>
        <v/>
      </c>
      <c r="E6" s="62">
        <f>IF('İş Planı'!$N6="","",'İş Planı'!$N6)</f>
        <v/>
      </c>
      <c r="F6" s="75" t="n"/>
      <c r="G6" s="75" t="n"/>
      <c r="H6" s="75" t="n"/>
      <c r="I6" s="75" t="n"/>
      <c r="J6" s="75" t="n"/>
      <c r="K6" s="75" t="n"/>
      <c r="L6" s="75" t="n"/>
      <c r="M6" s="75" t="n"/>
      <c r="N6" s="75" t="n"/>
      <c r="O6" s="75" t="n"/>
      <c r="P6" s="75" t="n"/>
      <c r="Q6" s="75" t="n"/>
      <c r="R6" s="75" t="n"/>
      <c r="S6" s="75" t="n"/>
      <c r="T6" s="75" t="n"/>
      <c r="U6" s="75" t="n"/>
      <c r="V6" s="75" t="n"/>
      <c r="W6" s="75" t="n"/>
      <c r="X6" s="75" t="n"/>
      <c r="Y6" s="75" t="n"/>
      <c r="Z6" s="75" t="n"/>
      <c r="AA6" s="75" t="n"/>
      <c r="AB6" s="75" t="n"/>
      <c r="AC6" s="75" t="n"/>
      <c r="AD6" s="75" t="n"/>
      <c r="AE6" s="75" t="n"/>
      <c r="AF6" s="75" t="n"/>
      <c r="AG6" s="75" t="n"/>
      <c r="AH6" s="75" t="n"/>
      <c r="AI6" s="75" t="n"/>
      <c r="AJ6" s="75" t="n"/>
      <c r="AK6" s="75" t="n"/>
      <c r="AL6" s="75" t="n"/>
      <c r="AM6" s="75" t="n"/>
      <c r="AN6" s="75" t="n"/>
      <c r="AO6" s="75" t="n"/>
      <c r="AP6" s="75" t="n"/>
      <c r="AQ6" s="75" t="n"/>
      <c r="AR6" s="75" t="n"/>
      <c r="AS6" s="75" t="n"/>
      <c r="AT6" s="75" t="n"/>
      <c r="AU6" s="75" t="n"/>
      <c r="AV6" s="75" t="n"/>
      <c r="AW6" s="75" t="n"/>
      <c r="AX6" s="75" t="n"/>
      <c r="AY6" s="75" t="n"/>
      <c r="AZ6" s="75" t="n"/>
      <c r="BA6" s="75" t="n"/>
      <c r="BB6" s="75" t="n"/>
      <c r="BC6" s="75" t="n"/>
      <c r="BD6" s="75" t="n"/>
      <c r="BE6" s="75" t="n"/>
    </row>
    <row r="7" ht="18" customHeight="1">
      <c r="A7" s="49">
        <f>IF('İş Planı'!$C7="","",'İş Planı'!$C7)</f>
        <v/>
      </c>
      <c r="B7" s="49">
        <f>IF('İş Planı'!$B7="","",'İş Planı'!$B7)</f>
        <v/>
      </c>
      <c r="C7" s="63">
        <f>IF('İş Planı'!$H7="","",'İş Planı'!$H7)</f>
        <v/>
      </c>
      <c r="D7" s="63">
        <f>IF('İş Planı'!$L7="","",'İş Planı'!$L7)</f>
        <v/>
      </c>
      <c r="E7" s="62">
        <f>IF('İş Planı'!$N7="","",'İş Planı'!$N7)</f>
        <v/>
      </c>
      <c r="F7" s="75" t="n"/>
      <c r="G7" s="75" t="n"/>
      <c r="H7" s="75" t="n"/>
      <c r="I7" s="75" t="n"/>
      <c r="J7" s="75" t="n"/>
      <c r="K7" s="75" t="n"/>
      <c r="L7" s="75" t="n"/>
      <c r="M7" s="75" t="n"/>
      <c r="N7" s="75" t="n"/>
      <c r="O7" s="75" t="n"/>
      <c r="P7" s="75" t="n"/>
      <c r="Q7" s="75" t="n"/>
      <c r="R7" s="75" t="n"/>
      <c r="S7" s="75" t="n"/>
      <c r="T7" s="75" t="n"/>
      <c r="U7" s="75" t="n"/>
      <c r="V7" s="75" t="n"/>
      <c r="W7" s="75" t="n"/>
      <c r="X7" s="75" t="n"/>
      <c r="Y7" s="75" t="n"/>
      <c r="Z7" s="75" t="n"/>
      <c r="AA7" s="75" t="n"/>
      <c r="AB7" s="75" t="n"/>
      <c r="AC7" s="75" t="n"/>
      <c r="AD7" s="75" t="n"/>
      <c r="AE7" s="75" t="n"/>
      <c r="AF7" s="75" t="n"/>
      <c r="AG7" s="75" t="n"/>
      <c r="AH7" s="75" t="n"/>
      <c r="AI7" s="75" t="n"/>
      <c r="AJ7" s="75" t="n"/>
      <c r="AK7" s="75" t="n"/>
      <c r="AL7" s="75" t="n"/>
      <c r="AM7" s="75" t="n"/>
      <c r="AN7" s="75" t="n"/>
      <c r="AO7" s="75" t="n"/>
      <c r="AP7" s="75" t="n"/>
      <c r="AQ7" s="75" t="n"/>
      <c r="AR7" s="75" t="n"/>
      <c r="AS7" s="75" t="n"/>
      <c r="AT7" s="75" t="n"/>
      <c r="AU7" s="75" t="n"/>
      <c r="AV7" s="75" t="n"/>
      <c r="AW7" s="75" t="n"/>
      <c r="AX7" s="75" t="n"/>
      <c r="AY7" s="75" t="n"/>
      <c r="AZ7" s="75" t="n"/>
      <c r="BA7" s="75" t="n"/>
      <c r="BB7" s="75" t="n"/>
      <c r="BC7" s="75" t="n"/>
      <c r="BD7" s="75" t="n"/>
      <c r="BE7" s="75" t="n"/>
    </row>
    <row r="8" ht="18" customHeight="1">
      <c r="A8" s="49">
        <f>IF('İş Planı'!$C8="","",'İş Planı'!$C8)</f>
        <v/>
      </c>
      <c r="B8" s="49">
        <f>IF('İş Planı'!$B8="","",'İş Planı'!$B8)</f>
        <v/>
      </c>
      <c r="C8" s="63">
        <f>IF('İş Planı'!$H8="","",'İş Planı'!$H8)</f>
        <v/>
      </c>
      <c r="D8" s="63">
        <f>IF('İş Planı'!$L8="","",'İş Planı'!$L8)</f>
        <v/>
      </c>
      <c r="E8" s="62">
        <f>IF('İş Planı'!$N8="","",'İş Planı'!$N8)</f>
        <v/>
      </c>
      <c r="F8" s="75" t="n"/>
      <c r="G8" s="75" t="n"/>
      <c r="H8" s="75" t="n"/>
      <c r="I8" s="75" t="n"/>
      <c r="J8" s="75" t="n"/>
      <c r="K8" s="75" t="n"/>
      <c r="L8" s="75" t="n"/>
      <c r="M8" s="75" t="n"/>
      <c r="N8" s="75" t="n"/>
      <c r="O8" s="75" t="n"/>
      <c r="P8" s="75" t="n"/>
      <c r="Q8" s="75" t="n"/>
      <c r="R8" s="75" t="n"/>
      <c r="S8" s="75" t="n"/>
      <c r="T8" s="75" t="n"/>
      <c r="U8" s="75" t="n"/>
      <c r="V8" s="75" t="n"/>
      <c r="W8" s="75" t="n"/>
      <c r="X8" s="75" t="n"/>
      <c r="Y8" s="75" t="n"/>
      <c r="Z8" s="75" t="n"/>
      <c r="AA8" s="75" t="n"/>
      <c r="AB8" s="75" t="n"/>
      <c r="AC8" s="75" t="n"/>
      <c r="AD8" s="75" t="n"/>
      <c r="AE8" s="75" t="n"/>
      <c r="AF8" s="75" t="n"/>
      <c r="AG8" s="75" t="n"/>
      <c r="AH8" s="75" t="n"/>
      <c r="AI8" s="75" t="n"/>
      <c r="AJ8" s="75" t="n"/>
      <c r="AK8" s="75" t="n"/>
      <c r="AL8" s="75" t="n"/>
      <c r="AM8" s="75" t="n"/>
      <c r="AN8" s="75" t="n"/>
      <c r="AO8" s="75" t="n"/>
      <c r="AP8" s="75" t="n"/>
      <c r="AQ8" s="75" t="n"/>
      <c r="AR8" s="75" t="n"/>
      <c r="AS8" s="75" t="n"/>
      <c r="AT8" s="75" t="n"/>
      <c r="AU8" s="75" t="n"/>
      <c r="AV8" s="75" t="n"/>
      <c r="AW8" s="75" t="n"/>
      <c r="AX8" s="75" t="n"/>
      <c r="AY8" s="75" t="n"/>
      <c r="AZ8" s="75" t="n"/>
      <c r="BA8" s="75" t="n"/>
      <c r="BB8" s="75" t="n"/>
      <c r="BC8" s="75" t="n"/>
      <c r="BD8" s="75" t="n"/>
      <c r="BE8" s="75" t="n"/>
    </row>
    <row r="9" ht="18" customHeight="1">
      <c r="A9" s="49">
        <f>IF('İş Planı'!$C9="","",'İş Planı'!$C9)</f>
        <v/>
      </c>
      <c r="B9" s="49">
        <f>IF('İş Planı'!$B9="","",'İş Planı'!$B9)</f>
        <v/>
      </c>
      <c r="C9" s="63">
        <f>IF('İş Planı'!$H9="","",'İş Planı'!$H9)</f>
        <v/>
      </c>
      <c r="D9" s="63">
        <f>IF('İş Planı'!$L9="","",'İş Planı'!$L9)</f>
        <v/>
      </c>
      <c r="E9" s="62">
        <f>IF('İş Planı'!$N9="","",'İş Planı'!$N9)</f>
        <v/>
      </c>
      <c r="F9" s="75" t="n"/>
      <c r="G9" s="75" t="n"/>
      <c r="H9" s="75" t="n"/>
      <c r="I9" s="75" t="n"/>
      <c r="J9" s="75" t="n"/>
      <c r="K9" s="75" t="n"/>
      <c r="L9" s="75" t="n"/>
      <c r="M9" s="75" t="n"/>
      <c r="N9" s="75" t="n"/>
      <c r="O9" s="75" t="n"/>
      <c r="P9" s="75" t="n"/>
      <c r="Q9" s="75" t="n"/>
      <c r="R9" s="75" t="n"/>
      <c r="S9" s="75" t="n"/>
      <c r="T9" s="75" t="n"/>
      <c r="U9" s="75" t="n"/>
      <c r="V9" s="75" t="n"/>
      <c r="W9" s="75" t="n"/>
      <c r="X9" s="75" t="n"/>
      <c r="Y9" s="75" t="n"/>
      <c r="Z9" s="75" t="n"/>
      <c r="AA9" s="75" t="n"/>
      <c r="AB9" s="75" t="n"/>
      <c r="AC9" s="75" t="n"/>
      <c r="AD9" s="75" t="n"/>
      <c r="AE9" s="75" t="n"/>
      <c r="AF9" s="75" t="n"/>
      <c r="AG9" s="75" t="n"/>
      <c r="AH9" s="75" t="n"/>
      <c r="AI9" s="75" t="n"/>
      <c r="AJ9" s="75" t="n"/>
      <c r="AK9" s="75" t="n"/>
      <c r="AL9" s="75" t="n"/>
      <c r="AM9" s="75" t="n"/>
      <c r="AN9" s="75" t="n"/>
      <c r="AO9" s="75" t="n"/>
      <c r="AP9" s="75" t="n"/>
      <c r="AQ9" s="75" t="n"/>
      <c r="AR9" s="75" t="n"/>
      <c r="AS9" s="75" t="n"/>
      <c r="AT9" s="75" t="n"/>
      <c r="AU9" s="75" t="n"/>
      <c r="AV9" s="75" t="n"/>
      <c r="AW9" s="75" t="n"/>
      <c r="AX9" s="75" t="n"/>
      <c r="AY9" s="75" t="n"/>
      <c r="AZ9" s="75" t="n"/>
      <c r="BA9" s="75" t="n"/>
      <c r="BB9" s="75" t="n"/>
      <c r="BC9" s="75" t="n"/>
      <c r="BD9" s="75" t="n"/>
      <c r="BE9" s="75" t="n"/>
    </row>
    <row r="10" ht="18" customHeight="1">
      <c r="A10" s="49">
        <f>IF('İş Planı'!$C10="","",'İş Planı'!$C10)</f>
        <v/>
      </c>
      <c r="B10" s="49">
        <f>IF('İş Planı'!$B10="","",'İş Planı'!$B10)</f>
        <v/>
      </c>
      <c r="C10" s="63">
        <f>IF('İş Planı'!$H10="","",'İş Planı'!$H10)</f>
        <v/>
      </c>
      <c r="D10" s="63">
        <f>IF('İş Planı'!$L10="","",'İş Planı'!$L10)</f>
        <v/>
      </c>
      <c r="E10" s="62">
        <f>IF('İş Planı'!$N10="","",'İş Planı'!$N10)</f>
        <v/>
      </c>
      <c r="F10" s="75" t="n"/>
      <c r="G10" s="75" t="n"/>
      <c r="H10" s="75" t="n"/>
      <c r="I10" s="75" t="n"/>
      <c r="J10" s="75" t="n"/>
      <c r="K10" s="75" t="n"/>
      <c r="L10" s="75" t="n"/>
      <c r="M10" s="75" t="n"/>
      <c r="N10" s="75" t="n"/>
      <c r="O10" s="75" t="n"/>
      <c r="P10" s="75" t="n"/>
      <c r="Q10" s="75" t="n"/>
      <c r="R10" s="75" t="n"/>
      <c r="S10" s="75" t="n"/>
      <c r="T10" s="75" t="n"/>
      <c r="U10" s="75" t="n"/>
      <c r="V10" s="75" t="n"/>
      <c r="W10" s="75" t="n"/>
      <c r="X10" s="75" t="n"/>
      <c r="Y10" s="75" t="n"/>
      <c r="Z10" s="75" t="n"/>
      <c r="AA10" s="75" t="n"/>
      <c r="AB10" s="75" t="n"/>
      <c r="AC10" s="75" t="n"/>
      <c r="AD10" s="75" t="n"/>
      <c r="AE10" s="75" t="n"/>
      <c r="AF10" s="75" t="n"/>
      <c r="AG10" s="75" t="n"/>
      <c r="AH10" s="75" t="n"/>
      <c r="AI10" s="75" t="n"/>
      <c r="AJ10" s="75" t="n"/>
      <c r="AK10" s="75" t="n"/>
      <c r="AL10" s="75" t="n"/>
      <c r="AM10" s="75" t="n"/>
      <c r="AN10" s="75" t="n"/>
      <c r="AO10" s="75" t="n"/>
      <c r="AP10" s="75" t="n"/>
      <c r="AQ10" s="75" t="n"/>
      <c r="AR10" s="75" t="n"/>
      <c r="AS10" s="75" t="n"/>
      <c r="AT10" s="75" t="n"/>
      <c r="AU10" s="75" t="n"/>
      <c r="AV10" s="75" t="n"/>
      <c r="AW10" s="75" t="n"/>
      <c r="AX10" s="75" t="n"/>
      <c r="AY10" s="75" t="n"/>
      <c r="AZ10" s="75" t="n"/>
      <c r="BA10" s="75" t="n"/>
      <c r="BB10" s="75" t="n"/>
      <c r="BC10" s="75" t="n"/>
      <c r="BD10" s="75" t="n"/>
      <c r="BE10" s="75" t="n"/>
    </row>
    <row r="11" ht="18" customHeight="1">
      <c r="A11" s="49">
        <f>IF('İş Planı'!$C11="","",'İş Planı'!$C11)</f>
        <v/>
      </c>
      <c r="B11" s="49">
        <f>IF('İş Planı'!$B11="","",'İş Planı'!$B11)</f>
        <v/>
      </c>
      <c r="C11" s="63">
        <f>IF('İş Planı'!$H11="","",'İş Planı'!$H11)</f>
        <v/>
      </c>
      <c r="D11" s="63">
        <f>IF('İş Planı'!$L11="","",'İş Planı'!$L11)</f>
        <v/>
      </c>
      <c r="E11" s="62">
        <f>IF('İş Planı'!$N11="","",'İş Planı'!$N11)</f>
        <v/>
      </c>
      <c r="F11" s="75" t="n"/>
      <c r="G11" s="75" t="n"/>
      <c r="H11" s="75" t="n"/>
      <c r="I11" s="75" t="n"/>
      <c r="J11" s="75" t="n"/>
      <c r="K11" s="75" t="n"/>
      <c r="L11" s="75" t="n"/>
      <c r="M11" s="75" t="n"/>
      <c r="N11" s="75" t="n"/>
      <c r="O11" s="75" t="n"/>
      <c r="P11" s="75" t="n"/>
      <c r="Q11" s="75" t="n"/>
      <c r="R11" s="75" t="n"/>
      <c r="S11" s="75" t="n"/>
      <c r="T11" s="75" t="n"/>
      <c r="U11" s="75" t="n"/>
      <c r="V11" s="75" t="n"/>
      <c r="W11" s="75" t="n"/>
      <c r="X11" s="75" t="n"/>
      <c r="Y11" s="75" t="n"/>
      <c r="Z11" s="75" t="n"/>
      <c r="AA11" s="75" t="n"/>
      <c r="AB11" s="75" t="n"/>
      <c r="AC11" s="75" t="n"/>
      <c r="AD11" s="75" t="n"/>
      <c r="AE11" s="75" t="n"/>
      <c r="AF11" s="75" t="n"/>
      <c r="AG11" s="75" t="n"/>
      <c r="AH11" s="75" t="n"/>
      <c r="AI11" s="75" t="n"/>
      <c r="AJ11" s="75" t="n"/>
      <c r="AK11" s="75" t="n"/>
      <c r="AL11" s="75" t="n"/>
      <c r="AM11" s="75" t="n"/>
      <c r="AN11" s="75" t="n"/>
      <c r="AO11" s="75" t="n"/>
      <c r="AP11" s="75" t="n"/>
      <c r="AQ11" s="75" t="n"/>
      <c r="AR11" s="75" t="n"/>
      <c r="AS11" s="75" t="n"/>
      <c r="AT11" s="75" t="n"/>
      <c r="AU11" s="75" t="n"/>
      <c r="AV11" s="75" t="n"/>
      <c r="AW11" s="75" t="n"/>
      <c r="AX11" s="75" t="n"/>
      <c r="AY11" s="75" t="n"/>
      <c r="AZ11" s="75" t="n"/>
      <c r="BA11" s="75" t="n"/>
      <c r="BB11" s="75" t="n"/>
      <c r="BC11" s="75" t="n"/>
      <c r="BD11" s="75" t="n"/>
      <c r="BE11" s="75" t="n"/>
    </row>
    <row r="12" ht="18" customHeight="1">
      <c r="A12" s="49">
        <f>IF('İş Planı'!$C12="","",'İş Planı'!$C12)</f>
        <v/>
      </c>
      <c r="B12" s="49">
        <f>IF('İş Planı'!$B12="","",'İş Planı'!$B12)</f>
        <v/>
      </c>
      <c r="C12" s="63">
        <f>IF('İş Planı'!$H12="","",'İş Planı'!$H12)</f>
        <v/>
      </c>
      <c r="D12" s="63">
        <f>IF('İş Planı'!$L12="","",'İş Planı'!$L12)</f>
        <v/>
      </c>
      <c r="E12" s="62">
        <f>IF('İş Planı'!$N12="","",'İş Planı'!$N12)</f>
        <v/>
      </c>
      <c r="F12" s="75" t="n"/>
      <c r="G12" s="75" t="n"/>
      <c r="H12" s="75" t="n"/>
      <c r="I12" s="75" t="n"/>
      <c r="J12" s="75" t="n"/>
      <c r="K12" s="75" t="n"/>
      <c r="L12" s="75" t="n"/>
      <c r="M12" s="75" t="n"/>
      <c r="N12" s="75" t="n"/>
      <c r="O12" s="75" t="n"/>
      <c r="P12" s="75" t="n"/>
      <c r="Q12" s="75" t="n"/>
      <c r="R12" s="75" t="n"/>
      <c r="S12" s="75" t="n"/>
      <c r="T12" s="75" t="n"/>
      <c r="U12" s="75" t="n"/>
      <c r="V12" s="75" t="n"/>
      <c r="W12" s="75" t="n"/>
      <c r="X12" s="75" t="n"/>
      <c r="Y12" s="75" t="n"/>
      <c r="Z12" s="75" t="n"/>
      <c r="AA12" s="75" t="n"/>
      <c r="AB12" s="75" t="n"/>
      <c r="AC12" s="75" t="n"/>
      <c r="AD12" s="75" t="n"/>
      <c r="AE12" s="75" t="n"/>
      <c r="AF12" s="75" t="n"/>
      <c r="AG12" s="75" t="n"/>
      <c r="AH12" s="75" t="n"/>
      <c r="AI12" s="75" t="n"/>
      <c r="AJ12" s="75" t="n"/>
      <c r="AK12" s="75" t="n"/>
      <c r="AL12" s="75" t="n"/>
      <c r="AM12" s="75" t="n"/>
      <c r="AN12" s="75" t="n"/>
      <c r="AO12" s="75" t="n"/>
      <c r="AP12" s="75" t="n"/>
      <c r="AQ12" s="75" t="n"/>
      <c r="AR12" s="75" t="n"/>
      <c r="AS12" s="75" t="n"/>
      <c r="AT12" s="75" t="n"/>
      <c r="AU12" s="75" t="n"/>
      <c r="AV12" s="75" t="n"/>
      <c r="AW12" s="75" t="n"/>
      <c r="AX12" s="75" t="n"/>
      <c r="AY12" s="75" t="n"/>
      <c r="AZ12" s="75" t="n"/>
      <c r="BA12" s="75" t="n"/>
      <c r="BB12" s="75" t="n"/>
      <c r="BC12" s="75" t="n"/>
      <c r="BD12" s="75" t="n"/>
      <c r="BE12" s="75" t="n"/>
    </row>
    <row r="13" ht="18" customHeight="1">
      <c r="A13" s="49">
        <f>IF('İş Planı'!$C13="","",'İş Planı'!$C13)</f>
        <v/>
      </c>
      <c r="B13" s="49">
        <f>IF('İş Planı'!$B13="","",'İş Planı'!$B13)</f>
        <v/>
      </c>
      <c r="C13" s="63">
        <f>IF('İş Planı'!$H13="","",'İş Planı'!$H13)</f>
        <v/>
      </c>
      <c r="D13" s="63">
        <f>IF('İş Planı'!$L13="","",'İş Planı'!$L13)</f>
        <v/>
      </c>
      <c r="E13" s="62">
        <f>IF('İş Planı'!$N13="","",'İş Planı'!$N13)</f>
        <v/>
      </c>
      <c r="F13" s="75" t="n"/>
      <c r="G13" s="75" t="n"/>
      <c r="H13" s="75" t="n"/>
      <c r="I13" s="75" t="n"/>
      <c r="J13" s="75" t="n"/>
      <c r="K13" s="75" t="n"/>
      <c r="L13" s="75" t="n"/>
      <c r="M13" s="75" t="n"/>
      <c r="N13" s="75" t="n"/>
      <c r="O13" s="75" t="n"/>
      <c r="P13" s="75" t="n"/>
      <c r="Q13" s="75" t="n"/>
      <c r="R13" s="75" t="n"/>
      <c r="S13" s="75" t="n"/>
      <c r="T13" s="75" t="n"/>
      <c r="U13" s="75" t="n"/>
      <c r="V13" s="75" t="n"/>
      <c r="W13" s="75" t="n"/>
      <c r="X13" s="75" t="n"/>
      <c r="Y13" s="75" t="n"/>
      <c r="Z13" s="75" t="n"/>
      <c r="AA13" s="75" t="n"/>
      <c r="AB13" s="75" t="n"/>
      <c r="AC13" s="75" t="n"/>
      <c r="AD13" s="75" t="n"/>
      <c r="AE13" s="75" t="n"/>
      <c r="AF13" s="75" t="n"/>
      <c r="AG13" s="75" t="n"/>
      <c r="AH13" s="75" t="n"/>
      <c r="AI13" s="75" t="n"/>
      <c r="AJ13" s="75" t="n"/>
      <c r="AK13" s="75" t="n"/>
      <c r="AL13" s="75" t="n"/>
      <c r="AM13" s="75" t="n"/>
      <c r="AN13" s="75" t="n"/>
      <c r="AO13" s="75" t="n"/>
      <c r="AP13" s="75" t="n"/>
      <c r="AQ13" s="75" t="n"/>
      <c r="AR13" s="75" t="n"/>
      <c r="AS13" s="75" t="n"/>
      <c r="AT13" s="75" t="n"/>
      <c r="AU13" s="75" t="n"/>
      <c r="AV13" s="75" t="n"/>
      <c r="AW13" s="75" t="n"/>
      <c r="AX13" s="75" t="n"/>
      <c r="AY13" s="75" t="n"/>
      <c r="AZ13" s="75" t="n"/>
      <c r="BA13" s="75" t="n"/>
      <c r="BB13" s="75" t="n"/>
      <c r="BC13" s="75" t="n"/>
      <c r="BD13" s="75" t="n"/>
      <c r="BE13" s="75" t="n"/>
    </row>
    <row r="14" ht="18" customHeight="1">
      <c r="A14" s="49">
        <f>IF('İş Planı'!$C14="","",'İş Planı'!$C14)</f>
        <v/>
      </c>
      <c r="B14" s="49">
        <f>IF('İş Planı'!$B14="","",'İş Planı'!$B14)</f>
        <v/>
      </c>
      <c r="C14" s="63">
        <f>IF('İş Planı'!$H14="","",'İş Planı'!$H14)</f>
        <v/>
      </c>
      <c r="D14" s="63">
        <f>IF('İş Planı'!$L14="","",'İş Planı'!$L14)</f>
        <v/>
      </c>
      <c r="E14" s="62">
        <f>IF('İş Planı'!$N14="","",'İş Planı'!$N14)</f>
        <v/>
      </c>
      <c r="F14" s="75" t="n"/>
      <c r="G14" s="75" t="n"/>
      <c r="H14" s="75" t="n"/>
      <c r="I14" s="75" t="n"/>
      <c r="J14" s="75" t="n"/>
      <c r="K14" s="75" t="n"/>
      <c r="L14" s="75" t="n"/>
      <c r="M14" s="75" t="n"/>
      <c r="N14" s="75" t="n"/>
      <c r="O14" s="75" t="n"/>
      <c r="P14" s="75" t="n"/>
      <c r="Q14" s="75" t="n"/>
      <c r="R14" s="75" t="n"/>
      <c r="S14" s="75" t="n"/>
      <c r="T14" s="75" t="n"/>
      <c r="U14" s="75" t="n"/>
      <c r="V14" s="75" t="n"/>
      <c r="W14" s="75" t="n"/>
      <c r="X14" s="75" t="n"/>
      <c r="Y14" s="75" t="n"/>
      <c r="Z14" s="75" t="n"/>
      <c r="AA14" s="75" t="n"/>
      <c r="AB14" s="75" t="n"/>
      <c r="AC14" s="75" t="n"/>
      <c r="AD14" s="75" t="n"/>
      <c r="AE14" s="75" t="n"/>
      <c r="AF14" s="75" t="n"/>
      <c r="AG14" s="75" t="n"/>
      <c r="AH14" s="75" t="n"/>
      <c r="AI14" s="75" t="n"/>
      <c r="AJ14" s="75" t="n"/>
      <c r="AK14" s="75" t="n"/>
      <c r="AL14" s="75" t="n"/>
      <c r="AM14" s="75" t="n"/>
      <c r="AN14" s="75" t="n"/>
      <c r="AO14" s="75" t="n"/>
      <c r="AP14" s="75" t="n"/>
      <c r="AQ14" s="75" t="n"/>
      <c r="AR14" s="75" t="n"/>
      <c r="AS14" s="75" t="n"/>
      <c r="AT14" s="75" t="n"/>
      <c r="AU14" s="75" t="n"/>
      <c r="AV14" s="75" t="n"/>
      <c r="AW14" s="75" t="n"/>
      <c r="AX14" s="75" t="n"/>
      <c r="AY14" s="75" t="n"/>
      <c r="AZ14" s="75" t="n"/>
      <c r="BA14" s="75" t="n"/>
      <c r="BB14" s="75" t="n"/>
      <c r="BC14" s="75" t="n"/>
      <c r="BD14" s="75" t="n"/>
      <c r="BE14" s="75" t="n"/>
    </row>
    <row r="15" ht="18" customHeight="1">
      <c r="A15" s="49">
        <f>IF('İş Planı'!$C15="","",'İş Planı'!$C15)</f>
        <v/>
      </c>
      <c r="B15" s="49">
        <f>IF('İş Planı'!$B15="","",'İş Planı'!$B15)</f>
        <v/>
      </c>
      <c r="C15" s="63">
        <f>IF('İş Planı'!$H15="","",'İş Planı'!$H15)</f>
        <v/>
      </c>
      <c r="D15" s="63">
        <f>IF('İş Planı'!$L15="","",'İş Planı'!$L15)</f>
        <v/>
      </c>
      <c r="E15" s="62">
        <f>IF('İş Planı'!$N15="","",'İş Planı'!$N15)</f>
        <v/>
      </c>
      <c r="F15" s="75" t="n"/>
      <c r="G15" s="75" t="n"/>
      <c r="H15" s="75" t="n"/>
      <c r="I15" s="75" t="n"/>
      <c r="J15" s="75" t="n"/>
      <c r="K15" s="75" t="n"/>
      <c r="L15" s="75" t="n"/>
      <c r="M15" s="75" t="n"/>
      <c r="N15" s="75" t="n"/>
      <c r="O15" s="75" t="n"/>
      <c r="P15" s="75" t="n"/>
      <c r="Q15" s="75" t="n"/>
      <c r="R15" s="75" t="n"/>
      <c r="S15" s="75" t="n"/>
      <c r="T15" s="75" t="n"/>
      <c r="U15" s="75" t="n"/>
      <c r="V15" s="75" t="n"/>
      <c r="W15" s="75" t="n"/>
      <c r="X15" s="75" t="n"/>
      <c r="Y15" s="75" t="n"/>
      <c r="Z15" s="75" t="n"/>
      <c r="AA15" s="75" t="n"/>
      <c r="AB15" s="75" t="n"/>
      <c r="AC15" s="75" t="n"/>
      <c r="AD15" s="75" t="n"/>
      <c r="AE15" s="75" t="n"/>
      <c r="AF15" s="75" t="n"/>
      <c r="AG15" s="75" t="n"/>
      <c r="AH15" s="75" t="n"/>
      <c r="AI15" s="75" t="n"/>
      <c r="AJ15" s="75" t="n"/>
      <c r="AK15" s="75" t="n"/>
      <c r="AL15" s="75" t="n"/>
      <c r="AM15" s="75" t="n"/>
      <c r="AN15" s="75" t="n"/>
      <c r="AO15" s="75" t="n"/>
      <c r="AP15" s="75" t="n"/>
      <c r="AQ15" s="75" t="n"/>
      <c r="AR15" s="75" t="n"/>
      <c r="AS15" s="75" t="n"/>
      <c r="AT15" s="75" t="n"/>
      <c r="AU15" s="75" t="n"/>
      <c r="AV15" s="75" t="n"/>
      <c r="AW15" s="75" t="n"/>
      <c r="AX15" s="75" t="n"/>
      <c r="AY15" s="75" t="n"/>
      <c r="AZ15" s="75" t="n"/>
      <c r="BA15" s="75" t="n"/>
      <c r="BB15" s="75" t="n"/>
      <c r="BC15" s="75" t="n"/>
      <c r="BD15" s="75" t="n"/>
      <c r="BE15" s="75" t="n"/>
    </row>
    <row r="16" ht="18" customHeight="1">
      <c r="A16" s="49">
        <f>IF('İş Planı'!$C16="","",'İş Planı'!$C16)</f>
        <v/>
      </c>
      <c r="B16" s="49">
        <f>IF('İş Planı'!$B16="","",'İş Planı'!$B16)</f>
        <v/>
      </c>
      <c r="C16" s="63">
        <f>IF('İş Planı'!$H16="","",'İş Planı'!$H16)</f>
        <v/>
      </c>
      <c r="D16" s="63">
        <f>IF('İş Planı'!$L16="","",'İş Planı'!$L16)</f>
        <v/>
      </c>
      <c r="E16" s="62">
        <f>IF('İş Planı'!$N16="","",'İş Planı'!$N16)</f>
        <v/>
      </c>
      <c r="F16" s="75" t="n"/>
      <c r="G16" s="75" t="n"/>
      <c r="H16" s="75" t="n"/>
      <c r="I16" s="75" t="n"/>
      <c r="J16" s="75" t="n"/>
      <c r="K16" s="75" t="n"/>
      <c r="L16" s="75" t="n"/>
      <c r="M16" s="75" t="n"/>
      <c r="N16" s="75" t="n"/>
      <c r="O16" s="75" t="n"/>
      <c r="P16" s="75" t="n"/>
      <c r="Q16" s="75" t="n"/>
      <c r="R16" s="75" t="n"/>
      <c r="S16" s="75" t="n"/>
      <c r="T16" s="75" t="n"/>
      <c r="U16" s="75" t="n"/>
      <c r="V16" s="75" t="n"/>
      <c r="W16" s="75" t="n"/>
      <c r="X16" s="75" t="n"/>
      <c r="Y16" s="75" t="n"/>
      <c r="Z16" s="75" t="n"/>
      <c r="AA16" s="75" t="n"/>
      <c r="AB16" s="75" t="n"/>
      <c r="AC16" s="75" t="n"/>
      <c r="AD16" s="75" t="n"/>
      <c r="AE16" s="75" t="n"/>
      <c r="AF16" s="75" t="n"/>
      <c r="AG16" s="75" t="n"/>
      <c r="AH16" s="75" t="n"/>
      <c r="AI16" s="75" t="n"/>
      <c r="AJ16" s="75" t="n"/>
      <c r="AK16" s="75" t="n"/>
      <c r="AL16" s="75" t="n"/>
      <c r="AM16" s="75" t="n"/>
      <c r="AN16" s="75" t="n"/>
      <c r="AO16" s="75" t="n"/>
      <c r="AP16" s="75" t="n"/>
      <c r="AQ16" s="75" t="n"/>
      <c r="AR16" s="75" t="n"/>
      <c r="AS16" s="75" t="n"/>
      <c r="AT16" s="75" t="n"/>
      <c r="AU16" s="75" t="n"/>
      <c r="AV16" s="75" t="n"/>
      <c r="AW16" s="75" t="n"/>
      <c r="AX16" s="75" t="n"/>
      <c r="AY16" s="75" t="n"/>
      <c r="AZ16" s="75" t="n"/>
      <c r="BA16" s="75" t="n"/>
      <c r="BB16" s="75" t="n"/>
      <c r="BC16" s="75" t="n"/>
      <c r="BD16" s="75" t="n"/>
      <c r="BE16" s="75" t="n"/>
    </row>
    <row r="17" ht="18" customHeight="1">
      <c r="A17" s="49">
        <f>IF('İş Planı'!$C17="","",'İş Planı'!$C17)</f>
        <v/>
      </c>
      <c r="B17" s="49">
        <f>IF('İş Planı'!$B17="","",'İş Planı'!$B17)</f>
        <v/>
      </c>
      <c r="C17" s="63">
        <f>IF('İş Planı'!$H17="","",'İş Planı'!$H17)</f>
        <v/>
      </c>
      <c r="D17" s="63">
        <f>IF('İş Planı'!$L17="","",'İş Planı'!$L17)</f>
        <v/>
      </c>
      <c r="E17" s="62">
        <f>IF('İş Planı'!$N17="","",'İş Planı'!$N17)</f>
        <v/>
      </c>
      <c r="F17" s="75" t="n"/>
      <c r="G17" s="75" t="n"/>
      <c r="H17" s="75" t="n"/>
      <c r="I17" s="75" t="n"/>
      <c r="J17" s="75" t="n"/>
      <c r="K17" s="75" t="n"/>
      <c r="L17" s="75" t="n"/>
      <c r="M17" s="75" t="n"/>
      <c r="N17" s="75" t="n"/>
      <c r="O17" s="75" t="n"/>
      <c r="P17" s="75" t="n"/>
      <c r="Q17" s="75" t="n"/>
      <c r="R17" s="75" t="n"/>
      <c r="S17" s="75" t="n"/>
      <c r="T17" s="75" t="n"/>
      <c r="U17" s="75" t="n"/>
      <c r="V17" s="75" t="n"/>
      <c r="W17" s="75" t="n"/>
      <c r="X17" s="75" t="n"/>
      <c r="Y17" s="75" t="n"/>
      <c r="Z17" s="75" t="n"/>
      <c r="AA17" s="75" t="n"/>
      <c r="AB17" s="75" t="n"/>
      <c r="AC17" s="75" t="n"/>
      <c r="AD17" s="75" t="n"/>
      <c r="AE17" s="75" t="n"/>
      <c r="AF17" s="75" t="n"/>
      <c r="AG17" s="75" t="n"/>
      <c r="AH17" s="75" t="n"/>
      <c r="AI17" s="75" t="n"/>
      <c r="AJ17" s="75" t="n"/>
      <c r="AK17" s="75" t="n"/>
      <c r="AL17" s="75" t="n"/>
      <c r="AM17" s="75" t="n"/>
      <c r="AN17" s="75" t="n"/>
      <c r="AO17" s="75" t="n"/>
      <c r="AP17" s="75" t="n"/>
      <c r="AQ17" s="75" t="n"/>
      <c r="AR17" s="75" t="n"/>
      <c r="AS17" s="75" t="n"/>
      <c r="AT17" s="75" t="n"/>
      <c r="AU17" s="75" t="n"/>
      <c r="AV17" s="75" t="n"/>
      <c r="AW17" s="75" t="n"/>
      <c r="AX17" s="75" t="n"/>
      <c r="AY17" s="75" t="n"/>
      <c r="AZ17" s="75" t="n"/>
      <c r="BA17" s="75" t="n"/>
      <c r="BB17" s="75" t="n"/>
      <c r="BC17" s="75" t="n"/>
      <c r="BD17" s="75" t="n"/>
      <c r="BE17" s="75" t="n"/>
    </row>
    <row r="18" ht="18" customHeight="1">
      <c r="A18" s="49">
        <f>IF('İş Planı'!$C18="","",'İş Planı'!$C18)</f>
        <v/>
      </c>
      <c r="B18" s="49">
        <f>IF('İş Planı'!$B18="","",'İş Planı'!$B18)</f>
        <v/>
      </c>
      <c r="C18" s="63">
        <f>IF('İş Planı'!$H18="","",'İş Planı'!$H18)</f>
        <v/>
      </c>
      <c r="D18" s="63">
        <f>IF('İş Planı'!$L18="","",'İş Planı'!$L18)</f>
        <v/>
      </c>
      <c r="E18" s="62">
        <f>IF('İş Planı'!$N18="","",'İş Planı'!$N18)</f>
        <v/>
      </c>
      <c r="F18" s="75" t="n"/>
      <c r="G18" s="75" t="n"/>
      <c r="H18" s="75" t="n"/>
      <c r="I18" s="75" t="n"/>
      <c r="J18" s="75" t="n"/>
      <c r="K18" s="75" t="n"/>
      <c r="L18" s="75" t="n"/>
      <c r="M18" s="75" t="n"/>
      <c r="N18" s="75" t="n"/>
      <c r="O18" s="75" t="n"/>
      <c r="P18" s="75" t="n"/>
      <c r="Q18" s="75" t="n"/>
      <c r="R18" s="75" t="n"/>
      <c r="S18" s="75" t="n"/>
      <c r="T18" s="75" t="n"/>
      <c r="U18" s="75" t="n"/>
      <c r="V18" s="75" t="n"/>
      <c r="W18" s="75" t="n"/>
      <c r="X18" s="75" t="n"/>
      <c r="Y18" s="75" t="n"/>
      <c r="Z18" s="75" t="n"/>
      <c r="AA18" s="75" t="n"/>
      <c r="AB18" s="75" t="n"/>
      <c r="AC18" s="75" t="n"/>
      <c r="AD18" s="75" t="n"/>
      <c r="AE18" s="75" t="n"/>
      <c r="AF18" s="75" t="n"/>
      <c r="AG18" s="75" t="n"/>
      <c r="AH18" s="75" t="n"/>
      <c r="AI18" s="75" t="n"/>
      <c r="AJ18" s="75" t="n"/>
      <c r="AK18" s="75" t="n"/>
      <c r="AL18" s="75" t="n"/>
      <c r="AM18" s="75" t="n"/>
      <c r="AN18" s="75" t="n"/>
      <c r="AO18" s="75" t="n"/>
      <c r="AP18" s="75" t="n"/>
      <c r="AQ18" s="75" t="n"/>
      <c r="AR18" s="75" t="n"/>
      <c r="AS18" s="75" t="n"/>
      <c r="AT18" s="75" t="n"/>
      <c r="AU18" s="75" t="n"/>
      <c r="AV18" s="75" t="n"/>
      <c r="AW18" s="75" t="n"/>
      <c r="AX18" s="75" t="n"/>
      <c r="AY18" s="75" t="n"/>
      <c r="AZ18" s="75" t="n"/>
      <c r="BA18" s="75" t="n"/>
      <c r="BB18" s="75" t="n"/>
      <c r="BC18" s="75" t="n"/>
      <c r="BD18" s="75" t="n"/>
      <c r="BE18" s="75" t="n"/>
    </row>
    <row r="19" ht="18" customHeight="1">
      <c r="A19" s="49">
        <f>IF('İş Planı'!$C19="","",'İş Planı'!$C19)</f>
        <v/>
      </c>
      <c r="B19" s="49">
        <f>IF('İş Planı'!$B19="","",'İş Planı'!$B19)</f>
        <v/>
      </c>
      <c r="C19" s="63">
        <f>IF('İş Planı'!$H19="","",'İş Planı'!$H19)</f>
        <v/>
      </c>
      <c r="D19" s="63">
        <f>IF('İş Planı'!$L19="","",'İş Planı'!$L19)</f>
        <v/>
      </c>
      <c r="E19" s="62">
        <f>IF('İş Planı'!$N19="","",'İş Planı'!$N19)</f>
        <v/>
      </c>
      <c r="F19" s="75" t="n"/>
      <c r="G19" s="75" t="n"/>
      <c r="H19" s="75" t="n"/>
      <c r="I19" s="75" t="n"/>
      <c r="J19" s="75" t="n"/>
      <c r="K19" s="75" t="n"/>
      <c r="L19" s="75" t="n"/>
      <c r="M19" s="75" t="n"/>
      <c r="N19" s="75" t="n"/>
      <c r="O19" s="75" t="n"/>
      <c r="P19" s="75" t="n"/>
      <c r="Q19" s="75" t="n"/>
      <c r="R19" s="75" t="n"/>
      <c r="S19" s="75" t="n"/>
      <c r="T19" s="75" t="n"/>
      <c r="U19" s="75" t="n"/>
      <c r="V19" s="75" t="n"/>
      <c r="W19" s="75" t="n"/>
      <c r="X19" s="75" t="n"/>
      <c r="Y19" s="75" t="n"/>
      <c r="Z19" s="75" t="n"/>
      <c r="AA19" s="75" t="n"/>
      <c r="AB19" s="75" t="n"/>
      <c r="AC19" s="75" t="n"/>
      <c r="AD19" s="75" t="n"/>
      <c r="AE19" s="75" t="n"/>
      <c r="AF19" s="75" t="n"/>
      <c r="AG19" s="75" t="n"/>
      <c r="AH19" s="75" t="n"/>
      <c r="AI19" s="75" t="n"/>
      <c r="AJ19" s="75" t="n"/>
      <c r="AK19" s="75" t="n"/>
      <c r="AL19" s="75" t="n"/>
      <c r="AM19" s="75" t="n"/>
      <c r="AN19" s="75" t="n"/>
      <c r="AO19" s="75" t="n"/>
      <c r="AP19" s="75" t="n"/>
      <c r="AQ19" s="75" t="n"/>
      <c r="AR19" s="75" t="n"/>
      <c r="AS19" s="75" t="n"/>
      <c r="AT19" s="75" t="n"/>
      <c r="AU19" s="75" t="n"/>
      <c r="AV19" s="75" t="n"/>
      <c r="AW19" s="75" t="n"/>
      <c r="AX19" s="75" t="n"/>
      <c r="AY19" s="75" t="n"/>
      <c r="AZ19" s="75" t="n"/>
      <c r="BA19" s="75" t="n"/>
      <c r="BB19" s="75" t="n"/>
      <c r="BC19" s="75" t="n"/>
      <c r="BD19" s="75" t="n"/>
      <c r="BE19" s="75" t="n"/>
    </row>
    <row r="20" ht="18" customHeight="1">
      <c r="A20" s="49">
        <f>IF('İş Planı'!$C20="","",'İş Planı'!$C20)</f>
        <v/>
      </c>
      <c r="B20" s="49">
        <f>IF('İş Planı'!$B20="","",'İş Planı'!$B20)</f>
        <v/>
      </c>
      <c r="C20" s="63">
        <f>IF('İş Planı'!$H20="","",'İş Planı'!$H20)</f>
        <v/>
      </c>
      <c r="D20" s="63">
        <f>IF('İş Planı'!$L20="","",'İş Planı'!$L20)</f>
        <v/>
      </c>
      <c r="E20" s="62">
        <f>IF('İş Planı'!$N20="","",'İş Planı'!$N20)</f>
        <v/>
      </c>
      <c r="F20" s="75" t="n"/>
      <c r="G20" s="75" t="n"/>
      <c r="H20" s="75" t="n"/>
      <c r="I20" s="75" t="n"/>
      <c r="J20" s="75" t="n"/>
      <c r="K20" s="75" t="n"/>
      <c r="L20" s="75" t="n"/>
      <c r="M20" s="75" t="n"/>
      <c r="N20" s="75" t="n"/>
      <c r="O20" s="75" t="n"/>
      <c r="P20" s="75" t="n"/>
      <c r="Q20" s="75" t="n"/>
      <c r="R20" s="75" t="n"/>
      <c r="S20" s="75" t="n"/>
      <c r="T20" s="75" t="n"/>
      <c r="U20" s="75" t="n"/>
      <c r="V20" s="75" t="n"/>
      <c r="W20" s="75" t="n"/>
      <c r="X20" s="75" t="n"/>
      <c r="Y20" s="75" t="n"/>
      <c r="Z20" s="75" t="n"/>
      <c r="AA20" s="75" t="n"/>
      <c r="AB20" s="75" t="n"/>
      <c r="AC20" s="75" t="n"/>
      <c r="AD20" s="75" t="n"/>
      <c r="AE20" s="75" t="n"/>
      <c r="AF20" s="75" t="n"/>
      <c r="AG20" s="75" t="n"/>
      <c r="AH20" s="75" t="n"/>
      <c r="AI20" s="75" t="n"/>
      <c r="AJ20" s="75" t="n"/>
      <c r="AK20" s="75" t="n"/>
      <c r="AL20" s="75" t="n"/>
      <c r="AM20" s="75" t="n"/>
      <c r="AN20" s="75" t="n"/>
      <c r="AO20" s="75" t="n"/>
      <c r="AP20" s="75" t="n"/>
      <c r="AQ20" s="75" t="n"/>
      <c r="AR20" s="75" t="n"/>
      <c r="AS20" s="75" t="n"/>
      <c r="AT20" s="75" t="n"/>
      <c r="AU20" s="75" t="n"/>
      <c r="AV20" s="75" t="n"/>
      <c r="AW20" s="75" t="n"/>
      <c r="AX20" s="75" t="n"/>
      <c r="AY20" s="75" t="n"/>
      <c r="AZ20" s="75" t="n"/>
      <c r="BA20" s="75" t="n"/>
      <c r="BB20" s="75" t="n"/>
      <c r="BC20" s="75" t="n"/>
      <c r="BD20" s="75" t="n"/>
      <c r="BE20" s="75" t="n"/>
    </row>
    <row r="21" ht="18" customHeight="1">
      <c r="A21" s="49">
        <f>IF('İş Planı'!$C21="","",'İş Planı'!$C21)</f>
        <v/>
      </c>
      <c r="B21" s="49">
        <f>IF('İş Planı'!$B21="","",'İş Planı'!$B21)</f>
        <v/>
      </c>
      <c r="C21" s="63">
        <f>IF('İş Planı'!$H21="","",'İş Planı'!$H21)</f>
        <v/>
      </c>
      <c r="D21" s="63">
        <f>IF('İş Planı'!$L21="","",'İş Planı'!$L21)</f>
        <v/>
      </c>
      <c r="E21" s="62">
        <f>IF('İş Planı'!$N21="","",'İş Planı'!$N21)</f>
        <v/>
      </c>
      <c r="F21" s="75" t="n"/>
      <c r="G21" s="75" t="n"/>
      <c r="H21" s="75" t="n"/>
      <c r="I21" s="75" t="n"/>
      <c r="J21" s="75" t="n"/>
      <c r="K21" s="75" t="n"/>
      <c r="L21" s="75" t="n"/>
      <c r="M21" s="75" t="n"/>
      <c r="N21" s="75" t="n"/>
      <c r="O21" s="75" t="n"/>
      <c r="P21" s="75" t="n"/>
      <c r="Q21" s="75" t="n"/>
      <c r="R21" s="75" t="n"/>
      <c r="S21" s="75" t="n"/>
      <c r="T21" s="75" t="n"/>
      <c r="U21" s="75" t="n"/>
      <c r="V21" s="75" t="n"/>
      <c r="W21" s="75" t="n"/>
      <c r="X21" s="75" t="n"/>
      <c r="Y21" s="75" t="n"/>
      <c r="Z21" s="75" t="n"/>
      <c r="AA21" s="75" t="n"/>
      <c r="AB21" s="75" t="n"/>
      <c r="AC21" s="75" t="n"/>
      <c r="AD21" s="75" t="n"/>
      <c r="AE21" s="75" t="n"/>
      <c r="AF21" s="75" t="n"/>
      <c r="AG21" s="75" t="n"/>
      <c r="AH21" s="75" t="n"/>
      <c r="AI21" s="75" t="n"/>
      <c r="AJ21" s="75" t="n"/>
      <c r="AK21" s="75" t="n"/>
      <c r="AL21" s="75" t="n"/>
      <c r="AM21" s="75" t="n"/>
      <c r="AN21" s="75" t="n"/>
      <c r="AO21" s="75" t="n"/>
      <c r="AP21" s="75" t="n"/>
      <c r="AQ21" s="75" t="n"/>
      <c r="AR21" s="75" t="n"/>
      <c r="AS21" s="75" t="n"/>
      <c r="AT21" s="75" t="n"/>
      <c r="AU21" s="75" t="n"/>
      <c r="AV21" s="75" t="n"/>
      <c r="AW21" s="75" t="n"/>
      <c r="AX21" s="75" t="n"/>
      <c r="AY21" s="75" t="n"/>
      <c r="AZ21" s="75" t="n"/>
      <c r="BA21" s="75" t="n"/>
      <c r="BB21" s="75" t="n"/>
      <c r="BC21" s="75" t="n"/>
      <c r="BD21" s="75" t="n"/>
      <c r="BE21" s="75" t="n"/>
    </row>
    <row r="22" ht="18" customHeight="1">
      <c r="A22" s="49">
        <f>IF('İş Planı'!$C22="","",'İş Planı'!$C22)</f>
        <v/>
      </c>
      <c r="B22" s="49">
        <f>IF('İş Planı'!$B22="","",'İş Planı'!$B22)</f>
        <v/>
      </c>
      <c r="C22" s="63">
        <f>IF('İş Planı'!$H22="","",'İş Planı'!$H22)</f>
        <v/>
      </c>
      <c r="D22" s="63">
        <f>IF('İş Planı'!$L22="","",'İş Planı'!$L22)</f>
        <v/>
      </c>
      <c r="E22" s="62">
        <f>IF('İş Planı'!$N22="","",'İş Planı'!$N22)</f>
        <v/>
      </c>
      <c r="F22" s="75" t="n"/>
      <c r="G22" s="75" t="n"/>
      <c r="H22" s="75" t="n"/>
      <c r="I22" s="75" t="n"/>
      <c r="J22" s="75" t="n"/>
      <c r="K22" s="75" t="n"/>
      <c r="L22" s="75" t="n"/>
      <c r="M22" s="75" t="n"/>
      <c r="N22" s="75" t="n"/>
      <c r="O22" s="75" t="n"/>
      <c r="P22" s="75" t="n"/>
      <c r="Q22" s="75" t="n"/>
      <c r="R22" s="75" t="n"/>
      <c r="S22" s="75" t="n"/>
      <c r="T22" s="75" t="n"/>
      <c r="U22" s="75" t="n"/>
      <c r="V22" s="75" t="n"/>
      <c r="W22" s="75" t="n"/>
      <c r="X22" s="75" t="n"/>
      <c r="Y22" s="75" t="n"/>
      <c r="Z22" s="75" t="n"/>
      <c r="AA22" s="75" t="n"/>
      <c r="AB22" s="75" t="n"/>
      <c r="AC22" s="75" t="n"/>
      <c r="AD22" s="75" t="n"/>
      <c r="AE22" s="75" t="n"/>
      <c r="AF22" s="75" t="n"/>
      <c r="AG22" s="75" t="n"/>
      <c r="AH22" s="75" t="n"/>
      <c r="AI22" s="75" t="n"/>
      <c r="AJ22" s="75" t="n"/>
      <c r="AK22" s="75" t="n"/>
      <c r="AL22" s="75" t="n"/>
      <c r="AM22" s="75" t="n"/>
      <c r="AN22" s="75" t="n"/>
      <c r="AO22" s="75" t="n"/>
      <c r="AP22" s="75" t="n"/>
      <c r="AQ22" s="75" t="n"/>
      <c r="AR22" s="75" t="n"/>
      <c r="AS22" s="75" t="n"/>
      <c r="AT22" s="75" t="n"/>
      <c r="AU22" s="75" t="n"/>
      <c r="AV22" s="75" t="n"/>
      <c r="AW22" s="75" t="n"/>
      <c r="AX22" s="75" t="n"/>
      <c r="AY22" s="75" t="n"/>
      <c r="AZ22" s="75" t="n"/>
      <c r="BA22" s="75" t="n"/>
      <c r="BB22" s="75" t="n"/>
      <c r="BC22" s="75" t="n"/>
      <c r="BD22" s="75" t="n"/>
      <c r="BE22" s="75" t="n"/>
    </row>
    <row r="23" ht="18" customHeight="1">
      <c r="A23" s="49">
        <f>IF('İş Planı'!$C23="","",'İş Planı'!$C23)</f>
        <v/>
      </c>
      <c r="B23" s="49">
        <f>IF('İş Planı'!$B23="","",'İş Planı'!$B23)</f>
        <v/>
      </c>
      <c r="C23" s="63">
        <f>IF('İş Planı'!$H23="","",'İş Planı'!$H23)</f>
        <v/>
      </c>
      <c r="D23" s="63">
        <f>IF('İş Planı'!$L23="","",'İş Planı'!$L23)</f>
        <v/>
      </c>
      <c r="E23" s="62">
        <f>IF('İş Planı'!$N23="","",'İş Planı'!$N23)</f>
        <v/>
      </c>
      <c r="F23" s="75" t="n"/>
      <c r="G23" s="75" t="n"/>
      <c r="H23" s="75" t="n"/>
      <c r="I23" s="75" t="n"/>
      <c r="J23" s="75" t="n"/>
      <c r="K23" s="75" t="n"/>
      <c r="L23" s="75" t="n"/>
      <c r="M23" s="75" t="n"/>
      <c r="N23" s="75" t="n"/>
      <c r="O23" s="75" t="n"/>
      <c r="P23" s="75" t="n"/>
      <c r="Q23" s="75" t="n"/>
      <c r="R23" s="75" t="n"/>
      <c r="S23" s="75" t="n"/>
      <c r="T23" s="75" t="n"/>
      <c r="U23" s="75" t="n"/>
      <c r="V23" s="75" t="n"/>
      <c r="W23" s="75" t="n"/>
      <c r="X23" s="75" t="n"/>
      <c r="Y23" s="75" t="n"/>
      <c r="Z23" s="75" t="n"/>
      <c r="AA23" s="75" t="n"/>
      <c r="AB23" s="75" t="n"/>
      <c r="AC23" s="75" t="n"/>
      <c r="AD23" s="75" t="n"/>
      <c r="AE23" s="75" t="n"/>
      <c r="AF23" s="75" t="n"/>
      <c r="AG23" s="75" t="n"/>
      <c r="AH23" s="75" t="n"/>
      <c r="AI23" s="75" t="n"/>
      <c r="AJ23" s="75" t="n"/>
      <c r="AK23" s="75" t="n"/>
      <c r="AL23" s="75" t="n"/>
      <c r="AM23" s="75" t="n"/>
      <c r="AN23" s="75" t="n"/>
      <c r="AO23" s="75" t="n"/>
      <c r="AP23" s="75" t="n"/>
      <c r="AQ23" s="75" t="n"/>
      <c r="AR23" s="75" t="n"/>
      <c r="AS23" s="75" t="n"/>
      <c r="AT23" s="75" t="n"/>
      <c r="AU23" s="75" t="n"/>
      <c r="AV23" s="75" t="n"/>
      <c r="AW23" s="75" t="n"/>
      <c r="AX23" s="75" t="n"/>
      <c r="AY23" s="75" t="n"/>
      <c r="AZ23" s="75" t="n"/>
      <c r="BA23" s="75" t="n"/>
      <c r="BB23" s="75" t="n"/>
      <c r="BC23" s="75" t="n"/>
      <c r="BD23" s="75" t="n"/>
      <c r="BE23" s="75" t="n"/>
    </row>
    <row r="24" ht="18" customHeight="1">
      <c r="A24" s="49">
        <f>IF('İş Planı'!$C24="","",'İş Planı'!$C24)</f>
        <v/>
      </c>
      <c r="B24" s="49">
        <f>IF('İş Planı'!$B24="","",'İş Planı'!$B24)</f>
        <v/>
      </c>
      <c r="C24" s="63">
        <f>IF('İş Planı'!$H24="","",'İş Planı'!$H24)</f>
        <v/>
      </c>
      <c r="D24" s="63">
        <f>IF('İş Planı'!$L24="","",'İş Planı'!$L24)</f>
        <v/>
      </c>
      <c r="E24" s="62">
        <f>IF('İş Planı'!$N24="","",'İş Planı'!$N24)</f>
        <v/>
      </c>
      <c r="F24" s="75" t="n"/>
      <c r="G24" s="75" t="n"/>
      <c r="H24" s="75" t="n"/>
      <c r="I24" s="75" t="n"/>
      <c r="J24" s="75" t="n"/>
      <c r="K24" s="75" t="n"/>
      <c r="L24" s="75" t="n"/>
      <c r="M24" s="75" t="n"/>
      <c r="N24" s="75" t="n"/>
      <c r="O24" s="75" t="n"/>
      <c r="P24" s="75" t="n"/>
      <c r="Q24" s="75" t="n"/>
      <c r="R24" s="75" t="n"/>
      <c r="S24" s="75" t="n"/>
      <c r="T24" s="75" t="n"/>
      <c r="U24" s="75" t="n"/>
      <c r="V24" s="75" t="n"/>
      <c r="W24" s="75" t="n"/>
      <c r="X24" s="75" t="n"/>
      <c r="Y24" s="75" t="n"/>
      <c r="Z24" s="75" t="n"/>
      <c r="AA24" s="75" t="n"/>
      <c r="AB24" s="75" t="n"/>
      <c r="AC24" s="75" t="n"/>
      <c r="AD24" s="75" t="n"/>
      <c r="AE24" s="75" t="n"/>
      <c r="AF24" s="75" t="n"/>
      <c r="AG24" s="75" t="n"/>
      <c r="AH24" s="75" t="n"/>
      <c r="AI24" s="75" t="n"/>
      <c r="AJ24" s="75" t="n"/>
      <c r="AK24" s="75" t="n"/>
      <c r="AL24" s="75" t="n"/>
      <c r="AM24" s="75" t="n"/>
      <c r="AN24" s="75" t="n"/>
      <c r="AO24" s="75" t="n"/>
      <c r="AP24" s="75" t="n"/>
      <c r="AQ24" s="75" t="n"/>
      <c r="AR24" s="75" t="n"/>
      <c r="AS24" s="75" t="n"/>
      <c r="AT24" s="75" t="n"/>
      <c r="AU24" s="75" t="n"/>
      <c r="AV24" s="75" t="n"/>
      <c r="AW24" s="75" t="n"/>
      <c r="AX24" s="75" t="n"/>
      <c r="AY24" s="75" t="n"/>
      <c r="AZ24" s="75" t="n"/>
      <c r="BA24" s="75" t="n"/>
      <c r="BB24" s="75" t="n"/>
      <c r="BC24" s="75" t="n"/>
      <c r="BD24" s="75" t="n"/>
      <c r="BE24" s="75" t="n"/>
    </row>
    <row r="25" ht="18" customHeight="1">
      <c r="A25" s="49">
        <f>IF('İş Planı'!$C25="","",'İş Planı'!$C25)</f>
        <v/>
      </c>
      <c r="B25" s="49">
        <f>IF('İş Planı'!$B25="","",'İş Planı'!$B25)</f>
        <v/>
      </c>
      <c r="C25" s="63">
        <f>IF('İş Planı'!$H25="","",'İş Planı'!$H25)</f>
        <v/>
      </c>
      <c r="D25" s="63">
        <f>IF('İş Planı'!$L25="","",'İş Planı'!$L25)</f>
        <v/>
      </c>
      <c r="E25" s="62">
        <f>IF('İş Planı'!$N25="","",'İş Planı'!$N25)</f>
        <v/>
      </c>
      <c r="F25" s="75" t="n"/>
      <c r="G25" s="75" t="n"/>
      <c r="H25" s="75" t="n"/>
      <c r="I25" s="75" t="n"/>
      <c r="J25" s="75" t="n"/>
      <c r="K25" s="75" t="n"/>
      <c r="L25" s="75" t="n"/>
      <c r="M25" s="75" t="n"/>
      <c r="N25" s="75" t="n"/>
      <c r="O25" s="75" t="n"/>
      <c r="P25" s="75" t="n"/>
      <c r="Q25" s="75" t="n"/>
      <c r="R25" s="75" t="n"/>
      <c r="S25" s="75" t="n"/>
      <c r="T25" s="75" t="n"/>
      <c r="U25" s="75" t="n"/>
      <c r="V25" s="75" t="n"/>
      <c r="W25" s="75" t="n"/>
      <c r="X25" s="75" t="n"/>
      <c r="Y25" s="75" t="n"/>
      <c r="Z25" s="75" t="n"/>
      <c r="AA25" s="75" t="n"/>
      <c r="AB25" s="75" t="n"/>
      <c r="AC25" s="75" t="n"/>
      <c r="AD25" s="75" t="n"/>
      <c r="AE25" s="75" t="n"/>
      <c r="AF25" s="75" t="n"/>
      <c r="AG25" s="75" t="n"/>
      <c r="AH25" s="75" t="n"/>
      <c r="AI25" s="75" t="n"/>
      <c r="AJ25" s="75" t="n"/>
      <c r="AK25" s="75" t="n"/>
      <c r="AL25" s="75" t="n"/>
      <c r="AM25" s="75" t="n"/>
      <c r="AN25" s="75" t="n"/>
      <c r="AO25" s="75" t="n"/>
      <c r="AP25" s="75" t="n"/>
      <c r="AQ25" s="75" t="n"/>
      <c r="AR25" s="75" t="n"/>
      <c r="AS25" s="75" t="n"/>
      <c r="AT25" s="75" t="n"/>
      <c r="AU25" s="75" t="n"/>
      <c r="AV25" s="75" t="n"/>
      <c r="AW25" s="75" t="n"/>
      <c r="AX25" s="75" t="n"/>
      <c r="AY25" s="75" t="n"/>
      <c r="AZ25" s="75" t="n"/>
      <c r="BA25" s="75" t="n"/>
      <c r="BB25" s="75" t="n"/>
      <c r="BC25" s="75" t="n"/>
      <c r="BD25" s="75" t="n"/>
      <c r="BE25" s="75" t="n"/>
    </row>
    <row r="26" ht="18" customHeight="1">
      <c r="A26" s="49">
        <f>IF('İş Planı'!$C26="","",'İş Planı'!$C26)</f>
        <v/>
      </c>
      <c r="B26" s="49">
        <f>IF('İş Planı'!$B26="","",'İş Planı'!$B26)</f>
        <v/>
      </c>
      <c r="C26" s="63">
        <f>IF('İş Planı'!$H26="","",'İş Planı'!$H26)</f>
        <v/>
      </c>
      <c r="D26" s="63">
        <f>IF('İş Planı'!$L26="","",'İş Planı'!$L26)</f>
        <v/>
      </c>
      <c r="E26" s="62">
        <f>IF('İş Planı'!$N26="","",'İş Planı'!$N26)</f>
        <v/>
      </c>
      <c r="F26" s="75" t="n"/>
      <c r="G26" s="75" t="n"/>
      <c r="H26" s="75" t="n"/>
      <c r="I26" s="75" t="n"/>
      <c r="J26" s="75" t="n"/>
      <c r="K26" s="75" t="n"/>
      <c r="L26" s="75" t="n"/>
      <c r="M26" s="75" t="n"/>
      <c r="N26" s="75" t="n"/>
      <c r="O26" s="75" t="n"/>
      <c r="P26" s="75" t="n"/>
      <c r="Q26" s="75" t="n"/>
      <c r="R26" s="75" t="n"/>
      <c r="S26" s="75" t="n"/>
      <c r="T26" s="75" t="n"/>
      <c r="U26" s="75" t="n"/>
      <c r="V26" s="75" t="n"/>
      <c r="W26" s="75" t="n"/>
      <c r="X26" s="75" t="n"/>
      <c r="Y26" s="75" t="n"/>
      <c r="Z26" s="75" t="n"/>
      <c r="AA26" s="75" t="n"/>
      <c r="AB26" s="75" t="n"/>
      <c r="AC26" s="75" t="n"/>
      <c r="AD26" s="75" t="n"/>
      <c r="AE26" s="75" t="n"/>
      <c r="AF26" s="75" t="n"/>
      <c r="AG26" s="75" t="n"/>
      <c r="AH26" s="75" t="n"/>
      <c r="AI26" s="75" t="n"/>
      <c r="AJ26" s="75" t="n"/>
      <c r="AK26" s="75" t="n"/>
      <c r="AL26" s="75" t="n"/>
      <c r="AM26" s="75" t="n"/>
      <c r="AN26" s="75" t="n"/>
      <c r="AO26" s="75" t="n"/>
      <c r="AP26" s="75" t="n"/>
      <c r="AQ26" s="75" t="n"/>
      <c r="AR26" s="75" t="n"/>
      <c r="AS26" s="75" t="n"/>
      <c r="AT26" s="75" t="n"/>
      <c r="AU26" s="75" t="n"/>
      <c r="AV26" s="75" t="n"/>
      <c r="AW26" s="75" t="n"/>
      <c r="AX26" s="75" t="n"/>
      <c r="AY26" s="75" t="n"/>
      <c r="AZ26" s="75" t="n"/>
      <c r="BA26" s="75" t="n"/>
      <c r="BB26" s="75" t="n"/>
      <c r="BC26" s="75" t="n"/>
      <c r="BD26" s="75" t="n"/>
      <c r="BE26" s="75" t="n"/>
    </row>
    <row r="27" ht="18" customHeight="1">
      <c r="A27" s="49">
        <f>IF('İş Planı'!$C27="","",'İş Planı'!$C27)</f>
        <v/>
      </c>
      <c r="B27" s="49">
        <f>IF('İş Planı'!$B27="","",'İş Planı'!$B27)</f>
        <v/>
      </c>
      <c r="C27" s="63">
        <f>IF('İş Planı'!$H27="","",'İş Planı'!$H27)</f>
        <v/>
      </c>
      <c r="D27" s="63">
        <f>IF('İş Planı'!$L27="","",'İş Planı'!$L27)</f>
        <v/>
      </c>
      <c r="E27" s="62">
        <f>IF('İş Planı'!$N27="","",'İş Planı'!$N27)</f>
        <v/>
      </c>
      <c r="F27" s="75" t="n"/>
      <c r="G27" s="75" t="n"/>
      <c r="H27" s="75" t="n"/>
      <c r="I27" s="75" t="n"/>
      <c r="J27" s="75" t="n"/>
      <c r="K27" s="75" t="n"/>
      <c r="L27" s="75" t="n"/>
      <c r="M27" s="75" t="n"/>
      <c r="N27" s="75" t="n"/>
      <c r="O27" s="75" t="n"/>
      <c r="P27" s="75" t="n"/>
      <c r="Q27" s="75" t="n"/>
      <c r="R27" s="75" t="n"/>
      <c r="S27" s="75" t="n"/>
      <c r="T27" s="75" t="n"/>
      <c r="U27" s="75" t="n"/>
      <c r="V27" s="75" t="n"/>
      <c r="W27" s="75" t="n"/>
      <c r="X27" s="75" t="n"/>
      <c r="Y27" s="75" t="n"/>
      <c r="Z27" s="75" t="n"/>
      <c r="AA27" s="75" t="n"/>
      <c r="AB27" s="75" t="n"/>
      <c r="AC27" s="75" t="n"/>
      <c r="AD27" s="75" t="n"/>
      <c r="AE27" s="75" t="n"/>
      <c r="AF27" s="75" t="n"/>
      <c r="AG27" s="75" t="n"/>
      <c r="AH27" s="75" t="n"/>
      <c r="AI27" s="75" t="n"/>
      <c r="AJ27" s="75" t="n"/>
      <c r="AK27" s="75" t="n"/>
      <c r="AL27" s="75" t="n"/>
      <c r="AM27" s="75" t="n"/>
      <c r="AN27" s="75" t="n"/>
      <c r="AO27" s="75" t="n"/>
      <c r="AP27" s="75" t="n"/>
      <c r="AQ27" s="75" t="n"/>
      <c r="AR27" s="75" t="n"/>
      <c r="AS27" s="75" t="n"/>
      <c r="AT27" s="75" t="n"/>
      <c r="AU27" s="75" t="n"/>
      <c r="AV27" s="75" t="n"/>
      <c r="AW27" s="75" t="n"/>
      <c r="AX27" s="75" t="n"/>
      <c r="AY27" s="75" t="n"/>
      <c r="AZ27" s="75" t="n"/>
      <c r="BA27" s="75" t="n"/>
      <c r="BB27" s="75" t="n"/>
      <c r="BC27" s="75" t="n"/>
      <c r="BD27" s="75" t="n"/>
      <c r="BE27" s="75" t="n"/>
    </row>
    <row r="28" ht="18" customHeight="1">
      <c r="A28" s="49">
        <f>IF('İş Planı'!$C28="","",'İş Planı'!$C28)</f>
        <v/>
      </c>
      <c r="B28" s="49">
        <f>IF('İş Planı'!$B28="","",'İş Planı'!$B28)</f>
        <v/>
      </c>
      <c r="C28" s="63">
        <f>IF('İş Planı'!$H28="","",'İş Planı'!$H28)</f>
        <v/>
      </c>
      <c r="D28" s="63">
        <f>IF('İş Planı'!$L28="","",'İş Planı'!$L28)</f>
        <v/>
      </c>
      <c r="E28" s="62">
        <f>IF('İş Planı'!$N28="","",'İş Planı'!$N28)</f>
        <v/>
      </c>
      <c r="F28" s="75" t="n"/>
      <c r="G28" s="75" t="n"/>
      <c r="H28" s="75" t="n"/>
      <c r="I28" s="75" t="n"/>
      <c r="J28" s="75" t="n"/>
      <c r="K28" s="75" t="n"/>
      <c r="L28" s="75" t="n"/>
      <c r="M28" s="75" t="n"/>
      <c r="N28" s="75" t="n"/>
      <c r="O28" s="75" t="n"/>
      <c r="P28" s="75" t="n"/>
      <c r="Q28" s="75" t="n"/>
      <c r="R28" s="75" t="n"/>
      <c r="S28" s="75" t="n"/>
      <c r="T28" s="75" t="n"/>
      <c r="U28" s="75" t="n"/>
      <c r="V28" s="75" t="n"/>
      <c r="W28" s="75" t="n"/>
      <c r="X28" s="75" t="n"/>
      <c r="Y28" s="75" t="n"/>
      <c r="Z28" s="75" t="n"/>
      <c r="AA28" s="75" t="n"/>
      <c r="AB28" s="75" t="n"/>
      <c r="AC28" s="75" t="n"/>
      <c r="AD28" s="75" t="n"/>
      <c r="AE28" s="75" t="n"/>
      <c r="AF28" s="75" t="n"/>
      <c r="AG28" s="75" t="n"/>
      <c r="AH28" s="75" t="n"/>
      <c r="AI28" s="75" t="n"/>
      <c r="AJ28" s="75" t="n"/>
      <c r="AK28" s="75" t="n"/>
      <c r="AL28" s="75" t="n"/>
      <c r="AM28" s="75" t="n"/>
      <c r="AN28" s="75" t="n"/>
      <c r="AO28" s="75" t="n"/>
      <c r="AP28" s="75" t="n"/>
      <c r="AQ28" s="75" t="n"/>
      <c r="AR28" s="75" t="n"/>
      <c r="AS28" s="75" t="n"/>
      <c r="AT28" s="75" t="n"/>
      <c r="AU28" s="75" t="n"/>
      <c r="AV28" s="75" t="n"/>
      <c r="AW28" s="75" t="n"/>
      <c r="AX28" s="75" t="n"/>
      <c r="AY28" s="75" t="n"/>
      <c r="AZ28" s="75" t="n"/>
      <c r="BA28" s="75" t="n"/>
      <c r="BB28" s="75" t="n"/>
      <c r="BC28" s="75" t="n"/>
      <c r="BD28" s="75" t="n"/>
      <c r="BE28" s="75" t="n"/>
    </row>
    <row r="29" ht="18" customHeight="1">
      <c r="A29" s="49">
        <f>IF('İş Planı'!$C29="","",'İş Planı'!$C29)</f>
        <v/>
      </c>
      <c r="B29" s="49">
        <f>IF('İş Planı'!$B29="","",'İş Planı'!$B29)</f>
        <v/>
      </c>
      <c r="C29" s="63">
        <f>IF('İş Planı'!$H29="","",'İş Planı'!$H29)</f>
        <v/>
      </c>
      <c r="D29" s="63">
        <f>IF('İş Planı'!$L29="","",'İş Planı'!$L29)</f>
        <v/>
      </c>
      <c r="E29" s="62">
        <f>IF('İş Planı'!$N29="","",'İş Planı'!$N29)</f>
        <v/>
      </c>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c r="AC29" s="75" t="n"/>
      <c r="AD29" s="75" t="n"/>
      <c r="AE29" s="75" t="n"/>
      <c r="AF29" s="75" t="n"/>
      <c r="AG29" s="75" t="n"/>
      <c r="AH29" s="75" t="n"/>
      <c r="AI29" s="75" t="n"/>
      <c r="AJ29" s="75" t="n"/>
      <c r="AK29" s="75" t="n"/>
      <c r="AL29" s="75" t="n"/>
      <c r="AM29" s="75" t="n"/>
      <c r="AN29" s="75" t="n"/>
      <c r="AO29" s="75" t="n"/>
      <c r="AP29" s="75" t="n"/>
      <c r="AQ29" s="75" t="n"/>
      <c r="AR29" s="75" t="n"/>
      <c r="AS29" s="75" t="n"/>
      <c r="AT29" s="75" t="n"/>
      <c r="AU29" s="75" t="n"/>
      <c r="AV29" s="75" t="n"/>
      <c r="AW29" s="75" t="n"/>
      <c r="AX29" s="75" t="n"/>
      <c r="AY29" s="75" t="n"/>
      <c r="AZ29" s="75" t="n"/>
      <c r="BA29" s="75" t="n"/>
      <c r="BB29" s="75" t="n"/>
      <c r="BC29" s="75" t="n"/>
      <c r="BD29" s="75" t="n"/>
      <c r="BE29" s="75" t="n"/>
    </row>
    <row r="30" ht="18" customHeight="1">
      <c r="A30" s="49">
        <f>IF('İş Planı'!$C30="","",'İş Planı'!$C30)</f>
        <v/>
      </c>
      <c r="B30" s="49">
        <f>IF('İş Planı'!$B30="","",'İş Planı'!$B30)</f>
        <v/>
      </c>
      <c r="C30" s="63">
        <f>IF('İş Planı'!$H30="","",'İş Planı'!$H30)</f>
        <v/>
      </c>
      <c r="D30" s="63">
        <f>IF('İş Planı'!$L30="","",'İş Planı'!$L30)</f>
        <v/>
      </c>
      <c r="E30" s="62">
        <f>IF('İş Planı'!$N30="","",'İş Planı'!$N30)</f>
        <v/>
      </c>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c r="AA30" s="75" t="n"/>
      <c r="AB30" s="75" t="n"/>
      <c r="AC30" s="75" t="n"/>
      <c r="AD30" s="75" t="n"/>
      <c r="AE30" s="75" t="n"/>
      <c r="AF30" s="75" t="n"/>
      <c r="AG30" s="75" t="n"/>
      <c r="AH30" s="75" t="n"/>
      <c r="AI30" s="75" t="n"/>
      <c r="AJ30" s="75" t="n"/>
      <c r="AK30" s="75" t="n"/>
      <c r="AL30" s="75" t="n"/>
      <c r="AM30" s="75" t="n"/>
      <c r="AN30" s="75" t="n"/>
      <c r="AO30" s="75" t="n"/>
      <c r="AP30" s="75" t="n"/>
      <c r="AQ30" s="75" t="n"/>
      <c r="AR30" s="75" t="n"/>
      <c r="AS30" s="75" t="n"/>
      <c r="AT30" s="75" t="n"/>
      <c r="AU30" s="75" t="n"/>
      <c r="AV30" s="75" t="n"/>
      <c r="AW30" s="75" t="n"/>
      <c r="AX30" s="75" t="n"/>
      <c r="AY30" s="75" t="n"/>
      <c r="AZ30" s="75" t="n"/>
      <c r="BA30" s="75" t="n"/>
      <c r="BB30" s="75" t="n"/>
      <c r="BC30" s="75" t="n"/>
      <c r="BD30" s="75" t="n"/>
      <c r="BE30" s="75" t="n"/>
    </row>
    <row r="31" ht="18" customHeight="1">
      <c r="A31" s="49">
        <f>IF('İş Planı'!$C31="","",'İş Planı'!$C31)</f>
        <v/>
      </c>
      <c r="B31" s="49">
        <f>IF('İş Planı'!$B31="","",'İş Planı'!$B31)</f>
        <v/>
      </c>
      <c r="C31" s="63">
        <f>IF('İş Planı'!$H31="","",'İş Planı'!$H31)</f>
        <v/>
      </c>
      <c r="D31" s="63">
        <f>IF('İş Planı'!$L31="","",'İş Planı'!$L31)</f>
        <v/>
      </c>
      <c r="E31" s="62">
        <f>IF('İş Planı'!$N31="","",'İş Planı'!$N31)</f>
        <v/>
      </c>
      <c r="F31" s="75" t="n"/>
      <c r="G31" s="75" t="n"/>
      <c r="H31" s="75" t="n"/>
      <c r="I31" s="75" t="n"/>
      <c r="J31" s="75" t="n"/>
      <c r="K31" s="75" t="n"/>
      <c r="L31" s="75" t="n"/>
      <c r="M31" s="75" t="n"/>
      <c r="N31" s="75" t="n"/>
      <c r="O31" s="75" t="n"/>
      <c r="P31" s="75" t="n"/>
      <c r="Q31" s="75" t="n"/>
      <c r="R31" s="75" t="n"/>
      <c r="S31" s="75" t="n"/>
      <c r="T31" s="75" t="n"/>
      <c r="U31" s="75" t="n"/>
      <c r="V31" s="75" t="n"/>
      <c r="W31" s="75" t="n"/>
      <c r="X31" s="75" t="n"/>
      <c r="Y31" s="75" t="n"/>
      <c r="Z31" s="75" t="n"/>
      <c r="AA31" s="75" t="n"/>
      <c r="AB31" s="75" t="n"/>
      <c r="AC31" s="75" t="n"/>
      <c r="AD31" s="75" t="n"/>
      <c r="AE31" s="75" t="n"/>
      <c r="AF31" s="75" t="n"/>
      <c r="AG31" s="75" t="n"/>
      <c r="AH31" s="75" t="n"/>
      <c r="AI31" s="75" t="n"/>
      <c r="AJ31" s="75" t="n"/>
      <c r="AK31" s="75" t="n"/>
      <c r="AL31" s="75" t="n"/>
      <c r="AM31" s="75" t="n"/>
      <c r="AN31" s="75" t="n"/>
      <c r="AO31" s="75" t="n"/>
      <c r="AP31" s="75" t="n"/>
      <c r="AQ31" s="75" t="n"/>
      <c r="AR31" s="75" t="n"/>
      <c r="AS31" s="75" t="n"/>
      <c r="AT31" s="75" t="n"/>
      <c r="AU31" s="75" t="n"/>
      <c r="AV31" s="75" t="n"/>
      <c r="AW31" s="75" t="n"/>
      <c r="AX31" s="75" t="n"/>
      <c r="AY31" s="75" t="n"/>
      <c r="AZ31" s="75" t="n"/>
      <c r="BA31" s="75" t="n"/>
      <c r="BB31" s="75" t="n"/>
      <c r="BC31" s="75" t="n"/>
      <c r="BD31" s="75" t="n"/>
      <c r="BE31" s="75" t="n"/>
    </row>
    <row r="32" ht="18" customHeight="1">
      <c r="A32" s="49">
        <f>IF('İş Planı'!$C32="","",'İş Planı'!$C32)</f>
        <v/>
      </c>
      <c r="B32" s="49">
        <f>IF('İş Planı'!$B32="","",'İş Planı'!$B32)</f>
        <v/>
      </c>
      <c r="C32" s="63">
        <f>IF('İş Planı'!$H32="","",'İş Planı'!$H32)</f>
        <v/>
      </c>
      <c r="D32" s="63">
        <f>IF('İş Planı'!$L32="","",'İş Planı'!$L32)</f>
        <v/>
      </c>
      <c r="E32" s="62">
        <f>IF('İş Planı'!$N32="","",'İş Planı'!$N32)</f>
        <v/>
      </c>
      <c r="F32" s="75" t="n"/>
      <c r="G32" s="75" t="n"/>
      <c r="H32" s="75" t="n"/>
      <c r="I32" s="75" t="n"/>
      <c r="J32" s="75" t="n"/>
      <c r="K32" s="75" t="n"/>
      <c r="L32" s="75" t="n"/>
      <c r="M32" s="75" t="n"/>
      <c r="N32" s="75" t="n"/>
      <c r="O32" s="75" t="n"/>
      <c r="P32" s="75" t="n"/>
      <c r="Q32" s="75" t="n"/>
      <c r="R32" s="75" t="n"/>
      <c r="S32" s="75" t="n"/>
      <c r="T32" s="75" t="n"/>
      <c r="U32" s="75" t="n"/>
      <c r="V32" s="75" t="n"/>
      <c r="W32" s="75" t="n"/>
      <c r="X32" s="75" t="n"/>
      <c r="Y32" s="75" t="n"/>
      <c r="Z32" s="75" t="n"/>
      <c r="AA32" s="75" t="n"/>
      <c r="AB32" s="75" t="n"/>
      <c r="AC32" s="75" t="n"/>
      <c r="AD32" s="75" t="n"/>
      <c r="AE32" s="75" t="n"/>
      <c r="AF32" s="75" t="n"/>
      <c r="AG32" s="75" t="n"/>
      <c r="AH32" s="75" t="n"/>
      <c r="AI32" s="75" t="n"/>
      <c r="AJ32" s="75" t="n"/>
      <c r="AK32" s="75" t="n"/>
      <c r="AL32" s="75" t="n"/>
      <c r="AM32" s="75" t="n"/>
      <c r="AN32" s="75" t="n"/>
      <c r="AO32" s="75" t="n"/>
      <c r="AP32" s="75" t="n"/>
      <c r="AQ32" s="75" t="n"/>
      <c r="AR32" s="75" t="n"/>
      <c r="AS32" s="75" t="n"/>
      <c r="AT32" s="75" t="n"/>
      <c r="AU32" s="75" t="n"/>
      <c r="AV32" s="75" t="n"/>
      <c r="AW32" s="75" t="n"/>
      <c r="AX32" s="75" t="n"/>
      <c r="AY32" s="75" t="n"/>
      <c r="AZ32" s="75" t="n"/>
      <c r="BA32" s="75" t="n"/>
      <c r="BB32" s="75" t="n"/>
      <c r="BC32" s="75" t="n"/>
      <c r="BD32" s="75" t="n"/>
      <c r="BE32" s="75" t="n"/>
    </row>
    <row r="33" ht="18" customHeight="1">
      <c r="A33" s="49">
        <f>IF('İş Planı'!$C33="","",'İş Planı'!$C33)</f>
        <v/>
      </c>
      <c r="B33" s="49">
        <f>IF('İş Planı'!$B33="","",'İş Planı'!$B33)</f>
        <v/>
      </c>
      <c r="C33" s="63">
        <f>IF('İş Planı'!$H33="","",'İş Planı'!$H33)</f>
        <v/>
      </c>
      <c r="D33" s="63">
        <f>IF('İş Planı'!$L33="","",'İş Planı'!$L33)</f>
        <v/>
      </c>
      <c r="E33" s="62">
        <f>IF('İş Planı'!$N33="","",'İş Planı'!$N33)</f>
        <v/>
      </c>
      <c r="F33" s="75" t="n"/>
      <c r="G33" s="75" t="n"/>
      <c r="H33" s="75" t="n"/>
      <c r="I33" s="75" t="n"/>
      <c r="J33" s="75" t="n"/>
      <c r="K33" s="75" t="n"/>
      <c r="L33" s="75" t="n"/>
      <c r="M33" s="75" t="n"/>
      <c r="N33" s="75" t="n"/>
      <c r="O33" s="75" t="n"/>
      <c r="P33" s="75" t="n"/>
      <c r="Q33" s="75" t="n"/>
      <c r="R33" s="75" t="n"/>
      <c r="S33" s="75" t="n"/>
      <c r="T33" s="75" t="n"/>
      <c r="U33" s="75" t="n"/>
      <c r="V33" s="75" t="n"/>
      <c r="W33" s="75" t="n"/>
      <c r="X33" s="75" t="n"/>
      <c r="Y33" s="75" t="n"/>
      <c r="Z33" s="75" t="n"/>
      <c r="AA33" s="75" t="n"/>
      <c r="AB33" s="75" t="n"/>
      <c r="AC33" s="75" t="n"/>
      <c r="AD33" s="75" t="n"/>
      <c r="AE33" s="75" t="n"/>
      <c r="AF33" s="75" t="n"/>
      <c r="AG33" s="75" t="n"/>
      <c r="AH33" s="75" t="n"/>
      <c r="AI33" s="75" t="n"/>
      <c r="AJ33" s="75" t="n"/>
      <c r="AK33" s="75" t="n"/>
      <c r="AL33" s="75" t="n"/>
      <c r="AM33" s="75" t="n"/>
      <c r="AN33" s="75" t="n"/>
      <c r="AO33" s="75" t="n"/>
      <c r="AP33" s="75" t="n"/>
      <c r="AQ33" s="75" t="n"/>
      <c r="AR33" s="75" t="n"/>
      <c r="AS33" s="75" t="n"/>
      <c r="AT33" s="75" t="n"/>
      <c r="AU33" s="75" t="n"/>
      <c r="AV33" s="75" t="n"/>
      <c r="AW33" s="75" t="n"/>
      <c r="AX33" s="75" t="n"/>
      <c r="AY33" s="75" t="n"/>
      <c r="AZ33" s="75" t="n"/>
      <c r="BA33" s="75" t="n"/>
      <c r="BB33" s="75" t="n"/>
      <c r="BC33" s="75" t="n"/>
      <c r="BD33" s="75" t="n"/>
      <c r="BE33" s="75" t="n"/>
    </row>
    <row r="34" ht="18" customHeight="1">
      <c r="A34" s="49">
        <f>IF('İş Planı'!$C34="","",'İş Planı'!$C34)</f>
        <v/>
      </c>
      <c r="B34" s="49">
        <f>IF('İş Planı'!$B34="","",'İş Planı'!$B34)</f>
        <v/>
      </c>
      <c r="C34" s="63">
        <f>IF('İş Planı'!$H34="","",'İş Planı'!$H34)</f>
        <v/>
      </c>
      <c r="D34" s="63">
        <f>IF('İş Planı'!$L34="","",'İş Planı'!$L34)</f>
        <v/>
      </c>
      <c r="E34" s="62">
        <f>IF('İş Planı'!$N34="","",'İş Planı'!$N34)</f>
        <v/>
      </c>
      <c r="F34" s="75" t="n"/>
      <c r="G34" s="75" t="n"/>
      <c r="H34" s="75" t="n"/>
      <c r="I34" s="75" t="n"/>
      <c r="J34" s="75" t="n"/>
      <c r="K34" s="75" t="n"/>
      <c r="L34" s="75" t="n"/>
      <c r="M34" s="75" t="n"/>
      <c r="N34" s="75" t="n"/>
      <c r="O34" s="75" t="n"/>
      <c r="P34" s="75" t="n"/>
      <c r="Q34" s="75" t="n"/>
      <c r="R34" s="75" t="n"/>
      <c r="S34" s="75" t="n"/>
      <c r="T34" s="75" t="n"/>
      <c r="U34" s="75" t="n"/>
      <c r="V34" s="75" t="n"/>
      <c r="W34" s="75" t="n"/>
      <c r="X34" s="75" t="n"/>
      <c r="Y34" s="75" t="n"/>
      <c r="Z34" s="75" t="n"/>
      <c r="AA34" s="75" t="n"/>
      <c r="AB34" s="75" t="n"/>
      <c r="AC34" s="75" t="n"/>
      <c r="AD34" s="75" t="n"/>
      <c r="AE34" s="75" t="n"/>
      <c r="AF34" s="75" t="n"/>
      <c r="AG34" s="75" t="n"/>
      <c r="AH34" s="75" t="n"/>
      <c r="AI34" s="75" t="n"/>
      <c r="AJ34" s="75" t="n"/>
      <c r="AK34" s="75" t="n"/>
      <c r="AL34" s="75" t="n"/>
      <c r="AM34" s="75" t="n"/>
      <c r="AN34" s="75" t="n"/>
      <c r="AO34" s="75" t="n"/>
      <c r="AP34" s="75" t="n"/>
      <c r="AQ34" s="75" t="n"/>
      <c r="AR34" s="75" t="n"/>
      <c r="AS34" s="75" t="n"/>
      <c r="AT34" s="75" t="n"/>
      <c r="AU34" s="75" t="n"/>
      <c r="AV34" s="75" t="n"/>
      <c r="AW34" s="75" t="n"/>
      <c r="AX34" s="75" t="n"/>
      <c r="AY34" s="75" t="n"/>
      <c r="AZ34" s="75" t="n"/>
      <c r="BA34" s="75" t="n"/>
      <c r="BB34" s="75" t="n"/>
      <c r="BC34" s="75" t="n"/>
      <c r="BD34" s="75" t="n"/>
      <c r="BE34" s="75" t="n"/>
    </row>
    <row r="35" ht="18" customHeight="1">
      <c r="A35" s="49">
        <f>IF('İş Planı'!$C35="","",'İş Planı'!$C35)</f>
        <v/>
      </c>
      <c r="B35" s="49">
        <f>IF('İş Planı'!$B35="","",'İş Planı'!$B35)</f>
        <v/>
      </c>
      <c r="C35" s="63">
        <f>IF('İş Planı'!$H35="","",'İş Planı'!$H35)</f>
        <v/>
      </c>
      <c r="D35" s="63">
        <f>IF('İş Planı'!$L35="","",'İş Planı'!$L35)</f>
        <v/>
      </c>
      <c r="E35" s="62">
        <f>IF('İş Planı'!$N35="","",'İş Planı'!$N35)</f>
        <v/>
      </c>
      <c r="F35" s="75" t="n"/>
      <c r="G35" s="75" t="n"/>
      <c r="H35" s="75" t="n"/>
      <c r="I35" s="75" t="n"/>
      <c r="J35" s="75" t="n"/>
      <c r="K35" s="75" t="n"/>
      <c r="L35" s="75" t="n"/>
      <c r="M35" s="75" t="n"/>
      <c r="N35" s="75" t="n"/>
      <c r="O35" s="75" t="n"/>
      <c r="P35" s="75" t="n"/>
      <c r="Q35" s="75" t="n"/>
      <c r="R35" s="75" t="n"/>
      <c r="S35" s="75" t="n"/>
      <c r="T35" s="75" t="n"/>
      <c r="U35" s="75" t="n"/>
      <c r="V35" s="75" t="n"/>
      <c r="W35" s="75" t="n"/>
      <c r="X35" s="75" t="n"/>
      <c r="Y35" s="75" t="n"/>
      <c r="Z35" s="75" t="n"/>
      <c r="AA35" s="75" t="n"/>
      <c r="AB35" s="75" t="n"/>
      <c r="AC35" s="75" t="n"/>
      <c r="AD35" s="75" t="n"/>
      <c r="AE35" s="75" t="n"/>
      <c r="AF35" s="75" t="n"/>
      <c r="AG35" s="75" t="n"/>
      <c r="AH35" s="75" t="n"/>
      <c r="AI35" s="75" t="n"/>
      <c r="AJ35" s="75" t="n"/>
      <c r="AK35" s="75" t="n"/>
      <c r="AL35" s="75" t="n"/>
      <c r="AM35" s="75" t="n"/>
      <c r="AN35" s="75" t="n"/>
      <c r="AO35" s="75" t="n"/>
      <c r="AP35" s="75" t="n"/>
      <c r="AQ35" s="75" t="n"/>
      <c r="AR35" s="75" t="n"/>
      <c r="AS35" s="75" t="n"/>
      <c r="AT35" s="75" t="n"/>
      <c r="AU35" s="75" t="n"/>
      <c r="AV35" s="75" t="n"/>
      <c r="AW35" s="75" t="n"/>
      <c r="AX35" s="75" t="n"/>
      <c r="AY35" s="75" t="n"/>
      <c r="AZ35" s="75" t="n"/>
      <c r="BA35" s="75" t="n"/>
      <c r="BB35" s="75" t="n"/>
      <c r="BC35" s="75" t="n"/>
      <c r="BD35" s="75" t="n"/>
      <c r="BE35" s="75" t="n"/>
    </row>
    <row r="36" ht="18" customHeight="1">
      <c r="A36" s="49">
        <f>IF('İş Planı'!$C36="","",'İş Planı'!$C36)</f>
        <v/>
      </c>
      <c r="B36" s="49">
        <f>IF('İş Planı'!$B36="","",'İş Planı'!$B36)</f>
        <v/>
      </c>
      <c r="C36" s="63">
        <f>IF('İş Planı'!$H36="","",'İş Planı'!$H36)</f>
        <v/>
      </c>
      <c r="D36" s="63">
        <f>IF('İş Planı'!$L36="","",'İş Planı'!$L36)</f>
        <v/>
      </c>
      <c r="E36" s="62">
        <f>IF('İş Planı'!$N36="","",'İş Planı'!$N36)</f>
        <v/>
      </c>
      <c r="F36" s="75" t="n"/>
      <c r="G36" s="75" t="n"/>
      <c r="H36" s="75" t="n"/>
      <c r="I36" s="75" t="n"/>
      <c r="J36" s="75" t="n"/>
      <c r="K36" s="75" t="n"/>
      <c r="L36" s="75" t="n"/>
      <c r="M36" s="75" t="n"/>
      <c r="N36" s="75" t="n"/>
      <c r="O36" s="75" t="n"/>
      <c r="P36" s="75" t="n"/>
      <c r="Q36" s="75" t="n"/>
      <c r="R36" s="75" t="n"/>
      <c r="S36" s="75" t="n"/>
      <c r="T36" s="75" t="n"/>
      <c r="U36" s="75" t="n"/>
      <c r="V36" s="75" t="n"/>
      <c r="W36" s="75" t="n"/>
      <c r="X36" s="75" t="n"/>
      <c r="Y36" s="75" t="n"/>
      <c r="Z36" s="75" t="n"/>
      <c r="AA36" s="75" t="n"/>
      <c r="AB36" s="75" t="n"/>
      <c r="AC36" s="75" t="n"/>
      <c r="AD36" s="75" t="n"/>
      <c r="AE36" s="75" t="n"/>
      <c r="AF36" s="75" t="n"/>
      <c r="AG36" s="75" t="n"/>
      <c r="AH36" s="75" t="n"/>
      <c r="AI36" s="75" t="n"/>
      <c r="AJ36" s="75" t="n"/>
      <c r="AK36" s="75" t="n"/>
      <c r="AL36" s="75" t="n"/>
      <c r="AM36" s="75" t="n"/>
      <c r="AN36" s="75" t="n"/>
      <c r="AO36" s="75" t="n"/>
      <c r="AP36" s="75" t="n"/>
      <c r="AQ36" s="75" t="n"/>
      <c r="AR36" s="75" t="n"/>
      <c r="AS36" s="75" t="n"/>
      <c r="AT36" s="75" t="n"/>
      <c r="AU36" s="75" t="n"/>
      <c r="AV36" s="75" t="n"/>
      <c r="AW36" s="75" t="n"/>
      <c r="AX36" s="75" t="n"/>
      <c r="AY36" s="75" t="n"/>
      <c r="AZ36" s="75" t="n"/>
      <c r="BA36" s="75" t="n"/>
      <c r="BB36" s="75" t="n"/>
      <c r="BC36" s="75" t="n"/>
      <c r="BD36" s="75" t="n"/>
      <c r="BE36" s="75" t="n"/>
    </row>
    <row r="37" ht="18" customHeight="1">
      <c r="A37" s="49">
        <f>IF('İş Planı'!$C37="","",'İş Planı'!$C37)</f>
        <v/>
      </c>
      <c r="B37" s="49">
        <f>IF('İş Planı'!$B37="","",'İş Planı'!$B37)</f>
        <v/>
      </c>
      <c r="C37" s="63">
        <f>IF('İş Planı'!$H37="","",'İş Planı'!$H37)</f>
        <v/>
      </c>
      <c r="D37" s="63">
        <f>IF('İş Planı'!$L37="","",'İş Planı'!$L37)</f>
        <v/>
      </c>
      <c r="E37" s="62">
        <f>IF('İş Planı'!$N37="","",'İş Planı'!$N37)</f>
        <v/>
      </c>
      <c r="F37" s="75" t="n"/>
      <c r="G37" s="75" t="n"/>
      <c r="H37" s="75" t="n"/>
      <c r="I37" s="75" t="n"/>
      <c r="J37" s="75" t="n"/>
      <c r="K37" s="75" t="n"/>
      <c r="L37" s="75" t="n"/>
      <c r="M37" s="75" t="n"/>
      <c r="N37" s="75" t="n"/>
      <c r="O37" s="75" t="n"/>
      <c r="P37" s="75" t="n"/>
      <c r="Q37" s="75" t="n"/>
      <c r="R37" s="75" t="n"/>
      <c r="S37" s="75" t="n"/>
      <c r="T37" s="75" t="n"/>
      <c r="U37" s="75" t="n"/>
      <c r="V37" s="75" t="n"/>
      <c r="W37" s="75" t="n"/>
      <c r="X37" s="75" t="n"/>
      <c r="Y37" s="75" t="n"/>
      <c r="Z37" s="75" t="n"/>
      <c r="AA37" s="75" t="n"/>
      <c r="AB37" s="75" t="n"/>
      <c r="AC37" s="75" t="n"/>
      <c r="AD37" s="75" t="n"/>
      <c r="AE37" s="75" t="n"/>
      <c r="AF37" s="75" t="n"/>
      <c r="AG37" s="75" t="n"/>
      <c r="AH37" s="75" t="n"/>
      <c r="AI37" s="75" t="n"/>
      <c r="AJ37" s="75" t="n"/>
      <c r="AK37" s="75" t="n"/>
      <c r="AL37" s="75" t="n"/>
      <c r="AM37" s="75" t="n"/>
      <c r="AN37" s="75" t="n"/>
      <c r="AO37" s="75" t="n"/>
      <c r="AP37" s="75" t="n"/>
      <c r="AQ37" s="75" t="n"/>
      <c r="AR37" s="75" t="n"/>
      <c r="AS37" s="75" t="n"/>
      <c r="AT37" s="75" t="n"/>
      <c r="AU37" s="75" t="n"/>
      <c r="AV37" s="75" t="n"/>
      <c r="AW37" s="75" t="n"/>
      <c r="AX37" s="75" t="n"/>
      <c r="AY37" s="75" t="n"/>
      <c r="AZ37" s="75" t="n"/>
      <c r="BA37" s="75" t="n"/>
      <c r="BB37" s="75" t="n"/>
      <c r="BC37" s="75" t="n"/>
      <c r="BD37" s="75" t="n"/>
      <c r="BE37" s="75" t="n"/>
    </row>
    <row r="38" ht="18" customHeight="1">
      <c r="A38" s="49">
        <f>IF('İş Planı'!$C38="","",'İş Planı'!$C38)</f>
        <v/>
      </c>
      <c r="B38" s="49">
        <f>IF('İş Planı'!$B38="","",'İş Planı'!$B38)</f>
        <v/>
      </c>
      <c r="C38" s="63">
        <f>IF('İş Planı'!$H38="","",'İş Planı'!$H38)</f>
        <v/>
      </c>
      <c r="D38" s="63">
        <f>IF('İş Planı'!$L38="","",'İş Planı'!$L38)</f>
        <v/>
      </c>
      <c r="E38" s="62">
        <f>IF('İş Planı'!$N38="","",'İş Planı'!$N38)</f>
        <v/>
      </c>
      <c r="F38" s="75" t="n"/>
      <c r="G38" s="75" t="n"/>
      <c r="H38" s="75" t="n"/>
      <c r="I38" s="75" t="n"/>
      <c r="J38" s="75" t="n"/>
      <c r="K38" s="75" t="n"/>
      <c r="L38" s="75" t="n"/>
      <c r="M38" s="75" t="n"/>
      <c r="N38" s="75" t="n"/>
      <c r="O38" s="75" t="n"/>
      <c r="P38" s="75" t="n"/>
      <c r="Q38" s="75" t="n"/>
      <c r="R38" s="75" t="n"/>
      <c r="S38" s="75" t="n"/>
      <c r="T38" s="75" t="n"/>
      <c r="U38" s="75" t="n"/>
      <c r="V38" s="75" t="n"/>
      <c r="W38" s="75" t="n"/>
      <c r="X38" s="75" t="n"/>
      <c r="Y38" s="75" t="n"/>
      <c r="Z38" s="75" t="n"/>
      <c r="AA38" s="75" t="n"/>
      <c r="AB38" s="75" t="n"/>
      <c r="AC38" s="75" t="n"/>
      <c r="AD38" s="75" t="n"/>
      <c r="AE38" s="75" t="n"/>
      <c r="AF38" s="75" t="n"/>
      <c r="AG38" s="75" t="n"/>
      <c r="AH38" s="75" t="n"/>
      <c r="AI38" s="75" t="n"/>
      <c r="AJ38" s="75" t="n"/>
      <c r="AK38" s="75" t="n"/>
      <c r="AL38" s="75" t="n"/>
      <c r="AM38" s="75" t="n"/>
      <c r="AN38" s="75" t="n"/>
      <c r="AO38" s="75" t="n"/>
      <c r="AP38" s="75" t="n"/>
      <c r="AQ38" s="75" t="n"/>
      <c r="AR38" s="75" t="n"/>
      <c r="AS38" s="75" t="n"/>
      <c r="AT38" s="75" t="n"/>
      <c r="AU38" s="75" t="n"/>
      <c r="AV38" s="75" t="n"/>
      <c r="AW38" s="75" t="n"/>
      <c r="AX38" s="75" t="n"/>
      <c r="AY38" s="75" t="n"/>
      <c r="AZ38" s="75" t="n"/>
      <c r="BA38" s="75" t="n"/>
      <c r="BB38" s="75" t="n"/>
      <c r="BC38" s="75" t="n"/>
      <c r="BD38" s="75" t="n"/>
      <c r="BE38" s="75" t="n"/>
    </row>
    <row r="39" ht="18" customHeight="1">
      <c r="A39" s="49">
        <f>IF('İş Planı'!$C39="","",'İş Planı'!$C39)</f>
        <v/>
      </c>
      <c r="B39" s="49">
        <f>IF('İş Planı'!$B39="","",'İş Planı'!$B39)</f>
        <v/>
      </c>
      <c r="C39" s="63">
        <f>IF('İş Planı'!$H39="","",'İş Planı'!$H39)</f>
        <v/>
      </c>
      <c r="D39" s="63">
        <f>IF('İş Planı'!$L39="","",'İş Planı'!$L39)</f>
        <v/>
      </c>
      <c r="E39" s="62">
        <f>IF('İş Planı'!$N39="","",'İş Planı'!$N39)</f>
        <v/>
      </c>
      <c r="F39" s="75" t="n"/>
      <c r="G39" s="75" t="n"/>
      <c r="H39" s="75" t="n"/>
      <c r="I39" s="75" t="n"/>
      <c r="J39" s="75" t="n"/>
      <c r="K39" s="75" t="n"/>
      <c r="L39" s="75" t="n"/>
      <c r="M39" s="75" t="n"/>
      <c r="N39" s="75" t="n"/>
      <c r="O39" s="75" t="n"/>
      <c r="P39" s="75" t="n"/>
      <c r="Q39" s="75" t="n"/>
      <c r="R39" s="75" t="n"/>
      <c r="S39" s="75" t="n"/>
      <c r="T39" s="75" t="n"/>
      <c r="U39" s="75" t="n"/>
      <c r="V39" s="75" t="n"/>
      <c r="W39" s="75" t="n"/>
      <c r="X39" s="75" t="n"/>
      <c r="Y39" s="75" t="n"/>
      <c r="Z39" s="75" t="n"/>
      <c r="AA39" s="75" t="n"/>
      <c r="AB39" s="75" t="n"/>
      <c r="AC39" s="75" t="n"/>
      <c r="AD39" s="75" t="n"/>
      <c r="AE39" s="75" t="n"/>
      <c r="AF39" s="75" t="n"/>
      <c r="AG39" s="75" t="n"/>
      <c r="AH39" s="75" t="n"/>
      <c r="AI39" s="75" t="n"/>
      <c r="AJ39" s="75" t="n"/>
      <c r="AK39" s="75" t="n"/>
      <c r="AL39" s="75" t="n"/>
      <c r="AM39" s="75" t="n"/>
      <c r="AN39" s="75" t="n"/>
      <c r="AO39" s="75" t="n"/>
      <c r="AP39" s="75" t="n"/>
      <c r="AQ39" s="75" t="n"/>
      <c r="AR39" s="75" t="n"/>
      <c r="AS39" s="75" t="n"/>
      <c r="AT39" s="75" t="n"/>
      <c r="AU39" s="75" t="n"/>
      <c r="AV39" s="75" t="n"/>
      <c r="AW39" s="75" t="n"/>
      <c r="AX39" s="75" t="n"/>
      <c r="AY39" s="75" t="n"/>
      <c r="AZ39" s="75" t="n"/>
      <c r="BA39" s="75" t="n"/>
      <c r="BB39" s="75" t="n"/>
      <c r="BC39" s="75" t="n"/>
      <c r="BD39" s="75" t="n"/>
      <c r="BE39" s="75" t="n"/>
    </row>
    <row r="40" ht="18" customHeight="1">
      <c r="A40" s="49">
        <f>IF('İş Planı'!$C40="","",'İş Planı'!$C40)</f>
        <v/>
      </c>
      <c r="B40" s="49">
        <f>IF('İş Planı'!$B40="","",'İş Planı'!$B40)</f>
        <v/>
      </c>
      <c r="C40" s="63">
        <f>IF('İş Planı'!$H40="","",'İş Planı'!$H40)</f>
        <v/>
      </c>
      <c r="D40" s="63">
        <f>IF('İş Planı'!$L40="","",'İş Planı'!$L40)</f>
        <v/>
      </c>
      <c r="E40" s="62">
        <f>IF('İş Planı'!$N40="","",'İş Planı'!$N40)</f>
        <v/>
      </c>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c r="AC40" s="75" t="n"/>
      <c r="AD40" s="75" t="n"/>
      <c r="AE40" s="75" t="n"/>
      <c r="AF40" s="75" t="n"/>
      <c r="AG40" s="75" t="n"/>
      <c r="AH40" s="75" t="n"/>
      <c r="AI40" s="75" t="n"/>
      <c r="AJ40" s="75" t="n"/>
      <c r="AK40" s="75" t="n"/>
      <c r="AL40" s="75" t="n"/>
      <c r="AM40" s="75" t="n"/>
      <c r="AN40" s="75" t="n"/>
      <c r="AO40" s="75" t="n"/>
      <c r="AP40" s="75" t="n"/>
      <c r="AQ40" s="75" t="n"/>
      <c r="AR40" s="75" t="n"/>
      <c r="AS40" s="75" t="n"/>
      <c r="AT40" s="75" t="n"/>
      <c r="AU40" s="75" t="n"/>
      <c r="AV40" s="75" t="n"/>
      <c r="AW40" s="75" t="n"/>
      <c r="AX40" s="75" t="n"/>
      <c r="AY40" s="75" t="n"/>
      <c r="AZ40" s="75" t="n"/>
      <c r="BA40" s="75" t="n"/>
      <c r="BB40" s="75" t="n"/>
      <c r="BC40" s="75" t="n"/>
      <c r="BD40" s="75" t="n"/>
      <c r="BE40" s="75" t="n"/>
    </row>
    <row r="41" ht="18" customHeight="1">
      <c r="A41" s="49">
        <f>IF('İş Planı'!$C41="","",'İş Planı'!$C41)</f>
        <v/>
      </c>
      <c r="B41" s="49">
        <f>IF('İş Planı'!$B41="","",'İş Planı'!$B41)</f>
        <v/>
      </c>
      <c r="C41" s="63">
        <f>IF('İş Planı'!$H41="","",'İş Planı'!$H41)</f>
        <v/>
      </c>
      <c r="D41" s="63">
        <f>IF('İş Planı'!$L41="","",'İş Planı'!$L41)</f>
        <v/>
      </c>
      <c r="E41" s="62">
        <f>IF('İş Planı'!$N41="","",'İş Planı'!$N41)</f>
        <v/>
      </c>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c r="AC41" s="75" t="n"/>
      <c r="AD41" s="75" t="n"/>
      <c r="AE41" s="75" t="n"/>
      <c r="AF41" s="75" t="n"/>
      <c r="AG41" s="75" t="n"/>
      <c r="AH41" s="75" t="n"/>
      <c r="AI41" s="75" t="n"/>
      <c r="AJ41" s="75" t="n"/>
      <c r="AK41" s="75" t="n"/>
      <c r="AL41" s="75" t="n"/>
      <c r="AM41" s="75" t="n"/>
      <c r="AN41" s="75" t="n"/>
      <c r="AO41" s="75" t="n"/>
      <c r="AP41" s="75" t="n"/>
      <c r="AQ41" s="75" t="n"/>
      <c r="AR41" s="75" t="n"/>
      <c r="AS41" s="75" t="n"/>
      <c r="AT41" s="75" t="n"/>
      <c r="AU41" s="75" t="n"/>
      <c r="AV41" s="75" t="n"/>
      <c r="AW41" s="75" t="n"/>
      <c r="AX41" s="75" t="n"/>
      <c r="AY41" s="75" t="n"/>
      <c r="AZ41" s="75" t="n"/>
      <c r="BA41" s="75" t="n"/>
      <c r="BB41" s="75" t="n"/>
      <c r="BC41" s="75" t="n"/>
      <c r="BD41" s="75" t="n"/>
      <c r="BE41" s="75" t="n"/>
    </row>
    <row r="42" ht="18" customHeight="1">
      <c r="A42" s="49">
        <f>IF('İş Planı'!$C42="","",'İş Planı'!$C42)</f>
        <v/>
      </c>
      <c r="B42" s="49">
        <f>IF('İş Planı'!$B42="","",'İş Planı'!$B42)</f>
        <v/>
      </c>
      <c r="C42" s="63">
        <f>IF('İş Planı'!$H42="","",'İş Planı'!$H42)</f>
        <v/>
      </c>
      <c r="D42" s="63">
        <f>IF('İş Planı'!$L42="","",'İş Planı'!$L42)</f>
        <v/>
      </c>
      <c r="E42" s="62">
        <f>IF('İş Planı'!$N42="","",'İş Planı'!$N42)</f>
        <v/>
      </c>
      <c r="F42" s="75" t="n"/>
      <c r="G42" s="75" t="n"/>
      <c r="H42" s="75" t="n"/>
      <c r="I42" s="75" t="n"/>
      <c r="J42" s="75" t="n"/>
      <c r="K42" s="75" t="n"/>
      <c r="L42" s="75" t="n"/>
      <c r="M42" s="75" t="n"/>
      <c r="N42" s="75" t="n"/>
      <c r="O42" s="75" t="n"/>
      <c r="P42" s="75" t="n"/>
      <c r="Q42" s="75" t="n"/>
      <c r="R42" s="75" t="n"/>
      <c r="S42" s="75" t="n"/>
      <c r="T42" s="75" t="n"/>
      <c r="U42" s="75" t="n"/>
      <c r="V42" s="75" t="n"/>
      <c r="W42" s="75" t="n"/>
      <c r="X42" s="75" t="n"/>
      <c r="Y42" s="75" t="n"/>
      <c r="Z42" s="75" t="n"/>
      <c r="AA42" s="75" t="n"/>
      <c r="AB42" s="75" t="n"/>
      <c r="AC42" s="75" t="n"/>
      <c r="AD42" s="75" t="n"/>
      <c r="AE42" s="75" t="n"/>
      <c r="AF42" s="75" t="n"/>
      <c r="AG42" s="75" t="n"/>
      <c r="AH42" s="75" t="n"/>
      <c r="AI42" s="75" t="n"/>
      <c r="AJ42" s="75" t="n"/>
      <c r="AK42" s="75" t="n"/>
      <c r="AL42" s="75" t="n"/>
      <c r="AM42" s="75" t="n"/>
      <c r="AN42" s="75" t="n"/>
      <c r="AO42" s="75" t="n"/>
      <c r="AP42" s="75" t="n"/>
      <c r="AQ42" s="75" t="n"/>
      <c r="AR42" s="75" t="n"/>
      <c r="AS42" s="75" t="n"/>
      <c r="AT42" s="75" t="n"/>
      <c r="AU42" s="75" t="n"/>
      <c r="AV42" s="75" t="n"/>
      <c r="AW42" s="75" t="n"/>
      <c r="AX42" s="75" t="n"/>
      <c r="AY42" s="75" t="n"/>
      <c r="AZ42" s="75" t="n"/>
      <c r="BA42" s="75" t="n"/>
      <c r="BB42" s="75" t="n"/>
      <c r="BC42" s="75" t="n"/>
      <c r="BD42" s="75" t="n"/>
      <c r="BE42" s="75" t="n"/>
    </row>
    <row r="43" ht="18" customHeight="1">
      <c r="A43" s="49">
        <f>IF('İş Planı'!$C43="","",'İş Planı'!$C43)</f>
        <v/>
      </c>
      <c r="B43" s="49">
        <f>IF('İş Planı'!$B43="","",'İş Planı'!$B43)</f>
        <v/>
      </c>
      <c r="C43" s="63">
        <f>IF('İş Planı'!$H43="","",'İş Planı'!$H43)</f>
        <v/>
      </c>
      <c r="D43" s="63">
        <f>IF('İş Planı'!$L43="","",'İş Planı'!$L43)</f>
        <v/>
      </c>
      <c r="E43" s="62">
        <f>IF('İş Planı'!$N43="","",'İş Planı'!$N43)</f>
        <v/>
      </c>
      <c r="F43" s="75" t="n"/>
      <c r="G43" s="75" t="n"/>
      <c r="H43" s="75" t="n"/>
      <c r="I43" s="75" t="n"/>
      <c r="J43" s="75" t="n"/>
      <c r="K43" s="75" t="n"/>
      <c r="L43" s="75" t="n"/>
      <c r="M43" s="75" t="n"/>
      <c r="N43" s="75" t="n"/>
      <c r="O43" s="75" t="n"/>
      <c r="P43" s="75" t="n"/>
      <c r="Q43" s="75" t="n"/>
      <c r="R43" s="75" t="n"/>
      <c r="S43" s="75" t="n"/>
      <c r="T43" s="75" t="n"/>
      <c r="U43" s="75" t="n"/>
      <c r="V43" s="75" t="n"/>
      <c r="W43" s="75" t="n"/>
      <c r="X43" s="75" t="n"/>
      <c r="Y43" s="75" t="n"/>
      <c r="Z43" s="75" t="n"/>
      <c r="AA43" s="75" t="n"/>
      <c r="AB43" s="75" t="n"/>
      <c r="AC43" s="75" t="n"/>
      <c r="AD43" s="75" t="n"/>
      <c r="AE43" s="75" t="n"/>
      <c r="AF43" s="75" t="n"/>
      <c r="AG43" s="75" t="n"/>
      <c r="AH43" s="75" t="n"/>
      <c r="AI43" s="75" t="n"/>
      <c r="AJ43" s="75" t="n"/>
      <c r="AK43" s="75" t="n"/>
      <c r="AL43" s="75" t="n"/>
      <c r="AM43" s="75" t="n"/>
      <c r="AN43" s="75" t="n"/>
      <c r="AO43" s="75" t="n"/>
      <c r="AP43" s="75" t="n"/>
      <c r="AQ43" s="75" t="n"/>
      <c r="AR43" s="75" t="n"/>
      <c r="AS43" s="75" t="n"/>
      <c r="AT43" s="75" t="n"/>
      <c r="AU43" s="75" t="n"/>
      <c r="AV43" s="75" t="n"/>
      <c r="AW43" s="75" t="n"/>
      <c r="AX43" s="75" t="n"/>
      <c r="AY43" s="75" t="n"/>
      <c r="AZ43" s="75" t="n"/>
      <c r="BA43" s="75" t="n"/>
      <c r="BB43" s="75" t="n"/>
      <c r="BC43" s="75" t="n"/>
      <c r="BD43" s="75" t="n"/>
      <c r="BE43" s="75" t="n"/>
    </row>
    <row r="44" ht="18" customHeight="1">
      <c r="A44" s="49">
        <f>IF('İş Planı'!$C44="","",'İş Planı'!$C44)</f>
        <v/>
      </c>
      <c r="B44" s="49">
        <f>IF('İş Planı'!$B44="","",'İş Planı'!$B44)</f>
        <v/>
      </c>
      <c r="C44" s="63">
        <f>IF('İş Planı'!$H44="","",'İş Planı'!$H44)</f>
        <v/>
      </c>
      <c r="D44" s="63">
        <f>IF('İş Planı'!$L44="","",'İş Planı'!$L44)</f>
        <v/>
      </c>
      <c r="E44" s="62">
        <f>IF('İş Planı'!$N44="","",'İş Planı'!$N44)</f>
        <v/>
      </c>
      <c r="F44" s="75" t="n"/>
      <c r="G44" s="75" t="n"/>
      <c r="H44" s="75" t="n"/>
      <c r="I44" s="75" t="n"/>
      <c r="J44" s="75" t="n"/>
      <c r="K44" s="75" t="n"/>
      <c r="L44" s="75" t="n"/>
      <c r="M44" s="75" t="n"/>
      <c r="N44" s="75" t="n"/>
      <c r="O44" s="75" t="n"/>
      <c r="P44" s="75" t="n"/>
      <c r="Q44" s="75" t="n"/>
      <c r="R44" s="75" t="n"/>
      <c r="S44" s="75" t="n"/>
      <c r="T44" s="75" t="n"/>
      <c r="U44" s="75" t="n"/>
      <c r="V44" s="75" t="n"/>
      <c r="W44" s="75" t="n"/>
      <c r="X44" s="75" t="n"/>
      <c r="Y44" s="75" t="n"/>
      <c r="Z44" s="75" t="n"/>
      <c r="AA44" s="75" t="n"/>
      <c r="AB44" s="75" t="n"/>
      <c r="AC44" s="75" t="n"/>
      <c r="AD44" s="75" t="n"/>
      <c r="AE44" s="75" t="n"/>
      <c r="AF44" s="75" t="n"/>
      <c r="AG44" s="75" t="n"/>
      <c r="AH44" s="75" t="n"/>
      <c r="AI44" s="75" t="n"/>
      <c r="AJ44" s="75" t="n"/>
      <c r="AK44" s="75" t="n"/>
      <c r="AL44" s="75" t="n"/>
      <c r="AM44" s="75" t="n"/>
      <c r="AN44" s="75" t="n"/>
      <c r="AO44" s="75" t="n"/>
      <c r="AP44" s="75" t="n"/>
      <c r="AQ44" s="75" t="n"/>
      <c r="AR44" s="75" t="n"/>
      <c r="AS44" s="75" t="n"/>
      <c r="AT44" s="75" t="n"/>
      <c r="AU44" s="75" t="n"/>
      <c r="AV44" s="75" t="n"/>
      <c r="AW44" s="75" t="n"/>
      <c r="AX44" s="75" t="n"/>
      <c r="AY44" s="75" t="n"/>
      <c r="AZ44" s="75" t="n"/>
      <c r="BA44" s="75" t="n"/>
      <c r="BB44" s="75" t="n"/>
      <c r="BC44" s="75" t="n"/>
      <c r="BD44" s="75" t="n"/>
      <c r="BE44" s="75" t="n"/>
    </row>
    <row r="45" ht="18" customHeight="1">
      <c r="A45" s="49">
        <f>IF('İş Planı'!$C45="","",'İş Planı'!$C45)</f>
        <v/>
      </c>
      <c r="B45" s="49">
        <f>IF('İş Planı'!$B45="","",'İş Planı'!$B45)</f>
        <v/>
      </c>
      <c r="C45" s="63">
        <f>IF('İş Planı'!$H45="","",'İş Planı'!$H45)</f>
        <v/>
      </c>
      <c r="D45" s="63">
        <f>IF('İş Planı'!$L45="","",'İş Planı'!$L45)</f>
        <v/>
      </c>
      <c r="E45" s="62">
        <f>IF('İş Planı'!$N45="","",'İş Planı'!$N45)</f>
        <v/>
      </c>
      <c r="F45" s="75" t="n"/>
      <c r="G45" s="75" t="n"/>
      <c r="H45" s="75" t="n"/>
      <c r="I45" s="75" t="n"/>
      <c r="J45" s="75" t="n"/>
      <c r="K45" s="75" t="n"/>
      <c r="L45" s="75" t="n"/>
      <c r="M45" s="75" t="n"/>
      <c r="N45" s="75" t="n"/>
      <c r="O45" s="75" t="n"/>
      <c r="P45" s="75" t="n"/>
      <c r="Q45" s="75" t="n"/>
      <c r="R45" s="75" t="n"/>
      <c r="S45" s="75" t="n"/>
      <c r="T45" s="75" t="n"/>
      <c r="U45" s="75" t="n"/>
      <c r="V45" s="75" t="n"/>
      <c r="W45" s="75" t="n"/>
      <c r="X45" s="75" t="n"/>
      <c r="Y45" s="75" t="n"/>
      <c r="Z45" s="75" t="n"/>
      <c r="AA45" s="75" t="n"/>
      <c r="AB45" s="75" t="n"/>
      <c r="AC45" s="75" t="n"/>
      <c r="AD45" s="75" t="n"/>
      <c r="AE45" s="75" t="n"/>
      <c r="AF45" s="75" t="n"/>
      <c r="AG45" s="75" t="n"/>
      <c r="AH45" s="75" t="n"/>
      <c r="AI45" s="75" t="n"/>
      <c r="AJ45" s="75" t="n"/>
      <c r="AK45" s="75" t="n"/>
      <c r="AL45" s="75" t="n"/>
      <c r="AM45" s="75" t="n"/>
      <c r="AN45" s="75" t="n"/>
      <c r="AO45" s="75" t="n"/>
      <c r="AP45" s="75" t="n"/>
      <c r="AQ45" s="75" t="n"/>
      <c r="AR45" s="75" t="n"/>
      <c r="AS45" s="75" t="n"/>
      <c r="AT45" s="75" t="n"/>
      <c r="AU45" s="75" t="n"/>
      <c r="AV45" s="75" t="n"/>
      <c r="AW45" s="75" t="n"/>
      <c r="AX45" s="75" t="n"/>
      <c r="AY45" s="75" t="n"/>
      <c r="AZ45" s="75" t="n"/>
      <c r="BA45" s="75" t="n"/>
      <c r="BB45" s="75" t="n"/>
      <c r="BC45" s="75" t="n"/>
      <c r="BD45" s="75" t="n"/>
      <c r="BE45" s="75" t="n"/>
    </row>
    <row r="46" ht="18" customHeight="1">
      <c r="A46" s="49">
        <f>IF('İş Planı'!$C46="","",'İş Planı'!$C46)</f>
        <v/>
      </c>
      <c r="B46" s="49">
        <f>IF('İş Planı'!$B46="","",'İş Planı'!$B46)</f>
        <v/>
      </c>
      <c r="C46" s="63">
        <f>IF('İş Planı'!$H46="","",'İş Planı'!$H46)</f>
        <v/>
      </c>
      <c r="D46" s="63">
        <f>IF('İş Planı'!$L46="","",'İş Planı'!$L46)</f>
        <v/>
      </c>
      <c r="E46" s="62">
        <f>IF('İş Planı'!$N46="","",'İş Planı'!$N46)</f>
        <v/>
      </c>
      <c r="F46" s="75" t="n"/>
      <c r="G46" s="75" t="n"/>
      <c r="H46" s="75" t="n"/>
      <c r="I46" s="75" t="n"/>
      <c r="J46" s="75" t="n"/>
      <c r="K46" s="75" t="n"/>
      <c r="L46" s="75" t="n"/>
      <c r="M46" s="75" t="n"/>
      <c r="N46" s="75" t="n"/>
      <c r="O46" s="75" t="n"/>
      <c r="P46" s="75" t="n"/>
      <c r="Q46" s="75" t="n"/>
      <c r="R46" s="75" t="n"/>
      <c r="S46" s="75" t="n"/>
      <c r="T46" s="75" t="n"/>
      <c r="U46" s="75" t="n"/>
      <c r="V46" s="75" t="n"/>
      <c r="W46" s="75" t="n"/>
      <c r="X46" s="75" t="n"/>
      <c r="Y46" s="75" t="n"/>
      <c r="Z46" s="75" t="n"/>
      <c r="AA46" s="75" t="n"/>
      <c r="AB46" s="75" t="n"/>
      <c r="AC46" s="75" t="n"/>
      <c r="AD46" s="75" t="n"/>
      <c r="AE46" s="75" t="n"/>
      <c r="AF46" s="75" t="n"/>
      <c r="AG46" s="75" t="n"/>
      <c r="AH46" s="75" t="n"/>
      <c r="AI46" s="75" t="n"/>
      <c r="AJ46" s="75" t="n"/>
      <c r="AK46" s="75" t="n"/>
      <c r="AL46" s="75" t="n"/>
      <c r="AM46" s="75" t="n"/>
      <c r="AN46" s="75" t="n"/>
      <c r="AO46" s="75" t="n"/>
      <c r="AP46" s="75" t="n"/>
      <c r="AQ46" s="75" t="n"/>
      <c r="AR46" s="75" t="n"/>
      <c r="AS46" s="75" t="n"/>
      <c r="AT46" s="75" t="n"/>
      <c r="AU46" s="75" t="n"/>
      <c r="AV46" s="75" t="n"/>
      <c r="AW46" s="75" t="n"/>
      <c r="AX46" s="75" t="n"/>
      <c r="AY46" s="75" t="n"/>
      <c r="AZ46" s="75" t="n"/>
      <c r="BA46" s="75" t="n"/>
      <c r="BB46" s="75" t="n"/>
      <c r="BC46" s="75" t="n"/>
      <c r="BD46" s="75" t="n"/>
      <c r="BE46" s="75" t="n"/>
    </row>
    <row r="47" ht="18" customHeight="1">
      <c r="A47" s="49">
        <f>IF('İş Planı'!$C47="","",'İş Planı'!$C47)</f>
        <v/>
      </c>
      <c r="B47" s="49">
        <f>IF('İş Planı'!$B47="","",'İş Planı'!$B47)</f>
        <v/>
      </c>
      <c r="C47" s="63">
        <f>IF('İş Planı'!$H47="","",'İş Planı'!$H47)</f>
        <v/>
      </c>
      <c r="D47" s="63">
        <f>IF('İş Planı'!$L47="","",'İş Planı'!$L47)</f>
        <v/>
      </c>
      <c r="E47" s="62">
        <f>IF('İş Planı'!$N47="","",'İş Planı'!$N47)</f>
        <v/>
      </c>
      <c r="F47" s="75" t="n"/>
      <c r="G47" s="75" t="n"/>
      <c r="H47" s="75" t="n"/>
      <c r="I47" s="75" t="n"/>
      <c r="J47" s="75" t="n"/>
      <c r="K47" s="75" t="n"/>
      <c r="L47" s="75" t="n"/>
      <c r="M47" s="75" t="n"/>
      <c r="N47" s="75" t="n"/>
      <c r="O47" s="75" t="n"/>
      <c r="P47" s="75" t="n"/>
      <c r="Q47" s="75" t="n"/>
      <c r="R47" s="75" t="n"/>
      <c r="S47" s="75" t="n"/>
      <c r="T47" s="75" t="n"/>
      <c r="U47" s="75" t="n"/>
      <c r="V47" s="75" t="n"/>
      <c r="W47" s="75" t="n"/>
      <c r="X47" s="75" t="n"/>
      <c r="Y47" s="75" t="n"/>
      <c r="Z47" s="75" t="n"/>
      <c r="AA47" s="75" t="n"/>
      <c r="AB47" s="75" t="n"/>
      <c r="AC47" s="75" t="n"/>
      <c r="AD47" s="75" t="n"/>
      <c r="AE47" s="75" t="n"/>
      <c r="AF47" s="75" t="n"/>
      <c r="AG47" s="75" t="n"/>
      <c r="AH47" s="75" t="n"/>
      <c r="AI47" s="75" t="n"/>
      <c r="AJ47" s="75" t="n"/>
      <c r="AK47" s="75" t="n"/>
      <c r="AL47" s="75" t="n"/>
      <c r="AM47" s="75" t="n"/>
      <c r="AN47" s="75" t="n"/>
      <c r="AO47" s="75" t="n"/>
      <c r="AP47" s="75" t="n"/>
      <c r="AQ47" s="75" t="n"/>
      <c r="AR47" s="75" t="n"/>
      <c r="AS47" s="75" t="n"/>
      <c r="AT47" s="75" t="n"/>
      <c r="AU47" s="75" t="n"/>
      <c r="AV47" s="75" t="n"/>
      <c r="AW47" s="75" t="n"/>
      <c r="AX47" s="75" t="n"/>
      <c r="AY47" s="75" t="n"/>
      <c r="AZ47" s="75" t="n"/>
      <c r="BA47" s="75" t="n"/>
      <c r="BB47" s="75" t="n"/>
      <c r="BC47" s="75" t="n"/>
      <c r="BD47" s="75" t="n"/>
      <c r="BE47" s="75" t="n"/>
    </row>
    <row r="48" ht="18" customHeight="1">
      <c r="A48" s="49">
        <f>IF('İş Planı'!$C48="","",'İş Planı'!$C48)</f>
        <v/>
      </c>
      <c r="B48" s="49">
        <f>IF('İş Planı'!$B48="","",'İş Planı'!$B48)</f>
        <v/>
      </c>
      <c r="C48" s="63">
        <f>IF('İş Planı'!$H48="","",'İş Planı'!$H48)</f>
        <v/>
      </c>
      <c r="D48" s="63">
        <f>IF('İş Planı'!$L48="","",'İş Planı'!$L48)</f>
        <v/>
      </c>
      <c r="E48" s="62">
        <f>IF('İş Planı'!$N48="","",'İş Planı'!$N48)</f>
        <v/>
      </c>
      <c r="F48" s="75" t="n"/>
      <c r="G48" s="75" t="n"/>
      <c r="H48" s="75" t="n"/>
      <c r="I48" s="75" t="n"/>
      <c r="J48" s="75" t="n"/>
      <c r="K48" s="75" t="n"/>
      <c r="L48" s="75" t="n"/>
      <c r="M48" s="75" t="n"/>
      <c r="N48" s="75" t="n"/>
      <c r="O48" s="75" t="n"/>
      <c r="P48" s="75" t="n"/>
      <c r="Q48" s="75" t="n"/>
      <c r="R48" s="75" t="n"/>
      <c r="S48" s="75" t="n"/>
      <c r="T48" s="75" t="n"/>
      <c r="U48" s="75" t="n"/>
      <c r="V48" s="75" t="n"/>
      <c r="W48" s="75" t="n"/>
      <c r="X48" s="75" t="n"/>
      <c r="Y48" s="75" t="n"/>
      <c r="Z48" s="75" t="n"/>
      <c r="AA48" s="75" t="n"/>
      <c r="AB48" s="75" t="n"/>
      <c r="AC48" s="75" t="n"/>
      <c r="AD48" s="75" t="n"/>
      <c r="AE48" s="75" t="n"/>
      <c r="AF48" s="75" t="n"/>
      <c r="AG48" s="75" t="n"/>
      <c r="AH48" s="75" t="n"/>
      <c r="AI48" s="75" t="n"/>
      <c r="AJ48" s="75" t="n"/>
      <c r="AK48" s="75" t="n"/>
      <c r="AL48" s="75" t="n"/>
      <c r="AM48" s="75" t="n"/>
      <c r="AN48" s="75" t="n"/>
      <c r="AO48" s="75" t="n"/>
      <c r="AP48" s="75" t="n"/>
      <c r="AQ48" s="75" t="n"/>
      <c r="AR48" s="75" t="n"/>
      <c r="AS48" s="75" t="n"/>
      <c r="AT48" s="75" t="n"/>
      <c r="AU48" s="75" t="n"/>
      <c r="AV48" s="75" t="n"/>
      <c r="AW48" s="75" t="n"/>
      <c r="AX48" s="75" t="n"/>
      <c r="AY48" s="75" t="n"/>
      <c r="AZ48" s="75" t="n"/>
      <c r="BA48" s="75" t="n"/>
      <c r="BB48" s="75" t="n"/>
      <c r="BC48" s="75" t="n"/>
      <c r="BD48" s="75" t="n"/>
      <c r="BE48" s="75" t="n"/>
    </row>
    <row r="49" ht="18" customHeight="1">
      <c r="A49" s="49">
        <f>IF('İş Planı'!$C49="","",'İş Planı'!$C49)</f>
        <v/>
      </c>
      <c r="B49" s="49">
        <f>IF('İş Planı'!$B49="","",'İş Planı'!$B49)</f>
        <v/>
      </c>
      <c r="C49" s="63">
        <f>IF('İş Planı'!$H49="","",'İş Planı'!$H49)</f>
        <v/>
      </c>
      <c r="D49" s="63">
        <f>IF('İş Planı'!$L49="","",'İş Planı'!$L49)</f>
        <v/>
      </c>
      <c r="E49" s="62">
        <f>IF('İş Planı'!$N49="","",'İş Planı'!$N49)</f>
        <v/>
      </c>
      <c r="F49" s="75" t="n"/>
      <c r="G49" s="75" t="n"/>
      <c r="H49" s="75" t="n"/>
      <c r="I49" s="75" t="n"/>
      <c r="J49" s="75" t="n"/>
      <c r="K49" s="75" t="n"/>
      <c r="L49" s="75" t="n"/>
      <c r="M49" s="75" t="n"/>
      <c r="N49" s="75" t="n"/>
      <c r="O49" s="75" t="n"/>
      <c r="P49" s="75" t="n"/>
      <c r="Q49" s="75" t="n"/>
      <c r="R49" s="75" t="n"/>
      <c r="S49" s="75" t="n"/>
      <c r="T49" s="75" t="n"/>
      <c r="U49" s="75" t="n"/>
      <c r="V49" s="75" t="n"/>
      <c r="W49" s="75" t="n"/>
      <c r="X49" s="75" t="n"/>
      <c r="Y49" s="75" t="n"/>
      <c r="Z49" s="75" t="n"/>
      <c r="AA49" s="75" t="n"/>
      <c r="AB49" s="75" t="n"/>
      <c r="AC49" s="75" t="n"/>
      <c r="AD49" s="75" t="n"/>
      <c r="AE49" s="75" t="n"/>
      <c r="AF49" s="75" t="n"/>
      <c r="AG49" s="75" t="n"/>
      <c r="AH49" s="75" t="n"/>
      <c r="AI49" s="75" t="n"/>
      <c r="AJ49" s="75" t="n"/>
      <c r="AK49" s="75" t="n"/>
      <c r="AL49" s="75" t="n"/>
      <c r="AM49" s="75" t="n"/>
      <c r="AN49" s="75" t="n"/>
      <c r="AO49" s="75" t="n"/>
      <c r="AP49" s="75" t="n"/>
      <c r="AQ49" s="75" t="n"/>
      <c r="AR49" s="75" t="n"/>
      <c r="AS49" s="75" t="n"/>
      <c r="AT49" s="75" t="n"/>
      <c r="AU49" s="75" t="n"/>
      <c r="AV49" s="75" t="n"/>
      <c r="AW49" s="75" t="n"/>
      <c r="AX49" s="75" t="n"/>
      <c r="AY49" s="75" t="n"/>
      <c r="AZ49" s="75" t="n"/>
      <c r="BA49" s="75" t="n"/>
      <c r="BB49" s="75" t="n"/>
      <c r="BC49" s="75" t="n"/>
      <c r="BD49" s="75" t="n"/>
      <c r="BE49" s="75" t="n"/>
    </row>
    <row r="50" ht="18" customHeight="1">
      <c r="A50" s="49">
        <f>IF('İş Planı'!$C50="","",'İş Planı'!$C50)</f>
        <v/>
      </c>
      <c r="B50" s="49">
        <f>IF('İş Planı'!$B50="","",'İş Planı'!$B50)</f>
        <v/>
      </c>
      <c r="C50" s="63">
        <f>IF('İş Planı'!$H50="","",'İş Planı'!$H50)</f>
        <v/>
      </c>
      <c r="D50" s="63">
        <f>IF('İş Planı'!$L50="","",'İş Planı'!$L50)</f>
        <v/>
      </c>
      <c r="E50" s="62">
        <f>IF('İş Planı'!$N50="","",'İş Planı'!$N50)</f>
        <v/>
      </c>
      <c r="F50" s="75" t="n"/>
      <c r="G50" s="75" t="n"/>
      <c r="H50" s="75" t="n"/>
      <c r="I50" s="75" t="n"/>
      <c r="J50" s="75" t="n"/>
      <c r="K50" s="75" t="n"/>
      <c r="L50" s="75" t="n"/>
      <c r="M50" s="75" t="n"/>
      <c r="N50" s="75" t="n"/>
      <c r="O50" s="75" t="n"/>
      <c r="P50" s="75" t="n"/>
      <c r="Q50" s="75" t="n"/>
      <c r="R50" s="75" t="n"/>
      <c r="S50" s="75" t="n"/>
      <c r="T50" s="75" t="n"/>
      <c r="U50" s="75" t="n"/>
      <c r="V50" s="75" t="n"/>
      <c r="W50" s="75" t="n"/>
      <c r="X50" s="75" t="n"/>
      <c r="Y50" s="75" t="n"/>
      <c r="Z50" s="75" t="n"/>
      <c r="AA50" s="75" t="n"/>
      <c r="AB50" s="75" t="n"/>
      <c r="AC50" s="75" t="n"/>
      <c r="AD50" s="75" t="n"/>
      <c r="AE50" s="75" t="n"/>
      <c r="AF50" s="75" t="n"/>
      <c r="AG50" s="75" t="n"/>
      <c r="AH50" s="75" t="n"/>
      <c r="AI50" s="75" t="n"/>
      <c r="AJ50" s="75" t="n"/>
      <c r="AK50" s="75" t="n"/>
      <c r="AL50" s="75" t="n"/>
      <c r="AM50" s="75" t="n"/>
      <c r="AN50" s="75" t="n"/>
      <c r="AO50" s="75" t="n"/>
      <c r="AP50" s="75" t="n"/>
      <c r="AQ50" s="75" t="n"/>
      <c r="AR50" s="75" t="n"/>
      <c r="AS50" s="75" t="n"/>
      <c r="AT50" s="75" t="n"/>
      <c r="AU50" s="75" t="n"/>
      <c r="AV50" s="75" t="n"/>
      <c r="AW50" s="75" t="n"/>
      <c r="AX50" s="75" t="n"/>
      <c r="AY50" s="75" t="n"/>
      <c r="AZ50" s="75" t="n"/>
      <c r="BA50" s="75" t="n"/>
      <c r="BB50" s="75" t="n"/>
      <c r="BC50" s="75" t="n"/>
      <c r="BD50" s="75" t="n"/>
      <c r="BE50" s="75" t="n"/>
    </row>
    <row r="51" ht="18" customHeight="1">
      <c r="A51" s="49">
        <f>IF('İş Planı'!$C51="","",'İş Planı'!$C51)</f>
        <v/>
      </c>
      <c r="B51" s="49">
        <f>IF('İş Planı'!$B51="","",'İş Planı'!$B51)</f>
        <v/>
      </c>
      <c r="C51" s="63">
        <f>IF('İş Planı'!$H51="","",'İş Planı'!$H51)</f>
        <v/>
      </c>
      <c r="D51" s="63">
        <f>IF('İş Planı'!$L51="","",'İş Planı'!$L51)</f>
        <v/>
      </c>
      <c r="E51" s="62">
        <f>IF('İş Planı'!$N51="","",'İş Planı'!$N51)</f>
        <v/>
      </c>
      <c r="F51" s="75" t="n"/>
      <c r="G51" s="75" t="n"/>
      <c r="H51" s="75" t="n"/>
      <c r="I51" s="75" t="n"/>
      <c r="J51" s="75" t="n"/>
      <c r="K51" s="75" t="n"/>
      <c r="L51" s="75" t="n"/>
      <c r="M51" s="75" t="n"/>
      <c r="N51" s="75" t="n"/>
      <c r="O51" s="75" t="n"/>
      <c r="P51" s="75" t="n"/>
      <c r="Q51" s="75" t="n"/>
      <c r="R51" s="75" t="n"/>
      <c r="S51" s="75" t="n"/>
      <c r="T51" s="75" t="n"/>
      <c r="U51" s="75" t="n"/>
      <c r="V51" s="75" t="n"/>
      <c r="W51" s="75" t="n"/>
      <c r="X51" s="75" t="n"/>
      <c r="Y51" s="75" t="n"/>
      <c r="Z51" s="75" t="n"/>
      <c r="AA51" s="75" t="n"/>
      <c r="AB51" s="75" t="n"/>
      <c r="AC51" s="75" t="n"/>
      <c r="AD51" s="75" t="n"/>
      <c r="AE51" s="75" t="n"/>
      <c r="AF51" s="75" t="n"/>
      <c r="AG51" s="75" t="n"/>
      <c r="AH51" s="75" t="n"/>
      <c r="AI51" s="75" t="n"/>
      <c r="AJ51" s="75" t="n"/>
      <c r="AK51" s="75" t="n"/>
      <c r="AL51" s="75" t="n"/>
      <c r="AM51" s="75" t="n"/>
      <c r="AN51" s="75" t="n"/>
      <c r="AO51" s="75" t="n"/>
      <c r="AP51" s="75" t="n"/>
      <c r="AQ51" s="75" t="n"/>
      <c r="AR51" s="75" t="n"/>
      <c r="AS51" s="75" t="n"/>
      <c r="AT51" s="75" t="n"/>
      <c r="AU51" s="75" t="n"/>
      <c r="AV51" s="75" t="n"/>
      <c r="AW51" s="75" t="n"/>
      <c r="AX51" s="75" t="n"/>
      <c r="AY51" s="75" t="n"/>
      <c r="AZ51" s="75" t="n"/>
      <c r="BA51" s="75" t="n"/>
      <c r="BB51" s="75" t="n"/>
      <c r="BC51" s="75" t="n"/>
      <c r="BD51" s="75" t="n"/>
      <c r="BE51" s="75" t="n"/>
    </row>
    <row r="52" ht="18" customHeight="1">
      <c r="A52" s="49">
        <f>IF('İş Planı'!$C52="","",'İş Planı'!$C52)</f>
        <v/>
      </c>
      <c r="B52" s="49">
        <f>IF('İş Planı'!$B52="","",'İş Planı'!$B52)</f>
        <v/>
      </c>
      <c r="C52" s="63">
        <f>IF('İş Planı'!$H52="","",'İş Planı'!$H52)</f>
        <v/>
      </c>
      <c r="D52" s="63">
        <f>IF('İş Planı'!$L52="","",'İş Planı'!$L52)</f>
        <v/>
      </c>
      <c r="E52" s="62">
        <f>IF('İş Planı'!$N52="","",'İş Planı'!$N52)</f>
        <v/>
      </c>
      <c r="F52" s="75" t="n"/>
      <c r="G52" s="75" t="n"/>
      <c r="H52" s="75" t="n"/>
      <c r="I52" s="75" t="n"/>
      <c r="J52" s="75" t="n"/>
      <c r="K52" s="75" t="n"/>
      <c r="L52" s="75" t="n"/>
      <c r="M52" s="75" t="n"/>
      <c r="N52" s="75" t="n"/>
      <c r="O52" s="75" t="n"/>
      <c r="P52" s="75" t="n"/>
      <c r="Q52" s="75" t="n"/>
      <c r="R52" s="75" t="n"/>
      <c r="S52" s="75" t="n"/>
      <c r="T52" s="75" t="n"/>
      <c r="U52" s="75" t="n"/>
      <c r="V52" s="75" t="n"/>
      <c r="W52" s="75" t="n"/>
      <c r="X52" s="75" t="n"/>
      <c r="Y52" s="75" t="n"/>
      <c r="Z52" s="75" t="n"/>
      <c r="AA52" s="75" t="n"/>
      <c r="AB52" s="75" t="n"/>
      <c r="AC52" s="75" t="n"/>
      <c r="AD52" s="75" t="n"/>
      <c r="AE52" s="75" t="n"/>
      <c r="AF52" s="75" t="n"/>
      <c r="AG52" s="75" t="n"/>
      <c r="AH52" s="75" t="n"/>
      <c r="AI52" s="75" t="n"/>
      <c r="AJ52" s="75" t="n"/>
      <c r="AK52" s="75" t="n"/>
      <c r="AL52" s="75" t="n"/>
      <c r="AM52" s="75" t="n"/>
      <c r="AN52" s="75" t="n"/>
      <c r="AO52" s="75" t="n"/>
      <c r="AP52" s="75" t="n"/>
      <c r="AQ52" s="75" t="n"/>
      <c r="AR52" s="75" t="n"/>
      <c r="AS52" s="75" t="n"/>
      <c r="AT52" s="75" t="n"/>
      <c r="AU52" s="75" t="n"/>
      <c r="AV52" s="75" t="n"/>
      <c r="AW52" s="75" t="n"/>
      <c r="AX52" s="75" t="n"/>
      <c r="AY52" s="75" t="n"/>
      <c r="AZ52" s="75" t="n"/>
      <c r="BA52" s="75" t="n"/>
      <c r="BB52" s="75" t="n"/>
      <c r="BC52" s="75" t="n"/>
      <c r="BD52" s="75" t="n"/>
      <c r="BE52" s="75" t="n"/>
    </row>
    <row r="53" ht="18" customHeight="1">
      <c r="A53" s="49">
        <f>IF('İş Planı'!$C53="","",'İş Planı'!$C53)</f>
        <v/>
      </c>
      <c r="B53" s="49">
        <f>IF('İş Planı'!$B53="","",'İş Planı'!$B53)</f>
        <v/>
      </c>
      <c r="C53" s="63">
        <f>IF('İş Planı'!$H53="","",'İş Planı'!$H53)</f>
        <v/>
      </c>
      <c r="D53" s="63">
        <f>IF('İş Planı'!$L53="","",'İş Planı'!$L53)</f>
        <v/>
      </c>
      <c r="E53" s="62">
        <f>IF('İş Planı'!$N53="","",'İş Planı'!$N53)</f>
        <v/>
      </c>
      <c r="F53" s="75" t="n"/>
      <c r="G53" s="75" t="n"/>
      <c r="H53" s="75" t="n"/>
      <c r="I53" s="75" t="n"/>
      <c r="J53" s="75" t="n"/>
      <c r="K53" s="75" t="n"/>
      <c r="L53" s="75" t="n"/>
      <c r="M53" s="75" t="n"/>
      <c r="N53" s="75" t="n"/>
      <c r="O53" s="75" t="n"/>
      <c r="P53" s="75" t="n"/>
      <c r="Q53" s="75" t="n"/>
      <c r="R53" s="75" t="n"/>
      <c r="S53" s="75" t="n"/>
      <c r="T53" s="75" t="n"/>
      <c r="U53" s="75" t="n"/>
      <c r="V53" s="75" t="n"/>
      <c r="W53" s="75" t="n"/>
      <c r="X53" s="75" t="n"/>
      <c r="Y53" s="75" t="n"/>
      <c r="Z53" s="75" t="n"/>
      <c r="AA53" s="75" t="n"/>
      <c r="AB53" s="75" t="n"/>
      <c r="AC53" s="75" t="n"/>
      <c r="AD53" s="75" t="n"/>
      <c r="AE53" s="75" t="n"/>
      <c r="AF53" s="75" t="n"/>
      <c r="AG53" s="75" t="n"/>
      <c r="AH53" s="75" t="n"/>
      <c r="AI53" s="75" t="n"/>
      <c r="AJ53" s="75" t="n"/>
      <c r="AK53" s="75" t="n"/>
      <c r="AL53" s="75" t="n"/>
      <c r="AM53" s="75" t="n"/>
      <c r="AN53" s="75" t="n"/>
      <c r="AO53" s="75" t="n"/>
      <c r="AP53" s="75" t="n"/>
      <c r="AQ53" s="75" t="n"/>
      <c r="AR53" s="75" t="n"/>
      <c r="AS53" s="75" t="n"/>
      <c r="AT53" s="75" t="n"/>
      <c r="AU53" s="75" t="n"/>
      <c r="AV53" s="75" t="n"/>
      <c r="AW53" s="75" t="n"/>
      <c r="AX53" s="75" t="n"/>
      <c r="AY53" s="75" t="n"/>
      <c r="AZ53" s="75" t="n"/>
      <c r="BA53" s="75" t="n"/>
      <c r="BB53" s="75" t="n"/>
      <c r="BC53" s="75" t="n"/>
      <c r="BD53" s="75" t="n"/>
      <c r="BE53" s="75" t="n"/>
    </row>
    <row r="54" ht="18" customHeight="1">
      <c r="A54" s="49">
        <f>IF('İş Planı'!$C54="","",'İş Planı'!$C54)</f>
        <v/>
      </c>
      <c r="B54" s="49">
        <f>IF('İş Planı'!$B54="","",'İş Planı'!$B54)</f>
        <v/>
      </c>
      <c r="C54" s="63">
        <f>IF('İş Planı'!$H54="","",'İş Planı'!$H54)</f>
        <v/>
      </c>
      <c r="D54" s="63">
        <f>IF('İş Planı'!$L54="","",'İş Planı'!$L54)</f>
        <v/>
      </c>
      <c r="E54" s="62">
        <f>IF('İş Planı'!$N54="","",'İş Planı'!$N54)</f>
        <v/>
      </c>
      <c r="F54" s="75" t="n"/>
      <c r="G54" s="75" t="n"/>
      <c r="H54" s="75" t="n"/>
      <c r="I54" s="75" t="n"/>
      <c r="J54" s="75" t="n"/>
      <c r="K54" s="75" t="n"/>
      <c r="L54" s="75" t="n"/>
      <c r="M54" s="75" t="n"/>
      <c r="N54" s="75" t="n"/>
      <c r="O54" s="75" t="n"/>
      <c r="P54" s="75" t="n"/>
      <c r="Q54" s="75" t="n"/>
      <c r="R54" s="75" t="n"/>
      <c r="S54" s="75" t="n"/>
      <c r="T54" s="75" t="n"/>
      <c r="U54" s="75" t="n"/>
      <c r="V54" s="75" t="n"/>
      <c r="W54" s="75" t="n"/>
      <c r="X54" s="75" t="n"/>
      <c r="Y54" s="75" t="n"/>
      <c r="Z54" s="75" t="n"/>
      <c r="AA54" s="75" t="n"/>
      <c r="AB54" s="75" t="n"/>
      <c r="AC54" s="75" t="n"/>
      <c r="AD54" s="75" t="n"/>
      <c r="AE54" s="75" t="n"/>
      <c r="AF54" s="75" t="n"/>
      <c r="AG54" s="75" t="n"/>
      <c r="AH54" s="75" t="n"/>
      <c r="AI54" s="75" t="n"/>
      <c r="AJ54" s="75" t="n"/>
      <c r="AK54" s="75" t="n"/>
      <c r="AL54" s="75" t="n"/>
      <c r="AM54" s="75" t="n"/>
      <c r="AN54" s="75" t="n"/>
      <c r="AO54" s="75" t="n"/>
      <c r="AP54" s="75" t="n"/>
      <c r="AQ54" s="75" t="n"/>
      <c r="AR54" s="75" t="n"/>
      <c r="AS54" s="75" t="n"/>
      <c r="AT54" s="75" t="n"/>
      <c r="AU54" s="75" t="n"/>
      <c r="AV54" s="75" t="n"/>
      <c r="AW54" s="75" t="n"/>
      <c r="AX54" s="75" t="n"/>
      <c r="AY54" s="75" t="n"/>
      <c r="AZ54" s="75" t="n"/>
      <c r="BA54" s="75" t="n"/>
      <c r="BB54" s="75" t="n"/>
      <c r="BC54" s="75" t="n"/>
      <c r="BD54" s="75" t="n"/>
      <c r="BE54" s="75" t="n"/>
    </row>
    <row r="55" ht="18" customHeight="1">
      <c r="A55" s="49">
        <f>IF('İş Planı'!$C55="","",'İş Planı'!$C55)</f>
        <v/>
      </c>
      <c r="B55" s="49">
        <f>IF('İş Planı'!$B55="","",'İş Planı'!$B55)</f>
        <v/>
      </c>
      <c r="C55" s="63">
        <f>IF('İş Planı'!$H55="","",'İş Planı'!$H55)</f>
        <v/>
      </c>
      <c r="D55" s="63">
        <f>IF('İş Planı'!$L55="","",'İş Planı'!$L55)</f>
        <v/>
      </c>
      <c r="E55" s="62">
        <f>IF('İş Planı'!$N55="","",'İş Planı'!$N55)</f>
        <v/>
      </c>
      <c r="F55" s="75" t="n"/>
      <c r="G55" s="75" t="n"/>
      <c r="H55" s="75" t="n"/>
      <c r="I55" s="75" t="n"/>
      <c r="J55" s="75" t="n"/>
      <c r="K55" s="75" t="n"/>
      <c r="L55" s="75" t="n"/>
      <c r="M55" s="75" t="n"/>
      <c r="N55" s="75" t="n"/>
      <c r="O55" s="75" t="n"/>
      <c r="P55" s="75" t="n"/>
      <c r="Q55" s="75" t="n"/>
      <c r="R55" s="75" t="n"/>
      <c r="S55" s="75" t="n"/>
      <c r="T55" s="75" t="n"/>
      <c r="U55" s="75" t="n"/>
      <c r="V55" s="75" t="n"/>
      <c r="W55" s="75" t="n"/>
      <c r="X55" s="75" t="n"/>
      <c r="Y55" s="75" t="n"/>
      <c r="Z55" s="75" t="n"/>
      <c r="AA55" s="75" t="n"/>
      <c r="AB55" s="75" t="n"/>
      <c r="AC55" s="75" t="n"/>
      <c r="AD55" s="75" t="n"/>
      <c r="AE55" s="75" t="n"/>
      <c r="AF55" s="75" t="n"/>
      <c r="AG55" s="75" t="n"/>
      <c r="AH55" s="75" t="n"/>
      <c r="AI55" s="75" t="n"/>
      <c r="AJ55" s="75" t="n"/>
      <c r="AK55" s="75" t="n"/>
      <c r="AL55" s="75" t="n"/>
      <c r="AM55" s="75" t="n"/>
      <c r="AN55" s="75" t="n"/>
      <c r="AO55" s="75" t="n"/>
      <c r="AP55" s="75" t="n"/>
      <c r="AQ55" s="75" t="n"/>
      <c r="AR55" s="75" t="n"/>
      <c r="AS55" s="75" t="n"/>
      <c r="AT55" s="75" t="n"/>
      <c r="AU55" s="75" t="n"/>
      <c r="AV55" s="75" t="n"/>
      <c r="AW55" s="75" t="n"/>
      <c r="AX55" s="75" t="n"/>
      <c r="AY55" s="75" t="n"/>
      <c r="AZ55" s="75" t="n"/>
      <c r="BA55" s="75" t="n"/>
      <c r="BB55" s="75" t="n"/>
      <c r="BC55" s="75" t="n"/>
      <c r="BD55" s="75" t="n"/>
      <c r="BE55" s="75" t="n"/>
    </row>
    <row r="56" ht="18" customHeight="1">
      <c r="A56" s="49">
        <f>IF('İş Planı'!$C56="","",'İş Planı'!$C56)</f>
        <v/>
      </c>
      <c r="B56" s="49">
        <f>IF('İş Planı'!$B56="","",'İş Planı'!$B56)</f>
        <v/>
      </c>
      <c r="C56" s="63">
        <f>IF('İş Planı'!$H56="","",'İş Planı'!$H56)</f>
        <v/>
      </c>
      <c r="D56" s="63">
        <f>IF('İş Planı'!$L56="","",'İş Planı'!$L56)</f>
        <v/>
      </c>
      <c r="E56" s="62">
        <f>IF('İş Planı'!$N56="","",'İş Planı'!$N56)</f>
        <v/>
      </c>
      <c r="F56" s="75" t="n"/>
      <c r="G56" s="75" t="n"/>
      <c r="H56" s="75" t="n"/>
      <c r="I56" s="75" t="n"/>
      <c r="J56" s="75" t="n"/>
      <c r="K56" s="75" t="n"/>
      <c r="L56" s="75" t="n"/>
      <c r="M56" s="75" t="n"/>
      <c r="N56" s="75" t="n"/>
      <c r="O56" s="75" t="n"/>
      <c r="P56" s="75" t="n"/>
      <c r="Q56" s="75" t="n"/>
      <c r="R56" s="75" t="n"/>
      <c r="S56" s="75" t="n"/>
      <c r="T56" s="75" t="n"/>
      <c r="U56" s="75" t="n"/>
      <c r="V56" s="75" t="n"/>
      <c r="W56" s="75" t="n"/>
      <c r="X56" s="75" t="n"/>
      <c r="Y56" s="75" t="n"/>
      <c r="Z56" s="75" t="n"/>
      <c r="AA56" s="75" t="n"/>
      <c r="AB56" s="75" t="n"/>
      <c r="AC56" s="75" t="n"/>
      <c r="AD56" s="75" t="n"/>
      <c r="AE56" s="75" t="n"/>
      <c r="AF56" s="75" t="n"/>
      <c r="AG56" s="75" t="n"/>
      <c r="AH56" s="75" t="n"/>
      <c r="AI56" s="75" t="n"/>
      <c r="AJ56" s="75" t="n"/>
      <c r="AK56" s="75" t="n"/>
      <c r="AL56" s="75" t="n"/>
      <c r="AM56" s="75" t="n"/>
      <c r="AN56" s="75" t="n"/>
      <c r="AO56" s="75" t="n"/>
      <c r="AP56" s="75" t="n"/>
      <c r="AQ56" s="75" t="n"/>
      <c r="AR56" s="75" t="n"/>
      <c r="AS56" s="75" t="n"/>
      <c r="AT56" s="75" t="n"/>
      <c r="AU56" s="75" t="n"/>
      <c r="AV56" s="75" t="n"/>
      <c r="AW56" s="75" t="n"/>
      <c r="AX56" s="75" t="n"/>
      <c r="AY56" s="75" t="n"/>
      <c r="AZ56" s="75" t="n"/>
      <c r="BA56" s="75" t="n"/>
      <c r="BB56" s="75" t="n"/>
      <c r="BC56" s="75" t="n"/>
      <c r="BD56" s="75" t="n"/>
      <c r="BE56" s="75" t="n"/>
    </row>
    <row r="57" ht="18" customHeight="1">
      <c r="A57" s="49">
        <f>IF('İş Planı'!$C57="","",'İş Planı'!$C57)</f>
        <v/>
      </c>
      <c r="B57" s="49">
        <f>IF('İş Planı'!$B57="","",'İş Planı'!$B57)</f>
        <v/>
      </c>
      <c r="C57" s="63">
        <f>IF('İş Planı'!$H57="","",'İş Planı'!$H57)</f>
        <v/>
      </c>
      <c r="D57" s="63">
        <f>IF('İş Planı'!$L57="","",'İş Planı'!$L57)</f>
        <v/>
      </c>
      <c r="E57" s="62">
        <f>IF('İş Planı'!$N57="","",'İş Planı'!$N57)</f>
        <v/>
      </c>
      <c r="F57" s="75" t="n"/>
      <c r="G57" s="75" t="n"/>
      <c r="H57" s="75" t="n"/>
      <c r="I57" s="75" t="n"/>
      <c r="J57" s="75" t="n"/>
      <c r="K57" s="75" t="n"/>
      <c r="L57" s="75" t="n"/>
      <c r="M57" s="75" t="n"/>
      <c r="N57" s="75" t="n"/>
      <c r="O57" s="75" t="n"/>
      <c r="P57" s="75" t="n"/>
      <c r="Q57" s="75" t="n"/>
      <c r="R57" s="75" t="n"/>
      <c r="S57" s="75" t="n"/>
      <c r="T57" s="75" t="n"/>
      <c r="U57" s="75" t="n"/>
      <c r="V57" s="75" t="n"/>
      <c r="W57" s="75" t="n"/>
      <c r="X57" s="75" t="n"/>
      <c r="Y57" s="75" t="n"/>
      <c r="Z57" s="75" t="n"/>
      <c r="AA57" s="75" t="n"/>
      <c r="AB57" s="75" t="n"/>
      <c r="AC57" s="75" t="n"/>
      <c r="AD57" s="75" t="n"/>
      <c r="AE57" s="75" t="n"/>
      <c r="AF57" s="75" t="n"/>
      <c r="AG57" s="75" t="n"/>
      <c r="AH57" s="75" t="n"/>
      <c r="AI57" s="75" t="n"/>
      <c r="AJ57" s="75" t="n"/>
      <c r="AK57" s="75" t="n"/>
      <c r="AL57" s="75" t="n"/>
      <c r="AM57" s="75" t="n"/>
      <c r="AN57" s="75" t="n"/>
      <c r="AO57" s="75" t="n"/>
      <c r="AP57" s="75" t="n"/>
      <c r="AQ57" s="75" t="n"/>
      <c r="AR57" s="75" t="n"/>
      <c r="AS57" s="75" t="n"/>
      <c r="AT57" s="75" t="n"/>
      <c r="AU57" s="75" t="n"/>
      <c r="AV57" s="75" t="n"/>
      <c r="AW57" s="75" t="n"/>
      <c r="AX57" s="75" t="n"/>
      <c r="AY57" s="75" t="n"/>
      <c r="AZ57" s="75" t="n"/>
      <c r="BA57" s="75" t="n"/>
      <c r="BB57" s="75" t="n"/>
      <c r="BC57" s="75" t="n"/>
      <c r="BD57" s="75" t="n"/>
      <c r="BE57" s="75" t="n"/>
    </row>
    <row r="58" ht="18" customHeight="1">
      <c r="A58" s="49">
        <f>IF('İş Planı'!$C58="","",'İş Planı'!$C58)</f>
        <v/>
      </c>
      <c r="B58" s="49">
        <f>IF('İş Planı'!$B58="","",'İş Planı'!$B58)</f>
        <v/>
      </c>
      <c r="C58" s="63">
        <f>IF('İş Planı'!$H58="","",'İş Planı'!$H58)</f>
        <v/>
      </c>
      <c r="D58" s="63">
        <f>IF('İş Planı'!$L58="","",'İş Planı'!$L58)</f>
        <v/>
      </c>
      <c r="E58" s="62">
        <f>IF('İş Planı'!$N58="","",'İş Planı'!$N58)</f>
        <v/>
      </c>
      <c r="F58" s="75" t="n"/>
      <c r="G58" s="75" t="n"/>
      <c r="H58" s="75" t="n"/>
      <c r="I58" s="75" t="n"/>
      <c r="J58" s="75" t="n"/>
      <c r="K58" s="75" t="n"/>
      <c r="L58" s="75" t="n"/>
      <c r="M58" s="75" t="n"/>
      <c r="N58" s="75" t="n"/>
      <c r="O58" s="75" t="n"/>
      <c r="P58" s="75" t="n"/>
      <c r="Q58" s="75" t="n"/>
      <c r="R58" s="75" t="n"/>
      <c r="S58" s="75" t="n"/>
      <c r="T58" s="75" t="n"/>
      <c r="U58" s="75" t="n"/>
      <c r="V58" s="75" t="n"/>
      <c r="W58" s="75" t="n"/>
      <c r="X58" s="75" t="n"/>
      <c r="Y58" s="75" t="n"/>
      <c r="Z58" s="75" t="n"/>
      <c r="AA58" s="75" t="n"/>
      <c r="AB58" s="75" t="n"/>
      <c r="AC58" s="75" t="n"/>
      <c r="AD58" s="75" t="n"/>
      <c r="AE58" s="75" t="n"/>
      <c r="AF58" s="75" t="n"/>
      <c r="AG58" s="75" t="n"/>
      <c r="AH58" s="75" t="n"/>
      <c r="AI58" s="75" t="n"/>
      <c r="AJ58" s="75" t="n"/>
      <c r="AK58" s="75" t="n"/>
      <c r="AL58" s="75" t="n"/>
      <c r="AM58" s="75" t="n"/>
      <c r="AN58" s="75" t="n"/>
      <c r="AO58" s="75" t="n"/>
      <c r="AP58" s="75" t="n"/>
      <c r="AQ58" s="75" t="n"/>
      <c r="AR58" s="75" t="n"/>
      <c r="AS58" s="75" t="n"/>
      <c r="AT58" s="75" t="n"/>
      <c r="AU58" s="75" t="n"/>
      <c r="AV58" s="75" t="n"/>
      <c r="AW58" s="75" t="n"/>
      <c r="AX58" s="75" t="n"/>
      <c r="AY58" s="75" t="n"/>
      <c r="AZ58" s="75" t="n"/>
      <c r="BA58" s="75" t="n"/>
      <c r="BB58" s="75" t="n"/>
      <c r="BC58" s="75" t="n"/>
      <c r="BD58" s="75" t="n"/>
      <c r="BE58" s="75" t="n"/>
    </row>
    <row r="59" ht="18" customHeight="1">
      <c r="A59" s="49">
        <f>IF('İş Planı'!$C59="","",'İş Planı'!$C59)</f>
        <v/>
      </c>
      <c r="B59" s="49">
        <f>IF('İş Planı'!$B59="","",'İş Planı'!$B59)</f>
        <v/>
      </c>
      <c r="C59" s="63">
        <f>IF('İş Planı'!$H59="","",'İş Planı'!$H59)</f>
        <v/>
      </c>
      <c r="D59" s="63">
        <f>IF('İş Planı'!$L59="","",'İş Planı'!$L59)</f>
        <v/>
      </c>
      <c r="E59" s="62">
        <f>IF('İş Planı'!$N59="","",'İş Planı'!$N59)</f>
        <v/>
      </c>
      <c r="F59" s="75" t="n"/>
      <c r="G59" s="75" t="n"/>
      <c r="H59" s="75" t="n"/>
      <c r="I59" s="75" t="n"/>
      <c r="J59" s="75" t="n"/>
      <c r="K59" s="75" t="n"/>
      <c r="L59" s="75" t="n"/>
      <c r="M59" s="75" t="n"/>
      <c r="N59" s="75" t="n"/>
      <c r="O59" s="75" t="n"/>
      <c r="P59" s="75" t="n"/>
      <c r="Q59" s="75" t="n"/>
      <c r="R59" s="75" t="n"/>
      <c r="S59" s="75" t="n"/>
      <c r="T59" s="75" t="n"/>
      <c r="U59" s="75" t="n"/>
      <c r="V59" s="75" t="n"/>
      <c r="W59" s="75" t="n"/>
      <c r="X59" s="75" t="n"/>
      <c r="Y59" s="75" t="n"/>
      <c r="Z59" s="75" t="n"/>
      <c r="AA59" s="75" t="n"/>
      <c r="AB59" s="75" t="n"/>
      <c r="AC59" s="75" t="n"/>
      <c r="AD59" s="75" t="n"/>
      <c r="AE59" s="75" t="n"/>
      <c r="AF59" s="75" t="n"/>
      <c r="AG59" s="75" t="n"/>
      <c r="AH59" s="75" t="n"/>
      <c r="AI59" s="75" t="n"/>
      <c r="AJ59" s="75" t="n"/>
      <c r="AK59" s="75" t="n"/>
      <c r="AL59" s="75" t="n"/>
      <c r="AM59" s="75" t="n"/>
      <c r="AN59" s="75" t="n"/>
      <c r="AO59" s="75" t="n"/>
      <c r="AP59" s="75" t="n"/>
      <c r="AQ59" s="75" t="n"/>
      <c r="AR59" s="75" t="n"/>
      <c r="AS59" s="75" t="n"/>
      <c r="AT59" s="75" t="n"/>
      <c r="AU59" s="75" t="n"/>
      <c r="AV59" s="75" t="n"/>
      <c r="AW59" s="75" t="n"/>
      <c r="AX59" s="75" t="n"/>
      <c r="AY59" s="75" t="n"/>
      <c r="AZ59" s="75" t="n"/>
      <c r="BA59" s="75" t="n"/>
      <c r="BB59" s="75" t="n"/>
      <c r="BC59" s="75" t="n"/>
      <c r="BD59" s="75" t="n"/>
      <c r="BE59" s="75" t="n"/>
    </row>
    <row r="60" ht="18" customHeight="1">
      <c r="A60" s="49">
        <f>IF('İş Planı'!$C60="","",'İş Planı'!$C60)</f>
        <v/>
      </c>
      <c r="B60" s="49">
        <f>IF('İş Planı'!$B60="","",'İş Planı'!$B60)</f>
        <v/>
      </c>
      <c r="C60" s="63">
        <f>IF('İş Planı'!$H60="","",'İş Planı'!$H60)</f>
        <v/>
      </c>
      <c r="D60" s="63">
        <f>IF('İş Planı'!$L60="","",'İş Planı'!$L60)</f>
        <v/>
      </c>
      <c r="E60" s="62">
        <f>IF('İş Planı'!$N60="","",'İş Planı'!$N60)</f>
        <v/>
      </c>
      <c r="F60" s="75" t="n"/>
      <c r="G60" s="75" t="n"/>
      <c r="H60" s="75" t="n"/>
      <c r="I60" s="75" t="n"/>
      <c r="J60" s="75" t="n"/>
      <c r="K60" s="75" t="n"/>
      <c r="L60" s="75" t="n"/>
      <c r="M60" s="75" t="n"/>
      <c r="N60" s="75" t="n"/>
      <c r="O60" s="75" t="n"/>
      <c r="P60" s="75" t="n"/>
      <c r="Q60" s="75" t="n"/>
      <c r="R60" s="75" t="n"/>
      <c r="S60" s="75" t="n"/>
      <c r="T60" s="75" t="n"/>
      <c r="U60" s="75" t="n"/>
      <c r="V60" s="75" t="n"/>
      <c r="W60" s="75" t="n"/>
      <c r="X60" s="75" t="n"/>
      <c r="Y60" s="75" t="n"/>
      <c r="Z60" s="75" t="n"/>
      <c r="AA60" s="75" t="n"/>
      <c r="AB60" s="75" t="n"/>
      <c r="AC60" s="75" t="n"/>
      <c r="AD60" s="75" t="n"/>
      <c r="AE60" s="75" t="n"/>
      <c r="AF60" s="75" t="n"/>
      <c r="AG60" s="75" t="n"/>
      <c r="AH60" s="75" t="n"/>
      <c r="AI60" s="75" t="n"/>
      <c r="AJ60" s="75" t="n"/>
      <c r="AK60" s="75" t="n"/>
      <c r="AL60" s="75" t="n"/>
      <c r="AM60" s="75" t="n"/>
      <c r="AN60" s="75" t="n"/>
      <c r="AO60" s="75" t="n"/>
      <c r="AP60" s="75" t="n"/>
      <c r="AQ60" s="75" t="n"/>
      <c r="AR60" s="75" t="n"/>
      <c r="AS60" s="75" t="n"/>
      <c r="AT60" s="75" t="n"/>
      <c r="AU60" s="75" t="n"/>
      <c r="AV60" s="75" t="n"/>
      <c r="AW60" s="75" t="n"/>
      <c r="AX60" s="75" t="n"/>
      <c r="AY60" s="75" t="n"/>
      <c r="AZ60" s="75" t="n"/>
      <c r="BA60" s="75" t="n"/>
      <c r="BB60" s="75" t="n"/>
      <c r="BC60" s="75" t="n"/>
      <c r="BD60" s="75" t="n"/>
      <c r="BE60" s="75" t="n"/>
    </row>
    <row r="61" ht="18" customHeight="1">
      <c r="A61" s="49">
        <f>IF('İş Planı'!$C61="","",'İş Planı'!$C61)</f>
        <v/>
      </c>
      <c r="B61" s="49">
        <f>IF('İş Planı'!$B61="","",'İş Planı'!$B61)</f>
        <v/>
      </c>
      <c r="C61" s="63">
        <f>IF('İş Planı'!$H61="","",'İş Planı'!$H61)</f>
        <v/>
      </c>
      <c r="D61" s="63">
        <f>IF('İş Planı'!$L61="","",'İş Planı'!$L61)</f>
        <v/>
      </c>
      <c r="E61" s="62">
        <f>IF('İş Planı'!$N61="","",'İş Planı'!$N61)</f>
        <v/>
      </c>
      <c r="F61" s="75" t="n"/>
      <c r="G61" s="75" t="n"/>
      <c r="H61" s="75" t="n"/>
      <c r="I61" s="75" t="n"/>
      <c r="J61" s="75" t="n"/>
      <c r="K61" s="75" t="n"/>
      <c r="L61" s="75" t="n"/>
      <c r="M61" s="75" t="n"/>
      <c r="N61" s="75" t="n"/>
      <c r="O61" s="75" t="n"/>
      <c r="P61" s="75" t="n"/>
      <c r="Q61" s="75" t="n"/>
      <c r="R61" s="75" t="n"/>
      <c r="S61" s="75" t="n"/>
      <c r="T61" s="75" t="n"/>
      <c r="U61" s="75" t="n"/>
      <c r="V61" s="75" t="n"/>
      <c r="W61" s="75" t="n"/>
      <c r="X61" s="75" t="n"/>
      <c r="Y61" s="75" t="n"/>
      <c r="Z61" s="75" t="n"/>
      <c r="AA61" s="75" t="n"/>
      <c r="AB61" s="75" t="n"/>
      <c r="AC61" s="75" t="n"/>
      <c r="AD61" s="75" t="n"/>
      <c r="AE61" s="75" t="n"/>
      <c r="AF61" s="75" t="n"/>
      <c r="AG61" s="75" t="n"/>
      <c r="AH61" s="75" t="n"/>
      <c r="AI61" s="75" t="n"/>
      <c r="AJ61" s="75" t="n"/>
      <c r="AK61" s="75" t="n"/>
      <c r="AL61" s="75" t="n"/>
      <c r="AM61" s="75" t="n"/>
      <c r="AN61" s="75" t="n"/>
      <c r="AO61" s="75" t="n"/>
      <c r="AP61" s="75" t="n"/>
      <c r="AQ61" s="75" t="n"/>
      <c r="AR61" s="75" t="n"/>
      <c r="AS61" s="75" t="n"/>
      <c r="AT61" s="75" t="n"/>
      <c r="AU61" s="75" t="n"/>
      <c r="AV61" s="75" t="n"/>
      <c r="AW61" s="75" t="n"/>
      <c r="AX61" s="75" t="n"/>
      <c r="AY61" s="75" t="n"/>
      <c r="AZ61" s="75" t="n"/>
      <c r="BA61" s="75" t="n"/>
      <c r="BB61" s="75" t="n"/>
      <c r="BC61" s="75" t="n"/>
      <c r="BD61" s="75" t="n"/>
      <c r="BE61" s="75" t="n"/>
    </row>
    <row r="62" ht="18" customHeight="1">
      <c r="A62" s="49">
        <f>IF('İş Planı'!$C62="","",'İş Planı'!$C62)</f>
        <v/>
      </c>
      <c r="B62" s="49">
        <f>IF('İş Planı'!$B62="","",'İş Planı'!$B62)</f>
        <v/>
      </c>
      <c r="C62" s="63">
        <f>IF('İş Planı'!$H62="","",'İş Planı'!$H62)</f>
        <v/>
      </c>
      <c r="D62" s="63">
        <f>IF('İş Planı'!$L62="","",'İş Planı'!$L62)</f>
        <v/>
      </c>
      <c r="E62" s="62">
        <f>IF('İş Planı'!$N62="","",'İş Planı'!$N62)</f>
        <v/>
      </c>
      <c r="F62" s="75" t="n"/>
      <c r="G62" s="75" t="n"/>
      <c r="H62" s="75" t="n"/>
      <c r="I62" s="75" t="n"/>
      <c r="J62" s="75" t="n"/>
      <c r="K62" s="75" t="n"/>
      <c r="L62" s="75" t="n"/>
      <c r="M62" s="75" t="n"/>
      <c r="N62" s="75" t="n"/>
      <c r="O62" s="75" t="n"/>
      <c r="P62" s="75" t="n"/>
      <c r="Q62" s="75" t="n"/>
      <c r="R62" s="75" t="n"/>
      <c r="S62" s="75" t="n"/>
      <c r="T62" s="75" t="n"/>
      <c r="U62" s="75" t="n"/>
      <c r="V62" s="75" t="n"/>
      <c r="W62" s="75" t="n"/>
      <c r="X62" s="75" t="n"/>
      <c r="Y62" s="75" t="n"/>
      <c r="Z62" s="75" t="n"/>
      <c r="AA62" s="75" t="n"/>
      <c r="AB62" s="75" t="n"/>
      <c r="AC62" s="75" t="n"/>
      <c r="AD62" s="75" t="n"/>
      <c r="AE62" s="75" t="n"/>
      <c r="AF62" s="75" t="n"/>
      <c r="AG62" s="75" t="n"/>
      <c r="AH62" s="75" t="n"/>
      <c r="AI62" s="75" t="n"/>
      <c r="AJ62" s="75" t="n"/>
      <c r="AK62" s="75" t="n"/>
      <c r="AL62" s="75" t="n"/>
      <c r="AM62" s="75" t="n"/>
      <c r="AN62" s="75" t="n"/>
      <c r="AO62" s="75" t="n"/>
      <c r="AP62" s="75" t="n"/>
      <c r="AQ62" s="75" t="n"/>
      <c r="AR62" s="75" t="n"/>
      <c r="AS62" s="75" t="n"/>
      <c r="AT62" s="75" t="n"/>
      <c r="AU62" s="75" t="n"/>
      <c r="AV62" s="75" t="n"/>
      <c r="AW62" s="75" t="n"/>
      <c r="AX62" s="75" t="n"/>
      <c r="AY62" s="75" t="n"/>
      <c r="AZ62" s="75" t="n"/>
      <c r="BA62" s="75" t="n"/>
      <c r="BB62" s="75" t="n"/>
      <c r="BC62" s="75" t="n"/>
      <c r="BD62" s="75" t="n"/>
      <c r="BE62" s="75" t="n"/>
    </row>
    <row r="63" ht="18" customHeight="1">
      <c r="A63" s="49">
        <f>IF('İş Planı'!$C63="","",'İş Planı'!$C63)</f>
        <v/>
      </c>
      <c r="B63" s="49">
        <f>IF('İş Planı'!$B63="","",'İş Planı'!$B63)</f>
        <v/>
      </c>
      <c r="C63" s="63">
        <f>IF('İş Planı'!$H63="","",'İş Planı'!$H63)</f>
        <v/>
      </c>
      <c r="D63" s="63">
        <f>IF('İş Planı'!$L63="","",'İş Planı'!$L63)</f>
        <v/>
      </c>
      <c r="E63" s="62">
        <f>IF('İş Planı'!$N63="","",'İş Planı'!$N63)</f>
        <v/>
      </c>
      <c r="F63" s="75" t="n"/>
      <c r="G63" s="75" t="n"/>
      <c r="H63" s="75" t="n"/>
      <c r="I63" s="75" t="n"/>
      <c r="J63" s="75" t="n"/>
      <c r="K63" s="75" t="n"/>
      <c r="L63" s="75" t="n"/>
      <c r="M63" s="75" t="n"/>
      <c r="N63" s="75" t="n"/>
      <c r="O63" s="75" t="n"/>
      <c r="P63" s="75" t="n"/>
      <c r="Q63" s="75" t="n"/>
      <c r="R63" s="75" t="n"/>
      <c r="S63" s="75" t="n"/>
      <c r="T63" s="75" t="n"/>
      <c r="U63" s="75" t="n"/>
      <c r="V63" s="75" t="n"/>
      <c r="W63" s="75" t="n"/>
      <c r="X63" s="75" t="n"/>
      <c r="Y63" s="75" t="n"/>
      <c r="Z63" s="75" t="n"/>
      <c r="AA63" s="75" t="n"/>
      <c r="AB63" s="75" t="n"/>
      <c r="AC63" s="75" t="n"/>
      <c r="AD63" s="75" t="n"/>
      <c r="AE63" s="75" t="n"/>
      <c r="AF63" s="75" t="n"/>
      <c r="AG63" s="75" t="n"/>
      <c r="AH63" s="75" t="n"/>
      <c r="AI63" s="75" t="n"/>
      <c r="AJ63" s="75" t="n"/>
      <c r="AK63" s="75" t="n"/>
      <c r="AL63" s="75" t="n"/>
      <c r="AM63" s="75" t="n"/>
      <c r="AN63" s="75" t="n"/>
      <c r="AO63" s="75" t="n"/>
      <c r="AP63" s="75" t="n"/>
      <c r="AQ63" s="75" t="n"/>
      <c r="AR63" s="75" t="n"/>
      <c r="AS63" s="75" t="n"/>
      <c r="AT63" s="75" t="n"/>
      <c r="AU63" s="75" t="n"/>
      <c r="AV63" s="75" t="n"/>
      <c r="AW63" s="75" t="n"/>
      <c r="AX63" s="75" t="n"/>
      <c r="AY63" s="75" t="n"/>
      <c r="AZ63" s="75" t="n"/>
      <c r="BA63" s="75" t="n"/>
      <c r="BB63" s="75" t="n"/>
      <c r="BC63" s="75" t="n"/>
      <c r="BD63" s="75" t="n"/>
      <c r="BE63" s="75" t="n"/>
    </row>
    <row r="64" ht="18" customHeight="1">
      <c r="A64" s="49">
        <f>IF('İş Planı'!$C64="","",'İş Planı'!$C64)</f>
        <v/>
      </c>
      <c r="B64" s="49">
        <f>IF('İş Planı'!$B64="","",'İş Planı'!$B64)</f>
        <v/>
      </c>
      <c r="C64" s="63">
        <f>IF('İş Planı'!$H64="","",'İş Planı'!$H64)</f>
        <v/>
      </c>
      <c r="D64" s="63">
        <f>IF('İş Planı'!$L64="","",'İş Planı'!$L64)</f>
        <v/>
      </c>
      <c r="E64" s="62">
        <f>IF('İş Planı'!$N64="","",'İş Planı'!$N64)</f>
        <v/>
      </c>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c r="AC64" s="75" t="n"/>
      <c r="AD64" s="75" t="n"/>
      <c r="AE64" s="75" t="n"/>
      <c r="AF64" s="75" t="n"/>
      <c r="AG64" s="75" t="n"/>
      <c r="AH64" s="75" t="n"/>
      <c r="AI64" s="75" t="n"/>
      <c r="AJ64" s="75" t="n"/>
      <c r="AK64" s="75" t="n"/>
      <c r="AL64" s="75" t="n"/>
      <c r="AM64" s="75" t="n"/>
      <c r="AN64" s="75" t="n"/>
      <c r="AO64" s="75" t="n"/>
      <c r="AP64" s="75" t="n"/>
      <c r="AQ64" s="75" t="n"/>
      <c r="AR64" s="75" t="n"/>
      <c r="AS64" s="75" t="n"/>
      <c r="AT64" s="75" t="n"/>
      <c r="AU64" s="75" t="n"/>
      <c r="AV64" s="75" t="n"/>
      <c r="AW64" s="75" t="n"/>
      <c r="AX64" s="75" t="n"/>
      <c r="AY64" s="75" t="n"/>
      <c r="AZ64" s="75" t="n"/>
      <c r="BA64" s="75" t="n"/>
      <c r="BB64" s="75" t="n"/>
      <c r="BC64" s="75" t="n"/>
      <c r="BD64" s="75" t="n"/>
      <c r="BE64" s="75" t="n"/>
    </row>
    <row r="65" ht="18" customHeight="1">
      <c r="A65" s="49">
        <f>IF('İş Planı'!$C65="","",'İş Planı'!$C65)</f>
        <v/>
      </c>
      <c r="B65" s="49">
        <f>IF('İş Planı'!$B65="","",'İş Planı'!$B65)</f>
        <v/>
      </c>
      <c r="C65" s="63">
        <f>IF('İş Planı'!$H65="","",'İş Planı'!$H65)</f>
        <v/>
      </c>
      <c r="D65" s="63">
        <f>IF('İş Planı'!$L65="","",'İş Planı'!$L65)</f>
        <v/>
      </c>
      <c r="E65" s="62">
        <f>IF('İş Planı'!$N65="","",'İş Planı'!$N65)</f>
        <v/>
      </c>
      <c r="F65" s="75" t="n"/>
      <c r="G65" s="75" t="n"/>
      <c r="H65" s="75" t="n"/>
      <c r="I65" s="75" t="n"/>
      <c r="J65" s="75" t="n"/>
      <c r="K65" s="75" t="n"/>
      <c r="L65" s="75" t="n"/>
      <c r="M65" s="75" t="n"/>
      <c r="N65" s="75" t="n"/>
      <c r="O65" s="75" t="n"/>
      <c r="P65" s="75" t="n"/>
      <c r="Q65" s="75" t="n"/>
      <c r="R65" s="75" t="n"/>
      <c r="S65" s="75" t="n"/>
      <c r="T65" s="75" t="n"/>
      <c r="U65" s="75" t="n"/>
      <c r="V65" s="75" t="n"/>
      <c r="W65" s="75" t="n"/>
      <c r="X65" s="75" t="n"/>
      <c r="Y65" s="75" t="n"/>
      <c r="Z65" s="75" t="n"/>
      <c r="AA65" s="75" t="n"/>
      <c r="AB65" s="75" t="n"/>
      <c r="AC65" s="75" t="n"/>
      <c r="AD65" s="75" t="n"/>
      <c r="AE65" s="75" t="n"/>
      <c r="AF65" s="75" t="n"/>
      <c r="AG65" s="75" t="n"/>
      <c r="AH65" s="75" t="n"/>
      <c r="AI65" s="75" t="n"/>
      <c r="AJ65" s="75" t="n"/>
      <c r="AK65" s="75" t="n"/>
      <c r="AL65" s="75" t="n"/>
      <c r="AM65" s="75" t="n"/>
      <c r="AN65" s="75" t="n"/>
      <c r="AO65" s="75" t="n"/>
      <c r="AP65" s="75" t="n"/>
      <c r="AQ65" s="75" t="n"/>
      <c r="AR65" s="75" t="n"/>
      <c r="AS65" s="75" t="n"/>
      <c r="AT65" s="75" t="n"/>
      <c r="AU65" s="75" t="n"/>
      <c r="AV65" s="75" t="n"/>
      <c r="AW65" s="75" t="n"/>
      <c r="AX65" s="75" t="n"/>
      <c r="AY65" s="75" t="n"/>
      <c r="AZ65" s="75" t="n"/>
      <c r="BA65" s="75" t="n"/>
      <c r="BB65" s="75" t="n"/>
      <c r="BC65" s="75" t="n"/>
      <c r="BD65" s="75" t="n"/>
      <c r="BE65" s="75" t="n"/>
    </row>
    <row r="66" ht="18" customHeight="1">
      <c r="A66" s="49">
        <f>IF('İş Planı'!$C66="","",'İş Planı'!$C66)</f>
        <v/>
      </c>
      <c r="B66" s="49">
        <f>IF('İş Planı'!$B66="","",'İş Planı'!$B66)</f>
        <v/>
      </c>
      <c r="C66" s="63">
        <f>IF('İş Planı'!$H66="","",'İş Planı'!$H66)</f>
        <v/>
      </c>
      <c r="D66" s="63">
        <f>IF('İş Planı'!$L66="","",'İş Planı'!$L66)</f>
        <v/>
      </c>
      <c r="E66" s="62">
        <f>IF('İş Planı'!$N66="","",'İş Planı'!$N66)</f>
        <v/>
      </c>
      <c r="F66" s="75" t="n"/>
      <c r="G66" s="75" t="n"/>
      <c r="H66" s="75" t="n"/>
      <c r="I66" s="75" t="n"/>
      <c r="J66" s="75" t="n"/>
      <c r="K66" s="75" t="n"/>
      <c r="L66" s="75" t="n"/>
      <c r="M66" s="75" t="n"/>
      <c r="N66" s="75" t="n"/>
      <c r="O66" s="75" t="n"/>
      <c r="P66" s="75" t="n"/>
      <c r="Q66" s="75" t="n"/>
      <c r="R66" s="75" t="n"/>
      <c r="S66" s="75" t="n"/>
      <c r="T66" s="75" t="n"/>
      <c r="U66" s="75" t="n"/>
      <c r="V66" s="75" t="n"/>
      <c r="W66" s="75" t="n"/>
      <c r="X66" s="75" t="n"/>
      <c r="Y66" s="75" t="n"/>
      <c r="Z66" s="75" t="n"/>
      <c r="AA66" s="75" t="n"/>
      <c r="AB66" s="75" t="n"/>
      <c r="AC66" s="75" t="n"/>
      <c r="AD66" s="75" t="n"/>
      <c r="AE66" s="75" t="n"/>
      <c r="AF66" s="75" t="n"/>
      <c r="AG66" s="75" t="n"/>
      <c r="AH66" s="75" t="n"/>
      <c r="AI66" s="75" t="n"/>
      <c r="AJ66" s="75" t="n"/>
      <c r="AK66" s="75" t="n"/>
      <c r="AL66" s="75" t="n"/>
      <c r="AM66" s="75" t="n"/>
      <c r="AN66" s="75" t="n"/>
      <c r="AO66" s="75" t="n"/>
      <c r="AP66" s="75" t="n"/>
      <c r="AQ66" s="75" t="n"/>
      <c r="AR66" s="75" t="n"/>
      <c r="AS66" s="75" t="n"/>
      <c r="AT66" s="75" t="n"/>
      <c r="AU66" s="75" t="n"/>
      <c r="AV66" s="75" t="n"/>
      <c r="AW66" s="75" t="n"/>
      <c r="AX66" s="75" t="n"/>
      <c r="AY66" s="75" t="n"/>
      <c r="AZ66" s="75" t="n"/>
      <c r="BA66" s="75" t="n"/>
      <c r="BB66" s="75" t="n"/>
      <c r="BC66" s="75" t="n"/>
      <c r="BD66" s="75" t="n"/>
      <c r="BE66" s="75" t="n"/>
    </row>
    <row r="67" ht="18" customHeight="1">
      <c r="A67" s="49">
        <f>IF('İş Planı'!$C67="","",'İş Planı'!$C67)</f>
        <v/>
      </c>
      <c r="B67" s="49">
        <f>IF('İş Planı'!$B67="","",'İş Planı'!$B67)</f>
        <v/>
      </c>
      <c r="C67" s="63">
        <f>IF('İş Planı'!$H67="","",'İş Planı'!$H67)</f>
        <v/>
      </c>
      <c r="D67" s="63">
        <f>IF('İş Planı'!$L67="","",'İş Planı'!$L67)</f>
        <v/>
      </c>
      <c r="E67" s="62">
        <f>IF('İş Planı'!$N67="","",'İş Planı'!$N67)</f>
        <v/>
      </c>
      <c r="F67" s="75" t="n"/>
      <c r="G67" s="75" t="n"/>
      <c r="H67" s="75" t="n"/>
      <c r="I67" s="75" t="n"/>
      <c r="J67" s="75" t="n"/>
      <c r="K67" s="75" t="n"/>
      <c r="L67" s="75" t="n"/>
      <c r="M67" s="75" t="n"/>
      <c r="N67" s="75" t="n"/>
      <c r="O67" s="75" t="n"/>
      <c r="P67" s="75" t="n"/>
      <c r="Q67" s="75" t="n"/>
      <c r="R67" s="75" t="n"/>
      <c r="S67" s="75" t="n"/>
      <c r="T67" s="75" t="n"/>
      <c r="U67" s="75" t="n"/>
      <c r="V67" s="75" t="n"/>
      <c r="W67" s="75" t="n"/>
      <c r="X67" s="75" t="n"/>
      <c r="Y67" s="75" t="n"/>
      <c r="Z67" s="75" t="n"/>
      <c r="AA67" s="75" t="n"/>
      <c r="AB67" s="75" t="n"/>
      <c r="AC67" s="75" t="n"/>
      <c r="AD67" s="75" t="n"/>
      <c r="AE67" s="75" t="n"/>
      <c r="AF67" s="75" t="n"/>
      <c r="AG67" s="75" t="n"/>
      <c r="AH67" s="75" t="n"/>
      <c r="AI67" s="75" t="n"/>
      <c r="AJ67" s="75" t="n"/>
      <c r="AK67" s="75" t="n"/>
      <c r="AL67" s="75" t="n"/>
      <c r="AM67" s="75" t="n"/>
      <c r="AN67" s="75" t="n"/>
      <c r="AO67" s="75" t="n"/>
      <c r="AP67" s="75" t="n"/>
      <c r="AQ67" s="75" t="n"/>
      <c r="AR67" s="75" t="n"/>
      <c r="AS67" s="75" t="n"/>
      <c r="AT67" s="75" t="n"/>
      <c r="AU67" s="75" t="n"/>
      <c r="AV67" s="75" t="n"/>
      <c r="AW67" s="75" t="n"/>
      <c r="AX67" s="75" t="n"/>
      <c r="AY67" s="75" t="n"/>
      <c r="AZ67" s="75" t="n"/>
      <c r="BA67" s="75" t="n"/>
      <c r="BB67" s="75" t="n"/>
      <c r="BC67" s="75" t="n"/>
      <c r="BD67" s="75" t="n"/>
      <c r="BE67" s="75" t="n"/>
    </row>
    <row r="68" ht="18" customHeight="1">
      <c r="A68" s="49">
        <f>IF('İş Planı'!$C68="","",'İş Planı'!$C68)</f>
        <v/>
      </c>
      <c r="B68" s="49">
        <f>IF('İş Planı'!$B68="","",'İş Planı'!$B68)</f>
        <v/>
      </c>
      <c r="C68" s="63">
        <f>IF('İş Planı'!$H68="","",'İş Planı'!$H68)</f>
        <v/>
      </c>
      <c r="D68" s="63">
        <f>IF('İş Planı'!$L68="","",'İş Planı'!$L68)</f>
        <v/>
      </c>
      <c r="E68" s="62">
        <f>IF('İş Planı'!$N68="","",'İş Planı'!$N68)</f>
        <v/>
      </c>
      <c r="F68" s="75" t="n"/>
      <c r="G68" s="75" t="n"/>
      <c r="H68" s="75" t="n"/>
      <c r="I68" s="75" t="n"/>
      <c r="J68" s="75" t="n"/>
      <c r="K68" s="75" t="n"/>
      <c r="L68" s="75" t="n"/>
      <c r="M68" s="75" t="n"/>
      <c r="N68" s="75" t="n"/>
      <c r="O68" s="75" t="n"/>
      <c r="P68" s="75" t="n"/>
      <c r="Q68" s="75" t="n"/>
      <c r="R68" s="75" t="n"/>
      <c r="S68" s="75" t="n"/>
      <c r="T68" s="75" t="n"/>
      <c r="U68" s="75" t="n"/>
      <c r="V68" s="75" t="n"/>
      <c r="W68" s="75" t="n"/>
      <c r="X68" s="75" t="n"/>
      <c r="Y68" s="75" t="n"/>
      <c r="Z68" s="75" t="n"/>
      <c r="AA68" s="75" t="n"/>
      <c r="AB68" s="75" t="n"/>
      <c r="AC68" s="75" t="n"/>
      <c r="AD68" s="75" t="n"/>
      <c r="AE68" s="75" t="n"/>
      <c r="AF68" s="75" t="n"/>
      <c r="AG68" s="75" t="n"/>
      <c r="AH68" s="75" t="n"/>
      <c r="AI68" s="75" t="n"/>
      <c r="AJ68" s="75" t="n"/>
      <c r="AK68" s="75" t="n"/>
      <c r="AL68" s="75" t="n"/>
      <c r="AM68" s="75" t="n"/>
      <c r="AN68" s="75" t="n"/>
      <c r="AO68" s="75" t="n"/>
      <c r="AP68" s="75" t="n"/>
      <c r="AQ68" s="75" t="n"/>
      <c r="AR68" s="75" t="n"/>
      <c r="AS68" s="75" t="n"/>
      <c r="AT68" s="75" t="n"/>
      <c r="AU68" s="75" t="n"/>
      <c r="AV68" s="75" t="n"/>
      <c r="AW68" s="75" t="n"/>
      <c r="AX68" s="75" t="n"/>
      <c r="AY68" s="75" t="n"/>
      <c r="AZ68" s="75" t="n"/>
      <c r="BA68" s="75" t="n"/>
      <c r="BB68" s="75" t="n"/>
      <c r="BC68" s="75" t="n"/>
      <c r="BD68" s="75" t="n"/>
      <c r="BE68" s="75" t="n"/>
    </row>
    <row r="69" ht="18" customHeight="1">
      <c r="A69" s="49">
        <f>IF('İş Planı'!$C69="","",'İş Planı'!$C69)</f>
        <v/>
      </c>
      <c r="B69" s="49">
        <f>IF('İş Planı'!$B69="","",'İş Planı'!$B69)</f>
        <v/>
      </c>
      <c r="C69" s="63">
        <f>IF('İş Planı'!$H69="","",'İş Planı'!$H69)</f>
        <v/>
      </c>
      <c r="D69" s="63">
        <f>IF('İş Planı'!$L69="","",'İş Planı'!$L69)</f>
        <v/>
      </c>
      <c r="E69" s="62">
        <f>IF('İş Planı'!$N69="","",'İş Planı'!$N69)</f>
        <v/>
      </c>
      <c r="F69" s="75" t="n"/>
      <c r="G69" s="75" t="n"/>
      <c r="H69" s="75" t="n"/>
      <c r="I69" s="75" t="n"/>
      <c r="J69" s="75" t="n"/>
      <c r="K69" s="75" t="n"/>
      <c r="L69" s="75" t="n"/>
      <c r="M69" s="75" t="n"/>
      <c r="N69" s="75" t="n"/>
      <c r="O69" s="75" t="n"/>
      <c r="P69" s="75" t="n"/>
      <c r="Q69" s="75" t="n"/>
      <c r="R69" s="75" t="n"/>
      <c r="S69" s="75" t="n"/>
      <c r="T69" s="75" t="n"/>
      <c r="U69" s="75" t="n"/>
      <c r="V69" s="75" t="n"/>
      <c r="W69" s="75" t="n"/>
      <c r="X69" s="75" t="n"/>
      <c r="Y69" s="75" t="n"/>
      <c r="Z69" s="75" t="n"/>
      <c r="AA69" s="75" t="n"/>
      <c r="AB69" s="75" t="n"/>
      <c r="AC69" s="75" t="n"/>
      <c r="AD69" s="75" t="n"/>
      <c r="AE69" s="75" t="n"/>
      <c r="AF69" s="75" t="n"/>
      <c r="AG69" s="75" t="n"/>
      <c r="AH69" s="75" t="n"/>
      <c r="AI69" s="75" t="n"/>
      <c r="AJ69" s="75" t="n"/>
      <c r="AK69" s="75" t="n"/>
      <c r="AL69" s="75" t="n"/>
      <c r="AM69" s="75" t="n"/>
      <c r="AN69" s="75" t="n"/>
      <c r="AO69" s="75" t="n"/>
      <c r="AP69" s="75" t="n"/>
      <c r="AQ69" s="75" t="n"/>
      <c r="AR69" s="75" t="n"/>
      <c r="AS69" s="75" t="n"/>
      <c r="AT69" s="75" t="n"/>
      <c r="AU69" s="75" t="n"/>
      <c r="AV69" s="75" t="n"/>
      <c r="AW69" s="75" t="n"/>
      <c r="AX69" s="75" t="n"/>
      <c r="AY69" s="75" t="n"/>
      <c r="AZ69" s="75" t="n"/>
      <c r="BA69" s="75" t="n"/>
      <c r="BB69" s="75" t="n"/>
      <c r="BC69" s="75" t="n"/>
      <c r="BD69" s="75" t="n"/>
      <c r="BE69" s="75" t="n"/>
    </row>
    <row r="70" ht="18" customHeight="1">
      <c r="A70" s="49">
        <f>IF('İş Planı'!$C70="","",'İş Planı'!$C70)</f>
        <v/>
      </c>
      <c r="B70" s="49">
        <f>IF('İş Planı'!$B70="","",'İş Planı'!$B70)</f>
        <v/>
      </c>
      <c r="C70" s="63">
        <f>IF('İş Planı'!$H70="","",'İş Planı'!$H70)</f>
        <v/>
      </c>
      <c r="D70" s="63">
        <f>IF('İş Planı'!$L70="","",'İş Planı'!$L70)</f>
        <v/>
      </c>
      <c r="E70" s="62">
        <f>IF('İş Planı'!$N70="","",'İş Planı'!$N70)</f>
        <v/>
      </c>
      <c r="F70" s="75" t="n"/>
      <c r="G70" s="75" t="n"/>
      <c r="H70" s="75" t="n"/>
      <c r="I70" s="75" t="n"/>
      <c r="J70" s="75" t="n"/>
      <c r="K70" s="75" t="n"/>
      <c r="L70" s="75" t="n"/>
      <c r="M70" s="75" t="n"/>
      <c r="N70" s="75" t="n"/>
      <c r="O70" s="75" t="n"/>
      <c r="P70" s="75" t="n"/>
      <c r="Q70" s="75" t="n"/>
      <c r="R70" s="75" t="n"/>
      <c r="S70" s="75" t="n"/>
      <c r="T70" s="75" t="n"/>
      <c r="U70" s="75" t="n"/>
      <c r="V70" s="75" t="n"/>
      <c r="W70" s="75" t="n"/>
      <c r="X70" s="75" t="n"/>
      <c r="Y70" s="75" t="n"/>
      <c r="Z70" s="75" t="n"/>
      <c r="AA70" s="75" t="n"/>
      <c r="AB70" s="75" t="n"/>
      <c r="AC70" s="75" t="n"/>
      <c r="AD70" s="75" t="n"/>
      <c r="AE70" s="75" t="n"/>
      <c r="AF70" s="75" t="n"/>
      <c r="AG70" s="75" t="n"/>
      <c r="AH70" s="75" t="n"/>
      <c r="AI70" s="75" t="n"/>
      <c r="AJ70" s="75" t="n"/>
      <c r="AK70" s="75" t="n"/>
      <c r="AL70" s="75" t="n"/>
      <c r="AM70" s="75" t="n"/>
      <c r="AN70" s="75" t="n"/>
      <c r="AO70" s="75" t="n"/>
      <c r="AP70" s="75" t="n"/>
      <c r="AQ70" s="75" t="n"/>
      <c r="AR70" s="75" t="n"/>
      <c r="AS70" s="75" t="n"/>
      <c r="AT70" s="75" t="n"/>
      <c r="AU70" s="75" t="n"/>
      <c r="AV70" s="75" t="n"/>
      <c r="AW70" s="75" t="n"/>
      <c r="AX70" s="75" t="n"/>
      <c r="AY70" s="75" t="n"/>
      <c r="AZ70" s="75" t="n"/>
      <c r="BA70" s="75" t="n"/>
      <c r="BB70" s="75" t="n"/>
      <c r="BC70" s="75" t="n"/>
      <c r="BD70" s="75" t="n"/>
      <c r="BE70" s="75" t="n"/>
    </row>
    <row r="71" ht="18" customHeight="1">
      <c r="A71" s="49">
        <f>IF('İş Planı'!$C71="","",'İş Planı'!$C71)</f>
        <v/>
      </c>
      <c r="B71" s="49">
        <f>IF('İş Planı'!$B71="","",'İş Planı'!$B71)</f>
        <v/>
      </c>
      <c r="C71" s="63">
        <f>IF('İş Planı'!$H71="","",'İş Planı'!$H71)</f>
        <v/>
      </c>
      <c r="D71" s="63">
        <f>IF('İş Planı'!$L71="","",'İş Planı'!$L71)</f>
        <v/>
      </c>
      <c r="E71" s="62">
        <f>IF('İş Planı'!$N71="","",'İş Planı'!$N71)</f>
        <v/>
      </c>
      <c r="F71" s="75" t="n"/>
      <c r="G71" s="75" t="n"/>
      <c r="H71" s="75" t="n"/>
      <c r="I71" s="75" t="n"/>
      <c r="J71" s="75" t="n"/>
      <c r="K71" s="75" t="n"/>
      <c r="L71" s="75" t="n"/>
      <c r="M71" s="75" t="n"/>
      <c r="N71" s="75" t="n"/>
      <c r="O71" s="75" t="n"/>
      <c r="P71" s="75" t="n"/>
      <c r="Q71" s="75" t="n"/>
      <c r="R71" s="75" t="n"/>
      <c r="S71" s="75" t="n"/>
      <c r="T71" s="75" t="n"/>
      <c r="U71" s="75" t="n"/>
      <c r="V71" s="75" t="n"/>
      <c r="W71" s="75" t="n"/>
      <c r="X71" s="75" t="n"/>
      <c r="Y71" s="75" t="n"/>
      <c r="Z71" s="75" t="n"/>
      <c r="AA71" s="75" t="n"/>
      <c r="AB71" s="75" t="n"/>
      <c r="AC71" s="75" t="n"/>
      <c r="AD71" s="75" t="n"/>
      <c r="AE71" s="75" t="n"/>
      <c r="AF71" s="75" t="n"/>
      <c r="AG71" s="75" t="n"/>
      <c r="AH71" s="75" t="n"/>
      <c r="AI71" s="75" t="n"/>
      <c r="AJ71" s="75" t="n"/>
      <c r="AK71" s="75" t="n"/>
      <c r="AL71" s="75" t="n"/>
      <c r="AM71" s="75" t="n"/>
      <c r="AN71" s="75" t="n"/>
      <c r="AO71" s="75" t="n"/>
      <c r="AP71" s="75" t="n"/>
      <c r="AQ71" s="75" t="n"/>
      <c r="AR71" s="75" t="n"/>
      <c r="AS71" s="75" t="n"/>
      <c r="AT71" s="75" t="n"/>
      <c r="AU71" s="75" t="n"/>
      <c r="AV71" s="75" t="n"/>
      <c r="AW71" s="75" t="n"/>
      <c r="AX71" s="75" t="n"/>
      <c r="AY71" s="75" t="n"/>
      <c r="AZ71" s="75" t="n"/>
      <c r="BA71" s="75" t="n"/>
      <c r="BB71" s="75" t="n"/>
      <c r="BC71" s="75" t="n"/>
      <c r="BD71" s="75" t="n"/>
      <c r="BE71" s="75" t="n"/>
    </row>
    <row r="72" ht="18" customHeight="1">
      <c r="A72" s="49">
        <f>IF('İş Planı'!$C72="","",'İş Planı'!$C72)</f>
        <v/>
      </c>
      <c r="B72" s="49">
        <f>IF('İş Planı'!$B72="","",'İş Planı'!$B72)</f>
        <v/>
      </c>
      <c r="C72" s="63">
        <f>IF('İş Planı'!$H72="","",'İş Planı'!$H72)</f>
        <v/>
      </c>
      <c r="D72" s="63">
        <f>IF('İş Planı'!$L72="","",'İş Planı'!$L72)</f>
        <v/>
      </c>
      <c r="E72" s="62">
        <f>IF('İş Planı'!$N72="","",'İş Planı'!$N72)</f>
        <v/>
      </c>
      <c r="F72" s="75" t="n"/>
      <c r="G72" s="75" t="n"/>
      <c r="H72" s="75" t="n"/>
      <c r="I72" s="75" t="n"/>
      <c r="J72" s="75" t="n"/>
      <c r="K72" s="75" t="n"/>
      <c r="L72" s="75" t="n"/>
      <c r="M72" s="75" t="n"/>
      <c r="N72" s="75" t="n"/>
      <c r="O72" s="75" t="n"/>
      <c r="P72" s="75" t="n"/>
      <c r="Q72" s="75" t="n"/>
      <c r="R72" s="75" t="n"/>
      <c r="S72" s="75" t="n"/>
      <c r="T72" s="75" t="n"/>
      <c r="U72" s="75" t="n"/>
      <c r="V72" s="75" t="n"/>
      <c r="W72" s="75" t="n"/>
      <c r="X72" s="75" t="n"/>
      <c r="Y72" s="75" t="n"/>
      <c r="Z72" s="75" t="n"/>
      <c r="AA72" s="75" t="n"/>
      <c r="AB72" s="75" t="n"/>
      <c r="AC72" s="75" t="n"/>
      <c r="AD72" s="75" t="n"/>
      <c r="AE72" s="75" t="n"/>
      <c r="AF72" s="75" t="n"/>
      <c r="AG72" s="75" t="n"/>
      <c r="AH72" s="75" t="n"/>
      <c r="AI72" s="75" t="n"/>
      <c r="AJ72" s="75" t="n"/>
      <c r="AK72" s="75" t="n"/>
      <c r="AL72" s="75" t="n"/>
      <c r="AM72" s="75" t="n"/>
      <c r="AN72" s="75" t="n"/>
      <c r="AO72" s="75" t="n"/>
      <c r="AP72" s="75" t="n"/>
      <c r="AQ72" s="75" t="n"/>
      <c r="AR72" s="75" t="n"/>
      <c r="AS72" s="75" t="n"/>
      <c r="AT72" s="75" t="n"/>
      <c r="AU72" s="75" t="n"/>
      <c r="AV72" s="75" t="n"/>
      <c r="AW72" s="75" t="n"/>
      <c r="AX72" s="75" t="n"/>
      <c r="AY72" s="75" t="n"/>
      <c r="AZ72" s="75" t="n"/>
      <c r="BA72" s="75" t="n"/>
      <c r="BB72" s="75" t="n"/>
      <c r="BC72" s="75" t="n"/>
      <c r="BD72" s="75" t="n"/>
      <c r="BE72" s="75" t="n"/>
    </row>
    <row r="73" ht="18" customHeight="1">
      <c r="A73" s="49">
        <f>IF('İş Planı'!$C73="","",'İş Planı'!$C73)</f>
        <v/>
      </c>
      <c r="B73" s="49">
        <f>IF('İş Planı'!$B73="","",'İş Planı'!$B73)</f>
        <v/>
      </c>
      <c r="C73" s="63">
        <f>IF('İş Planı'!$H73="","",'İş Planı'!$H73)</f>
        <v/>
      </c>
      <c r="D73" s="63">
        <f>IF('İş Planı'!$L73="","",'İş Planı'!$L73)</f>
        <v/>
      </c>
      <c r="E73" s="62">
        <f>IF('İş Planı'!$N73="","",'İş Planı'!$N73)</f>
        <v/>
      </c>
      <c r="F73" s="75" t="n"/>
      <c r="G73" s="75" t="n"/>
      <c r="H73" s="75" t="n"/>
      <c r="I73" s="75" t="n"/>
      <c r="J73" s="75" t="n"/>
      <c r="K73" s="75" t="n"/>
      <c r="L73" s="75" t="n"/>
      <c r="M73" s="75" t="n"/>
      <c r="N73" s="75" t="n"/>
      <c r="O73" s="75" t="n"/>
      <c r="P73" s="75" t="n"/>
      <c r="Q73" s="75" t="n"/>
      <c r="R73" s="75" t="n"/>
      <c r="S73" s="75" t="n"/>
      <c r="T73" s="75" t="n"/>
      <c r="U73" s="75" t="n"/>
      <c r="V73" s="75" t="n"/>
      <c r="W73" s="75" t="n"/>
      <c r="X73" s="75" t="n"/>
      <c r="Y73" s="75" t="n"/>
      <c r="Z73" s="75" t="n"/>
      <c r="AA73" s="75" t="n"/>
      <c r="AB73" s="75" t="n"/>
      <c r="AC73" s="75" t="n"/>
      <c r="AD73" s="75" t="n"/>
      <c r="AE73" s="75" t="n"/>
      <c r="AF73" s="75" t="n"/>
      <c r="AG73" s="75" t="n"/>
      <c r="AH73" s="75" t="n"/>
      <c r="AI73" s="75" t="n"/>
      <c r="AJ73" s="75" t="n"/>
      <c r="AK73" s="75" t="n"/>
      <c r="AL73" s="75" t="n"/>
      <c r="AM73" s="75" t="n"/>
      <c r="AN73" s="75" t="n"/>
      <c r="AO73" s="75" t="n"/>
      <c r="AP73" s="75" t="n"/>
      <c r="AQ73" s="75" t="n"/>
      <c r="AR73" s="75" t="n"/>
      <c r="AS73" s="75" t="n"/>
      <c r="AT73" s="75" t="n"/>
      <c r="AU73" s="75" t="n"/>
      <c r="AV73" s="75" t="n"/>
      <c r="AW73" s="75" t="n"/>
      <c r="AX73" s="75" t="n"/>
      <c r="AY73" s="75" t="n"/>
      <c r="AZ73" s="75" t="n"/>
      <c r="BA73" s="75" t="n"/>
      <c r="BB73" s="75" t="n"/>
      <c r="BC73" s="75" t="n"/>
      <c r="BD73" s="75" t="n"/>
      <c r="BE73" s="75" t="n"/>
    </row>
    <row r="74" ht="18" customHeight="1">
      <c r="A74" s="49">
        <f>IF('İş Planı'!$C74="","",'İş Planı'!$C74)</f>
        <v/>
      </c>
      <c r="B74" s="49">
        <f>IF('İş Planı'!$B74="","",'İş Planı'!$B74)</f>
        <v/>
      </c>
      <c r="C74" s="63">
        <f>IF('İş Planı'!$H74="","",'İş Planı'!$H74)</f>
        <v/>
      </c>
      <c r="D74" s="63">
        <f>IF('İş Planı'!$L74="","",'İş Planı'!$L74)</f>
        <v/>
      </c>
      <c r="E74" s="62">
        <f>IF('İş Planı'!$N74="","",'İş Planı'!$N74)</f>
        <v/>
      </c>
      <c r="F74" s="75" t="n"/>
      <c r="G74" s="75" t="n"/>
      <c r="H74" s="75" t="n"/>
      <c r="I74" s="75" t="n"/>
      <c r="J74" s="75" t="n"/>
      <c r="K74" s="75" t="n"/>
      <c r="L74" s="75" t="n"/>
      <c r="M74" s="75" t="n"/>
      <c r="N74" s="75" t="n"/>
      <c r="O74" s="75" t="n"/>
      <c r="P74" s="75" t="n"/>
      <c r="Q74" s="75" t="n"/>
      <c r="R74" s="75" t="n"/>
      <c r="S74" s="75" t="n"/>
      <c r="T74" s="75" t="n"/>
      <c r="U74" s="75" t="n"/>
      <c r="V74" s="75" t="n"/>
      <c r="W74" s="75" t="n"/>
      <c r="X74" s="75" t="n"/>
      <c r="Y74" s="75" t="n"/>
      <c r="Z74" s="75" t="n"/>
      <c r="AA74" s="75" t="n"/>
      <c r="AB74" s="75" t="n"/>
      <c r="AC74" s="75" t="n"/>
      <c r="AD74" s="75" t="n"/>
      <c r="AE74" s="75" t="n"/>
      <c r="AF74" s="75" t="n"/>
      <c r="AG74" s="75" t="n"/>
      <c r="AH74" s="75" t="n"/>
      <c r="AI74" s="75" t="n"/>
      <c r="AJ74" s="75" t="n"/>
      <c r="AK74" s="75" t="n"/>
      <c r="AL74" s="75" t="n"/>
      <c r="AM74" s="75" t="n"/>
      <c r="AN74" s="75" t="n"/>
      <c r="AO74" s="75" t="n"/>
      <c r="AP74" s="75" t="n"/>
      <c r="AQ74" s="75" t="n"/>
      <c r="AR74" s="75" t="n"/>
      <c r="AS74" s="75" t="n"/>
      <c r="AT74" s="75" t="n"/>
      <c r="AU74" s="75" t="n"/>
      <c r="AV74" s="75" t="n"/>
      <c r="AW74" s="75" t="n"/>
      <c r="AX74" s="75" t="n"/>
      <c r="AY74" s="75" t="n"/>
      <c r="AZ74" s="75" t="n"/>
      <c r="BA74" s="75" t="n"/>
      <c r="BB74" s="75" t="n"/>
      <c r="BC74" s="75" t="n"/>
      <c r="BD74" s="75" t="n"/>
      <c r="BE74" s="75" t="n"/>
    </row>
    <row r="75" ht="18" customHeight="1">
      <c r="A75" s="49">
        <f>IF('İş Planı'!$C75="","",'İş Planı'!$C75)</f>
        <v/>
      </c>
      <c r="B75" s="49">
        <f>IF('İş Planı'!$B75="","",'İş Planı'!$B75)</f>
        <v/>
      </c>
      <c r="C75" s="63">
        <f>IF('İş Planı'!$H75="","",'İş Planı'!$H75)</f>
        <v/>
      </c>
      <c r="D75" s="63">
        <f>IF('İş Planı'!$L75="","",'İş Planı'!$L75)</f>
        <v/>
      </c>
      <c r="E75" s="62">
        <f>IF('İş Planı'!$N75="","",'İş Planı'!$N75)</f>
        <v/>
      </c>
      <c r="F75" s="75" t="n"/>
      <c r="G75" s="75" t="n"/>
      <c r="H75" s="75" t="n"/>
      <c r="I75" s="75" t="n"/>
      <c r="J75" s="75" t="n"/>
      <c r="K75" s="75" t="n"/>
      <c r="L75" s="75" t="n"/>
      <c r="M75" s="75" t="n"/>
      <c r="N75" s="75" t="n"/>
      <c r="O75" s="75" t="n"/>
      <c r="P75" s="75" t="n"/>
      <c r="Q75" s="75" t="n"/>
      <c r="R75" s="75" t="n"/>
      <c r="S75" s="75" t="n"/>
      <c r="T75" s="75" t="n"/>
      <c r="U75" s="75" t="n"/>
      <c r="V75" s="75" t="n"/>
      <c r="W75" s="75" t="n"/>
      <c r="X75" s="75" t="n"/>
      <c r="Y75" s="75" t="n"/>
      <c r="Z75" s="75" t="n"/>
      <c r="AA75" s="75" t="n"/>
      <c r="AB75" s="75" t="n"/>
      <c r="AC75" s="75" t="n"/>
      <c r="AD75" s="75" t="n"/>
      <c r="AE75" s="75" t="n"/>
      <c r="AF75" s="75" t="n"/>
      <c r="AG75" s="75" t="n"/>
      <c r="AH75" s="75" t="n"/>
      <c r="AI75" s="75" t="n"/>
      <c r="AJ75" s="75" t="n"/>
      <c r="AK75" s="75" t="n"/>
      <c r="AL75" s="75" t="n"/>
      <c r="AM75" s="75" t="n"/>
      <c r="AN75" s="75" t="n"/>
      <c r="AO75" s="75" t="n"/>
      <c r="AP75" s="75" t="n"/>
      <c r="AQ75" s="75" t="n"/>
      <c r="AR75" s="75" t="n"/>
      <c r="AS75" s="75" t="n"/>
      <c r="AT75" s="75" t="n"/>
      <c r="AU75" s="75" t="n"/>
      <c r="AV75" s="75" t="n"/>
      <c r="AW75" s="75" t="n"/>
      <c r="AX75" s="75" t="n"/>
      <c r="AY75" s="75" t="n"/>
      <c r="AZ75" s="75" t="n"/>
      <c r="BA75" s="75" t="n"/>
      <c r="BB75" s="75" t="n"/>
      <c r="BC75" s="75" t="n"/>
      <c r="BD75" s="75" t="n"/>
      <c r="BE75" s="75" t="n"/>
    </row>
    <row r="76" ht="18" customHeight="1">
      <c r="A76" s="49">
        <f>IF('İş Planı'!$C76="","",'İş Planı'!$C76)</f>
        <v/>
      </c>
      <c r="B76" s="49">
        <f>IF('İş Planı'!$B76="","",'İş Planı'!$B76)</f>
        <v/>
      </c>
      <c r="C76" s="63">
        <f>IF('İş Planı'!$H76="","",'İş Planı'!$H76)</f>
        <v/>
      </c>
      <c r="D76" s="63">
        <f>IF('İş Planı'!$L76="","",'İş Planı'!$L76)</f>
        <v/>
      </c>
      <c r="E76" s="62">
        <f>IF('İş Planı'!$N76="","",'İş Planı'!$N76)</f>
        <v/>
      </c>
      <c r="F76" s="75"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c r="AA76" s="75" t="n"/>
      <c r="AB76" s="75" t="n"/>
      <c r="AC76" s="75" t="n"/>
      <c r="AD76" s="75" t="n"/>
      <c r="AE76" s="75" t="n"/>
      <c r="AF76" s="75" t="n"/>
      <c r="AG76" s="75" t="n"/>
      <c r="AH76" s="75" t="n"/>
      <c r="AI76" s="75" t="n"/>
      <c r="AJ76" s="75" t="n"/>
      <c r="AK76" s="75" t="n"/>
      <c r="AL76" s="75" t="n"/>
      <c r="AM76" s="75" t="n"/>
      <c r="AN76" s="75" t="n"/>
      <c r="AO76" s="75" t="n"/>
      <c r="AP76" s="75" t="n"/>
      <c r="AQ76" s="75" t="n"/>
      <c r="AR76" s="75" t="n"/>
      <c r="AS76" s="75" t="n"/>
      <c r="AT76" s="75" t="n"/>
      <c r="AU76" s="75" t="n"/>
      <c r="AV76" s="75" t="n"/>
      <c r="AW76" s="75" t="n"/>
      <c r="AX76" s="75" t="n"/>
      <c r="AY76" s="75" t="n"/>
      <c r="AZ76" s="75" t="n"/>
      <c r="BA76" s="75" t="n"/>
      <c r="BB76" s="75" t="n"/>
      <c r="BC76" s="75" t="n"/>
      <c r="BD76" s="75" t="n"/>
      <c r="BE76" s="75" t="n"/>
    </row>
    <row r="77" ht="18" customHeight="1">
      <c r="A77" s="49">
        <f>IF('İş Planı'!$C77="","",'İş Planı'!$C77)</f>
        <v/>
      </c>
      <c r="B77" s="49">
        <f>IF('İş Planı'!$B77="","",'İş Planı'!$B77)</f>
        <v/>
      </c>
      <c r="C77" s="63">
        <f>IF('İş Planı'!$H77="","",'İş Planı'!$H77)</f>
        <v/>
      </c>
      <c r="D77" s="63">
        <f>IF('İş Planı'!$L77="","",'İş Planı'!$L77)</f>
        <v/>
      </c>
      <c r="E77" s="62">
        <f>IF('İş Planı'!$N77="","",'İş Planı'!$N77)</f>
        <v/>
      </c>
      <c r="F77" s="75" t="n"/>
      <c r="G77" s="75" t="n"/>
      <c r="H77" s="75" t="n"/>
      <c r="I77" s="75" t="n"/>
      <c r="J77" s="75" t="n"/>
      <c r="K77" s="75" t="n"/>
      <c r="L77" s="75" t="n"/>
      <c r="M77" s="75" t="n"/>
      <c r="N77" s="75" t="n"/>
      <c r="O77" s="75" t="n"/>
      <c r="P77" s="75" t="n"/>
      <c r="Q77" s="75" t="n"/>
      <c r="R77" s="75" t="n"/>
      <c r="S77" s="75" t="n"/>
      <c r="T77" s="75" t="n"/>
      <c r="U77" s="75" t="n"/>
      <c r="V77" s="75" t="n"/>
      <c r="W77" s="75" t="n"/>
      <c r="X77" s="75" t="n"/>
      <c r="Y77" s="75" t="n"/>
      <c r="Z77" s="75" t="n"/>
      <c r="AA77" s="75" t="n"/>
      <c r="AB77" s="75" t="n"/>
      <c r="AC77" s="75" t="n"/>
      <c r="AD77" s="75" t="n"/>
      <c r="AE77" s="75" t="n"/>
      <c r="AF77" s="75" t="n"/>
      <c r="AG77" s="75" t="n"/>
      <c r="AH77" s="75" t="n"/>
      <c r="AI77" s="75" t="n"/>
      <c r="AJ77" s="75" t="n"/>
      <c r="AK77" s="75" t="n"/>
      <c r="AL77" s="75" t="n"/>
      <c r="AM77" s="75" t="n"/>
      <c r="AN77" s="75" t="n"/>
      <c r="AO77" s="75" t="n"/>
      <c r="AP77" s="75" t="n"/>
      <c r="AQ77" s="75" t="n"/>
      <c r="AR77" s="75" t="n"/>
      <c r="AS77" s="75" t="n"/>
      <c r="AT77" s="75" t="n"/>
      <c r="AU77" s="75" t="n"/>
      <c r="AV77" s="75" t="n"/>
      <c r="AW77" s="75" t="n"/>
      <c r="AX77" s="75" t="n"/>
      <c r="AY77" s="75" t="n"/>
      <c r="AZ77" s="75" t="n"/>
      <c r="BA77" s="75" t="n"/>
      <c r="BB77" s="75" t="n"/>
      <c r="BC77" s="75" t="n"/>
      <c r="BD77" s="75" t="n"/>
      <c r="BE77" s="75" t="n"/>
    </row>
    <row r="78" ht="18" customHeight="1">
      <c r="A78" s="49">
        <f>IF('İş Planı'!$C78="","",'İş Planı'!$C78)</f>
        <v/>
      </c>
      <c r="B78" s="49">
        <f>IF('İş Planı'!$B78="","",'İş Planı'!$B78)</f>
        <v/>
      </c>
      <c r="C78" s="63">
        <f>IF('İş Planı'!$H78="","",'İş Planı'!$H78)</f>
        <v/>
      </c>
      <c r="D78" s="63">
        <f>IF('İş Planı'!$L78="","",'İş Planı'!$L78)</f>
        <v/>
      </c>
      <c r="E78" s="62">
        <f>IF('İş Planı'!$N78="","",'İş Planı'!$N78)</f>
        <v/>
      </c>
      <c r="F78" s="75" t="n"/>
      <c r="G78" s="75" t="n"/>
      <c r="H78" s="75" t="n"/>
      <c r="I78" s="75" t="n"/>
      <c r="J78" s="75" t="n"/>
      <c r="K78" s="75" t="n"/>
      <c r="L78" s="75" t="n"/>
      <c r="M78" s="75" t="n"/>
      <c r="N78" s="75" t="n"/>
      <c r="O78" s="75" t="n"/>
      <c r="P78" s="75" t="n"/>
      <c r="Q78" s="75" t="n"/>
      <c r="R78" s="75" t="n"/>
      <c r="S78" s="75" t="n"/>
      <c r="T78" s="75" t="n"/>
      <c r="U78" s="75" t="n"/>
      <c r="V78" s="75" t="n"/>
      <c r="W78" s="75" t="n"/>
      <c r="X78" s="75" t="n"/>
      <c r="Y78" s="75" t="n"/>
      <c r="Z78" s="75" t="n"/>
      <c r="AA78" s="75" t="n"/>
      <c r="AB78" s="75" t="n"/>
      <c r="AC78" s="75" t="n"/>
      <c r="AD78" s="75" t="n"/>
      <c r="AE78" s="75" t="n"/>
      <c r="AF78" s="75" t="n"/>
      <c r="AG78" s="75" t="n"/>
      <c r="AH78" s="75" t="n"/>
      <c r="AI78" s="75" t="n"/>
      <c r="AJ78" s="75" t="n"/>
      <c r="AK78" s="75" t="n"/>
      <c r="AL78" s="75" t="n"/>
      <c r="AM78" s="75" t="n"/>
      <c r="AN78" s="75" t="n"/>
      <c r="AO78" s="75" t="n"/>
      <c r="AP78" s="75" t="n"/>
      <c r="AQ78" s="75" t="n"/>
      <c r="AR78" s="75" t="n"/>
      <c r="AS78" s="75" t="n"/>
      <c r="AT78" s="75" t="n"/>
      <c r="AU78" s="75" t="n"/>
      <c r="AV78" s="75" t="n"/>
      <c r="AW78" s="75" t="n"/>
      <c r="AX78" s="75" t="n"/>
      <c r="AY78" s="75" t="n"/>
      <c r="AZ78" s="75" t="n"/>
      <c r="BA78" s="75" t="n"/>
      <c r="BB78" s="75" t="n"/>
      <c r="BC78" s="75" t="n"/>
      <c r="BD78" s="75" t="n"/>
      <c r="BE78" s="75" t="n"/>
    </row>
    <row r="79" ht="18" customHeight="1">
      <c r="A79" s="49">
        <f>IF('İş Planı'!$C79="","",'İş Planı'!$C79)</f>
        <v/>
      </c>
      <c r="B79" s="49">
        <f>IF('İş Planı'!$B79="","",'İş Planı'!$B79)</f>
        <v/>
      </c>
      <c r="C79" s="63">
        <f>IF('İş Planı'!$H79="","",'İş Planı'!$H79)</f>
        <v/>
      </c>
      <c r="D79" s="63">
        <f>IF('İş Planı'!$L79="","",'İş Planı'!$L79)</f>
        <v/>
      </c>
      <c r="E79" s="62">
        <f>IF('İş Planı'!$N79="","",'İş Planı'!$N79)</f>
        <v/>
      </c>
      <c r="F79" s="75" t="n"/>
      <c r="G79" s="75" t="n"/>
      <c r="H79" s="75" t="n"/>
      <c r="I79" s="75" t="n"/>
      <c r="J79" s="75" t="n"/>
      <c r="K79" s="75" t="n"/>
      <c r="L79" s="75" t="n"/>
      <c r="M79" s="75" t="n"/>
      <c r="N79" s="75" t="n"/>
      <c r="O79" s="75" t="n"/>
      <c r="P79" s="75" t="n"/>
      <c r="Q79" s="75" t="n"/>
      <c r="R79" s="75" t="n"/>
      <c r="S79" s="75" t="n"/>
      <c r="T79" s="75" t="n"/>
      <c r="U79" s="75" t="n"/>
      <c r="V79" s="75" t="n"/>
      <c r="W79" s="75" t="n"/>
      <c r="X79" s="75" t="n"/>
      <c r="Y79" s="75" t="n"/>
      <c r="Z79" s="75" t="n"/>
      <c r="AA79" s="75" t="n"/>
      <c r="AB79" s="75" t="n"/>
      <c r="AC79" s="75" t="n"/>
      <c r="AD79" s="75" t="n"/>
      <c r="AE79" s="75" t="n"/>
      <c r="AF79" s="75" t="n"/>
      <c r="AG79" s="75" t="n"/>
      <c r="AH79" s="75" t="n"/>
      <c r="AI79" s="75" t="n"/>
      <c r="AJ79" s="75" t="n"/>
      <c r="AK79" s="75" t="n"/>
      <c r="AL79" s="75" t="n"/>
      <c r="AM79" s="75" t="n"/>
      <c r="AN79" s="75" t="n"/>
      <c r="AO79" s="75" t="n"/>
      <c r="AP79" s="75" t="n"/>
      <c r="AQ79" s="75" t="n"/>
      <c r="AR79" s="75" t="n"/>
      <c r="AS79" s="75" t="n"/>
      <c r="AT79" s="75" t="n"/>
      <c r="AU79" s="75" t="n"/>
      <c r="AV79" s="75" t="n"/>
      <c r="AW79" s="75" t="n"/>
      <c r="AX79" s="75" t="n"/>
      <c r="AY79" s="75" t="n"/>
      <c r="AZ79" s="75" t="n"/>
      <c r="BA79" s="75" t="n"/>
      <c r="BB79" s="75" t="n"/>
      <c r="BC79" s="75" t="n"/>
      <c r="BD79" s="75" t="n"/>
      <c r="BE79" s="75" t="n"/>
    </row>
    <row r="80" ht="18" customHeight="1">
      <c r="A80" s="49">
        <f>IF('İş Planı'!$C80="","",'İş Planı'!$C80)</f>
        <v/>
      </c>
      <c r="B80" s="49">
        <f>IF('İş Planı'!$B80="","",'İş Planı'!$B80)</f>
        <v/>
      </c>
      <c r="C80" s="63">
        <f>IF('İş Planı'!$H80="","",'İş Planı'!$H80)</f>
        <v/>
      </c>
      <c r="D80" s="63">
        <f>IF('İş Planı'!$L80="","",'İş Planı'!$L80)</f>
        <v/>
      </c>
      <c r="E80" s="62">
        <f>IF('İş Planı'!$N80="","",'İş Planı'!$N80)</f>
        <v/>
      </c>
      <c r="F80" s="75" t="n"/>
      <c r="G80" s="75" t="n"/>
      <c r="H80" s="75" t="n"/>
      <c r="I80" s="75" t="n"/>
      <c r="J80" s="75" t="n"/>
      <c r="K80" s="75" t="n"/>
      <c r="L80" s="75" t="n"/>
      <c r="M80" s="75" t="n"/>
      <c r="N80" s="75" t="n"/>
      <c r="O80" s="75" t="n"/>
      <c r="P80" s="75" t="n"/>
      <c r="Q80" s="75" t="n"/>
      <c r="R80" s="75" t="n"/>
      <c r="S80" s="75" t="n"/>
      <c r="T80" s="75" t="n"/>
      <c r="U80" s="75" t="n"/>
      <c r="V80" s="75" t="n"/>
      <c r="W80" s="75" t="n"/>
      <c r="X80" s="75" t="n"/>
      <c r="Y80" s="75" t="n"/>
      <c r="Z80" s="75" t="n"/>
      <c r="AA80" s="75" t="n"/>
      <c r="AB80" s="75" t="n"/>
      <c r="AC80" s="75" t="n"/>
      <c r="AD80" s="75" t="n"/>
      <c r="AE80" s="75" t="n"/>
      <c r="AF80" s="75" t="n"/>
      <c r="AG80" s="75" t="n"/>
      <c r="AH80" s="75" t="n"/>
      <c r="AI80" s="75" t="n"/>
      <c r="AJ80" s="75" t="n"/>
      <c r="AK80" s="75" t="n"/>
      <c r="AL80" s="75" t="n"/>
      <c r="AM80" s="75" t="n"/>
      <c r="AN80" s="75" t="n"/>
      <c r="AO80" s="75" t="n"/>
      <c r="AP80" s="75" t="n"/>
      <c r="AQ80" s="75" t="n"/>
      <c r="AR80" s="75" t="n"/>
      <c r="AS80" s="75" t="n"/>
      <c r="AT80" s="75" t="n"/>
      <c r="AU80" s="75" t="n"/>
      <c r="AV80" s="75" t="n"/>
      <c r="AW80" s="75" t="n"/>
      <c r="AX80" s="75" t="n"/>
      <c r="AY80" s="75" t="n"/>
      <c r="AZ80" s="75" t="n"/>
      <c r="BA80" s="75" t="n"/>
      <c r="BB80" s="75" t="n"/>
      <c r="BC80" s="75" t="n"/>
      <c r="BD80" s="75" t="n"/>
      <c r="BE80" s="75" t="n"/>
    </row>
    <row r="81" ht="18" customHeight="1">
      <c r="A81" s="49">
        <f>IF('İş Planı'!$C81="","",'İş Planı'!$C81)</f>
        <v/>
      </c>
      <c r="B81" s="49">
        <f>IF('İş Planı'!$B81="","",'İş Planı'!$B81)</f>
        <v/>
      </c>
      <c r="C81" s="63">
        <f>IF('İş Planı'!$H81="","",'İş Planı'!$H81)</f>
        <v/>
      </c>
      <c r="D81" s="63">
        <f>IF('İş Planı'!$L81="","",'İş Planı'!$L81)</f>
        <v/>
      </c>
      <c r="E81" s="62">
        <f>IF('İş Planı'!$N81="","",'İş Planı'!$N81)</f>
        <v/>
      </c>
      <c r="F81" s="75" t="n"/>
      <c r="G81" s="75" t="n"/>
      <c r="H81" s="75" t="n"/>
      <c r="I81" s="75" t="n"/>
      <c r="J81" s="75" t="n"/>
      <c r="K81" s="75" t="n"/>
      <c r="L81" s="75" t="n"/>
      <c r="M81" s="75" t="n"/>
      <c r="N81" s="75" t="n"/>
      <c r="O81" s="75" t="n"/>
      <c r="P81" s="75" t="n"/>
      <c r="Q81" s="75" t="n"/>
      <c r="R81" s="75" t="n"/>
      <c r="S81" s="75" t="n"/>
      <c r="T81" s="75" t="n"/>
      <c r="U81" s="75" t="n"/>
      <c r="V81" s="75" t="n"/>
      <c r="W81" s="75" t="n"/>
      <c r="X81" s="75" t="n"/>
      <c r="Y81" s="75" t="n"/>
      <c r="Z81" s="75" t="n"/>
      <c r="AA81" s="75" t="n"/>
      <c r="AB81" s="75" t="n"/>
      <c r="AC81" s="75" t="n"/>
      <c r="AD81" s="75" t="n"/>
      <c r="AE81" s="75" t="n"/>
      <c r="AF81" s="75" t="n"/>
      <c r="AG81" s="75" t="n"/>
      <c r="AH81" s="75" t="n"/>
      <c r="AI81" s="75" t="n"/>
      <c r="AJ81" s="75" t="n"/>
      <c r="AK81" s="75" t="n"/>
      <c r="AL81" s="75" t="n"/>
      <c r="AM81" s="75" t="n"/>
      <c r="AN81" s="75" t="n"/>
      <c r="AO81" s="75" t="n"/>
      <c r="AP81" s="75" t="n"/>
      <c r="AQ81" s="75" t="n"/>
      <c r="AR81" s="75" t="n"/>
      <c r="AS81" s="75" t="n"/>
      <c r="AT81" s="75" t="n"/>
      <c r="AU81" s="75" t="n"/>
      <c r="AV81" s="75" t="n"/>
      <c r="AW81" s="75" t="n"/>
      <c r="AX81" s="75" t="n"/>
      <c r="AY81" s="75" t="n"/>
      <c r="AZ81" s="75" t="n"/>
      <c r="BA81" s="75" t="n"/>
      <c r="BB81" s="75" t="n"/>
      <c r="BC81" s="75" t="n"/>
      <c r="BD81" s="75" t="n"/>
      <c r="BE81" s="75" t="n"/>
    </row>
    <row r="82" ht="18" customHeight="1">
      <c r="A82" s="49">
        <f>IF('İş Planı'!$C82="","",'İş Planı'!$C82)</f>
        <v/>
      </c>
      <c r="B82" s="49">
        <f>IF('İş Planı'!$B82="","",'İş Planı'!$B82)</f>
        <v/>
      </c>
      <c r="C82" s="63">
        <f>IF('İş Planı'!$H82="","",'İş Planı'!$H82)</f>
        <v/>
      </c>
      <c r="D82" s="63">
        <f>IF('İş Planı'!$L82="","",'İş Planı'!$L82)</f>
        <v/>
      </c>
      <c r="E82" s="62">
        <f>IF('İş Planı'!$N82="","",'İş Planı'!$N82)</f>
        <v/>
      </c>
      <c r="F82" s="75" t="n"/>
      <c r="G82" s="75" t="n"/>
      <c r="H82" s="75" t="n"/>
      <c r="I82" s="75" t="n"/>
      <c r="J82" s="75" t="n"/>
      <c r="K82" s="75" t="n"/>
      <c r="L82" s="75" t="n"/>
      <c r="M82" s="75" t="n"/>
      <c r="N82" s="75" t="n"/>
      <c r="O82" s="75" t="n"/>
      <c r="P82" s="75" t="n"/>
      <c r="Q82" s="75" t="n"/>
      <c r="R82" s="75" t="n"/>
      <c r="S82" s="75" t="n"/>
      <c r="T82" s="75" t="n"/>
      <c r="U82" s="75" t="n"/>
      <c r="V82" s="75" t="n"/>
      <c r="W82" s="75" t="n"/>
      <c r="X82" s="75" t="n"/>
      <c r="Y82" s="75" t="n"/>
      <c r="Z82" s="75" t="n"/>
      <c r="AA82" s="75" t="n"/>
      <c r="AB82" s="75" t="n"/>
      <c r="AC82" s="75" t="n"/>
      <c r="AD82" s="75" t="n"/>
      <c r="AE82" s="75" t="n"/>
      <c r="AF82" s="75" t="n"/>
      <c r="AG82" s="75" t="n"/>
      <c r="AH82" s="75" t="n"/>
      <c r="AI82" s="75" t="n"/>
      <c r="AJ82" s="75" t="n"/>
      <c r="AK82" s="75" t="n"/>
      <c r="AL82" s="75" t="n"/>
      <c r="AM82" s="75" t="n"/>
      <c r="AN82" s="75" t="n"/>
      <c r="AO82" s="75" t="n"/>
      <c r="AP82" s="75" t="n"/>
      <c r="AQ82" s="75" t="n"/>
      <c r="AR82" s="75" t="n"/>
      <c r="AS82" s="75" t="n"/>
      <c r="AT82" s="75" t="n"/>
      <c r="AU82" s="75" t="n"/>
      <c r="AV82" s="75" t="n"/>
      <c r="AW82" s="75" t="n"/>
      <c r="AX82" s="75" t="n"/>
      <c r="AY82" s="75" t="n"/>
      <c r="AZ82" s="75" t="n"/>
      <c r="BA82" s="75" t="n"/>
      <c r="BB82" s="75" t="n"/>
      <c r="BC82" s="75" t="n"/>
      <c r="BD82" s="75" t="n"/>
      <c r="BE82" s="75" t="n"/>
    </row>
    <row r="83" ht="18" customHeight="1">
      <c r="A83" s="49">
        <f>IF('İş Planı'!$C83="","",'İş Planı'!$C83)</f>
        <v/>
      </c>
      <c r="B83" s="49">
        <f>IF('İş Planı'!$B83="","",'İş Planı'!$B83)</f>
        <v/>
      </c>
      <c r="C83" s="63">
        <f>IF('İş Planı'!$H83="","",'İş Planı'!$H83)</f>
        <v/>
      </c>
      <c r="D83" s="63">
        <f>IF('İş Planı'!$L83="","",'İş Planı'!$L83)</f>
        <v/>
      </c>
      <c r="E83" s="62">
        <f>IF('İş Planı'!$N83="","",'İş Planı'!$N83)</f>
        <v/>
      </c>
      <c r="F83" s="75" t="n"/>
      <c r="G83" s="75" t="n"/>
      <c r="H83" s="75" t="n"/>
      <c r="I83" s="75" t="n"/>
      <c r="J83" s="75" t="n"/>
      <c r="K83" s="75" t="n"/>
      <c r="L83" s="75" t="n"/>
      <c r="M83" s="75" t="n"/>
      <c r="N83" s="75" t="n"/>
      <c r="O83" s="75" t="n"/>
      <c r="P83" s="75" t="n"/>
      <c r="Q83" s="75" t="n"/>
      <c r="R83" s="75" t="n"/>
      <c r="S83" s="75" t="n"/>
      <c r="T83" s="75" t="n"/>
      <c r="U83" s="75" t="n"/>
      <c r="V83" s="75" t="n"/>
      <c r="W83" s="75" t="n"/>
      <c r="X83" s="75" t="n"/>
      <c r="Y83" s="75" t="n"/>
      <c r="Z83" s="75" t="n"/>
      <c r="AA83" s="75" t="n"/>
      <c r="AB83" s="75" t="n"/>
      <c r="AC83" s="75" t="n"/>
      <c r="AD83" s="75" t="n"/>
      <c r="AE83" s="75" t="n"/>
      <c r="AF83" s="75" t="n"/>
      <c r="AG83" s="75" t="n"/>
      <c r="AH83" s="75" t="n"/>
      <c r="AI83" s="75" t="n"/>
      <c r="AJ83" s="75" t="n"/>
      <c r="AK83" s="75" t="n"/>
      <c r="AL83" s="75" t="n"/>
      <c r="AM83" s="75" t="n"/>
      <c r="AN83" s="75" t="n"/>
      <c r="AO83" s="75" t="n"/>
      <c r="AP83" s="75" t="n"/>
      <c r="AQ83" s="75" t="n"/>
      <c r="AR83" s="75" t="n"/>
      <c r="AS83" s="75" t="n"/>
      <c r="AT83" s="75" t="n"/>
      <c r="AU83" s="75" t="n"/>
      <c r="AV83" s="75" t="n"/>
      <c r="AW83" s="75" t="n"/>
      <c r="AX83" s="75" t="n"/>
      <c r="AY83" s="75" t="n"/>
      <c r="AZ83" s="75" t="n"/>
      <c r="BA83" s="75" t="n"/>
      <c r="BB83" s="75" t="n"/>
      <c r="BC83" s="75" t="n"/>
      <c r="BD83" s="75" t="n"/>
      <c r="BE83" s="75" t="n"/>
    </row>
    <row r="84" ht="18" customHeight="1">
      <c r="A84" s="49">
        <f>IF('İş Planı'!$C84="","",'İş Planı'!$C84)</f>
        <v/>
      </c>
      <c r="B84" s="49">
        <f>IF('İş Planı'!$B84="","",'İş Planı'!$B84)</f>
        <v/>
      </c>
      <c r="C84" s="63">
        <f>IF('İş Planı'!$H84="","",'İş Planı'!$H84)</f>
        <v/>
      </c>
      <c r="D84" s="63">
        <f>IF('İş Planı'!$L84="","",'İş Planı'!$L84)</f>
        <v/>
      </c>
      <c r="E84" s="62">
        <f>IF('İş Planı'!$N84="","",'İş Planı'!$N84)</f>
        <v/>
      </c>
      <c r="F84" s="75"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c r="AA84" s="75" t="n"/>
      <c r="AB84" s="75" t="n"/>
      <c r="AC84" s="75" t="n"/>
      <c r="AD84" s="75" t="n"/>
      <c r="AE84" s="75" t="n"/>
      <c r="AF84" s="75" t="n"/>
      <c r="AG84" s="75" t="n"/>
      <c r="AH84" s="75" t="n"/>
      <c r="AI84" s="75" t="n"/>
      <c r="AJ84" s="75" t="n"/>
      <c r="AK84" s="75" t="n"/>
      <c r="AL84" s="75" t="n"/>
      <c r="AM84" s="75" t="n"/>
      <c r="AN84" s="75" t="n"/>
      <c r="AO84" s="75" t="n"/>
      <c r="AP84" s="75" t="n"/>
      <c r="AQ84" s="75" t="n"/>
      <c r="AR84" s="75" t="n"/>
      <c r="AS84" s="75" t="n"/>
      <c r="AT84" s="75" t="n"/>
      <c r="AU84" s="75" t="n"/>
      <c r="AV84" s="75" t="n"/>
      <c r="AW84" s="75" t="n"/>
      <c r="AX84" s="75" t="n"/>
      <c r="AY84" s="75" t="n"/>
      <c r="AZ84" s="75" t="n"/>
      <c r="BA84" s="75" t="n"/>
      <c r="BB84" s="75" t="n"/>
      <c r="BC84" s="75" t="n"/>
      <c r="BD84" s="75" t="n"/>
      <c r="BE84" s="75" t="n"/>
    </row>
    <row r="85" ht="18" customHeight="1">
      <c r="A85" s="49">
        <f>IF('İş Planı'!$C85="","",'İş Planı'!$C85)</f>
        <v/>
      </c>
      <c r="B85" s="49">
        <f>IF('İş Planı'!$B85="","",'İş Planı'!$B85)</f>
        <v/>
      </c>
      <c r="C85" s="63">
        <f>IF('İş Planı'!$H85="","",'İş Planı'!$H85)</f>
        <v/>
      </c>
      <c r="D85" s="63">
        <f>IF('İş Planı'!$L85="","",'İş Planı'!$L85)</f>
        <v/>
      </c>
      <c r="E85" s="62">
        <f>IF('İş Planı'!$N85="","",'İş Planı'!$N85)</f>
        <v/>
      </c>
      <c r="F85" s="75" t="n"/>
      <c r="G85" s="75" t="n"/>
      <c r="H85" s="75" t="n"/>
      <c r="I85" s="75" t="n"/>
      <c r="J85" s="75" t="n"/>
      <c r="K85" s="75" t="n"/>
      <c r="L85" s="75" t="n"/>
      <c r="M85" s="75" t="n"/>
      <c r="N85" s="75" t="n"/>
      <c r="O85" s="75" t="n"/>
      <c r="P85" s="75" t="n"/>
      <c r="Q85" s="75" t="n"/>
      <c r="R85" s="75" t="n"/>
      <c r="S85" s="75" t="n"/>
      <c r="T85" s="75" t="n"/>
      <c r="U85" s="75" t="n"/>
      <c r="V85" s="75" t="n"/>
      <c r="W85" s="75" t="n"/>
      <c r="X85" s="75" t="n"/>
      <c r="Y85" s="75" t="n"/>
      <c r="Z85" s="75" t="n"/>
      <c r="AA85" s="75" t="n"/>
      <c r="AB85" s="75" t="n"/>
      <c r="AC85" s="75" t="n"/>
      <c r="AD85" s="75" t="n"/>
      <c r="AE85" s="75" t="n"/>
      <c r="AF85" s="75" t="n"/>
      <c r="AG85" s="75" t="n"/>
      <c r="AH85" s="75" t="n"/>
      <c r="AI85" s="75" t="n"/>
      <c r="AJ85" s="75" t="n"/>
      <c r="AK85" s="75" t="n"/>
      <c r="AL85" s="75" t="n"/>
      <c r="AM85" s="75" t="n"/>
      <c r="AN85" s="75" t="n"/>
      <c r="AO85" s="75" t="n"/>
      <c r="AP85" s="75" t="n"/>
      <c r="AQ85" s="75" t="n"/>
      <c r="AR85" s="75" t="n"/>
      <c r="AS85" s="75" t="n"/>
      <c r="AT85" s="75" t="n"/>
      <c r="AU85" s="75" t="n"/>
      <c r="AV85" s="75" t="n"/>
      <c r="AW85" s="75" t="n"/>
      <c r="AX85" s="75" t="n"/>
      <c r="AY85" s="75" t="n"/>
      <c r="AZ85" s="75" t="n"/>
      <c r="BA85" s="75" t="n"/>
      <c r="BB85" s="75" t="n"/>
      <c r="BC85" s="75" t="n"/>
      <c r="BD85" s="75" t="n"/>
      <c r="BE85" s="75" t="n"/>
    </row>
    <row r="86" ht="18" customHeight="1">
      <c r="A86" s="49">
        <f>IF('İş Planı'!$C86="","",'İş Planı'!$C86)</f>
        <v/>
      </c>
      <c r="B86" s="49">
        <f>IF('İş Planı'!$B86="","",'İş Planı'!$B86)</f>
        <v/>
      </c>
      <c r="C86" s="63">
        <f>IF('İş Planı'!$H86="","",'İş Planı'!$H86)</f>
        <v/>
      </c>
      <c r="D86" s="63">
        <f>IF('İş Planı'!$L86="","",'İş Planı'!$L86)</f>
        <v/>
      </c>
      <c r="E86" s="62">
        <f>IF('İş Planı'!$N86="","",'İş Planı'!$N86)</f>
        <v/>
      </c>
      <c r="F86" s="75" t="n"/>
      <c r="G86" s="75" t="n"/>
      <c r="H86" s="75" t="n"/>
      <c r="I86" s="75" t="n"/>
      <c r="J86" s="75" t="n"/>
      <c r="K86" s="75" t="n"/>
      <c r="L86" s="75" t="n"/>
      <c r="M86" s="75" t="n"/>
      <c r="N86" s="75" t="n"/>
      <c r="O86" s="75" t="n"/>
      <c r="P86" s="75" t="n"/>
      <c r="Q86" s="75" t="n"/>
      <c r="R86" s="75" t="n"/>
      <c r="S86" s="75" t="n"/>
      <c r="T86" s="75" t="n"/>
      <c r="U86" s="75" t="n"/>
      <c r="V86" s="75" t="n"/>
      <c r="W86" s="75" t="n"/>
      <c r="X86" s="75" t="n"/>
      <c r="Y86" s="75" t="n"/>
      <c r="Z86" s="75" t="n"/>
      <c r="AA86" s="75" t="n"/>
      <c r="AB86" s="75" t="n"/>
      <c r="AC86" s="75" t="n"/>
      <c r="AD86" s="75" t="n"/>
      <c r="AE86" s="75" t="n"/>
      <c r="AF86" s="75" t="n"/>
      <c r="AG86" s="75" t="n"/>
      <c r="AH86" s="75" t="n"/>
      <c r="AI86" s="75" t="n"/>
      <c r="AJ86" s="75" t="n"/>
      <c r="AK86" s="75" t="n"/>
      <c r="AL86" s="75" t="n"/>
      <c r="AM86" s="75" t="n"/>
      <c r="AN86" s="75" t="n"/>
      <c r="AO86" s="75" t="n"/>
      <c r="AP86" s="75" t="n"/>
      <c r="AQ86" s="75" t="n"/>
      <c r="AR86" s="75" t="n"/>
      <c r="AS86" s="75" t="n"/>
      <c r="AT86" s="75" t="n"/>
      <c r="AU86" s="75" t="n"/>
      <c r="AV86" s="75" t="n"/>
      <c r="AW86" s="75" t="n"/>
      <c r="AX86" s="75" t="n"/>
      <c r="AY86" s="75" t="n"/>
      <c r="AZ86" s="75" t="n"/>
      <c r="BA86" s="75" t="n"/>
      <c r="BB86" s="75" t="n"/>
      <c r="BC86" s="75" t="n"/>
      <c r="BD86" s="75" t="n"/>
      <c r="BE86" s="75" t="n"/>
    </row>
    <row r="87" ht="18" customHeight="1">
      <c r="A87" s="49">
        <f>IF('İş Planı'!$C87="","",'İş Planı'!$C87)</f>
        <v/>
      </c>
      <c r="B87" s="49">
        <f>IF('İş Planı'!$B87="","",'İş Planı'!$B87)</f>
        <v/>
      </c>
      <c r="C87" s="63">
        <f>IF('İş Planı'!$H87="","",'İş Planı'!$H87)</f>
        <v/>
      </c>
      <c r="D87" s="63">
        <f>IF('İş Planı'!$L87="","",'İş Planı'!$L87)</f>
        <v/>
      </c>
      <c r="E87" s="62">
        <f>IF('İş Planı'!$N87="","",'İş Planı'!$N87)</f>
        <v/>
      </c>
      <c r="F87" s="75" t="n"/>
      <c r="G87" s="75" t="n"/>
      <c r="H87" s="75" t="n"/>
      <c r="I87" s="75" t="n"/>
      <c r="J87" s="75" t="n"/>
      <c r="K87" s="75" t="n"/>
      <c r="L87" s="75" t="n"/>
      <c r="M87" s="75" t="n"/>
      <c r="N87" s="75" t="n"/>
      <c r="O87" s="75" t="n"/>
      <c r="P87" s="75" t="n"/>
      <c r="Q87" s="75" t="n"/>
      <c r="R87" s="75" t="n"/>
      <c r="S87" s="75" t="n"/>
      <c r="T87" s="75" t="n"/>
      <c r="U87" s="75" t="n"/>
      <c r="V87" s="75" t="n"/>
      <c r="W87" s="75" t="n"/>
      <c r="X87" s="75" t="n"/>
      <c r="Y87" s="75" t="n"/>
      <c r="Z87" s="75" t="n"/>
      <c r="AA87" s="75" t="n"/>
      <c r="AB87" s="75" t="n"/>
      <c r="AC87" s="75" t="n"/>
      <c r="AD87" s="75" t="n"/>
      <c r="AE87" s="75" t="n"/>
      <c r="AF87" s="75" t="n"/>
      <c r="AG87" s="75" t="n"/>
      <c r="AH87" s="75" t="n"/>
      <c r="AI87" s="75" t="n"/>
      <c r="AJ87" s="75" t="n"/>
      <c r="AK87" s="75" t="n"/>
      <c r="AL87" s="75" t="n"/>
      <c r="AM87" s="75" t="n"/>
      <c r="AN87" s="75" t="n"/>
      <c r="AO87" s="75" t="n"/>
      <c r="AP87" s="75" t="n"/>
      <c r="AQ87" s="75" t="n"/>
      <c r="AR87" s="75" t="n"/>
      <c r="AS87" s="75" t="n"/>
      <c r="AT87" s="75" t="n"/>
      <c r="AU87" s="75" t="n"/>
      <c r="AV87" s="75" t="n"/>
      <c r="AW87" s="75" t="n"/>
      <c r="AX87" s="75" t="n"/>
      <c r="AY87" s="75" t="n"/>
      <c r="AZ87" s="75" t="n"/>
      <c r="BA87" s="75" t="n"/>
      <c r="BB87" s="75" t="n"/>
      <c r="BC87" s="75" t="n"/>
      <c r="BD87" s="75" t="n"/>
      <c r="BE87" s="75" t="n"/>
    </row>
    <row r="88" ht="18" customHeight="1">
      <c r="A88" s="49">
        <f>IF('İş Planı'!$C88="","",'İş Planı'!$C88)</f>
        <v/>
      </c>
      <c r="B88" s="49">
        <f>IF('İş Planı'!$B88="","",'İş Planı'!$B88)</f>
        <v/>
      </c>
      <c r="C88" s="63">
        <f>IF('İş Planı'!$H88="","",'İş Planı'!$H88)</f>
        <v/>
      </c>
      <c r="D88" s="63">
        <f>IF('İş Planı'!$L88="","",'İş Planı'!$L88)</f>
        <v/>
      </c>
      <c r="E88" s="62">
        <f>IF('İş Planı'!$N88="","",'İş Planı'!$N88)</f>
        <v/>
      </c>
      <c r="F88" s="75" t="n"/>
      <c r="G88" s="75" t="n"/>
      <c r="H88" s="75" t="n"/>
      <c r="I88" s="75" t="n"/>
      <c r="J88" s="75" t="n"/>
      <c r="K88" s="75" t="n"/>
      <c r="L88" s="75" t="n"/>
      <c r="M88" s="75" t="n"/>
      <c r="N88" s="75" t="n"/>
      <c r="O88" s="75" t="n"/>
      <c r="P88" s="75" t="n"/>
      <c r="Q88" s="75" t="n"/>
      <c r="R88" s="75" t="n"/>
      <c r="S88" s="75" t="n"/>
      <c r="T88" s="75" t="n"/>
      <c r="U88" s="75" t="n"/>
      <c r="V88" s="75" t="n"/>
      <c r="W88" s="75" t="n"/>
      <c r="X88" s="75" t="n"/>
      <c r="Y88" s="75" t="n"/>
      <c r="Z88" s="75" t="n"/>
      <c r="AA88" s="75" t="n"/>
      <c r="AB88" s="75" t="n"/>
      <c r="AC88" s="75" t="n"/>
      <c r="AD88" s="75" t="n"/>
      <c r="AE88" s="75" t="n"/>
      <c r="AF88" s="75" t="n"/>
      <c r="AG88" s="75" t="n"/>
      <c r="AH88" s="75" t="n"/>
      <c r="AI88" s="75" t="n"/>
      <c r="AJ88" s="75" t="n"/>
      <c r="AK88" s="75" t="n"/>
      <c r="AL88" s="75" t="n"/>
      <c r="AM88" s="75" t="n"/>
      <c r="AN88" s="75" t="n"/>
      <c r="AO88" s="75" t="n"/>
      <c r="AP88" s="75" t="n"/>
      <c r="AQ88" s="75" t="n"/>
      <c r="AR88" s="75" t="n"/>
      <c r="AS88" s="75" t="n"/>
      <c r="AT88" s="75" t="n"/>
      <c r="AU88" s="75" t="n"/>
      <c r="AV88" s="75" t="n"/>
      <c r="AW88" s="75" t="n"/>
      <c r="AX88" s="75" t="n"/>
      <c r="AY88" s="75" t="n"/>
      <c r="AZ88" s="75" t="n"/>
      <c r="BA88" s="75" t="n"/>
      <c r="BB88" s="75" t="n"/>
      <c r="BC88" s="75" t="n"/>
      <c r="BD88" s="75" t="n"/>
      <c r="BE88" s="75" t="n"/>
    </row>
    <row r="89" ht="18" customHeight="1">
      <c r="A89" s="49">
        <f>IF('İş Planı'!$C89="","",'İş Planı'!$C89)</f>
        <v/>
      </c>
      <c r="B89" s="49">
        <f>IF('İş Planı'!$B89="","",'İş Planı'!$B89)</f>
        <v/>
      </c>
      <c r="C89" s="63">
        <f>IF('İş Planı'!$H89="","",'İş Planı'!$H89)</f>
        <v/>
      </c>
      <c r="D89" s="63">
        <f>IF('İş Planı'!$L89="","",'İş Planı'!$L89)</f>
        <v/>
      </c>
      <c r="E89" s="62">
        <f>IF('İş Planı'!$N89="","",'İş Planı'!$N89)</f>
        <v/>
      </c>
      <c r="F89" s="75" t="n"/>
      <c r="G89" s="75" t="n"/>
      <c r="H89" s="75" t="n"/>
      <c r="I89" s="75" t="n"/>
      <c r="J89" s="75" t="n"/>
      <c r="K89" s="75" t="n"/>
      <c r="L89" s="75" t="n"/>
      <c r="M89" s="75" t="n"/>
      <c r="N89" s="75" t="n"/>
      <c r="O89" s="75" t="n"/>
      <c r="P89" s="75" t="n"/>
      <c r="Q89" s="75" t="n"/>
      <c r="R89" s="75" t="n"/>
      <c r="S89" s="75" t="n"/>
      <c r="T89" s="75" t="n"/>
      <c r="U89" s="75" t="n"/>
      <c r="V89" s="75" t="n"/>
      <c r="W89" s="75" t="n"/>
      <c r="X89" s="75" t="n"/>
      <c r="Y89" s="75" t="n"/>
      <c r="Z89" s="75" t="n"/>
      <c r="AA89" s="75" t="n"/>
      <c r="AB89" s="75" t="n"/>
      <c r="AC89" s="75" t="n"/>
      <c r="AD89" s="75" t="n"/>
      <c r="AE89" s="75" t="n"/>
      <c r="AF89" s="75" t="n"/>
      <c r="AG89" s="75" t="n"/>
      <c r="AH89" s="75" t="n"/>
      <c r="AI89" s="75" t="n"/>
      <c r="AJ89" s="75" t="n"/>
      <c r="AK89" s="75" t="n"/>
      <c r="AL89" s="75" t="n"/>
      <c r="AM89" s="75" t="n"/>
      <c r="AN89" s="75" t="n"/>
      <c r="AO89" s="75" t="n"/>
      <c r="AP89" s="75" t="n"/>
      <c r="AQ89" s="75" t="n"/>
      <c r="AR89" s="75" t="n"/>
      <c r="AS89" s="75" t="n"/>
      <c r="AT89" s="75" t="n"/>
      <c r="AU89" s="75" t="n"/>
      <c r="AV89" s="75" t="n"/>
      <c r="AW89" s="75" t="n"/>
      <c r="AX89" s="75" t="n"/>
      <c r="AY89" s="75" t="n"/>
      <c r="AZ89" s="75" t="n"/>
      <c r="BA89" s="75" t="n"/>
      <c r="BB89" s="75" t="n"/>
      <c r="BC89" s="75" t="n"/>
      <c r="BD89" s="75" t="n"/>
      <c r="BE89" s="75" t="n"/>
    </row>
    <row r="90" ht="18" customHeight="1">
      <c r="A90" s="49">
        <f>IF('İş Planı'!$C90="","",'İş Planı'!$C90)</f>
        <v/>
      </c>
      <c r="B90" s="49">
        <f>IF('İş Planı'!$B90="","",'İş Planı'!$B90)</f>
        <v/>
      </c>
      <c r="C90" s="63">
        <f>IF('İş Planı'!$H90="","",'İş Planı'!$H90)</f>
        <v/>
      </c>
      <c r="D90" s="63">
        <f>IF('İş Planı'!$L90="","",'İş Planı'!$L90)</f>
        <v/>
      </c>
      <c r="E90" s="62">
        <f>IF('İş Planı'!$N90="","",'İş Planı'!$N90)</f>
        <v/>
      </c>
      <c r="F90" s="75" t="n"/>
      <c r="G90" s="75" t="n"/>
      <c r="H90" s="75" t="n"/>
      <c r="I90" s="75" t="n"/>
      <c r="J90" s="75" t="n"/>
      <c r="K90" s="75" t="n"/>
      <c r="L90" s="75" t="n"/>
      <c r="M90" s="75" t="n"/>
      <c r="N90" s="75" t="n"/>
      <c r="O90" s="75" t="n"/>
      <c r="P90" s="75" t="n"/>
      <c r="Q90" s="75" t="n"/>
      <c r="R90" s="75" t="n"/>
      <c r="S90" s="75" t="n"/>
      <c r="T90" s="75" t="n"/>
      <c r="U90" s="75" t="n"/>
      <c r="V90" s="75" t="n"/>
      <c r="W90" s="75" t="n"/>
      <c r="X90" s="75" t="n"/>
      <c r="Y90" s="75" t="n"/>
      <c r="Z90" s="75" t="n"/>
      <c r="AA90" s="75" t="n"/>
      <c r="AB90" s="75" t="n"/>
      <c r="AC90" s="75" t="n"/>
      <c r="AD90" s="75" t="n"/>
      <c r="AE90" s="75" t="n"/>
      <c r="AF90" s="75" t="n"/>
      <c r="AG90" s="75" t="n"/>
      <c r="AH90" s="75" t="n"/>
      <c r="AI90" s="75" t="n"/>
      <c r="AJ90" s="75" t="n"/>
      <c r="AK90" s="75" t="n"/>
      <c r="AL90" s="75" t="n"/>
      <c r="AM90" s="75" t="n"/>
      <c r="AN90" s="75" t="n"/>
      <c r="AO90" s="75" t="n"/>
      <c r="AP90" s="75" t="n"/>
      <c r="AQ90" s="75" t="n"/>
      <c r="AR90" s="75" t="n"/>
      <c r="AS90" s="75" t="n"/>
      <c r="AT90" s="75" t="n"/>
      <c r="AU90" s="75" t="n"/>
      <c r="AV90" s="75" t="n"/>
      <c r="AW90" s="75" t="n"/>
      <c r="AX90" s="75" t="n"/>
      <c r="AY90" s="75" t="n"/>
      <c r="AZ90" s="75" t="n"/>
      <c r="BA90" s="75" t="n"/>
      <c r="BB90" s="75" t="n"/>
      <c r="BC90" s="75" t="n"/>
      <c r="BD90" s="75" t="n"/>
      <c r="BE90" s="75" t="n"/>
    </row>
    <row r="91" ht="18" customHeight="1">
      <c r="A91" s="49">
        <f>IF('İş Planı'!$C91="","",'İş Planı'!$C91)</f>
        <v/>
      </c>
      <c r="B91" s="49">
        <f>IF('İş Planı'!$B91="","",'İş Planı'!$B91)</f>
        <v/>
      </c>
      <c r="C91" s="63">
        <f>IF('İş Planı'!$H91="","",'İş Planı'!$H91)</f>
        <v/>
      </c>
      <c r="D91" s="63">
        <f>IF('İş Planı'!$L91="","",'İş Planı'!$L91)</f>
        <v/>
      </c>
      <c r="E91" s="62">
        <f>IF('İş Planı'!$N91="","",'İş Planı'!$N91)</f>
        <v/>
      </c>
      <c r="F91" s="75" t="n"/>
      <c r="G91" s="75" t="n"/>
      <c r="H91" s="75" t="n"/>
      <c r="I91" s="75" t="n"/>
      <c r="J91" s="75" t="n"/>
      <c r="K91" s="75" t="n"/>
      <c r="L91" s="75" t="n"/>
      <c r="M91" s="75" t="n"/>
      <c r="N91" s="75" t="n"/>
      <c r="O91" s="75" t="n"/>
      <c r="P91" s="75" t="n"/>
      <c r="Q91" s="75" t="n"/>
      <c r="R91" s="75" t="n"/>
      <c r="S91" s="75" t="n"/>
      <c r="T91" s="75" t="n"/>
      <c r="U91" s="75" t="n"/>
      <c r="V91" s="75" t="n"/>
      <c r="W91" s="75" t="n"/>
      <c r="X91" s="75" t="n"/>
      <c r="Y91" s="75" t="n"/>
      <c r="Z91" s="75" t="n"/>
      <c r="AA91" s="75" t="n"/>
      <c r="AB91" s="75" t="n"/>
      <c r="AC91" s="75" t="n"/>
      <c r="AD91" s="75" t="n"/>
      <c r="AE91" s="75" t="n"/>
      <c r="AF91" s="75" t="n"/>
      <c r="AG91" s="75" t="n"/>
      <c r="AH91" s="75" t="n"/>
      <c r="AI91" s="75" t="n"/>
      <c r="AJ91" s="75" t="n"/>
      <c r="AK91" s="75" t="n"/>
      <c r="AL91" s="75" t="n"/>
      <c r="AM91" s="75" t="n"/>
      <c r="AN91" s="75" t="n"/>
      <c r="AO91" s="75" t="n"/>
      <c r="AP91" s="75" t="n"/>
      <c r="AQ91" s="75" t="n"/>
      <c r="AR91" s="75" t="n"/>
      <c r="AS91" s="75" t="n"/>
      <c r="AT91" s="75" t="n"/>
      <c r="AU91" s="75" t="n"/>
      <c r="AV91" s="75" t="n"/>
      <c r="AW91" s="75" t="n"/>
      <c r="AX91" s="75" t="n"/>
      <c r="AY91" s="75" t="n"/>
      <c r="AZ91" s="75" t="n"/>
      <c r="BA91" s="75" t="n"/>
      <c r="BB91" s="75" t="n"/>
      <c r="BC91" s="75" t="n"/>
      <c r="BD91" s="75" t="n"/>
      <c r="BE91" s="75" t="n"/>
    </row>
    <row r="92" ht="18" customHeight="1">
      <c r="A92" s="49">
        <f>IF('İş Planı'!$C92="","",'İş Planı'!$C92)</f>
        <v/>
      </c>
      <c r="B92" s="49">
        <f>IF('İş Planı'!$B92="","",'İş Planı'!$B92)</f>
        <v/>
      </c>
      <c r="C92" s="63">
        <f>IF('İş Planı'!$H92="","",'İş Planı'!$H92)</f>
        <v/>
      </c>
      <c r="D92" s="63">
        <f>IF('İş Planı'!$L92="","",'İş Planı'!$L92)</f>
        <v/>
      </c>
      <c r="E92" s="62">
        <f>IF('İş Planı'!$N92="","",'İş Planı'!$N92)</f>
        <v/>
      </c>
      <c r="F92" s="75" t="n"/>
      <c r="G92" s="75" t="n"/>
      <c r="H92" s="75" t="n"/>
      <c r="I92" s="75" t="n"/>
      <c r="J92" s="75" t="n"/>
      <c r="K92" s="75" t="n"/>
      <c r="L92" s="75" t="n"/>
      <c r="M92" s="75" t="n"/>
      <c r="N92" s="75" t="n"/>
      <c r="O92" s="75" t="n"/>
      <c r="P92" s="75" t="n"/>
      <c r="Q92" s="75" t="n"/>
      <c r="R92" s="75" t="n"/>
      <c r="S92" s="75" t="n"/>
      <c r="T92" s="75" t="n"/>
      <c r="U92" s="75" t="n"/>
      <c r="V92" s="75" t="n"/>
      <c r="W92" s="75" t="n"/>
      <c r="X92" s="75" t="n"/>
      <c r="Y92" s="75" t="n"/>
      <c r="Z92" s="75" t="n"/>
      <c r="AA92" s="75" t="n"/>
      <c r="AB92" s="75" t="n"/>
      <c r="AC92" s="75" t="n"/>
      <c r="AD92" s="75" t="n"/>
      <c r="AE92" s="75" t="n"/>
      <c r="AF92" s="75" t="n"/>
      <c r="AG92" s="75" t="n"/>
      <c r="AH92" s="75" t="n"/>
      <c r="AI92" s="75" t="n"/>
      <c r="AJ92" s="75" t="n"/>
      <c r="AK92" s="75" t="n"/>
      <c r="AL92" s="75" t="n"/>
      <c r="AM92" s="75" t="n"/>
      <c r="AN92" s="75" t="n"/>
      <c r="AO92" s="75" t="n"/>
      <c r="AP92" s="75" t="n"/>
      <c r="AQ92" s="75" t="n"/>
      <c r="AR92" s="75" t="n"/>
      <c r="AS92" s="75" t="n"/>
      <c r="AT92" s="75" t="n"/>
      <c r="AU92" s="75" t="n"/>
      <c r="AV92" s="75" t="n"/>
      <c r="AW92" s="75" t="n"/>
      <c r="AX92" s="75" t="n"/>
      <c r="AY92" s="75" t="n"/>
      <c r="AZ92" s="75" t="n"/>
      <c r="BA92" s="75" t="n"/>
      <c r="BB92" s="75" t="n"/>
      <c r="BC92" s="75" t="n"/>
      <c r="BD92" s="75" t="n"/>
      <c r="BE92" s="75" t="n"/>
    </row>
    <row r="93" ht="18" customHeight="1">
      <c r="A93" s="49">
        <f>IF('İş Planı'!$C93="","",'İş Planı'!$C93)</f>
        <v/>
      </c>
      <c r="B93" s="49">
        <f>IF('İş Planı'!$B93="","",'İş Planı'!$B93)</f>
        <v/>
      </c>
      <c r="C93" s="63">
        <f>IF('İş Planı'!$H93="","",'İş Planı'!$H93)</f>
        <v/>
      </c>
      <c r="D93" s="63">
        <f>IF('İş Planı'!$L93="","",'İş Planı'!$L93)</f>
        <v/>
      </c>
      <c r="E93" s="62">
        <f>IF('İş Planı'!$N93="","",'İş Planı'!$N93)</f>
        <v/>
      </c>
      <c r="F93" s="75" t="n"/>
      <c r="G93" s="75" t="n"/>
      <c r="H93" s="75" t="n"/>
      <c r="I93" s="75" t="n"/>
      <c r="J93" s="75" t="n"/>
      <c r="K93" s="75" t="n"/>
      <c r="L93" s="75" t="n"/>
      <c r="M93" s="75" t="n"/>
      <c r="N93" s="75" t="n"/>
      <c r="O93" s="75" t="n"/>
      <c r="P93" s="75" t="n"/>
      <c r="Q93" s="75" t="n"/>
      <c r="R93" s="75" t="n"/>
      <c r="S93" s="75" t="n"/>
      <c r="T93" s="75" t="n"/>
      <c r="U93" s="75" t="n"/>
      <c r="V93" s="75" t="n"/>
      <c r="W93" s="75" t="n"/>
      <c r="X93" s="75" t="n"/>
      <c r="Y93" s="75" t="n"/>
      <c r="Z93" s="75" t="n"/>
      <c r="AA93" s="75" t="n"/>
      <c r="AB93" s="75" t="n"/>
      <c r="AC93" s="75" t="n"/>
      <c r="AD93" s="75" t="n"/>
      <c r="AE93" s="75" t="n"/>
      <c r="AF93" s="75" t="n"/>
      <c r="AG93" s="75" t="n"/>
      <c r="AH93" s="75" t="n"/>
      <c r="AI93" s="75" t="n"/>
      <c r="AJ93" s="75" t="n"/>
      <c r="AK93" s="75" t="n"/>
      <c r="AL93" s="75" t="n"/>
      <c r="AM93" s="75" t="n"/>
      <c r="AN93" s="75" t="n"/>
      <c r="AO93" s="75" t="n"/>
      <c r="AP93" s="75" t="n"/>
      <c r="AQ93" s="75" t="n"/>
      <c r="AR93" s="75" t="n"/>
      <c r="AS93" s="75" t="n"/>
      <c r="AT93" s="75" t="n"/>
      <c r="AU93" s="75" t="n"/>
      <c r="AV93" s="75" t="n"/>
      <c r="AW93" s="75" t="n"/>
      <c r="AX93" s="75" t="n"/>
      <c r="AY93" s="75" t="n"/>
      <c r="AZ93" s="75" t="n"/>
      <c r="BA93" s="75" t="n"/>
      <c r="BB93" s="75" t="n"/>
      <c r="BC93" s="75" t="n"/>
      <c r="BD93" s="75" t="n"/>
      <c r="BE93" s="75" t="n"/>
    </row>
    <row r="94" ht="18" customHeight="1">
      <c r="A94" s="49">
        <f>IF('İş Planı'!$C94="","",'İş Planı'!$C94)</f>
        <v/>
      </c>
      <c r="B94" s="49">
        <f>IF('İş Planı'!$B94="","",'İş Planı'!$B94)</f>
        <v/>
      </c>
      <c r="C94" s="63">
        <f>IF('İş Planı'!$H94="","",'İş Planı'!$H94)</f>
        <v/>
      </c>
      <c r="D94" s="63">
        <f>IF('İş Planı'!$L94="","",'İş Planı'!$L94)</f>
        <v/>
      </c>
      <c r="E94" s="62">
        <f>IF('İş Planı'!$N94="","",'İş Planı'!$N94)</f>
        <v/>
      </c>
      <c r="F94" s="75" t="n"/>
      <c r="G94" s="75" t="n"/>
      <c r="H94" s="75" t="n"/>
      <c r="I94" s="75" t="n"/>
      <c r="J94" s="75" t="n"/>
      <c r="K94" s="75" t="n"/>
      <c r="L94" s="75" t="n"/>
      <c r="M94" s="75" t="n"/>
      <c r="N94" s="75" t="n"/>
      <c r="O94" s="75" t="n"/>
      <c r="P94" s="75" t="n"/>
      <c r="Q94" s="75" t="n"/>
      <c r="R94" s="75" t="n"/>
      <c r="S94" s="75" t="n"/>
      <c r="T94" s="75" t="n"/>
      <c r="U94" s="75" t="n"/>
      <c r="V94" s="75" t="n"/>
      <c r="W94" s="75" t="n"/>
      <c r="X94" s="75" t="n"/>
      <c r="Y94" s="75" t="n"/>
      <c r="Z94" s="75" t="n"/>
      <c r="AA94" s="75" t="n"/>
      <c r="AB94" s="75" t="n"/>
      <c r="AC94" s="75" t="n"/>
      <c r="AD94" s="75" t="n"/>
      <c r="AE94" s="75" t="n"/>
      <c r="AF94" s="75" t="n"/>
      <c r="AG94" s="75" t="n"/>
      <c r="AH94" s="75" t="n"/>
      <c r="AI94" s="75" t="n"/>
      <c r="AJ94" s="75" t="n"/>
      <c r="AK94" s="75" t="n"/>
      <c r="AL94" s="75" t="n"/>
      <c r="AM94" s="75" t="n"/>
      <c r="AN94" s="75" t="n"/>
      <c r="AO94" s="75" t="n"/>
      <c r="AP94" s="75" t="n"/>
      <c r="AQ94" s="75" t="n"/>
      <c r="AR94" s="75" t="n"/>
      <c r="AS94" s="75" t="n"/>
      <c r="AT94" s="75" t="n"/>
      <c r="AU94" s="75" t="n"/>
      <c r="AV94" s="75" t="n"/>
      <c r="AW94" s="75" t="n"/>
      <c r="AX94" s="75" t="n"/>
      <c r="AY94" s="75" t="n"/>
      <c r="AZ94" s="75" t="n"/>
      <c r="BA94" s="75" t="n"/>
      <c r="BB94" s="75" t="n"/>
      <c r="BC94" s="75" t="n"/>
      <c r="BD94" s="75" t="n"/>
      <c r="BE94" s="75" t="n"/>
    </row>
    <row r="95" ht="18" customHeight="1">
      <c r="A95" s="49">
        <f>IF('İş Planı'!$C95="","",'İş Planı'!$C95)</f>
        <v/>
      </c>
      <c r="B95" s="49">
        <f>IF('İş Planı'!$B95="","",'İş Planı'!$B95)</f>
        <v/>
      </c>
      <c r="C95" s="63">
        <f>IF('İş Planı'!$H95="","",'İş Planı'!$H95)</f>
        <v/>
      </c>
      <c r="D95" s="63">
        <f>IF('İş Planı'!$L95="","",'İş Planı'!$L95)</f>
        <v/>
      </c>
      <c r="E95" s="62">
        <f>IF('İş Planı'!$N95="","",'İş Planı'!$N95)</f>
        <v/>
      </c>
      <c r="F95" s="75" t="n"/>
      <c r="G95" s="75" t="n"/>
      <c r="H95" s="75" t="n"/>
      <c r="I95" s="75" t="n"/>
      <c r="J95" s="75" t="n"/>
      <c r="K95" s="75" t="n"/>
      <c r="L95" s="75" t="n"/>
      <c r="M95" s="75" t="n"/>
      <c r="N95" s="75" t="n"/>
      <c r="O95" s="75" t="n"/>
      <c r="P95" s="75" t="n"/>
      <c r="Q95" s="75" t="n"/>
      <c r="R95" s="75" t="n"/>
      <c r="S95" s="75" t="n"/>
      <c r="T95" s="75" t="n"/>
      <c r="U95" s="75" t="n"/>
      <c r="V95" s="75" t="n"/>
      <c r="W95" s="75" t="n"/>
      <c r="X95" s="75" t="n"/>
      <c r="Y95" s="75" t="n"/>
      <c r="Z95" s="75" t="n"/>
      <c r="AA95" s="75" t="n"/>
      <c r="AB95" s="75" t="n"/>
      <c r="AC95" s="75" t="n"/>
      <c r="AD95" s="75" t="n"/>
      <c r="AE95" s="75" t="n"/>
      <c r="AF95" s="75" t="n"/>
      <c r="AG95" s="75" t="n"/>
      <c r="AH95" s="75" t="n"/>
      <c r="AI95" s="75" t="n"/>
      <c r="AJ95" s="75" t="n"/>
      <c r="AK95" s="75" t="n"/>
      <c r="AL95" s="75" t="n"/>
      <c r="AM95" s="75" t="n"/>
      <c r="AN95" s="75" t="n"/>
      <c r="AO95" s="75" t="n"/>
      <c r="AP95" s="75" t="n"/>
      <c r="AQ95" s="75" t="n"/>
      <c r="AR95" s="75" t="n"/>
      <c r="AS95" s="75" t="n"/>
      <c r="AT95" s="75" t="n"/>
      <c r="AU95" s="75" t="n"/>
      <c r="AV95" s="75" t="n"/>
      <c r="AW95" s="75" t="n"/>
      <c r="AX95" s="75" t="n"/>
      <c r="AY95" s="75" t="n"/>
      <c r="AZ95" s="75" t="n"/>
      <c r="BA95" s="75" t="n"/>
      <c r="BB95" s="75" t="n"/>
      <c r="BC95" s="75" t="n"/>
      <c r="BD95" s="75" t="n"/>
      <c r="BE95" s="75" t="n"/>
    </row>
    <row r="96" ht="18" customHeight="1">
      <c r="A96" s="49">
        <f>IF('İş Planı'!$C96="","",'İş Planı'!$C96)</f>
        <v/>
      </c>
      <c r="B96" s="49">
        <f>IF('İş Planı'!$B96="","",'İş Planı'!$B96)</f>
        <v/>
      </c>
      <c r="C96" s="63">
        <f>IF('İş Planı'!$H96="","",'İş Planı'!$H96)</f>
        <v/>
      </c>
      <c r="D96" s="63">
        <f>IF('İş Planı'!$L96="","",'İş Planı'!$L96)</f>
        <v/>
      </c>
      <c r="E96" s="62">
        <f>IF('İş Planı'!$N96="","",'İş Planı'!$N96)</f>
        <v/>
      </c>
      <c r="F96" s="75" t="n"/>
      <c r="G96" s="75" t="n"/>
      <c r="H96" s="75" t="n"/>
      <c r="I96" s="75" t="n"/>
      <c r="J96" s="75" t="n"/>
      <c r="K96" s="75" t="n"/>
      <c r="L96" s="75" t="n"/>
      <c r="M96" s="75" t="n"/>
      <c r="N96" s="75" t="n"/>
      <c r="O96" s="75" t="n"/>
      <c r="P96" s="75" t="n"/>
      <c r="Q96" s="75" t="n"/>
      <c r="R96" s="75" t="n"/>
      <c r="S96" s="75" t="n"/>
      <c r="T96" s="75" t="n"/>
      <c r="U96" s="75" t="n"/>
      <c r="V96" s="75" t="n"/>
      <c r="W96" s="75" t="n"/>
      <c r="X96" s="75" t="n"/>
      <c r="Y96" s="75" t="n"/>
      <c r="Z96" s="75" t="n"/>
      <c r="AA96" s="75" t="n"/>
      <c r="AB96" s="75" t="n"/>
      <c r="AC96" s="75" t="n"/>
      <c r="AD96" s="75" t="n"/>
      <c r="AE96" s="75" t="n"/>
      <c r="AF96" s="75" t="n"/>
      <c r="AG96" s="75" t="n"/>
      <c r="AH96" s="75" t="n"/>
      <c r="AI96" s="75" t="n"/>
      <c r="AJ96" s="75" t="n"/>
      <c r="AK96" s="75" t="n"/>
      <c r="AL96" s="75" t="n"/>
      <c r="AM96" s="75" t="n"/>
      <c r="AN96" s="75" t="n"/>
      <c r="AO96" s="75" t="n"/>
      <c r="AP96" s="75" t="n"/>
      <c r="AQ96" s="75" t="n"/>
      <c r="AR96" s="75" t="n"/>
      <c r="AS96" s="75" t="n"/>
      <c r="AT96" s="75" t="n"/>
      <c r="AU96" s="75" t="n"/>
      <c r="AV96" s="75" t="n"/>
      <c r="AW96" s="75" t="n"/>
      <c r="AX96" s="75" t="n"/>
      <c r="AY96" s="75" t="n"/>
      <c r="AZ96" s="75" t="n"/>
      <c r="BA96" s="75" t="n"/>
      <c r="BB96" s="75" t="n"/>
      <c r="BC96" s="75" t="n"/>
      <c r="BD96" s="75" t="n"/>
      <c r="BE96" s="75" t="n"/>
    </row>
    <row r="97" ht="18" customHeight="1">
      <c r="A97" s="49">
        <f>IF('İş Planı'!$C97="","",'İş Planı'!$C97)</f>
        <v/>
      </c>
      <c r="B97" s="49">
        <f>IF('İş Planı'!$B97="","",'İş Planı'!$B97)</f>
        <v/>
      </c>
      <c r="C97" s="63">
        <f>IF('İş Planı'!$H97="","",'İş Planı'!$H97)</f>
        <v/>
      </c>
      <c r="D97" s="63">
        <f>IF('İş Planı'!$L97="","",'İş Planı'!$L97)</f>
        <v/>
      </c>
      <c r="E97" s="62">
        <f>IF('İş Planı'!$N97="","",'İş Planı'!$N97)</f>
        <v/>
      </c>
      <c r="F97" s="75" t="n"/>
      <c r="G97" s="75" t="n"/>
      <c r="H97" s="75" t="n"/>
      <c r="I97" s="75" t="n"/>
      <c r="J97" s="75" t="n"/>
      <c r="K97" s="75" t="n"/>
      <c r="L97" s="75" t="n"/>
      <c r="M97" s="75" t="n"/>
      <c r="N97" s="75" t="n"/>
      <c r="O97" s="75" t="n"/>
      <c r="P97" s="75" t="n"/>
      <c r="Q97" s="75" t="n"/>
      <c r="R97" s="75" t="n"/>
      <c r="S97" s="75" t="n"/>
      <c r="T97" s="75" t="n"/>
      <c r="U97" s="75" t="n"/>
      <c r="V97" s="75" t="n"/>
      <c r="W97" s="75" t="n"/>
      <c r="X97" s="75" t="n"/>
      <c r="Y97" s="75" t="n"/>
      <c r="Z97" s="75" t="n"/>
      <c r="AA97" s="75" t="n"/>
      <c r="AB97" s="75" t="n"/>
      <c r="AC97" s="75" t="n"/>
      <c r="AD97" s="75" t="n"/>
      <c r="AE97" s="75" t="n"/>
      <c r="AF97" s="75" t="n"/>
      <c r="AG97" s="75" t="n"/>
      <c r="AH97" s="75" t="n"/>
      <c r="AI97" s="75" t="n"/>
      <c r="AJ97" s="75" t="n"/>
      <c r="AK97" s="75" t="n"/>
      <c r="AL97" s="75" t="n"/>
      <c r="AM97" s="75" t="n"/>
      <c r="AN97" s="75" t="n"/>
      <c r="AO97" s="75" t="n"/>
      <c r="AP97" s="75" t="n"/>
      <c r="AQ97" s="75" t="n"/>
      <c r="AR97" s="75" t="n"/>
      <c r="AS97" s="75" t="n"/>
      <c r="AT97" s="75" t="n"/>
      <c r="AU97" s="75" t="n"/>
      <c r="AV97" s="75" t="n"/>
      <c r="AW97" s="75" t="n"/>
      <c r="AX97" s="75" t="n"/>
      <c r="AY97" s="75" t="n"/>
      <c r="AZ97" s="75" t="n"/>
      <c r="BA97" s="75" t="n"/>
      <c r="BB97" s="75" t="n"/>
      <c r="BC97" s="75" t="n"/>
      <c r="BD97" s="75" t="n"/>
      <c r="BE97" s="75" t="n"/>
    </row>
    <row r="98" ht="18" customHeight="1">
      <c r="A98" s="49">
        <f>IF('İş Planı'!$C98="","",'İş Planı'!$C98)</f>
        <v/>
      </c>
      <c r="B98" s="49">
        <f>IF('İş Planı'!$B98="","",'İş Planı'!$B98)</f>
        <v/>
      </c>
      <c r="C98" s="63">
        <f>IF('İş Planı'!$H98="","",'İş Planı'!$H98)</f>
        <v/>
      </c>
      <c r="D98" s="63">
        <f>IF('İş Planı'!$L98="","",'İş Planı'!$L98)</f>
        <v/>
      </c>
      <c r="E98" s="62">
        <f>IF('İş Planı'!$N98="","",'İş Planı'!$N98)</f>
        <v/>
      </c>
      <c r="F98" s="75" t="n"/>
      <c r="G98" s="75" t="n"/>
      <c r="H98" s="75" t="n"/>
      <c r="I98" s="75" t="n"/>
      <c r="J98" s="75" t="n"/>
      <c r="K98" s="75" t="n"/>
      <c r="L98" s="75" t="n"/>
      <c r="M98" s="75" t="n"/>
      <c r="N98" s="75" t="n"/>
      <c r="O98" s="75" t="n"/>
      <c r="P98" s="75" t="n"/>
      <c r="Q98" s="75" t="n"/>
      <c r="R98" s="75" t="n"/>
      <c r="S98" s="75" t="n"/>
      <c r="T98" s="75" t="n"/>
      <c r="U98" s="75" t="n"/>
      <c r="V98" s="75" t="n"/>
      <c r="W98" s="75" t="n"/>
      <c r="X98" s="75" t="n"/>
      <c r="Y98" s="75" t="n"/>
      <c r="Z98" s="75" t="n"/>
      <c r="AA98" s="75" t="n"/>
      <c r="AB98" s="75" t="n"/>
      <c r="AC98" s="75" t="n"/>
      <c r="AD98" s="75" t="n"/>
      <c r="AE98" s="75" t="n"/>
      <c r="AF98" s="75" t="n"/>
      <c r="AG98" s="75" t="n"/>
      <c r="AH98" s="75" t="n"/>
      <c r="AI98" s="75" t="n"/>
      <c r="AJ98" s="75" t="n"/>
      <c r="AK98" s="75" t="n"/>
      <c r="AL98" s="75" t="n"/>
      <c r="AM98" s="75" t="n"/>
      <c r="AN98" s="75" t="n"/>
      <c r="AO98" s="75" t="n"/>
      <c r="AP98" s="75" t="n"/>
      <c r="AQ98" s="75" t="n"/>
      <c r="AR98" s="75" t="n"/>
      <c r="AS98" s="75" t="n"/>
      <c r="AT98" s="75" t="n"/>
      <c r="AU98" s="75" t="n"/>
      <c r="AV98" s="75" t="n"/>
      <c r="AW98" s="75" t="n"/>
      <c r="AX98" s="75" t="n"/>
      <c r="AY98" s="75" t="n"/>
      <c r="AZ98" s="75" t="n"/>
      <c r="BA98" s="75" t="n"/>
      <c r="BB98" s="75" t="n"/>
      <c r="BC98" s="75" t="n"/>
      <c r="BD98" s="75" t="n"/>
      <c r="BE98" s="75" t="n"/>
    </row>
    <row r="99" ht="18" customHeight="1">
      <c r="A99" s="49">
        <f>IF('İş Planı'!$C99="","",'İş Planı'!$C99)</f>
        <v/>
      </c>
      <c r="B99" s="49">
        <f>IF('İş Planı'!$B99="","",'İş Planı'!$B99)</f>
        <v/>
      </c>
      <c r="C99" s="63">
        <f>IF('İş Planı'!$H99="","",'İş Planı'!$H99)</f>
        <v/>
      </c>
      <c r="D99" s="63">
        <f>IF('İş Planı'!$L99="","",'İş Planı'!$L99)</f>
        <v/>
      </c>
      <c r="E99" s="62">
        <f>IF('İş Planı'!$N99="","",'İş Planı'!$N99)</f>
        <v/>
      </c>
      <c r="F99" s="75" t="n"/>
      <c r="G99" s="75" t="n"/>
      <c r="H99" s="75" t="n"/>
      <c r="I99" s="75" t="n"/>
      <c r="J99" s="75" t="n"/>
      <c r="K99" s="75" t="n"/>
      <c r="L99" s="75" t="n"/>
      <c r="M99" s="75" t="n"/>
      <c r="N99" s="75" t="n"/>
      <c r="O99" s="75" t="n"/>
      <c r="P99" s="75" t="n"/>
      <c r="Q99" s="75" t="n"/>
      <c r="R99" s="75" t="n"/>
      <c r="S99" s="75" t="n"/>
      <c r="T99" s="75" t="n"/>
      <c r="U99" s="75" t="n"/>
      <c r="V99" s="75" t="n"/>
      <c r="W99" s="75" t="n"/>
      <c r="X99" s="75" t="n"/>
      <c r="Y99" s="75" t="n"/>
      <c r="Z99" s="75" t="n"/>
      <c r="AA99" s="75" t="n"/>
      <c r="AB99" s="75" t="n"/>
      <c r="AC99" s="75" t="n"/>
      <c r="AD99" s="75" t="n"/>
      <c r="AE99" s="75" t="n"/>
      <c r="AF99" s="75" t="n"/>
      <c r="AG99" s="75" t="n"/>
      <c r="AH99" s="75" t="n"/>
      <c r="AI99" s="75" t="n"/>
      <c r="AJ99" s="75" t="n"/>
      <c r="AK99" s="75" t="n"/>
      <c r="AL99" s="75" t="n"/>
      <c r="AM99" s="75" t="n"/>
      <c r="AN99" s="75" t="n"/>
      <c r="AO99" s="75" t="n"/>
      <c r="AP99" s="75" t="n"/>
      <c r="AQ99" s="75" t="n"/>
      <c r="AR99" s="75" t="n"/>
      <c r="AS99" s="75" t="n"/>
      <c r="AT99" s="75" t="n"/>
      <c r="AU99" s="75" t="n"/>
      <c r="AV99" s="75" t="n"/>
      <c r="AW99" s="75" t="n"/>
      <c r="AX99" s="75" t="n"/>
      <c r="AY99" s="75" t="n"/>
      <c r="AZ99" s="75" t="n"/>
      <c r="BA99" s="75" t="n"/>
      <c r="BB99" s="75" t="n"/>
      <c r="BC99" s="75" t="n"/>
      <c r="BD99" s="75" t="n"/>
      <c r="BE99" s="75" t="n"/>
    </row>
    <row r="100" ht="18" customHeight="1">
      <c r="A100" s="49">
        <f>IF('İş Planı'!$C100="","",'İş Planı'!$C100)</f>
        <v/>
      </c>
      <c r="B100" s="49">
        <f>IF('İş Planı'!$B100="","",'İş Planı'!$B100)</f>
        <v/>
      </c>
      <c r="C100" s="63">
        <f>IF('İş Planı'!$H100="","",'İş Planı'!$H100)</f>
        <v/>
      </c>
      <c r="D100" s="63">
        <f>IF('İş Planı'!$L100="","",'İş Planı'!$L100)</f>
        <v/>
      </c>
      <c r="E100" s="62">
        <f>IF('İş Planı'!$N100="","",'İş Planı'!$N100)</f>
        <v/>
      </c>
      <c r="F100" s="75" t="n"/>
      <c r="G100" s="75" t="n"/>
      <c r="H100" s="75" t="n"/>
      <c r="I100" s="75" t="n"/>
      <c r="J100" s="75" t="n"/>
      <c r="K100" s="75" t="n"/>
      <c r="L100" s="75" t="n"/>
      <c r="M100" s="75" t="n"/>
      <c r="N100" s="75" t="n"/>
      <c r="O100" s="75" t="n"/>
      <c r="P100" s="75" t="n"/>
      <c r="Q100" s="75" t="n"/>
      <c r="R100" s="75" t="n"/>
      <c r="S100" s="75" t="n"/>
      <c r="T100" s="75" t="n"/>
      <c r="U100" s="75" t="n"/>
      <c r="V100" s="75" t="n"/>
      <c r="W100" s="75" t="n"/>
      <c r="X100" s="75" t="n"/>
      <c r="Y100" s="75" t="n"/>
      <c r="Z100" s="75" t="n"/>
      <c r="AA100" s="75" t="n"/>
      <c r="AB100" s="75" t="n"/>
      <c r="AC100" s="75" t="n"/>
      <c r="AD100" s="75" t="n"/>
      <c r="AE100" s="75" t="n"/>
      <c r="AF100" s="75" t="n"/>
      <c r="AG100" s="75" t="n"/>
      <c r="AH100" s="75" t="n"/>
      <c r="AI100" s="75" t="n"/>
      <c r="AJ100" s="75" t="n"/>
      <c r="AK100" s="75" t="n"/>
      <c r="AL100" s="75" t="n"/>
      <c r="AM100" s="75" t="n"/>
      <c r="AN100" s="75" t="n"/>
      <c r="AO100" s="75" t="n"/>
      <c r="AP100" s="75" t="n"/>
      <c r="AQ100" s="75" t="n"/>
      <c r="AR100" s="75" t="n"/>
      <c r="AS100" s="75" t="n"/>
      <c r="AT100" s="75" t="n"/>
      <c r="AU100" s="75" t="n"/>
      <c r="AV100" s="75" t="n"/>
      <c r="AW100" s="75" t="n"/>
      <c r="AX100" s="75" t="n"/>
      <c r="AY100" s="75" t="n"/>
      <c r="AZ100" s="75" t="n"/>
      <c r="BA100" s="75" t="n"/>
      <c r="BB100" s="75" t="n"/>
      <c r="BC100" s="75" t="n"/>
      <c r="BD100" s="75" t="n"/>
      <c r="BE100" s="75" t="n"/>
    </row>
    <row r="101" ht="18" customHeight="1">
      <c r="A101" s="49">
        <f>IF('İş Planı'!$C101="","",'İş Planı'!$C101)</f>
        <v/>
      </c>
      <c r="B101" s="49">
        <f>IF('İş Planı'!$B101="","",'İş Planı'!$B101)</f>
        <v/>
      </c>
      <c r="C101" s="63">
        <f>IF('İş Planı'!$H101="","",'İş Planı'!$H101)</f>
        <v/>
      </c>
      <c r="D101" s="63">
        <f>IF('İş Planı'!$L101="","",'İş Planı'!$L101)</f>
        <v/>
      </c>
      <c r="E101" s="62">
        <f>IF('İş Planı'!$N101="","",'İş Planı'!$N101)</f>
        <v/>
      </c>
      <c r="F101" s="75" t="n"/>
      <c r="G101" s="75" t="n"/>
      <c r="H101" s="75" t="n"/>
      <c r="I101" s="75" t="n"/>
      <c r="J101" s="75" t="n"/>
      <c r="K101" s="75" t="n"/>
      <c r="L101" s="75" t="n"/>
      <c r="M101" s="75" t="n"/>
      <c r="N101" s="75" t="n"/>
      <c r="O101" s="75" t="n"/>
      <c r="P101" s="75" t="n"/>
      <c r="Q101" s="75" t="n"/>
      <c r="R101" s="75" t="n"/>
      <c r="S101" s="75" t="n"/>
      <c r="T101" s="75" t="n"/>
      <c r="U101" s="75" t="n"/>
      <c r="V101" s="75" t="n"/>
      <c r="W101" s="75" t="n"/>
      <c r="X101" s="75" t="n"/>
      <c r="Y101" s="75" t="n"/>
      <c r="Z101" s="75" t="n"/>
      <c r="AA101" s="75" t="n"/>
      <c r="AB101" s="75" t="n"/>
      <c r="AC101" s="75" t="n"/>
      <c r="AD101" s="75" t="n"/>
      <c r="AE101" s="75" t="n"/>
      <c r="AF101" s="75" t="n"/>
      <c r="AG101" s="75" t="n"/>
      <c r="AH101" s="75" t="n"/>
      <c r="AI101" s="75" t="n"/>
      <c r="AJ101" s="75" t="n"/>
      <c r="AK101" s="75" t="n"/>
      <c r="AL101" s="75" t="n"/>
      <c r="AM101" s="75" t="n"/>
      <c r="AN101" s="75" t="n"/>
      <c r="AO101" s="75" t="n"/>
      <c r="AP101" s="75" t="n"/>
      <c r="AQ101" s="75" t="n"/>
      <c r="AR101" s="75" t="n"/>
      <c r="AS101" s="75" t="n"/>
      <c r="AT101" s="75" t="n"/>
      <c r="AU101" s="75" t="n"/>
      <c r="AV101" s="75" t="n"/>
      <c r="AW101" s="75" t="n"/>
      <c r="AX101" s="75" t="n"/>
      <c r="AY101" s="75" t="n"/>
      <c r="AZ101" s="75" t="n"/>
      <c r="BA101" s="75" t="n"/>
      <c r="BB101" s="75" t="n"/>
      <c r="BC101" s="75" t="n"/>
      <c r="BD101" s="75" t="n"/>
      <c r="BE101" s="75" t="n"/>
    </row>
    <row r="102" ht="18" customHeight="1">
      <c r="A102" s="49">
        <f>IF('İş Planı'!$C102="","",'İş Planı'!$C102)</f>
        <v/>
      </c>
      <c r="B102" s="49">
        <f>IF('İş Planı'!$B102="","",'İş Planı'!$B102)</f>
        <v/>
      </c>
      <c r="C102" s="63">
        <f>IF('İş Planı'!$H102="","",'İş Planı'!$H102)</f>
        <v/>
      </c>
      <c r="D102" s="63">
        <f>IF('İş Planı'!$L102="","",'İş Planı'!$L102)</f>
        <v/>
      </c>
      <c r="E102" s="62">
        <f>IF('İş Planı'!$N102="","",'İş Planı'!$N102)</f>
        <v/>
      </c>
      <c r="F102" s="75" t="n"/>
      <c r="G102" s="75" t="n"/>
      <c r="H102" s="75" t="n"/>
      <c r="I102" s="75" t="n"/>
      <c r="J102" s="75" t="n"/>
      <c r="K102" s="75" t="n"/>
      <c r="L102" s="75" t="n"/>
      <c r="M102" s="75" t="n"/>
      <c r="N102" s="75" t="n"/>
      <c r="O102" s="75" t="n"/>
      <c r="P102" s="75" t="n"/>
      <c r="Q102" s="75" t="n"/>
      <c r="R102" s="75" t="n"/>
      <c r="S102" s="75" t="n"/>
      <c r="T102" s="75" t="n"/>
      <c r="U102" s="75" t="n"/>
      <c r="V102" s="75" t="n"/>
      <c r="W102" s="75" t="n"/>
      <c r="X102" s="75" t="n"/>
      <c r="Y102" s="75" t="n"/>
      <c r="Z102" s="75" t="n"/>
      <c r="AA102" s="75" t="n"/>
      <c r="AB102" s="75" t="n"/>
      <c r="AC102" s="75" t="n"/>
      <c r="AD102" s="75" t="n"/>
      <c r="AE102" s="75" t="n"/>
      <c r="AF102" s="75" t="n"/>
      <c r="AG102" s="75" t="n"/>
      <c r="AH102" s="75" t="n"/>
      <c r="AI102" s="75" t="n"/>
      <c r="AJ102" s="75" t="n"/>
      <c r="AK102" s="75" t="n"/>
      <c r="AL102" s="75" t="n"/>
      <c r="AM102" s="75" t="n"/>
      <c r="AN102" s="75" t="n"/>
      <c r="AO102" s="75" t="n"/>
      <c r="AP102" s="75" t="n"/>
      <c r="AQ102" s="75" t="n"/>
      <c r="AR102" s="75" t="n"/>
      <c r="AS102" s="75" t="n"/>
      <c r="AT102" s="75" t="n"/>
      <c r="AU102" s="75" t="n"/>
      <c r="AV102" s="75" t="n"/>
      <c r="AW102" s="75" t="n"/>
      <c r="AX102" s="75" t="n"/>
      <c r="AY102" s="75" t="n"/>
      <c r="AZ102" s="75" t="n"/>
      <c r="BA102" s="75" t="n"/>
      <c r="BB102" s="75" t="n"/>
      <c r="BC102" s="75" t="n"/>
      <c r="BD102" s="75" t="n"/>
      <c r="BE102" s="75" t="n"/>
    </row>
    <row r="103" ht="18" customHeight="1">
      <c r="A103" s="49">
        <f>IF('İş Planı'!$C103="","",'İş Planı'!$C103)</f>
        <v/>
      </c>
      <c r="B103" s="49">
        <f>IF('İş Planı'!$B103="","",'İş Planı'!$B103)</f>
        <v/>
      </c>
      <c r="C103" s="63">
        <f>IF('İş Planı'!$H103="","",'İş Planı'!$H103)</f>
        <v/>
      </c>
      <c r="D103" s="63">
        <f>IF('İş Planı'!$L103="","",'İş Planı'!$L103)</f>
        <v/>
      </c>
      <c r="E103" s="62">
        <f>IF('İş Planı'!$N103="","",'İş Planı'!$N103)</f>
        <v/>
      </c>
      <c r="F103" s="75" t="n"/>
      <c r="G103" s="75" t="n"/>
      <c r="H103" s="75" t="n"/>
      <c r="I103" s="75" t="n"/>
      <c r="J103" s="75" t="n"/>
      <c r="K103" s="75" t="n"/>
      <c r="L103" s="75" t="n"/>
      <c r="M103" s="75" t="n"/>
      <c r="N103" s="75" t="n"/>
      <c r="O103" s="75" t="n"/>
      <c r="P103" s="75" t="n"/>
      <c r="Q103" s="75" t="n"/>
      <c r="R103" s="75" t="n"/>
      <c r="S103" s="75" t="n"/>
      <c r="T103" s="75" t="n"/>
      <c r="U103" s="75" t="n"/>
      <c r="V103" s="75" t="n"/>
      <c r="W103" s="75" t="n"/>
      <c r="X103" s="75" t="n"/>
      <c r="Y103" s="75" t="n"/>
      <c r="Z103" s="75" t="n"/>
      <c r="AA103" s="75" t="n"/>
      <c r="AB103" s="75" t="n"/>
      <c r="AC103" s="75" t="n"/>
      <c r="AD103" s="75" t="n"/>
      <c r="AE103" s="75" t="n"/>
      <c r="AF103" s="75" t="n"/>
      <c r="AG103" s="75" t="n"/>
      <c r="AH103" s="75" t="n"/>
      <c r="AI103" s="75" t="n"/>
      <c r="AJ103" s="75" t="n"/>
      <c r="AK103" s="75" t="n"/>
      <c r="AL103" s="75" t="n"/>
      <c r="AM103" s="75" t="n"/>
      <c r="AN103" s="75" t="n"/>
      <c r="AO103" s="75" t="n"/>
      <c r="AP103" s="75" t="n"/>
      <c r="AQ103" s="75" t="n"/>
      <c r="AR103" s="75" t="n"/>
      <c r="AS103" s="75" t="n"/>
      <c r="AT103" s="75" t="n"/>
      <c r="AU103" s="75" t="n"/>
      <c r="AV103" s="75" t="n"/>
      <c r="AW103" s="75" t="n"/>
      <c r="AX103" s="75" t="n"/>
      <c r="AY103" s="75" t="n"/>
      <c r="AZ103" s="75" t="n"/>
      <c r="BA103" s="75" t="n"/>
      <c r="BB103" s="75" t="n"/>
      <c r="BC103" s="75" t="n"/>
      <c r="BD103" s="75" t="n"/>
      <c r="BE103" s="75" t="n"/>
    </row>
    <row r="104" ht="18" customHeight="1">
      <c r="A104" s="49">
        <f>IF('İş Planı'!$C104="","",'İş Planı'!$C104)</f>
        <v/>
      </c>
      <c r="B104" s="49">
        <f>IF('İş Planı'!$B104="","",'İş Planı'!$B104)</f>
        <v/>
      </c>
      <c r="C104" s="63">
        <f>IF('İş Planı'!$H104="","",'İş Planı'!$H104)</f>
        <v/>
      </c>
      <c r="D104" s="63">
        <f>IF('İş Planı'!$L104="","",'İş Planı'!$L104)</f>
        <v/>
      </c>
      <c r="E104" s="62">
        <f>IF('İş Planı'!$N104="","",'İş Planı'!$N104)</f>
        <v/>
      </c>
      <c r="F104" s="75" t="n"/>
      <c r="G104" s="75" t="n"/>
      <c r="H104" s="75" t="n"/>
      <c r="I104" s="75" t="n"/>
      <c r="J104" s="75" t="n"/>
      <c r="K104" s="75" t="n"/>
      <c r="L104" s="75" t="n"/>
      <c r="M104" s="75" t="n"/>
      <c r="N104" s="75" t="n"/>
      <c r="O104" s="75" t="n"/>
      <c r="P104" s="75" t="n"/>
      <c r="Q104" s="75" t="n"/>
      <c r="R104" s="75" t="n"/>
      <c r="S104" s="75" t="n"/>
      <c r="T104" s="75" t="n"/>
      <c r="U104" s="75" t="n"/>
      <c r="V104" s="75" t="n"/>
      <c r="W104" s="75" t="n"/>
      <c r="X104" s="75" t="n"/>
      <c r="Y104" s="75" t="n"/>
      <c r="Z104" s="75" t="n"/>
      <c r="AA104" s="75" t="n"/>
      <c r="AB104" s="75" t="n"/>
      <c r="AC104" s="75" t="n"/>
      <c r="AD104" s="75" t="n"/>
      <c r="AE104" s="75" t="n"/>
      <c r="AF104" s="75" t="n"/>
      <c r="AG104" s="75" t="n"/>
      <c r="AH104" s="75" t="n"/>
      <c r="AI104" s="75" t="n"/>
      <c r="AJ104" s="75" t="n"/>
      <c r="AK104" s="75" t="n"/>
      <c r="AL104" s="75" t="n"/>
      <c r="AM104" s="75" t="n"/>
      <c r="AN104" s="75" t="n"/>
      <c r="AO104" s="75" t="n"/>
      <c r="AP104" s="75" t="n"/>
      <c r="AQ104" s="75" t="n"/>
      <c r="AR104" s="75" t="n"/>
      <c r="AS104" s="75" t="n"/>
      <c r="AT104" s="75" t="n"/>
      <c r="AU104" s="75" t="n"/>
      <c r="AV104" s="75" t="n"/>
      <c r="AW104" s="75" t="n"/>
      <c r="AX104" s="75" t="n"/>
      <c r="AY104" s="75" t="n"/>
      <c r="AZ104" s="75" t="n"/>
      <c r="BA104" s="75" t="n"/>
      <c r="BB104" s="75" t="n"/>
      <c r="BC104" s="75" t="n"/>
      <c r="BD104" s="75" t="n"/>
      <c r="BE104" s="75" t="n"/>
    </row>
    <row r="105" ht="18" customHeight="1">
      <c r="A105" s="49">
        <f>IF('İş Planı'!$C105="","",'İş Planı'!$C105)</f>
        <v/>
      </c>
      <c r="B105" s="49">
        <f>IF('İş Planı'!$B105="","",'İş Planı'!$B105)</f>
        <v/>
      </c>
      <c r="C105" s="63">
        <f>IF('İş Planı'!$H105="","",'İş Planı'!$H105)</f>
        <v/>
      </c>
      <c r="D105" s="63">
        <f>IF('İş Planı'!$L105="","",'İş Planı'!$L105)</f>
        <v/>
      </c>
      <c r="E105" s="62">
        <f>IF('İş Planı'!$N105="","",'İş Planı'!$N105)</f>
        <v/>
      </c>
      <c r="F105" s="75" t="n"/>
      <c r="G105" s="75" t="n"/>
      <c r="H105" s="75" t="n"/>
      <c r="I105" s="75" t="n"/>
      <c r="J105" s="75" t="n"/>
      <c r="K105" s="75" t="n"/>
      <c r="L105" s="75" t="n"/>
      <c r="M105" s="75" t="n"/>
      <c r="N105" s="75" t="n"/>
      <c r="O105" s="75" t="n"/>
      <c r="P105" s="75" t="n"/>
      <c r="Q105" s="75" t="n"/>
      <c r="R105" s="75" t="n"/>
      <c r="S105" s="75" t="n"/>
      <c r="T105" s="75" t="n"/>
      <c r="U105" s="75" t="n"/>
      <c r="V105" s="75" t="n"/>
      <c r="W105" s="75" t="n"/>
      <c r="X105" s="75" t="n"/>
      <c r="Y105" s="75" t="n"/>
      <c r="Z105" s="75" t="n"/>
      <c r="AA105" s="75" t="n"/>
      <c r="AB105" s="75" t="n"/>
      <c r="AC105" s="75" t="n"/>
      <c r="AD105" s="75" t="n"/>
      <c r="AE105" s="75" t="n"/>
      <c r="AF105" s="75" t="n"/>
      <c r="AG105" s="75" t="n"/>
      <c r="AH105" s="75" t="n"/>
      <c r="AI105" s="75" t="n"/>
      <c r="AJ105" s="75" t="n"/>
      <c r="AK105" s="75" t="n"/>
      <c r="AL105" s="75" t="n"/>
      <c r="AM105" s="75" t="n"/>
      <c r="AN105" s="75" t="n"/>
      <c r="AO105" s="75" t="n"/>
      <c r="AP105" s="75" t="n"/>
      <c r="AQ105" s="75" t="n"/>
      <c r="AR105" s="75" t="n"/>
      <c r="AS105" s="75" t="n"/>
      <c r="AT105" s="75" t="n"/>
      <c r="AU105" s="75" t="n"/>
      <c r="AV105" s="75" t="n"/>
      <c r="AW105" s="75" t="n"/>
      <c r="AX105" s="75" t="n"/>
      <c r="AY105" s="75" t="n"/>
      <c r="AZ105" s="75" t="n"/>
      <c r="BA105" s="75" t="n"/>
      <c r="BB105" s="75" t="n"/>
      <c r="BC105" s="75" t="n"/>
      <c r="BD105" s="75" t="n"/>
      <c r="BE105" s="75" t="n"/>
    </row>
    <row r="106" ht="18" customHeight="1">
      <c r="A106" s="49">
        <f>IF('İş Planı'!$C106="","",'İş Planı'!$C106)</f>
        <v/>
      </c>
      <c r="B106" s="49">
        <f>IF('İş Planı'!$B106="","",'İş Planı'!$B106)</f>
        <v/>
      </c>
      <c r="C106" s="63">
        <f>IF('İş Planı'!$H106="","",'İş Planı'!$H106)</f>
        <v/>
      </c>
      <c r="D106" s="63">
        <f>IF('İş Planı'!$L106="","",'İş Planı'!$L106)</f>
        <v/>
      </c>
      <c r="E106" s="62">
        <f>IF('İş Planı'!$N106="","",'İş Planı'!$N106)</f>
        <v/>
      </c>
      <c r="F106" s="75" t="n"/>
      <c r="G106" s="75" t="n"/>
      <c r="H106" s="75" t="n"/>
      <c r="I106" s="75" t="n"/>
      <c r="J106" s="75" t="n"/>
      <c r="K106" s="75" t="n"/>
      <c r="L106" s="75" t="n"/>
      <c r="M106" s="75" t="n"/>
      <c r="N106" s="75" t="n"/>
      <c r="O106" s="75" t="n"/>
      <c r="P106" s="75" t="n"/>
      <c r="Q106" s="75" t="n"/>
      <c r="R106" s="75" t="n"/>
      <c r="S106" s="75" t="n"/>
      <c r="T106" s="75" t="n"/>
      <c r="U106" s="75" t="n"/>
      <c r="V106" s="75" t="n"/>
      <c r="W106" s="75" t="n"/>
      <c r="X106" s="75" t="n"/>
      <c r="Y106" s="75" t="n"/>
      <c r="Z106" s="75" t="n"/>
      <c r="AA106" s="75" t="n"/>
      <c r="AB106" s="75" t="n"/>
      <c r="AC106" s="75" t="n"/>
      <c r="AD106" s="75" t="n"/>
      <c r="AE106" s="75" t="n"/>
      <c r="AF106" s="75" t="n"/>
      <c r="AG106" s="75" t="n"/>
      <c r="AH106" s="75" t="n"/>
      <c r="AI106" s="75" t="n"/>
      <c r="AJ106" s="75" t="n"/>
      <c r="AK106" s="75" t="n"/>
      <c r="AL106" s="75" t="n"/>
      <c r="AM106" s="75" t="n"/>
      <c r="AN106" s="75" t="n"/>
      <c r="AO106" s="75" t="n"/>
      <c r="AP106" s="75" t="n"/>
      <c r="AQ106" s="75" t="n"/>
      <c r="AR106" s="75" t="n"/>
      <c r="AS106" s="75" t="n"/>
      <c r="AT106" s="75" t="n"/>
      <c r="AU106" s="75" t="n"/>
      <c r="AV106" s="75" t="n"/>
      <c r="AW106" s="75" t="n"/>
      <c r="AX106" s="75" t="n"/>
      <c r="AY106" s="75" t="n"/>
      <c r="AZ106" s="75" t="n"/>
      <c r="BA106" s="75" t="n"/>
      <c r="BB106" s="75" t="n"/>
      <c r="BC106" s="75" t="n"/>
      <c r="BD106" s="75" t="n"/>
      <c r="BE106" s="75" t="n"/>
    </row>
    <row r="107" ht="18" customHeight="1">
      <c r="A107" s="49">
        <f>IF('İş Planı'!$C107="","",'İş Planı'!$C107)</f>
        <v/>
      </c>
      <c r="B107" s="49">
        <f>IF('İş Planı'!$B107="","",'İş Planı'!$B107)</f>
        <v/>
      </c>
      <c r="C107" s="63">
        <f>IF('İş Planı'!$H107="","",'İş Planı'!$H107)</f>
        <v/>
      </c>
      <c r="D107" s="63">
        <f>IF('İş Planı'!$L107="","",'İş Planı'!$L107)</f>
        <v/>
      </c>
      <c r="E107" s="62">
        <f>IF('İş Planı'!$N107="","",'İş Planı'!$N107)</f>
        <v/>
      </c>
      <c r="F107" s="75" t="n"/>
      <c r="G107" s="75" t="n"/>
      <c r="H107" s="75" t="n"/>
      <c r="I107" s="75" t="n"/>
      <c r="J107" s="75" t="n"/>
      <c r="K107" s="75" t="n"/>
      <c r="L107" s="75" t="n"/>
      <c r="M107" s="75" t="n"/>
      <c r="N107" s="75" t="n"/>
      <c r="O107" s="75" t="n"/>
      <c r="P107" s="75" t="n"/>
      <c r="Q107" s="75" t="n"/>
      <c r="R107" s="75" t="n"/>
      <c r="S107" s="75" t="n"/>
      <c r="T107" s="75" t="n"/>
      <c r="U107" s="75" t="n"/>
      <c r="V107" s="75" t="n"/>
      <c r="W107" s="75" t="n"/>
      <c r="X107" s="75" t="n"/>
      <c r="Y107" s="75" t="n"/>
      <c r="Z107" s="75" t="n"/>
      <c r="AA107" s="75" t="n"/>
      <c r="AB107" s="75" t="n"/>
      <c r="AC107" s="75" t="n"/>
      <c r="AD107" s="75" t="n"/>
      <c r="AE107" s="75" t="n"/>
      <c r="AF107" s="75" t="n"/>
      <c r="AG107" s="75" t="n"/>
      <c r="AH107" s="75" t="n"/>
      <c r="AI107" s="75" t="n"/>
      <c r="AJ107" s="75" t="n"/>
      <c r="AK107" s="75" t="n"/>
      <c r="AL107" s="75" t="n"/>
      <c r="AM107" s="75" t="n"/>
      <c r="AN107" s="75" t="n"/>
      <c r="AO107" s="75" t="n"/>
      <c r="AP107" s="75" t="n"/>
      <c r="AQ107" s="75" t="n"/>
      <c r="AR107" s="75" t="n"/>
      <c r="AS107" s="75" t="n"/>
      <c r="AT107" s="75" t="n"/>
      <c r="AU107" s="75" t="n"/>
      <c r="AV107" s="75" t="n"/>
      <c r="AW107" s="75" t="n"/>
      <c r="AX107" s="75" t="n"/>
      <c r="AY107" s="75" t="n"/>
      <c r="AZ107" s="75" t="n"/>
      <c r="BA107" s="75" t="n"/>
      <c r="BB107" s="75" t="n"/>
      <c r="BC107" s="75" t="n"/>
      <c r="BD107" s="75" t="n"/>
      <c r="BE107" s="75" t="n"/>
    </row>
    <row r="108" ht="18" customHeight="1">
      <c r="A108" s="49">
        <f>IF('İş Planı'!$C108="","",'İş Planı'!$C108)</f>
        <v/>
      </c>
      <c r="B108" s="49">
        <f>IF('İş Planı'!$B108="","",'İş Planı'!$B108)</f>
        <v/>
      </c>
      <c r="C108" s="63">
        <f>IF('İş Planı'!$H108="","",'İş Planı'!$H108)</f>
        <v/>
      </c>
      <c r="D108" s="63">
        <f>IF('İş Planı'!$L108="","",'İş Planı'!$L108)</f>
        <v/>
      </c>
      <c r="E108" s="62">
        <f>IF('İş Planı'!$N108="","",'İş Planı'!$N108)</f>
        <v/>
      </c>
      <c r="F108" s="75" t="n"/>
      <c r="G108" s="75" t="n"/>
      <c r="H108" s="75" t="n"/>
      <c r="I108" s="75" t="n"/>
      <c r="J108" s="75" t="n"/>
      <c r="K108" s="75" t="n"/>
      <c r="L108" s="75" t="n"/>
      <c r="M108" s="75" t="n"/>
      <c r="N108" s="75" t="n"/>
      <c r="O108" s="75" t="n"/>
      <c r="P108" s="75" t="n"/>
      <c r="Q108" s="75" t="n"/>
      <c r="R108" s="75" t="n"/>
      <c r="S108" s="75" t="n"/>
      <c r="T108" s="75" t="n"/>
      <c r="U108" s="75" t="n"/>
      <c r="V108" s="75" t="n"/>
      <c r="W108" s="75" t="n"/>
      <c r="X108" s="75" t="n"/>
      <c r="Y108" s="75" t="n"/>
      <c r="Z108" s="75" t="n"/>
      <c r="AA108" s="75" t="n"/>
      <c r="AB108" s="75" t="n"/>
      <c r="AC108" s="75" t="n"/>
      <c r="AD108" s="75" t="n"/>
      <c r="AE108" s="75" t="n"/>
      <c r="AF108" s="75" t="n"/>
      <c r="AG108" s="75" t="n"/>
      <c r="AH108" s="75" t="n"/>
      <c r="AI108" s="75" t="n"/>
      <c r="AJ108" s="75" t="n"/>
      <c r="AK108" s="75" t="n"/>
      <c r="AL108" s="75" t="n"/>
      <c r="AM108" s="75" t="n"/>
      <c r="AN108" s="75" t="n"/>
      <c r="AO108" s="75" t="n"/>
      <c r="AP108" s="75" t="n"/>
      <c r="AQ108" s="75" t="n"/>
      <c r="AR108" s="75" t="n"/>
      <c r="AS108" s="75" t="n"/>
      <c r="AT108" s="75" t="n"/>
      <c r="AU108" s="75" t="n"/>
      <c r="AV108" s="75" t="n"/>
      <c r="AW108" s="75" t="n"/>
      <c r="AX108" s="75" t="n"/>
      <c r="AY108" s="75" t="n"/>
      <c r="AZ108" s="75" t="n"/>
      <c r="BA108" s="75" t="n"/>
      <c r="BB108" s="75" t="n"/>
      <c r="BC108" s="75" t="n"/>
      <c r="BD108" s="75" t="n"/>
      <c r="BE108" s="75" t="n"/>
    </row>
    <row r="109" ht="18" customHeight="1">
      <c r="A109" s="49">
        <f>IF('İş Planı'!$C109="","",'İş Planı'!$C109)</f>
        <v/>
      </c>
      <c r="B109" s="49">
        <f>IF('İş Planı'!$B109="","",'İş Planı'!$B109)</f>
        <v/>
      </c>
      <c r="C109" s="63">
        <f>IF('İş Planı'!$H109="","",'İş Planı'!$H109)</f>
        <v/>
      </c>
      <c r="D109" s="63">
        <f>IF('İş Planı'!$L109="","",'İş Planı'!$L109)</f>
        <v/>
      </c>
      <c r="E109" s="62">
        <f>IF('İş Planı'!$N109="","",'İş Planı'!$N109)</f>
        <v/>
      </c>
      <c r="F109" s="75" t="n"/>
      <c r="G109" s="75" t="n"/>
      <c r="H109" s="75" t="n"/>
      <c r="I109" s="75" t="n"/>
      <c r="J109" s="75" t="n"/>
      <c r="K109" s="75" t="n"/>
      <c r="L109" s="75" t="n"/>
      <c r="M109" s="75" t="n"/>
      <c r="N109" s="75" t="n"/>
      <c r="O109" s="75" t="n"/>
      <c r="P109" s="75" t="n"/>
      <c r="Q109" s="75" t="n"/>
      <c r="R109" s="75" t="n"/>
      <c r="S109" s="75" t="n"/>
      <c r="T109" s="75" t="n"/>
      <c r="U109" s="75" t="n"/>
      <c r="V109" s="75" t="n"/>
      <c r="W109" s="75" t="n"/>
      <c r="X109" s="75" t="n"/>
      <c r="Y109" s="75" t="n"/>
      <c r="Z109" s="75" t="n"/>
      <c r="AA109" s="75" t="n"/>
      <c r="AB109" s="75" t="n"/>
      <c r="AC109" s="75" t="n"/>
      <c r="AD109" s="75" t="n"/>
      <c r="AE109" s="75" t="n"/>
      <c r="AF109" s="75" t="n"/>
      <c r="AG109" s="75" t="n"/>
      <c r="AH109" s="75" t="n"/>
      <c r="AI109" s="75" t="n"/>
      <c r="AJ109" s="75" t="n"/>
      <c r="AK109" s="75" t="n"/>
      <c r="AL109" s="75" t="n"/>
      <c r="AM109" s="75" t="n"/>
      <c r="AN109" s="75" t="n"/>
      <c r="AO109" s="75" t="n"/>
      <c r="AP109" s="75" t="n"/>
      <c r="AQ109" s="75" t="n"/>
      <c r="AR109" s="75" t="n"/>
      <c r="AS109" s="75" t="n"/>
      <c r="AT109" s="75" t="n"/>
      <c r="AU109" s="75" t="n"/>
      <c r="AV109" s="75" t="n"/>
      <c r="AW109" s="75" t="n"/>
      <c r="AX109" s="75" t="n"/>
      <c r="AY109" s="75" t="n"/>
      <c r="AZ109" s="75" t="n"/>
      <c r="BA109" s="75" t="n"/>
      <c r="BB109" s="75" t="n"/>
      <c r="BC109" s="75" t="n"/>
      <c r="BD109" s="75" t="n"/>
      <c r="BE109" s="75" t="n"/>
    </row>
    <row r="110" ht="18" customHeight="1">
      <c r="A110" s="49">
        <f>IF('İş Planı'!$C110="","",'İş Planı'!$C110)</f>
        <v/>
      </c>
      <c r="B110" s="49">
        <f>IF('İş Planı'!$B110="","",'İş Planı'!$B110)</f>
        <v/>
      </c>
      <c r="C110" s="63">
        <f>IF('İş Planı'!$H110="","",'İş Planı'!$H110)</f>
        <v/>
      </c>
      <c r="D110" s="63">
        <f>IF('İş Planı'!$L110="","",'İş Planı'!$L110)</f>
        <v/>
      </c>
      <c r="E110" s="62">
        <f>IF('İş Planı'!$N110="","",'İş Planı'!$N110)</f>
        <v/>
      </c>
      <c r="F110" s="75" t="n"/>
      <c r="G110" s="75" t="n"/>
      <c r="H110" s="75" t="n"/>
      <c r="I110" s="75" t="n"/>
      <c r="J110" s="75" t="n"/>
      <c r="K110" s="75" t="n"/>
      <c r="L110" s="75" t="n"/>
      <c r="M110" s="75" t="n"/>
      <c r="N110" s="75" t="n"/>
      <c r="O110" s="75" t="n"/>
      <c r="P110" s="75" t="n"/>
      <c r="Q110" s="75" t="n"/>
      <c r="R110" s="75" t="n"/>
      <c r="S110" s="75" t="n"/>
      <c r="T110" s="75" t="n"/>
      <c r="U110" s="75" t="n"/>
      <c r="V110" s="75" t="n"/>
      <c r="W110" s="75" t="n"/>
      <c r="X110" s="75" t="n"/>
      <c r="Y110" s="75" t="n"/>
      <c r="Z110" s="75" t="n"/>
      <c r="AA110" s="75" t="n"/>
      <c r="AB110" s="75" t="n"/>
      <c r="AC110" s="75" t="n"/>
      <c r="AD110" s="75" t="n"/>
      <c r="AE110" s="75" t="n"/>
      <c r="AF110" s="75" t="n"/>
      <c r="AG110" s="75" t="n"/>
      <c r="AH110" s="75" t="n"/>
      <c r="AI110" s="75" t="n"/>
      <c r="AJ110" s="75" t="n"/>
      <c r="AK110" s="75" t="n"/>
      <c r="AL110" s="75" t="n"/>
      <c r="AM110" s="75" t="n"/>
      <c r="AN110" s="75" t="n"/>
      <c r="AO110" s="75" t="n"/>
      <c r="AP110" s="75" t="n"/>
      <c r="AQ110" s="75" t="n"/>
      <c r="AR110" s="75" t="n"/>
      <c r="AS110" s="75" t="n"/>
      <c r="AT110" s="75" t="n"/>
      <c r="AU110" s="75" t="n"/>
      <c r="AV110" s="75" t="n"/>
      <c r="AW110" s="75" t="n"/>
      <c r="AX110" s="75" t="n"/>
      <c r="AY110" s="75" t="n"/>
      <c r="AZ110" s="75" t="n"/>
      <c r="BA110" s="75" t="n"/>
      <c r="BB110" s="75" t="n"/>
      <c r="BC110" s="75" t="n"/>
      <c r="BD110" s="75" t="n"/>
      <c r="BE110" s="75" t="n"/>
    </row>
    <row r="111" ht="18" customHeight="1">
      <c r="A111" s="49">
        <f>IF('İş Planı'!$C111="","",'İş Planı'!$C111)</f>
        <v/>
      </c>
      <c r="B111" s="49">
        <f>IF('İş Planı'!$B111="","",'İş Planı'!$B111)</f>
        <v/>
      </c>
      <c r="C111" s="63">
        <f>IF('İş Planı'!$H111="","",'İş Planı'!$H111)</f>
        <v/>
      </c>
      <c r="D111" s="63">
        <f>IF('İş Planı'!$L111="","",'İş Planı'!$L111)</f>
        <v/>
      </c>
      <c r="E111" s="62">
        <f>IF('İş Planı'!$N111="","",'İş Planı'!$N111)</f>
        <v/>
      </c>
      <c r="F111" s="75" t="n"/>
      <c r="G111" s="75" t="n"/>
      <c r="H111" s="75" t="n"/>
      <c r="I111" s="75" t="n"/>
      <c r="J111" s="75" t="n"/>
      <c r="K111" s="75" t="n"/>
      <c r="L111" s="75" t="n"/>
      <c r="M111" s="75" t="n"/>
      <c r="N111" s="75" t="n"/>
      <c r="O111" s="75" t="n"/>
      <c r="P111" s="75" t="n"/>
      <c r="Q111" s="75" t="n"/>
      <c r="R111" s="75" t="n"/>
      <c r="S111" s="75" t="n"/>
      <c r="T111" s="75" t="n"/>
      <c r="U111" s="75" t="n"/>
      <c r="V111" s="75" t="n"/>
      <c r="W111" s="75" t="n"/>
      <c r="X111" s="75" t="n"/>
      <c r="Y111" s="75" t="n"/>
      <c r="Z111" s="75" t="n"/>
      <c r="AA111" s="75" t="n"/>
      <c r="AB111" s="75" t="n"/>
      <c r="AC111" s="75" t="n"/>
      <c r="AD111" s="75" t="n"/>
      <c r="AE111" s="75" t="n"/>
      <c r="AF111" s="75" t="n"/>
      <c r="AG111" s="75" t="n"/>
      <c r="AH111" s="75" t="n"/>
      <c r="AI111" s="75" t="n"/>
      <c r="AJ111" s="75" t="n"/>
      <c r="AK111" s="75" t="n"/>
      <c r="AL111" s="75" t="n"/>
      <c r="AM111" s="75" t="n"/>
      <c r="AN111" s="75" t="n"/>
      <c r="AO111" s="75" t="n"/>
      <c r="AP111" s="75" t="n"/>
      <c r="AQ111" s="75" t="n"/>
      <c r="AR111" s="75" t="n"/>
      <c r="AS111" s="75" t="n"/>
      <c r="AT111" s="75" t="n"/>
      <c r="AU111" s="75" t="n"/>
      <c r="AV111" s="75" t="n"/>
      <c r="AW111" s="75" t="n"/>
      <c r="AX111" s="75" t="n"/>
      <c r="AY111" s="75" t="n"/>
      <c r="AZ111" s="75" t="n"/>
      <c r="BA111" s="75" t="n"/>
      <c r="BB111" s="75" t="n"/>
      <c r="BC111" s="75" t="n"/>
      <c r="BD111" s="75" t="n"/>
      <c r="BE111" s="75" t="n"/>
    </row>
    <row r="112" ht="18" customHeight="1">
      <c r="A112" s="49">
        <f>IF('İş Planı'!$C112="","",'İş Planı'!$C112)</f>
        <v/>
      </c>
      <c r="B112" s="49">
        <f>IF('İş Planı'!$B112="","",'İş Planı'!$B112)</f>
        <v/>
      </c>
      <c r="C112" s="63">
        <f>IF('İş Planı'!$H112="","",'İş Planı'!$H112)</f>
        <v/>
      </c>
      <c r="D112" s="63">
        <f>IF('İş Planı'!$L112="","",'İş Planı'!$L112)</f>
        <v/>
      </c>
      <c r="E112" s="62">
        <f>IF('İş Planı'!$N112="","",'İş Planı'!$N112)</f>
        <v/>
      </c>
      <c r="F112" s="75" t="n"/>
      <c r="G112" s="75" t="n"/>
      <c r="H112" s="75" t="n"/>
      <c r="I112" s="75" t="n"/>
      <c r="J112" s="75" t="n"/>
      <c r="K112" s="75" t="n"/>
      <c r="L112" s="75" t="n"/>
      <c r="M112" s="75" t="n"/>
      <c r="N112" s="75" t="n"/>
      <c r="O112" s="75" t="n"/>
      <c r="P112" s="75" t="n"/>
      <c r="Q112" s="75" t="n"/>
      <c r="R112" s="75" t="n"/>
      <c r="S112" s="75" t="n"/>
      <c r="T112" s="75" t="n"/>
      <c r="U112" s="75" t="n"/>
      <c r="V112" s="75" t="n"/>
      <c r="W112" s="75" t="n"/>
      <c r="X112" s="75" t="n"/>
      <c r="Y112" s="75" t="n"/>
      <c r="Z112" s="75" t="n"/>
      <c r="AA112" s="75" t="n"/>
      <c r="AB112" s="75" t="n"/>
      <c r="AC112" s="75" t="n"/>
      <c r="AD112" s="75" t="n"/>
      <c r="AE112" s="75" t="n"/>
      <c r="AF112" s="75" t="n"/>
      <c r="AG112" s="75" t="n"/>
      <c r="AH112" s="75" t="n"/>
      <c r="AI112" s="75" t="n"/>
      <c r="AJ112" s="75" t="n"/>
      <c r="AK112" s="75" t="n"/>
      <c r="AL112" s="75" t="n"/>
      <c r="AM112" s="75" t="n"/>
      <c r="AN112" s="75" t="n"/>
      <c r="AO112" s="75" t="n"/>
      <c r="AP112" s="75" t="n"/>
      <c r="AQ112" s="75" t="n"/>
      <c r="AR112" s="75" t="n"/>
      <c r="AS112" s="75" t="n"/>
      <c r="AT112" s="75" t="n"/>
      <c r="AU112" s="75" t="n"/>
      <c r="AV112" s="75" t="n"/>
      <c r="AW112" s="75" t="n"/>
      <c r="AX112" s="75" t="n"/>
      <c r="AY112" s="75" t="n"/>
      <c r="AZ112" s="75" t="n"/>
      <c r="BA112" s="75" t="n"/>
      <c r="BB112" s="75" t="n"/>
      <c r="BC112" s="75" t="n"/>
      <c r="BD112" s="75" t="n"/>
      <c r="BE112" s="75" t="n"/>
    </row>
    <row r="113" ht="18" customHeight="1">
      <c r="A113" s="49">
        <f>IF('İş Planı'!$C113="","",'İş Planı'!$C113)</f>
        <v/>
      </c>
      <c r="B113" s="49">
        <f>IF('İş Planı'!$B113="","",'İş Planı'!$B113)</f>
        <v/>
      </c>
      <c r="C113" s="63">
        <f>IF('İş Planı'!$H113="","",'İş Planı'!$H113)</f>
        <v/>
      </c>
      <c r="D113" s="63">
        <f>IF('İş Planı'!$L113="","",'İş Planı'!$L113)</f>
        <v/>
      </c>
      <c r="E113" s="62">
        <f>IF('İş Planı'!$N113="","",'İş Planı'!$N113)</f>
        <v/>
      </c>
      <c r="F113" s="75" t="n"/>
      <c r="G113" s="75" t="n"/>
      <c r="H113" s="75" t="n"/>
      <c r="I113" s="75" t="n"/>
      <c r="J113" s="75" t="n"/>
      <c r="K113" s="75" t="n"/>
      <c r="L113" s="75" t="n"/>
      <c r="M113" s="75" t="n"/>
      <c r="N113" s="75" t="n"/>
      <c r="O113" s="75" t="n"/>
      <c r="P113" s="75" t="n"/>
      <c r="Q113" s="75" t="n"/>
      <c r="R113" s="75" t="n"/>
      <c r="S113" s="75" t="n"/>
      <c r="T113" s="75" t="n"/>
      <c r="U113" s="75" t="n"/>
      <c r="V113" s="75" t="n"/>
      <c r="W113" s="75" t="n"/>
      <c r="X113" s="75" t="n"/>
      <c r="Y113" s="75" t="n"/>
      <c r="Z113" s="75" t="n"/>
      <c r="AA113" s="75" t="n"/>
      <c r="AB113" s="75" t="n"/>
      <c r="AC113" s="75" t="n"/>
      <c r="AD113" s="75" t="n"/>
      <c r="AE113" s="75" t="n"/>
      <c r="AF113" s="75" t="n"/>
      <c r="AG113" s="75" t="n"/>
      <c r="AH113" s="75" t="n"/>
      <c r="AI113" s="75" t="n"/>
      <c r="AJ113" s="75" t="n"/>
      <c r="AK113" s="75" t="n"/>
      <c r="AL113" s="75" t="n"/>
      <c r="AM113" s="75" t="n"/>
      <c r="AN113" s="75" t="n"/>
      <c r="AO113" s="75" t="n"/>
      <c r="AP113" s="75" t="n"/>
      <c r="AQ113" s="75" t="n"/>
      <c r="AR113" s="75" t="n"/>
      <c r="AS113" s="75" t="n"/>
      <c r="AT113" s="75" t="n"/>
      <c r="AU113" s="75" t="n"/>
      <c r="AV113" s="75" t="n"/>
      <c r="AW113" s="75" t="n"/>
      <c r="AX113" s="75" t="n"/>
      <c r="AY113" s="75" t="n"/>
      <c r="AZ113" s="75" t="n"/>
      <c r="BA113" s="75" t="n"/>
      <c r="BB113" s="75" t="n"/>
      <c r="BC113" s="75" t="n"/>
      <c r="BD113" s="75" t="n"/>
      <c r="BE113" s="75" t="n"/>
    </row>
    <row r="114" ht="18" customHeight="1">
      <c r="A114" s="49">
        <f>IF('İş Planı'!$C114="","",'İş Planı'!$C114)</f>
        <v/>
      </c>
      <c r="B114" s="49">
        <f>IF('İş Planı'!$B114="","",'İş Planı'!$B114)</f>
        <v/>
      </c>
      <c r="C114" s="63">
        <f>IF('İş Planı'!$H114="","",'İş Planı'!$H114)</f>
        <v/>
      </c>
      <c r="D114" s="63">
        <f>IF('İş Planı'!$L114="","",'İş Planı'!$L114)</f>
        <v/>
      </c>
      <c r="E114" s="62">
        <f>IF('İş Planı'!$N114="","",'İş Planı'!$N114)</f>
        <v/>
      </c>
      <c r="F114" s="75" t="n"/>
      <c r="G114" s="75" t="n"/>
      <c r="H114" s="75" t="n"/>
      <c r="I114" s="75" t="n"/>
      <c r="J114" s="75" t="n"/>
      <c r="K114" s="75" t="n"/>
      <c r="L114" s="75" t="n"/>
      <c r="M114" s="75" t="n"/>
      <c r="N114" s="75" t="n"/>
      <c r="O114" s="75" t="n"/>
      <c r="P114" s="75" t="n"/>
      <c r="Q114" s="75" t="n"/>
      <c r="R114" s="75" t="n"/>
      <c r="S114" s="75" t="n"/>
      <c r="T114" s="75" t="n"/>
      <c r="U114" s="75" t="n"/>
      <c r="V114" s="75" t="n"/>
      <c r="W114" s="75" t="n"/>
      <c r="X114" s="75" t="n"/>
      <c r="Y114" s="75" t="n"/>
      <c r="Z114" s="75" t="n"/>
      <c r="AA114" s="75" t="n"/>
      <c r="AB114" s="75" t="n"/>
      <c r="AC114" s="75" t="n"/>
      <c r="AD114" s="75" t="n"/>
      <c r="AE114" s="75" t="n"/>
      <c r="AF114" s="75" t="n"/>
      <c r="AG114" s="75" t="n"/>
      <c r="AH114" s="75" t="n"/>
      <c r="AI114" s="75" t="n"/>
      <c r="AJ114" s="75" t="n"/>
      <c r="AK114" s="75" t="n"/>
      <c r="AL114" s="75" t="n"/>
      <c r="AM114" s="75" t="n"/>
      <c r="AN114" s="75" t="n"/>
      <c r="AO114" s="75" t="n"/>
      <c r="AP114" s="75" t="n"/>
      <c r="AQ114" s="75" t="n"/>
      <c r="AR114" s="75" t="n"/>
      <c r="AS114" s="75" t="n"/>
      <c r="AT114" s="75" t="n"/>
      <c r="AU114" s="75" t="n"/>
      <c r="AV114" s="75" t="n"/>
      <c r="AW114" s="75" t="n"/>
      <c r="AX114" s="75" t="n"/>
      <c r="AY114" s="75" t="n"/>
      <c r="AZ114" s="75" t="n"/>
      <c r="BA114" s="75" t="n"/>
      <c r="BB114" s="75" t="n"/>
      <c r="BC114" s="75" t="n"/>
      <c r="BD114" s="75" t="n"/>
      <c r="BE114" s="75" t="n"/>
    </row>
    <row r="115" ht="18" customHeight="1">
      <c r="A115" s="49">
        <f>IF('İş Planı'!$C115="","",'İş Planı'!$C115)</f>
        <v/>
      </c>
      <c r="B115" s="49">
        <f>IF('İş Planı'!$B115="","",'İş Planı'!$B115)</f>
        <v/>
      </c>
      <c r="C115" s="63">
        <f>IF('İş Planı'!$H115="","",'İş Planı'!$H115)</f>
        <v/>
      </c>
      <c r="D115" s="63">
        <f>IF('İş Planı'!$L115="","",'İş Planı'!$L115)</f>
        <v/>
      </c>
      <c r="E115" s="62">
        <f>IF('İş Planı'!$N115="","",'İş Planı'!$N115)</f>
        <v/>
      </c>
      <c r="F115" s="75" t="n"/>
      <c r="G115" s="75" t="n"/>
      <c r="H115" s="75" t="n"/>
      <c r="I115" s="75" t="n"/>
      <c r="J115" s="75" t="n"/>
      <c r="K115" s="75" t="n"/>
      <c r="L115" s="75" t="n"/>
      <c r="M115" s="75" t="n"/>
      <c r="N115" s="75" t="n"/>
      <c r="O115" s="75" t="n"/>
      <c r="P115" s="75" t="n"/>
      <c r="Q115" s="75" t="n"/>
      <c r="R115" s="75" t="n"/>
      <c r="S115" s="75" t="n"/>
      <c r="T115" s="75" t="n"/>
      <c r="U115" s="75" t="n"/>
      <c r="V115" s="75" t="n"/>
      <c r="W115" s="75" t="n"/>
      <c r="X115" s="75" t="n"/>
      <c r="Y115" s="75" t="n"/>
      <c r="Z115" s="75" t="n"/>
      <c r="AA115" s="75" t="n"/>
      <c r="AB115" s="75" t="n"/>
      <c r="AC115" s="75" t="n"/>
      <c r="AD115" s="75" t="n"/>
      <c r="AE115" s="75" t="n"/>
      <c r="AF115" s="75" t="n"/>
      <c r="AG115" s="75" t="n"/>
      <c r="AH115" s="75" t="n"/>
      <c r="AI115" s="75" t="n"/>
      <c r="AJ115" s="75" t="n"/>
      <c r="AK115" s="75" t="n"/>
      <c r="AL115" s="75" t="n"/>
      <c r="AM115" s="75" t="n"/>
      <c r="AN115" s="75" t="n"/>
      <c r="AO115" s="75" t="n"/>
      <c r="AP115" s="75" t="n"/>
      <c r="AQ115" s="75" t="n"/>
      <c r="AR115" s="75" t="n"/>
      <c r="AS115" s="75" t="n"/>
      <c r="AT115" s="75" t="n"/>
      <c r="AU115" s="75" t="n"/>
      <c r="AV115" s="75" t="n"/>
      <c r="AW115" s="75" t="n"/>
      <c r="AX115" s="75" t="n"/>
      <c r="AY115" s="75" t="n"/>
      <c r="AZ115" s="75" t="n"/>
      <c r="BA115" s="75" t="n"/>
      <c r="BB115" s="75" t="n"/>
      <c r="BC115" s="75" t="n"/>
      <c r="BD115" s="75" t="n"/>
      <c r="BE115" s="75" t="n"/>
    </row>
    <row r="116" ht="18" customHeight="1">
      <c r="A116" s="49">
        <f>IF('İş Planı'!$C116="","",'İş Planı'!$C116)</f>
        <v/>
      </c>
      <c r="B116" s="49">
        <f>IF('İş Planı'!$B116="","",'İş Planı'!$B116)</f>
        <v/>
      </c>
      <c r="C116" s="63">
        <f>IF('İş Planı'!$H116="","",'İş Planı'!$H116)</f>
        <v/>
      </c>
      <c r="D116" s="63">
        <f>IF('İş Planı'!$L116="","",'İş Planı'!$L116)</f>
        <v/>
      </c>
      <c r="E116" s="62">
        <f>IF('İş Planı'!$N116="","",'İş Planı'!$N116)</f>
        <v/>
      </c>
      <c r="F116" s="75" t="n"/>
      <c r="G116" s="75" t="n"/>
      <c r="H116" s="75" t="n"/>
      <c r="I116" s="75" t="n"/>
      <c r="J116" s="75" t="n"/>
      <c r="K116" s="75" t="n"/>
      <c r="L116" s="75" t="n"/>
      <c r="M116" s="75" t="n"/>
      <c r="N116" s="75" t="n"/>
      <c r="O116" s="75" t="n"/>
      <c r="P116" s="75" t="n"/>
      <c r="Q116" s="75" t="n"/>
      <c r="R116" s="75" t="n"/>
      <c r="S116" s="75" t="n"/>
      <c r="T116" s="75" t="n"/>
      <c r="U116" s="75" t="n"/>
      <c r="V116" s="75" t="n"/>
      <c r="W116" s="75" t="n"/>
      <c r="X116" s="75" t="n"/>
      <c r="Y116" s="75" t="n"/>
      <c r="Z116" s="75" t="n"/>
      <c r="AA116" s="75" t="n"/>
      <c r="AB116" s="75" t="n"/>
      <c r="AC116" s="75" t="n"/>
      <c r="AD116" s="75" t="n"/>
      <c r="AE116" s="75" t="n"/>
      <c r="AF116" s="75" t="n"/>
      <c r="AG116" s="75" t="n"/>
      <c r="AH116" s="75" t="n"/>
      <c r="AI116" s="75" t="n"/>
      <c r="AJ116" s="75" t="n"/>
      <c r="AK116" s="75" t="n"/>
      <c r="AL116" s="75" t="n"/>
      <c r="AM116" s="75" t="n"/>
      <c r="AN116" s="75" t="n"/>
      <c r="AO116" s="75" t="n"/>
      <c r="AP116" s="75" t="n"/>
      <c r="AQ116" s="75" t="n"/>
      <c r="AR116" s="75" t="n"/>
      <c r="AS116" s="75" t="n"/>
      <c r="AT116" s="75" t="n"/>
      <c r="AU116" s="75" t="n"/>
      <c r="AV116" s="75" t="n"/>
      <c r="AW116" s="75" t="n"/>
      <c r="AX116" s="75" t="n"/>
      <c r="AY116" s="75" t="n"/>
      <c r="AZ116" s="75" t="n"/>
      <c r="BA116" s="75" t="n"/>
      <c r="BB116" s="75" t="n"/>
      <c r="BC116" s="75" t="n"/>
      <c r="BD116" s="75" t="n"/>
      <c r="BE116" s="75" t="n"/>
    </row>
    <row r="117" ht="18" customHeight="1">
      <c r="A117" s="49">
        <f>IF('İş Planı'!$C117="","",'İş Planı'!$C117)</f>
        <v/>
      </c>
      <c r="B117" s="49">
        <f>IF('İş Planı'!$B117="","",'İş Planı'!$B117)</f>
        <v/>
      </c>
      <c r="C117" s="63">
        <f>IF('İş Planı'!$H117="","",'İş Planı'!$H117)</f>
        <v/>
      </c>
      <c r="D117" s="63">
        <f>IF('İş Planı'!$L117="","",'İş Planı'!$L117)</f>
        <v/>
      </c>
      <c r="E117" s="62">
        <f>IF('İş Planı'!$N117="","",'İş Planı'!$N117)</f>
        <v/>
      </c>
      <c r="F117" s="75" t="n"/>
      <c r="G117" s="75" t="n"/>
      <c r="H117" s="75" t="n"/>
      <c r="I117" s="75" t="n"/>
      <c r="J117" s="75" t="n"/>
      <c r="K117" s="75" t="n"/>
      <c r="L117" s="75" t="n"/>
      <c r="M117" s="75" t="n"/>
      <c r="N117" s="75" t="n"/>
      <c r="O117" s="75" t="n"/>
      <c r="P117" s="75" t="n"/>
      <c r="Q117" s="75" t="n"/>
      <c r="R117" s="75" t="n"/>
      <c r="S117" s="75" t="n"/>
      <c r="T117" s="75" t="n"/>
      <c r="U117" s="75" t="n"/>
      <c r="V117" s="75" t="n"/>
      <c r="W117" s="75" t="n"/>
      <c r="X117" s="75" t="n"/>
      <c r="Y117" s="75" t="n"/>
      <c r="Z117" s="75" t="n"/>
      <c r="AA117" s="75" t="n"/>
      <c r="AB117" s="75" t="n"/>
      <c r="AC117" s="75" t="n"/>
      <c r="AD117" s="75" t="n"/>
      <c r="AE117" s="75" t="n"/>
      <c r="AF117" s="75" t="n"/>
      <c r="AG117" s="75" t="n"/>
      <c r="AH117" s="75" t="n"/>
      <c r="AI117" s="75" t="n"/>
      <c r="AJ117" s="75" t="n"/>
      <c r="AK117" s="75" t="n"/>
      <c r="AL117" s="75" t="n"/>
      <c r="AM117" s="75" t="n"/>
      <c r="AN117" s="75" t="n"/>
      <c r="AO117" s="75" t="n"/>
      <c r="AP117" s="75" t="n"/>
      <c r="AQ117" s="75" t="n"/>
      <c r="AR117" s="75" t="n"/>
      <c r="AS117" s="75" t="n"/>
      <c r="AT117" s="75" t="n"/>
      <c r="AU117" s="75" t="n"/>
      <c r="AV117" s="75" t="n"/>
      <c r="AW117" s="75" t="n"/>
      <c r="AX117" s="75" t="n"/>
      <c r="AY117" s="75" t="n"/>
      <c r="AZ117" s="75" t="n"/>
      <c r="BA117" s="75" t="n"/>
      <c r="BB117" s="75" t="n"/>
      <c r="BC117" s="75" t="n"/>
      <c r="BD117" s="75" t="n"/>
      <c r="BE117" s="75" t="n"/>
    </row>
    <row r="118" ht="18" customHeight="1">
      <c r="A118" s="49">
        <f>IF('İş Planı'!$C118="","",'İş Planı'!$C118)</f>
        <v/>
      </c>
      <c r="B118" s="49">
        <f>IF('İş Planı'!$B118="","",'İş Planı'!$B118)</f>
        <v/>
      </c>
      <c r="C118" s="63">
        <f>IF('İş Planı'!$H118="","",'İş Planı'!$H118)</f>
        <v/>
      </c>
      <c r="D118" s="63">
        <f>IF('İş Planı'!$L118="","",'İş Planı'!$L118)</f>
        <v/>
      </c>
      <c r="E118" s="62">
        <f>IF('İş Planı'!$N118="","",'İş Planı'!$N118)</f>
        <v/>
      </c>
      <c r="F118" s="75" t="n"/>
      <c r="G118" s="75" t="n"/>
      <c r="H118" s="75" t="n"/>
      <c r="I118" s="75" t="n"/>
      <c r="J118" s="75" t="n"/>
      <c r="K118" s="75" t="n"/>
      <c r="L118" s="75" t="n"/>
      <c r="M118" s="75" t="n"/>
      <c r="N118" s="75" t="n"/>
      <c r="O118" s="75" t="n"/>
      <c r="P118" s="75" t="n"/>
      <c r="Q118" s="75" t="n"/>
      <c r="R118" s="75" t="n"/>
      <c r="S118" s="75" t="n"/>
      <c r="T118" s="75" t="n"/>
      <c r="U118" s="75" t="n"/>
      <c r="V118" s="75" t="n"/>
      <c r="W118" s="75" t="n"/>
      <c r="X118" s="75" t="n"/>
      <c r="Y118" s="75" t="n"/>
      <c r="Z118" s="75" t="n"/>
      <c r="AA118" s="75" t="n"/>
      <c r="AB118" s="75" t="n"/>
      <c r="AC118" s="75" t="n"/>
      <c r="AD118" s="75" t="n"/>
      <c r="AE118" s="75" t="n"/>
      <c r="AF118" s="75" t="n"/>
      <c r="AG118" s="75" t="n"/>
      <c r="AH118" s="75" t="n"/>
      <c r="AI118" s="75" t="n"/>
      <c r="AJ118" s="75" t="n"/>
      <c r="AK118" s="75" t="n"/>
      <c r="AL118" s="75" t="n"/>
      <c r="AM118" s="75" t="n"/>
      <c r="AN118" s="75" t="n"/>
      <c r="AO118" s="75" t="n"/>
      <c r="AP118" s="75" t="n"/>
      <c r="AQ118" s="75" t="n"/>
      <c r="AR118" s="75" t="n"/>
      <c r="AS118" s="75" t="n"/>
      <c r="AT118" s="75" t="n"/>
      <c r="AU118" s="75" t="n"/>
      <c r="AV118" s="75" t="n"/>
      <c r="AW118" s="75" t="n"/>
      <c r="AX118" s="75" t="n"/>
      <c r="AY118" s="75" t="n"/>
      <c r="AZ118" s="75" t="n"/>
      <c r="BA118" s="75" t="n"/>
      <c r="BB118" s="75" t="n"/>
      <c r="BC118" s="75" t="n"/>
      <c r="BD118" s="75" t="n"/>
      <c r="BE118" s="75" t="n"/>
    </row>
    <row r="119" ht="18" customHeight="1">
      <c r="A119" s="49">
        <f>IF('İş Planı'!$C119="","",'İş Planı'!$C119)</f>
        <v/>
      </c>
      <c r="B119" s="49">
        <f>IF('İş Planı'!$B119="","",'İş Planı'!$B119)</f>
        <v/>
      </c>
      <c r="C119" s="63">
        <f>IF('İş Planı'!$H119="","",'İş Planı'!$H119)</f>
        <v/>
      </c>
      <c r="D119" s="63">
        <f>IF('İş Planı'!$L119="","",'İş Planı'!$L119)</f>
        <v/>
      </c>
      <c r="E119" s="62">
        <f>IF('İş Planı'!$N119="","",'İş Planı'!$N119)</f>
        <v/>
      </c>
      <c r="F119" s="75" t="n"/>
      <c r="G119" s="75" t="n"/>
      <c r="H119" s="75" t="n"/>
      <c r="I119" s="75" t="n"/>
      <c r="J119" s="75" t="n"/>
      <c r="K119" s="75" t="n"/>
      <c r="L119" s="75" t="n"/>
      <c r="M119" s="75" t="n"/>
      <c r="N119" s="75" t="n"/>
      <c r="O119" s="75" t="n"/>
      <c r="P119" s="75" t="n"/>
      <c r="Q119" s="75" t="n"/>
      <c r="R119" s="75" t="n"/>
      <c r="S119" s="75" t="n"/>
      <c r="T119" s="75" t="n"/>
      <c r="U119" s="75" t="n"/>
      <c r="V119" s="75" t="n"/>
      <c r="W119" s="75" t="n"/>
      <c r="X119" s="75" t="n"/>
      <c r="Y119" s="75" t="n"/>
      <c r="Z119" s="75" t="n"/>
      <c r="AA119" s="75" t="n"/>
      <c r="AB119" s="75" t="n"/>
      <c r="AC119" s="75" t="n"/>
      <c r="AD119" s="75" t="n"/>
      <c r="AE119" s="75" t="n"/>
      <c r="AF119" s="75" t="n"/>
      <c r="AG119" s="75" t="n"/>
      <c r="AH119" s="75" t="n"/>
      <c r="AI119" s="75" t="n"/>
      <c r="AJ119" s="75" t="n"/>
      <c r="AK119" s="75" t="n"/>
      <c r="AL119" s="75" t="n"/>
      <c r="AM119" s="75" t="n"/>
      <c r="AN119" s="75" t="n"/>
      <c r="AO119" s="75" t="n"/>
      <c r="AP119" s="75" t="n"/>
      <c r="AQ119" s="75" t="n"/>
      <c r="AR119" s="75" t="n"/>
      <c r="AS119" s="75" t="n"/>
      <c r="AT119" s="75" t="n"/>
      <c r="AU119" s="75" t="n"/>
      <c r="AV119" s="75" t="n"/>
      <c r="AW119" s="75" t="n"/>
      <c r="AX119" s="75" t="n"/>
      <c r="AY119" s="75" t="n"/>
      <c r="AZ119" s="75" t="n"/>
      <c r="BA119" s="75" t="n"/>
      <c r="BB119" s="75" t="n"/>
      <c r="BC119" s="75" t="n"/>
      <c r="BD119" s="75" t="n"/>
      <c r="BE119" s="75" t="n"/>
    </row>
    <row r="120" ht="18" customHeight="1">
      <c r="A120" s="49">
        <f>IF('İş Planı'!$C120="","",'İş Planı'!$C120)</f>
        <v/>
      </c>
      <c r="B120" s="49">
        <f>IF('İş Planı'!$B120="","",'İş Planı'!$B120)</f>
        <v/>
      </c>
      <c r="C120" s="63">
        <f>IF('İş Planı'!$H120="","",'İş Planı'!$H120)</f>
        <v/>
      </c>
      <c r="D120" s="63">
        <f>IF('İş Planı'!$L120="","",'İş Planı'!$L120)</f>
        <v/>
      </c>
      <c r="E120" s="62">
        <f>IF('İş Planı'!$N120="","",'İş Planı'!$N120)</f>
        <v/>
      </c>
      <c r="F120" s="75" t="n"/>
      <c r="G120" s="75" t="n"/>
      <c r="H120" s="75" t="n"/>
      <c r="I120" s="75" t="n"/>
      <c r="J120" s="75" t="n"/>
      <c r="K120" s="75" t="n"/>
      <c r="L120" s="75" t="n"/>
      <c r="M120" s="75" t="n"/>
      <c r="N120" s="75" t="n"/>
      <c r="O120" s="75" t="n"/>
      <c r="P120" s="75" t="n"/>
      <c r="Q120" s="75" t="n"/>
      <c r="R120" s="75" t="n"/>
      <c r="S120" s="75" t="n"/>
      <c r="T120" s="75" t="n"/>
      <c r="U120" s="75" t="n"/>
      <c r="V120" s="75" t="n"/>
      <c r="W120" s="75" t="n"/>
      <c r="X120" s="75" t="n"/>
      <c r="Y120" s="75" t="n"/>
      <c r="Z120" s="75" t="n"/>
      <c r="AA120" s="75" t="n"/>
      <c r="AB120" s="75" t="n"/>
      <c r="AC120" s="75" t="n"/>
      <c r="AD120" s="75" t="n"/>
      <c r="AE120" s="75" t="n"/>
      <c r="AF120" s="75" t="n"/>
      <c r="AG120" s="75" t="n"/>
      <c r="AH120" s="75" t="n"/>
      <c r="AI120" s="75" t="n"/>
      <c r="AJ120" s="75" t="n"/>
      <c r="AK120" s="75" t="n"/>
      <c r="AL120" s="75" t="n"/>
      <c r="AM120" s="75" t="n"/>
      <c r="AN120" s="75" t="n"/>
      <c r="AO120" s="75" t="n"/>
      <c r="AP120" s="75" t="n"/>
      <c r="AQ120" s="75" t="n"/>
      <c r="AR120" s="75" t="n"/>
      <c r="AS120" s="75" t="n"/>
      <c r="AT120" s="75" t="n"/>
      <c r="AU120" s="75" t="n"/>
      <c r="AV120" s="75" t="n"/>
      <c r="AW120" s="75" t="n"/>
      <c r="AX120" s="75" t="n"/>
      <c r="AY120" s="75" t="n"/>
      <c r="AZ120" s="75" t="n"/>
      <c r="BA120" s="75" t="n"/>
      <c r="BB120" s="75" t="n"/>
      <c r="BC120" s="75" t="n"/>
      <c r="BD120" s="75" t="n"/>
      <c r="BE120" s="75" t="n"/>
    </row>
    <row r="121" ht="18" customHeight="1">
      <c r="A121" s="49">
        <f>IF('İş Planı'!$C121="","",'İş Planı'!$C121)</f>
        <v/>
      </c>
      <c r="B121" s="49">
        <f>IF('İş Planı'!$B121="","",'İş Planı'!$B121)</f>
        <v/>
      </c>
      <c r="C121" s="63">
        <f>IF('İş Planı'!$H121="","",'İş Planı'!$H121)</f>
        <v/>
      </c>
      <c r="D121" s="63">
        <f>IF('İş Planı'!$L121="","",'İş Planı'!$L121)</f>
        <v/>
      </c>
      <c r="E121" s="62">
        <f>IF('İş Planı'!$N121="","",'İş Planı'!$N121)</f>
        <v/>
      </c>
      <c r="F121" s="75" t="n"/>
      <c r="G121" s="75" t="n"/>
      <c r="H121" s="75" t="n"/>
      <c r="I121" s="75" t="n"/>
      <c r="J121" s="75" t="n"/>
      <c r="K121" s="75" t="n"/>
      <c r="L121" s="75" t="n"/>
      <c r="M121" s="75" t="n"/>
      <c r="N121" s="75" t="n"/>
      <c r="O121" s="75" t="n"/>
      <c r="P121" s="75" t="n"/>
      <c r="Q121" s="75" t="n"/>
      <c r="R121" s="75" t="n"/>
      <c r="S121" s="75" t="n"/>
      <c r="T121" s="75" t="n"/>
      <c r="U121" s="75" t="n"/>
      <c r="V121" s="75" t="n"/>
      <c r="W121" s="75" t="n"/>
      <c r="X121" s="75" t="n"/>
      <c r="Y121" s="75" t="n"/>
      <c r="Z121" s="75" t="n"/>
      <c r="AA121" s="75" t="n"/>
      <c r="AB121" s="75" t="n"/>
      <c r="AC121" s="75" t="n"/>
      <c r="AD121" s="75" t="n"/>
      <c r="AE121" s="75" t="n"/>
      <c r="AF121" s="75" t="n"/>
      <c r="AG121" s="75" t="n"/>
      <c r="AH121" s="75" t="n"/>
      <c r="AI121" s="75" t="n"/>
      <c r="AJ121" s="75" t="n"/>
      <c r="AK121" s="75" t="n"/>
      <c r="AL121" s="75" t="n"/>
      <c r="AM121" s="75" t="n"/>
      <c r="AN121" s="75" t="n"/>
      <c r="AO121" s="75" t="n"/>
      <c r="AP121" s="75" t="n"/>
      <c r="AQ121" s="75" t="n"/>
      <c r="AR121" s="75" t="n"/>
      <c r="AS121" s="75" t="n"/>
      <c r="AT121" s="75" t="n"/>
      <c r="AU121" s="75" t="n"/>
      <c r="AV121" s="75" t="n"/>
      <c r="AW121" s="75" t="n"/>
      <c r="AX121" s="75" t="n"/>
      <c r="AY121" s="75" t="n"/>
      <c r="AZ121" s="75" t="n"/>
      <c r="BA121" s="75" t="n"/>
      <c r="BB121" s="75" t="n"/>
      <c r="BC121" s="75" t="n"/>
      <c r="BD121" s="75" t="n"/>
      <c r="BE121" s="75" t="n"/>
    </row>
    <row r="122" ht="18" customHeight="1">
      <c r="A122" s="49">
        <f>IF('İş Planı'!$C122="","",'İş Planı'!$C122)</f>
        <v/>
      </c>
      <c r="B122" s="49">
        <f>IF('İş Planı'!$B122="","",'İş Planı'!$B122)</f>
        <v/>
      </c>
      <c r="C122" s="63">
        <f>IF('İş Planı'!$H122="","",'İş Planı'!$H122)</f>
        <v/>
      </c>
      <c r="D122" s="63">
        <f>IF('İş Planı'!$L122="","",'İş Planı'!$L122)</f>
        <v/>
      </c>
      <c r="E122" s="62">
        <f>IF('İş Planı'!$N122="","",'İş Planı'!$N122)</f>
        <v/>
      </c>
      <c r="F122" s="75" t="n"/>
      <c r="G122" s="75" t="n"/>
      <c r="H122" s="75" t="n"/>
      <c r="I122" s="75" t="n"/>
      <c r="J122" s="75" t="n"/>
      <c r="K122" s="75" t="n"/>
      <c r="L122" s="75" t="n"/>
      <c r="M122" s="75" t="n"/>
      <c r="N122" s="75" t="n"/>
      <c r="O122" s="75" t="n"/>
      <c r="P122" s="75" t="n"/>
      <c r="Q122" s="75" t="n"/>
      <c r="R122" s="75" t="n"/>
      <c r="S122" s="75" t="n"/>
      <c r="T122" s="75" t="n"/>
      <c r="U122" s="75" t="n"/>
      <c r="V122" s="75" t="n"/>
      <c r="W122" s="75" t="n"/>
      <c r="X122" s="75" t="n"/>
      <c r="Y122" s="75" t="n"/>
      <c r="Z122" s="75" t="n"/>
      <c r="AA122" s="75" t="n"/>
      <c r="AB122" s="75" t="n"/>
      <c r="AC122" s="75" t="n"/>
      <c r="AD122" s="75" t="n"/>
      <c r="AE122" s="75" t="n"/>
      <c r="AF122" s="75" t="n"/>
      <c r="AG122" s="75" t="n"/>
      <c r="AH122" s="75" t="n"/>
      <c r="AI122" s="75" t="n"/>
      <c r="AJ122" s="75" t="n"/>
      <c r="AK122" s="75" t="n"/>
      <c r="AL122" s="75" t="n"/>
      <c r="AM122" s="75" t="n"/>
      <c r="AN122" s="75" t="n"/>
      <c r="AO122" s="75" t="n"/>
      <c r="AP122" s="75" t="n"/>
      <c r="AQ122" s="75" t="n"/>
      <c r="AR122" s="75" t="n"/>
      <c r="AS122" s="75" t="n"/>
      <c r="AT122" s="75" t="n"/>
      <c r="AU122" s="75" t="n"/>
      <c r="AV122" s="75" t="n"/>
      <c r="AW122" s="75" t="n"/>
      <c r="AX122" s="75" t="n"/>
      <c r="AY122" s="75" t="n"/>
      <c r="AZ122" s="75" t="n"/>
      <c r="BA122" s="75" t="n"/>
      <c r="BB122" s="75" t="n"/>
      <c r="BC122" s="75" t="n"/>
      <c r="BD122" s="75" t="n"/>
      <c r="BE122" s="75" t="n"/>
    </row>
    <row r="123" ht="18" customHeight="1">
      <c r="A123" s="49">
        <f>IF('İş Planı'!$C123="","",'İş Planı'!$C123)</f>
        <v/>
      </c>
      <c r="B123" s="49">
        <f>IF('İş Planı'!$B123="","",'İş Planı'!$B123)</f>
        <v/>
      </c>
      <c r="C123" s="63">
        <f>IF('İş Planı'!$H123="","",'İş Planı'!$H123)</f>
        <v/>
      </c>
      <c r="D123" s="63">
        <f>IF('İş Planı'!$L123="","",'İş Planı'!$L123)</f>
        <v/>
      </c>
      <c r="E123" s="62">
        <f>IF('İş Planı'!$N123="","",'İş Planı'!$N123)</f>
        <v/>
      </c>
      <c r="F123" s="75" t="n"/>
      <c r="G123" s="75" t="n"/>
      <c r="H123" s="75" t="n"/>
      <c r="I123" s="75" t="n"/>
      <c r="J123" s="75" t="n"/>
      <c r="K123" s="75" t="n"/>
      <c r="L123" s="75" t="n"/>
      <c r="M123" s="75" t="n"/>
      <c r="N123" s="75" t="n"/>
      <c r="O123" s="75" t="n"/>
      <c r="P123" s="75" t="n"/>
      <c r="Q123" s="75" t="n"/>
      <c r="R123" s="75" t="n"/>
      <c r="S123" s="75" t="n"/>
      <c r="T123" s="75" t="n"/>
      <c r="U123" s="75" t="n"/>
      <c r="V123" s="75" t="n"/>
      <c r="W123" s="75" t="n"/>
      <c r="X123" s="75" t="n"/>
      <c r="Y123" s="75" t="n"/>
      <c r="Z123" s="75" t="n"/>
      <c r="AA123" s="75" t="n"/>
      <c r="AB123" s="75" t="n"/>
      <c r="AC123" s="75" t="n"/>
      <c r="AD123" s="75" t="n"/>
      <c r="AE123" s="75" t="n"/>
      <c r="AF123" s="75" t="n"/>
      <c r="AG123" s="75" t="n"/>
      <c r="AH123" s="75" t="n"/>
      <c r="AI123" s="75" t="n"/>
      <c r="AJ123" s="75" t="n"/>
      <c r="AK123" s="75" t="n"/>
      <c r="AL123" s="75" t="n"/>
      <c r="AM123" s="75" t="n"/>
      <c r="AN123" s="75" t="n"/>
      <c r="AO123" s="75" t="n"/>
      <c r="AP123" s="75" t="n"/>
      <c r="AQ123" s="75" t="n"/>
      <c r="AR123" s="75" t="n"/>
      <c r="AS123" s="75" t="n"/>
      <c r="AT123" s="75" t="n"/>
      <c r="AU123" s="75" t="n"/>
      <c r="AV123" s="75" t="n"/>
      <c r="AW123" s="75" t="n"/>
      <c r="AX123" s="75" t="n"/>
      <c r="AY123" s="75" t="n"/>
      <c r="AZ123" s="75" t="n"/>
      <c r="BA123" s="75" t="n"/>
      <c r="BB123" s="75" t="n"/>
      <c r="BC123" s="75" t="n"/>
      <c r="BD123" s="75" t="n"/>
      <c r="BE123" s="75" t="n"/>
    </row>
    <row r="124" ht="18" customHeight="1">
      <c r="A124" s="49">
        <f>IF('İş Planı'!$C124="","",'İş Planı'!$C124)</f>
        <v/>
      </c>
      <c r="B124" s="49">
        <f>IF('İş Planı'!$B124="","",'İş Planı'!$B124)</f>
        <v/>
      </c>
      <c r="C124" s="63">
        <f>IF('İş Planı'!$H124="","",'İş Planı'!$H124)</f>
        <v/>
      </c>
      <c r="D124" s="63">
        <f>IF('İş Planı'!$L124="","",'İş Planı'!$L124)</f>
        <v/>
      </c>
      <c r="E124" s="62">
        <f>IF('İş Planı'!$N124="","",'İş Planı'!$N124)</f>
        <v/>
      </c>
      <c r="F124" s="75" t="n"/>
      <c r="G124" s="75" t="n"/>
      <c r="H124" s="75" t="n"/>
      <c r="I124" s="75" t="n"/>
      <c r="J124" s="75" t="n"/>
      <c r="K124" s="75" t="n"/>
      <c r="L124" s="75" t="n"/>
      <c r="M124" s="75" t="n"/>
      <c r="N124" s="75" t="n"/>
      <c r="O124" s="75" t="n"/>
      <c r="P124" s="75" t="n"/>
      <c r="Q124" s="75" t="n"/>
      <c r="R124" s="75" t="n"/>
      <c r="S124" s="75" t="n"/>
      <c r="T124" s="75" t="n"/>
      <c r="U124" s="75" t="n"/>
      <c r="V124" s="75" t="n"/>
      <c r="W124" s="75" t="n"/>
      <c r="X124" s="75" t="n"/>
      <c r="Y124" s="75" t="n"/>
      <c r="Z124" s="75" t="n"/>
      <c r="AA124" s="75" t="n"/>
      <c r="AB124" s="75" t="n"/>
      <c r="AC124" s="75" t="n"/>
      <c r="AD124" s="75" t="n"/>
      <c r="AE124" s="75" t="n"/>
      <c r="AF124" s="75" t="n"/>
      <c r="AG124" s="75" t="n"/>
      <c r="AH124" s="75" t="n"/>
      <c r="AI124" s="75" t="n"/>
      <c r="AJ124" s="75" t="n"/>
      <c r="AK124" s="75" t="n"/>
      <c r="AL124" s="75" t="n"/>
      <c r="AM124" s="75" t="n"/>
      <c r="AN124" s="75" t="n"/>
      <c r="AO124" s="75" t="n"/>
      <c r="AP124" s="75" t="n"/>
      <c r="AQ124" s="75" t="n"/>
      <c r="AR124" s="75" t="n"/>
      <c r="AS124" s="75" t="n"/>
      <c r="AT124" s="75" t="n"/>
      <c r="AU124" s="75" t="n"/>
      <c r="AV124" s="75" t="n"/>
      <c r="AW124" s="75" t="n"/>
      <c r="AX124" s="75" t="n"/>
      <c r="AY124" s="75" t="n"/>
      <c r="AZ124" s="75" t="n"/>
      <c r="BA124" s="75" t="n"/>
      <c r="BB124" s="75" t="n"/>
      <c r="BC124" s="75" t="n"/>
      <c r="BD124" s="75" t="n"/>
      <c r="BE124" s="75" t="n"/>
    </row>
    <row r="125" ht="18" customHeight="1">
      <c r="A125" s="49">
        <f>IF('İş Planı'!$C125="","",'İş Planı'!$C125)</f>
        <v/>
      </c>
      <c r="B125" s="49">
        <f>IF('İş Planı'!$B125="","",'İş Planı'!$B125)</f>
        <v/>
      </c>
      <c r="C125" s="63">
        <f>IF('İş Planı'!$H125="","",'İş Planı'!$H125)</f>
        <v/>
      </c>
      <c r="D125" s="63">
        <f>IF('İş Planı'!$L125="","",'İş Planı'!$L125)</f>
        <v/>
      </c>
      <c r="E125" s="62">
        <f>IF('İş Planı'!$N125="","",'İş Planı'!$N125)</f>
        <v/>
      </c>
      <c r="F125" s="75" t="n"/>
      <c r="G125" s="75" t="n"/>
      <c r="H125" s="75" t="n"/>
      <c r="I125" s="75" t="n"/>
      <c r="J125" s="75" t="n"/>
      <c r="K125" s="75" t="n"/>
      <c r="L125" s="75" t="n"/>
      <c r="M125" s="75" t="n"/>
      <c r="N125" s="75" t="n"/>
      <c r="O125" s="75" t="n"/>
      <c r="P125" s="75" t="n"/>
      <c r="Q125" s="75" t="n"/>
      <c r="R125" s="75" t="n"/>
      <c r="S125" s="75" t="n"/>
      <c r="T125" s="75" t="n"/>
      <c r="U125" s="75" t="n"/>
      <c r="V125" s="75" t="n"/>
      <c r="W125" s="75" t="n"/>
      <c r="X125" s="75" t="n"/>
      <c r="Y125" s="75" t="n"/>
      <c r="Z125" s="75" t="n"/>
      <c r="AA125" s="75" t="n"/>
      <c r="AB125" s="75" t="n"/>
      <c r="AC125" s="75" t="n"/>
      <c r="AD125" s="75" t="n"/>
      <c r="AE125" s="75" t="n"/>
      <c r="AF125" s="75" t="n"/>
      <c r="AG125" s="75" t="n"/>
      <c r="AH125" s="75" t="n"/>
      <c r="AI125" s="75" t="n"/>
      <c r="AJ125" s="75" t="n"/>
      <c r="AK125" s="75" t="n"/>
      <c r="AL125" s="75" t="n"/>
      <c r="AM125" s="75" t="n"/>
      <c r="AN125" s="75" t="n"/>
      <c r="AO125" s="75" t="n"/>
      <c r="AP125" s="75" t="n"/>
      <c r="AQ125" s="75" t="n"/>
      <c r="AR125" s="75" t="n"/>
      <c r="AS125" s="75" t="n"/>
      <c r="AT125" s="75" t="n"/>
      <c r="AU125" s="75" t="n"/>
      <c r="AV125" s="75" t="n"/>
      <c r="AW125" s="75" t="n"/>
      <c r="AX125" s="75" t="n"/>
      <c r="AY125" s="75" t="n"/>
      <c r="AZ125" s="75" t="n"/>
      <c r="BA125" s="75" t="n"/>
      <c r="BB125" s="75" t="n"/>
      <c r="BC125" s="75" t="n"/>
      <c r="BD125" s="75" t="n"/>
      <c r="BE125" s="75" t="n"/>
    </row>
    <row r="126" ht="18" customHeight="1">
      <c r="A126" s="49">
        <f>IF('İş Planı'!$C126="","",'İş Planı'!$C126)</f>
        <v/>
      </c>
      <c r="B126" s="49">
        <f>IF('İş Planı'!$B126="","",'İş Planı'!$B126)</f>
        <v/>
      </c>
      <c r="C126" s="63">
        <f>IF('İş Planı'!$H126="","",'İş Planı'!$H126)</f>
        <v/>
      </c>
      <c r="D126" s="63">
        <f>IF('İş Planı'!$L126="","",'İş Planı'!$L126)</f>
        <v/>
      </c>
      <c r="E126" s="62">
        <f>IF('İş Planı'!$N126="","",'İş Planı'!$N126)</f>
        <v/>
      </c>
      <c r="F126" s="75" t="n"/>
      <c r="G126" s="75" t="n"/>
      <c r="H126" s="75" t="n"/>
      <c r="I126" s="75" t="n"/>
      <c r="J126" s="75" t="n"/>
      <c r="K126" s="75" t="n"/>
      <c r="L126" s="75" t="n"/>
      <c r="M126" s="75" t="n"/>
      <c r="N126" s="75" t="n"/>
      <c r="O126" s="75" t="n"/>
      <c r="P126" s="75" t="n"/>
      <c r="Q126" s="75" t="n"/>
      <c r="R126" s="75" t="n"/>
      <c r="S126" s="75" t="n"/>
      <c r="T126" s="75" t="n"/>
      <c r="U126" s="75" t="n"/>
      <c r="V126" s="75" t="n"/>
      <c r="W126" s="75" t="n"/>
      <c r="X126" s="75" t="n"/>
      <c r="Y126" s="75" t="n"/>
      <c r="Z126" s="75" t="n"/>
      <c r="AA126" s="75" t="n"/>
      <c r="AB126" s="75" t="n"/>
      <c r="AC126" s="75" t="n"/>
      <c r="AD126" s="75" t="n"/>
      <c r="AE126" s="75" t="n"/>
      <c r="AF126" s="75" t="n"/>
      <c r="AG126" s="75" t="n"/>
      <c r="AH126" s="75" t="n"/>
      <c r="AI126" s="75" t="n"/>
      <c r="AJ126" s="75" t="n"/>
      <c r="AK126" s="75" t="n"/>
      <c r="AL126" s="75" t="n"/>
      <c r="AM126" s="75" t="n"/>
      <c r="AN126" s="75" t="n"/>
      <c r="AO126" s="75" t="n"/>
      <c r="AP126" s="75" t="n"/>
      <c r="AQ126" s="75" t="n"/>
      <c r="AR126" s="75" t="n"/>
      <c r="AS126" s="75" t="n"/>
      <c r="AT126" s="75" t="n"/>
      <c r="AU126" s="75" t="n"/>
      <c r="AV126" s="75" t="n"/>
      <c r="AW126" s="75" t="n"/>
      <c r="AX126" s="75" t="n"/>
      <c r="AY126" s="75" t="n"/>
      <c r="AZ126" s="75" t="n"/>
      <c r="BA126" s="75" t="n"/>
      <c r="BB126" s="75" t="n"/>
      <c r="BC126" s="75" t="n"/>
      <c r="BD126" s="75" t="n"/>
      <c r="BE126" s="75" t="n"/>
    </row>
    <row r="127" ht="18" customHeight="1">
      <c r="A127" s="49">
        <f>IF('İş Planı'!$C127="","",'İş Planı'!$C127)</f>
        <v/>
      </c>
      <c r="B127" s="49">
        <f>IF('İş Planı'!$B127="","",'İş Planı'!$B127)</f>
        <v/>
      </c>
      <c r="C127" s="63">
        <f>IF('İş Planı'!$H127="","",'İş Planı'!$H127)</f>
        <v/>
      </c>
      <c r="D127" s="63">
        <f>IF('İş Planı'!$L127="","",'İş Planı'!$L127)</f>
        <v/>
      </c>
      <c r="E127" s="62">
        <f>IF('İş Planı'!$N127="","",'İş Planı'!$N127)</f>
        <v/>
      </c>
      <c r="F127" s="75" t="n"/>
      <c r="G127" s="75" t="n"/>
      <c r="H127" s="75" t="n"/>
      <c r="I127" s="75" t="n"/>
      <c r="J127" s="75" t="n"/>
      <c r="K127" s="75" t="n"/>
      <c r="L127" s="75" t="n"/>
      <c r="M127" s="75" t="n"/>
      <c r="N127" s="75" t="n"/>
      <c r="O127" s="75" t="n"/>
      <c r="P127" s="75" t="n"/>
      <c r="Q127" s="75" t="n"/>
      <c r="R127" s="75" t="n"/>
      <c r="S127" s="75" t="n"/>
      <c r="T127" s="75" t="n"/>
      <c r="U127" s="75" t="n"/>
      <c r="V127" s="75" t="n"/>
      <c r="W127" s="75" t="n"/>
      <c r="X127" s="75" t="n"/>
      <c r="Y127" s="75" t="n"/>
      <c r="Z127" s="75" t="n"/>
      <c r="AA127" s="75" t="n"/>
      <c r="AB127" s="75" t="n"/>
      <c r="AC127" s="75" t="n"/>
      <c r="AD127" s="75" t="n"/>
      <c r="AE127" s="75" t="n"/>
      <c r="AF127" s="75" t="n"/>
      <c r="AG127" s="75" t="n"/>
      <c r="AH127" s="75" t="n"/>
      <c r="AI127" s="75" t="n"/>
      <c r="AJ127" s="75" t="n"/>
      <c r="AK127" s="75" t="n"/>
      <c r="AL127" s="75" t="n"/>
      <c r="AM127" s="75" t="n"/>
      <c r="AN127" s="75" t="n"/>
      <c r="AO127" s="75" t="n"/>
      <c r="AP127" s="75" t="n"/>
      <c r="AQ127" s="75" t="n"/>
      <c r="AR127" s="75" t="n"/>
      <c r="AS127" s="75" t="n"/>
      <c r="AT127" s="75" t="n"/>
      <c r="AU127" s="75" t="n"/>
      <c r="AV127" s="75" t="n"/>
      <c r="AW127" s="75" t="n"/>
      <c r="AX127" s="75" t="n"/>
      <c r="AY127" s="75" t="n"/>
      <c r="AZ127" s="75" t="n"/>
      <c r="BA127" s="75" t="n"/>
      <c r="BB127" s="75" t="n"/>
      <c r="BC127" s="75" t="n"/>
      <c r="BD127" s="75" t="n"/>
      <c r="BE127" s="75" t="n"/>
    </row>
    <row r="128" ht="18" customHeight="1">
      <c r="A128" s="49">
        <f>IF('İş Planı'!$C128="","",'İş Planı'!$C128)</f>
        <v/>
      </c>
      <c r="B128" s="49">
        <f>IF('İş Planı'!$B128="","",'İş Planı'!$B128)</f>
        <v/>
      </c>
      <c r="C128" s="63">
        <f>IF('İş Planı'!$H128="","",'İş Planı'!$H128)</f>
        <v/>
      </c>
      <c r="D128" s="63">
        <f>IF('İş Planı'!$L128="","",'İş Planı'!$L128)</f>
        <v/>
      </c>
      <c r="E128" s="62">
        <f>IF('İş Planı'!$N128="","",'İş Planı'!$N128)</f>
        <v/>
      </c>
      <c r="F128" s="75" t="n"/>
      <c r="G128" s="75" t="n"/>
      <c r="H128" s="75" t="n"/>
      <c r="I128" s="75" t="n"/>
      <c r="J128" s="75" t="n"/>
      <c r="K128" s="75" t="n"/>
      <c r="L128" s="75" t="n"/>
      <c r="M128" s="75" t="n"/>
      <c r="N128" s="75" t="n"/>
      <c r="O128" s="75" t="n"/>
      <c r="P128" s="75" t="n"/>
      <c r="Q128" s="75" t="n"/>
      <c r="R128" s="75" t="n"/>
      <c r="S128" s="75" t="n"/>
      <c r="T128" s="75" t="n"/>
      <c r="U128" s="75" t="n"/>
      <c r="V128" s="75" t="n"/>
      <c r="W128" s="75" t="n"/>
      <c r="X128" s="75" t="n"/>
      <c r="Y128" s="75" t="n"/>
      <c r="Z128" s="75" t="n"/>
      <c r="AA128" s="75" t="n"/>
      <c r="AB128" s="75" t="n"/>
      <c r="AC128" s="75" t="n"/>
      <c r="AD128" s="75" t="n"/>
      <c r="AE128" s="75" t="n"/>
      <c r="AF128" s="75" t="n"/>
      <c r="AG128" s="75" t="n"/>
      <c r="AH128" s="75" t="n"/>
      <c r="AI128" s="75" t="n"/>
      <c r="AJ128" s="75" t="n"/>
      <c r="AK128" s="75" t="n"/>
      <c r="AL128" s="75" t="n"/>
      <c r="AM128" s="75" t="n"/>
      <c r="AN128" s="75" t="n"/>
      <c r="AO128" s="75" t="n"/>
      <c r="AP128" s="75" t="n"/>
      <c r="AQ128" s="75" t="n"/>
      <c r="AR128" s="75" t="n"/>
      <c r="AS128" s="75" t="n"/>
      <c r="AT128" s="75" t="n"/>
      <c r="AU128" s="75" t="n"/>
      <c r="AV128" s="75" t="n"/>
      <c r="AW128" s="75" t="n"/>
      <c r="AX128" s="75" t="n"/>
      <c r="AY128" s="75" t="n"/>
      <c r="AZ128" s="75" t="n"/>
      <c r="BA128" s="75" t="n"/>
      <c r="BB128" s="75" t="n"/>
      <c r="BC128" s="75" t="n"/>
      <c r="BD128" s="75" t="n"/>
      <c r="BE128" s="75" t="n"/>
    </row>
    <row r="129" ht="18" customHeight="1">
      <c r="A129" s="49">
        <f>IF('İş Planı'!$C129="","",'İş Planı'!$C129)</f>
        <v/>
      </c>
      <c r="B129" s="49">
        <f>IF('İş Planı'!$B129="","",'İş Planı'!$B129)</f>
        <v/>
      </c>
      <c r="C129" s="63">
        <f>IF('İş Planı'!$H129="","",'İş Planı'!$H129)</f>
        <v/>
      </c>
      <c r="D129" s="63">
        <f>IF('İş Planı'!$L129="","",'İş Planı'!$L129)</f>
        <v/>
      </c>
      <c r="E129" s="62">
        <f>IF('İş Planı'!$N129="","",'İş Planı'!$N129)</f>
        <v/>
      </c>
      <c r="F129" s="75" t="n"/>
      <c r="G129" s="75" t="n"/>
      <c r="H129" s="75" t="n"/>
      <c r="I129" s="75" t="n"/>
      <c r="J129" s="75" t="n"/>
      <c r="K129" s="75" t="n"/>
      <c r="L129" s="75" t="n"/>
      <c r="M129" s="75" t="n"/>
      <c r="N129" s="75" t="n"/>
      <c r="O129" s="75" t="n"/>
      <c r="P129" s="75" t="n"/>
      <c r="Q129" s="75" t="n"/>
      <c r="R129" s="75" t="n"/>
      <c r="S129" s="75" t="n"/>
      <c r="T129" s="75" t="n"/>
      <c r="U129" s="75" t="n"/>
      <c r="V129" s="75" t="n"/>
      <c r="W129" s="75" t="n"/>
      <c r="X129" s="75" t="n"/>
      <c r="Y129" s="75" t="n"/>
      <c r="Z129" s="75" t="n"/>
      <c r="AA129" s="75" t="n"/>
      <c r="AB129" s="75" t="n"/>
      <c r="AC129" s="75" t="n"/>
      <c r="AD129" s="75" t="n"/>
      <c r="AE129" s="75" t="n"/>
      <c r="AF129" s="75" t="n"/>
      <c r="AG129" s="75" t="n"/>
      <c r="AH129" s="75" t="n"/>
      <c r="AI129" s="75" t="n"/>
      <c r="AJ129" s="75" t="n"/>
      <c r="AK129" s="75" t="n"/>
      <c r="AL129" s="75" t="n"/>
      <c r="AM129" s="75" t="n"/>
      <c r="AN129" s="75" t="n"/>
      <c r="AO129" s="75" t="n"/>
      <c r="AP129" s="75" t="n"/>
      <c r="AQ129" s="75" t="n"/>
      <c r="AR129" s="75" t="n"/>
      <c r="AS129" s="75" t="n"/>
      <c r="AT129" s="75" t="n"/>
      <c r="AU129" s="75" t="n"/>
      <c r="AV129" s="75" t="n"/>
      <c r="AW129" s="75" t="n"/>
      <c r="AX129" s="75" t="n"/>
      <c r="AY129" s="75" t="n"/>
      <c r="AZ129" s="75" t="n"/>
      <c r="BA129" s="75" t="n"/>
      <c r="BB129" s="75" t="n"/>
      <c r="BC129" s="75" t="n"/>
      <c r="BD129" s="75" t="n"/>
      <c r="BE129" s="75" t="n"/>
    </row>
    <row r="130" ht="18" customHeight="1">
      <c r="A130" s="49">
        <f>IF('İş Planı'!$C130="","",'İş Planı'!$C130)</f>
        <v/>
      </c>
      <c r="B130" s="49">
        <f>IF('İş Planı'!$B130="","",'İş Planı'!$B130)</f>
        <v/>
      </c>
      <c r="C130" s="63">
        <f>IF('İş Planı'!$H130="","",'İş Planı'!$H130)</f>
        <v/>
      </c>
      <c r="D130" s="63">
        <f>IF('İş Planı'!$L130="","",'İş Planı'!$L130)</f>
        <v/>
      </c>
      <c r="E130" s="62">
        <f>IF('İş Planı'!$N130="","",'İş Planı'!$N130)</f>
        <v/>
      </c>
      <c r="F130" s="75" t="n"/>
      <c r="G130" s="75" t="n"/>
      <c r="H130" s="75" t="n"/>
      <c r="I130" s="75" t="n"/>
      <c r="J130" s="75" t="n"/>
      <c r="K130" s="75" t="n"/>
      <c r="L130" s="75" t="n"/>
      <c r="M130" s="75" t="n"/>
      <c r="N130" s="75" t="n"/>
      <c r="O130" s="75" t="n"/>
      <c r="P130" s="75" t="n"/>
      <c r="Q130" s="75" t="n"/>
      <c r="R130" s="75" t="n"/>
      <c r="S130" s="75" t="n"/>
      <c r="T130" s="75" t="n"/>
      <c r="U130" s="75" t="n"/>
      <c r="V130" s="75" t="n"/>
      <c r="W130" s="75" t="n"/>
      <c r="X130" s="75" t="n"/>
      <c r="Y130" s="75" t="n"/>
      <c r="Z130" s="75" t="n"/>
      <c r="AA130" s="75" t="n"/>
      <c r="AB130" s="75" t="n"/>
      <c r="AC130" s="75" t="n"/>
      <c r="AD130" s="75" t="n"/>
      <c r="AE130" s="75" t="n"/>
      <c r="AF130" s="75" t="n"/>
      <c r="AG130" s="75" t="n"/>
      <c r="AH130" s="75" t="n"/>
      <c r="AI130" s="75" t="n"/>
      <c r="AJ130" s="75" t="n"/>
      <c r="AK130" s="75" t="n"/>
      <c r="AL130" s="75" t="n"/>
      <c r="AM130" s="75" t="n"/>
      <c r="AN130" s="75" t="n"/>
      <c r="AO130" s="75" t="n"/>
      <c r="AP130" s="75" t="n"/>
      <c r="AQ130" s="75" t="n"/>
      <c r="AR130" s="75" t="n"/>
      <c r="AS130" s="75" t="n"/>
      <c r="AT130" s="75" t="n"/>
      <c r="AU130" s="75" t="n"/>
      <c r="AV130" s="75" t="n"/>
      <c r="AW130" s="75" t="n"/>
      <c r="AX130" s="75" t="n"/>
      <c r="AY130" s="75" t="n"/>
      <c r="AZ130" s="75" t="n"/>
      <c r="BA130" s="75" t="n"/>
      <c r="BB130" s="75" t="n"/>
      <c r="BC130" s="75" t="n"/>
      <c r="BD130" s="75" t="n"/>
      <c r="BE130" s="75" t="n"/>
    </row>
    <row r="131" ht="18" customHeight="1">
      <c r="A131" s="49">
        <f>IF('İş Planı'!$C131="","",'İş Planı'!$C131)</f>
        <v/>
      </c>
      <c r="B131" s="49">
        <f>IF('İş Planı'!$B131="","",'İş Planı'!$B131)</f>
        <v/>
      </c>
      <c r="C131" s="63">
        <f>IF('İş Planı'!$H131="","",'İş Planı'!$H131)</f>
        <v/>
      </c>
      <c r="D131" s="63">
        <f>IF('İş Planı'!$L131="","",'İş Planı'!$L131)</f>
        <v/>
      </c>
      <c r="E131" s="62">
        <f>IF('İş Planı'!$N131="","",'İş Planı'!$N131)</f>
        <v/>
      </c>
      <c r="F131" s="75" t="n"/>
      <c r="G131" s="75" t="n"/>
      <c r="H131" s="75" t="n"/>
      <c r="I131" s="75" t="n"/>
      <c r="J131" s="75" t="n"/>
      <c r="K131" s="75" t="n"/>
      <c r="L131" s="75" t="n"/>
      <c r="M131" s="75" t="n"/>
      <c r="N131" s="75" t="n"/>
      <c r="O131" s="75" t="n"/>
      <c r="P131" s="75" t="n"/>
      <c r="Q131" s="75" t="n"/>
      <c r="R131" s="75" t="n"/>
      <c r="S131" s="75" t="n"/>
      <c r="T131" s="75" t="n"/>
      <c r="U131" s="75" t="n"/>
      <c r="V131" s="75" t="n"/>
      <c r="W131" s="75" t="n"/>
      <c r="X131" s="75" t="n"/>
      <c r="Y131" s="75" t="n"/>
      <c r="Z131" s="75" t="n"/>
      <c r="AA131" s="75" t="n"/>
      <c r="AB131" s="75" t="n"/>
      <c r="AC131" s="75" t="n"/>
      <c r="AD131" s="75" t="n"/>
      <c r="AE131" s="75" t="n"/>
      <c r="AF131" s="75" t="n"/>
      <c r="AG131" s="75" t="n"/>
      <c r="AH131" s="75" t="n"/>
      <c r="AI131" s="75" t="n"/>
      <c r="AJ131" s="75" t="n"/>
      <c r="AK131" s="75" t="n"/>
      <c r="AL131" s="75" t="n"/>
      <c r="AM131" s="75" t="n"/>
      <c r="AN131" s="75" t="n"/>
      <c r="AO131" s="75" t="n"/>
      <c r="AP131" s="75" t="n"/>
      <c r="AQ131" s="75" t="n"/>
      <c r="AR131" s="75" t="n"/>
      <c r="AS131" s="75" t="n"/>
      <c r="AT131" s="75" t="n"/>
      <c r="AU131" s="75" t="n"/>
      <c r="AV131" s="75" t="n"/>
      <c r="AW131" s="75" t="n"/>
      <c r="AX131" s="75" t="n"/>
      <c r="AY131" s="75" t="n"/>
      <c r="AZ131" s="75" t="n"/>
      <c r="BA131" s="75" t="n"/>
      <c r="BB131" s="75" t="n"/>
      <c r="BC131" s="75" t="n"/>
      <c r="BD131" s="75" t="n"/>
      <c r="BE131" s="75" t="n"/>
    </row>
    <row r="132" ht="18" customHeight="1">
      <c r="A132" s="49">
        <f>IF('İş Planı'!$C132="","",'İş Planı'!$C132)</f>
        <v/>
      </c>
      <c r="B132" s="49">
        <f>IF('İş Planı'!$B132="","",'İş Planı'!$B132)</f>
        <v/>
      </c>
      <c r="C132" s="63">
        <f>IF('İş Planı'!$H132="","",'İş Planı'!$H132)</f>
        <v/>
      </c>
      <c r="D132" s="63">
        <f>IF('İş Planı'!$L132="","",'İş Planı'!$L132)</f>
        <v/>
      </c>
      <c r="E132" s="62">
        <f>IF('İş Planı'!$N132="","",'İş Planı'!$N132)</f>
        <v/>
      </c>
      <c r="F132" s="75" t="n"/>
      <c r="G132" s="75" t="n"/>
      <c r="H132" s="75" t="n"/>
      <c r="I132" s="75" t="n"/>
      <c r="J132" s="75" t="n"/>
      <c r="K132" s="75" t="n"/>
      <c r="L132" s="75" t="n"/>
      <c r="M132" s="75" t="n"/>
      <c r="N132" s="75" t="n"/>
      <c r="O132" s="75" t="n"/>
      <c r="P132" s="75" t="n"/>
      <c r="Q132" s="75" t="n"/>
      <c r="R132" s="75" t="n"/>
      <c r="S132" s="75" t="n"/>
      <c r="T132" s="75" t="n"/>
      <c r="U132" s="75" t="n"/>
      <c r="V132" s="75" t="n"/>
      <c r="W132" s="75" t="n"/>
      <c r="X132" s="75" t="n"/>
      <c r="Y132" s="75" t="n"/>
      <c r="Z132" s="75" t="n"/>
      <c r="AA132" s="75" t="n"/>
      <c r="AB132" s="75" t="n"/>
      <c r="AC132" s="75" t="n"/>
      <c r="AD132" s="75" t="n"/>
      <c r="AE132" s="75" t="n"/>
      <c r="AF132" s="75" t="n"/>
      <c r="AG132" s="75" t="n"/>
      <c r="AH132" s="75" t="n"/>
      <c r="AI132" s="75" t="n"/>
      <c r="AJ132" s="75" t="n"/>
      <c r="AK132" s="75" t="n"/>
      <c r="AL132" s="75" t="n"/>
      <c r="AM132" s="75" t="n"/>
      <c r="AN132" s="75" t="n"/>
      <c r="AO132" s="75" t="n"/>
      <c r="AP132" s="75" t="n"/>
      <c r="AQ132" s="75" t="n"/>
      <c r="AR132" s="75" t="n"/>
      <c r="AS132" s="75" t="n"/>
      <c r="AT132" s="75" t="n"/>
      <c r="AU132" s="75" t="n"/>
      <c r="AV132" s="75" t="n"/>
      <c r="AW132" s="75" t="n"/>
      <c r="AX132" s="75" t="n"/>
      <c r="AY132" s="75" t="n"/>
      <c r="AZ132" s="75" t="n"/>
      <c r="BA132" s="75" t="n"/>
      <c r="BB132" s="75" t="n"/>
      <c r="BC132" s="75" t="n"/>
      <c r="BD132" s="75" t="n"/>
      <c r="BE132" s="75" t="n"/>
    </row>
    <row r="133" ht="18" customHeight="1">
      <c r="A133" s="49">
        <f>IF('İş Planı'!$C133="","",'İş Planı'!$C133)</f>
        <v/>
      </c>
      <c r="B133" s="49">
        <f>IF('İş Planı'!$B133="","",'İş Planı'!$B133)</f>
        <v/>
      </c>
      <c r="C133" s="63">
        <f>IF('İş Planı'!$H133="","",'İş Planı'!$H133)</f>
        <v/>
      </c>
      <c r="D133" s="63">
        <f>IF('İş Planı'!$L133="","",'İş Planı'!$L133)</f>
        <v/>
      </c>
      <c r="E133" s="62">
        <f>IF('İş Planı'!$N133="","",'İş Planı'!$N133)</f>
        <v/>
      </c>
      <c r="F133" s="75" t="n"/>
      <c r="G133" s="75" t="n"/>
      <c r="H133" s="75" t="n"/>
      <c r="I133" s="75" t="n"/>
      <c r="J133" s="75" t="n"/>
      <c r="K133" s="75" t="n"/>
      <c r="L133" s="75" t="n"/>
      <c r="M133" s="75" t="n"/>
      <c r="N133" s="75" t="n"/>
      <c r="O133" s="75" t="n"/>
      <c r="P133" s="75" t="n"/>
      <c r="Q133" s="75" t="n"/>
      <c r="R133" s="75" t="n"/>
      <c r="S133" s="75" t="n"/>
      <c r="T133" s="75" t="n"/>
      <c r="U133" s="75" t="n"/>
      <c r="V133" s="75" t="n"/>
      <c r="W133" s="75" t="n"/>
      <c r="X133" s="75" t="n"/>
      <c r="Y133" s="75" t="n"/>
      <c r="Z133" s="75" t="n"/>
      <c r="AA133" s="75" t="n"/>
      <c r="AB133" s="75" t="n"/>
      <c r="AC133" s="75" t="n"/>
      <c r="AD133" s="75" t="n"/>
      <c r="AE133" s="75" t="n"/>
      <c r="AF133" s="75" t="n"/>
      <c r="AG133" s="75" t="n"/>
      <c r="AH133" s="75" t="n"/>
      <c r="AI133" s="75" t="n"/>
      <c r="AJ133" s="75" t="n"/>
      <c r="AK133" s="75" t="n"/>
      <c r="AL133" s="75" t="n"/>
      <c r="AM133" s="75" t="n"/>
      <c r="AN133" s="75" t="n"/>
      <c r="AO133" s="75" t="n"/>
      <c r="AP133" s="75" t="n"/>
      <c r="AQ133" s="75" t="n"/>
      <c r="AR133" s="75" t="n"/>
      <c r="AS133" s="75" t="n"/>
      <c r="AT133" s="75" t="n"/>
      <c r="AU133" s="75" t="n"/>
      <c r="AV133" s="75" t="n"/>
      <c r="AW133" s="75" t="n"/>
      <c r="AX133" s="75" t="n"/>
      <c r="AY133" s="75" t="n"/>
      <c r="AZ133" s="75" t="n"/>
      <c r="BA133" s="75" t="n"/>
      <c r="BB133" s="75" t="n"/>
      <c r="BC133" s="75" t="n"/>
      <c r="BD133" s="75" t="n"/>
      <c r="BE133" s="75" t="n"/>
    </row>
    <row r="134" ht="18" customHeight="1">
      <c r="A134" s="49">
        <f>IF('İş Planı'!$C134="","",'İş Planı'!$C134)</f>
        <v/>
      </c>
      <c r="B134" s="49">
        <f>IF('İş Planı'!$B134="","",'İş Planı'!$B134)</f>
        <v/>
      </c>
      <c r="C134" s="63">
        <f>IF('İş Planı'!$H134="","",'İş Planı'!$H134)</f>
        <v/>
      </c>
      <c r="D134" s="63">
        <f>IF('İş Planı'!$L134="","",'İş Planı'!$L134)</f>
        <v/>
      </c>
      <c r="E134" s="62">
        <f>IF('İş Planı'!$N134="","",'İş Planı'!$N134)</f>
        <v/>
      </c>
      <c r="F134" s="75" t="n"/>
      <c r="G134" s="75" t="n"/>
      <c r="H134" s="75" t="n"/>
      <c r="I134" s="75" t="n"/>
      <c r="J134" s="75" t="n"/>
      <c r="K134" s="75" t="n"/>
      <c r="L134" s="75" t="n"/>
      <c r="M134" s="75" t="n"/>
      <c r="N134" s="75" t="n"/>
      <c r="O134" s="75" t="n"/>
      <c r="P134" s="75" t="n"/>
      <c r="Q134" s="75" t="n"/>
      <c r="R134" s="75" t="n"/>
      <c r="S134" s="75" t="n"/>
      <c r="T134" s="75" t="n"/>
      <c r="U134" s="75" t="n"/>
      <c r="V134" s="75" t="n"/>
      <c r="W134" s="75" t="n"/>
      <c r="X134" s="75" t="n"/>
      <c r="Y134" s="75" t="n"/>
      <c r="Z134" s="75" t="n"/>
      <c r="AA134" s="75" t="n"/>
      <c r="AB134" s="75" t="n"/>
      <c r="AC134" s="75" t="n"/>
      <c r="AD134" s="75" t="n"/>
      <c r="AE134" s="75" t="n"/>
      <c r="AF134" s="75" t="n"/>
      <c r="AG134" s="75" t="n"/>
      <c r="AH134" s="75" t="n"/>
      <c r="AI134" s="75" t="n"/>
      <c r="AJ134" s="75" t="n"/>
      <c r="AK134" s="75" t="n"/>
      <c r="AL134" s="75" t="n"/>
      <c r="AM134" s="75" t="n"/>
      <c r="AN134" s="75" t="n"/>
      <c r="AO134" s="75" t="n"/>
      <c r="AP134" s="75" t="n"/>
      <c r="AQ134" s="75" t="n"/>
      <c r="AR134" s="75" t="n"/>
      <c r="AS134" s="75" t="n"/>
      <c r="AT134" s="75" t="n"/>
      <c r="AU134" s="75" t="n"/>
      <c r="AV134" s="75" t="n"/>
      <c r="AW134" s="75" t="n"/>
      <c r="AX134" s="75" t="n"/>
      <c r="AY134" s="75" t="n"/>
      <c r="AZ134" s="75" t="n"/>
      <c r="BA134" s="75" t="n"/>
      <c r="BB134" s="75" t="n"/>
      <c r="BC134" s="75" t="n"/>
      <c r="BD134" s="75" t="n"/>
      <c r="BE134" s="75" t="n"/>
    </row>
    <row r="135" ht="18" customHeight="1">
      <c r="A135" s="49">
        <f>IF('İş Planı'!$C135="","",'İş Planı'!$C135)</f>
        <v/>
      </c>
      <c r="B135" s="49">
        <f>IF('İş Planı'!$B135="","",'İş Planı'!$B135)</f>
        <v/>
      </c>
      <c r="C135" s="63">
        <f>IF('İş Planı'!$H135="","",'İş Planı'!$H135)</f>
        <v/>
      </c>
      <c r="D135" s="63">
        <f>IF('İş Planı'!$L135="","",'İş Planı'!$L135)</f>
        <v/>
      </c>
      <c r="E135" s="62">
        <f>IF('İş Planı'!$N135="","",'İş Planı'!$N135)</f>
        <v/>
      </c>
      <c r="F135" s="75" t="n"/>
      <c r="G135" s="75" t="n"/>
      <c r="H135" s="75" t="n"/>
      <c r="I135" s="75" t="n"/>
      <c r="J135" s="75" t="n"/>
      <c r="K135" s="75" t="n"/>
      <c r="L135" s="75" t="n"/>
      <c r="M135" s="75" t="n"/>
      <c r="N135" s="75" t="n"/>
      <c r="O135" s="75" t="n"/>
      <c r="P135" s="75" t="n"/>
      <c r="Q135" s="75" t="n"/>
      <c r="R135" s="75" t="n"/>
      <c r="S135" s="75" t="n"/>
      <c r="T135" s="75" t="n"/>
      <c r="U135" s="75" t="n"/>
      <c r="V135" s="75" t="n"/>
      <c r="W135" s="75" t="n"/>
      <c r="X135" s="75" t="n"/>
      <c r="Y135" s="75" t="n"/>
      <c r="Z135" s="75" t="n"/>
      <c r="AA135" s="75" t="n"/>
      <c r="AB135" s="75" t="n"/>
      <c r="AC135" s="75" t="n"/>
      <c r="AD135" s="75" t="n"/>
      <c r="AE135" s="75" t="n"/>
      <c r="AF135" s="75" t="n"/>
      <c r="AG135" s="75" t="n"/>
      <c r="AH135" s="75" t="n"/>
      <c r="AI135" s="75" t="n"/>
      <c r="AJ135" s="75" t="n"/>
      <c r="AK135" s="75" t="n"/>
      <c r="AL135" s="75" t="n"/>
      <c r="AM135" s="75" t="n"/>
      <c r="AN135" s="75" t="n"/>
      <c r="AO135" s="75" t="n"/>
      <c r="AP135" s="75" t="n"/>
      <c r="AQ135" s="75" t="n"/>
      <c r="AR135" s="75" t="n"/>
      <c r="AS135" s="75" t="n"/>
      <c r="AT135" s="75" t="n"/>
      <c r="AU135" s="75" t="n"/>
      <c r="AV135" s="75" t="n"/>
      <c r="AW135" s="75" t="n"/>
      <c r="AX135" s="75" t="n"/>
      <c r="AY135" s="75" t="n"/>
      <c r="AZ135" s="75" t="n"/>
      <c r="BA135" s="75" t="n"/>
      <c r="BB135" s="75" t="n"/>
      <c r="BC135" s="75" t="n"/>
      <c r="BD135" s="75" t="n"/>
      <c r="BE135" s="75" t="n"/>
    </row>
    <row r="136" ht="18" customHeight="1">
      <c r="A136" s="49">
        <f>IF('İş Planı'!$C136="","",'İş Planı'!$C136)</f>
        <v/>
      </c>
      <c r="B136" s="49">
        <f>IF('İş Planı'!$B136="","",'İş Planı'!$B136)</f>
        <v/>
      </c>
      <c r="C136" s="63">
        <f>IF('İş Planı'!$H136="","",'İş Planı'!$H136)</f>
        <v/>
      </c>
      <c r="D136" s="63">
        <f>IF('İş Planı'!$L136="","",'İş Planı'!$L136)</f>
        <v/>
      </c>
      <c r="E136" s="62">
        <f>IF('İş Planı'!$N136="","",'İş Planı'!$N136)</f>
        <v/>
      </c>
      <c r="F136" s="75" t="n"/>
      <c r="G136" s="75" t="n"/>
      <c r="H136" s="75" t="n"/>
      <c r="I136" s="75" t="n"/>
      <c r="J136" s="75" t="n"/>
      <c r="K136" s="75" t="n"/>
      <c r="L136" s="75" t="n"/>
      <c r="M136" s="75" t="n"/>
      <c r="N136" s="75" t="n"/>
      <c r="O136" s="75" t="n"/>
      <c r="P136" s="75" t="n"/>
      <c r="Q136" s="75" t="n"/>
      <c r="R136" s="75" t="n"/>
      <c r="S136" s="75" t="n"/>
      <c r="T136" s="75" t="n"/>
      <c r="U136" s="75" t="n"/>
      <c r="V136" s="75" t="n"/>
      <c r="W136" s="75" t="n"/>
      <c r="X136" s="75" t="n"/>
      <c r="Y136" s="75" t="n"/>
      <c r="Z136" s="75" t="n"/>
      <c r="AA136" s="75" t="n"/>
      <c r="AB136" s="75" t="n"/>
      <c r="AC136" s="75" t="n"/>
      <c r="AD136" s="75" t="n"/>
      <c r="AE136" s="75" t="n"/>
      <c r="AF136" s="75" t="n"/>
      <c r="AG136" s="75" t="n"/>
      <c r="AH136" s="75" t="n"/>
      <c r="AI136" s="75" t="n"/>
      <c r="AJ136" s="75" t="n"/>
      <c r="AK136" s="75" t="n"/>
      <c r="AL136" s="75" t="n"/>
      <c r="AM136" s="75" t="n"/>
      <c r="AN136" s="75" t="n"/>
      <c r="AO136" s="75" t="n"/>
      <c r="AP136" s="75" t="n"/>
      <c r="AQ136" s="75" t="n"/>
      <c r="AR136" s="75" t="n"/>
      <c r="AS136" s="75" t="n"/>
      <c r="AT136" s="75" t="n"/>
      <c r="AU136" s="75" t="n"/>
      <c r="AV136" s="75" t="n"/>
      <c r="AW136" s="75" t="n"/>
      <c r="AX136" s="75" t="n"/>
      <c r="AY136" s="75" t="n"/>
      <c r="AZ136" s="75" t="n"/>
      <c r="BA136" s="75" t="n"/>
      <c r="BB136" s="75" t="n"/>
      <c r="BC136" s="75" t="n"/>
      <c r="BD136" s="75" t="n"/>
      <c r="BE136" s="75" t="n"/>
    </row>
    <row r="137" ht="18" customHeight="1">
      <c r="A137" s="49">
        <f>IF('İş Planı'!$C137="","",'İş Planı'!$C137)</f>
        <v/>
      </c>
      <c r="B137" s="49">
        <f>IF('İş Planı'!$B137="","",'İş Planı'!$B137)</f>
        <v/>
      </c>
      <c r="C137" s="63">
        <f>IF('İş Planı'!$H137="","",'İş Planı'!$H137)</f>
        <v/>
      </c>
      <c r="D137" s="63">
        <f>IF('İş Planı'!$L137="","",'İş Planı'!$L137)</f>
        <v/>
      </c>
      <c r="E137" s="62">
        <f>IF('İş Planı'!$N137="","",'İş Planı'!$N137)</f>
        <v/>
      </c>
      <c r="F137" s="75" t="n"/>
      <c r="G137" s="75" t="n"/>
      <c r="H137" s="75" t="n"/>
      <c r="I137" s="75" t="n"/>
      <c r="J137" s="75" t="n"/>
      <c r="K137" s="75" t="n"/>
      <c r="L137" s="75" t="n"/>
      <c r="M137" s="75" t="n"/>
      <c r="N137" s="75" t="n"/>
      <c r="O137" s="75" t="n"/>
      <c r="P137" s="75" t="n"/>
      <c r="Q137" s="75" t="n"/>
      <c r="R137" s="75" t="n"/>
      <c r="S137" s="75" t="n"/>
      <c r="T137" s="75" t="n"/>
      <c r="U137" s="75" t="n"/>
      <c r="V137" s="75" t="n"/>
      <c r="W137" s="75" t="n"/>
      <c r="X137" s="75" t="n"/>
      <c r="Y137" s="75" t="n"/>
      <c r="Z137" s="75" t="n"/>
      <c r="AA137" s="75" t="n"/>
      <c r="AB137" s="75" t="n"/>
      <c r="AC137" s="75" t="n"/>
      <c r="AD137" s="75" t="n"/>
      <c r="AE137" s="75" t="n"/>
      <c r="AF137" s="75" t="n"/>
      <c r="AG137" s="75" t="n"/>
      <c r="AH137" s="75" t="n"/>
      <c r="AI137" s="75" t="n"/>
      <c r="AJ137" s="75" t="n"/>
      <c r="AK137" s="75" t="n"/>
      <c r="AL137" s="75" t="n"/>
      <c r="AM137" s="75" t="n"/>
      <c r="AN137" s="75" t="n"/>
      <c r="AO137" s="75" t="n"/>
      <c r="AP137" s="75" t="n"/>
      <c r="AQ137" s="75" t="n"/>
      <c r="AR137" s="75" t="n"/>
      <c r="AS137" s="75" t="n"/>
      <c r="AT137" s="75" t="n"/>
      <c r="AU137" s="75" t="n"/>
      <c r="AV137" s="75" t="n"/>
      <c r="AW137" s="75" t="n"/>
      <c r="AX137" s="75" t="n"/>
      <c r="AY137" s="75" t="n"/>
      <c r="AZ137" s="75" t="n"/>
      <c r="BA137" s="75" t="n"/>
      <c r="BB137" s="75" t="n"/>
      <c r="BC137" s="75" t="n"/>
      <c r="BD137" s="75" t="n"/>
      <c r="BE137" s="75" t="n"/>
    </row>
    <row r="138" ht="18" customHeight="1">
      <c r="A138" s="49">
        <f>IF('İş Planı'!$C138="","",'İş Planı'!$C138)</f>
        <v/>
      </c>
      <c r="B138" s="49">
        <f>IF('İş Planı'!$B138="","",'İş Planı'!$B138)</f>
        <v/>
      </c>
      <c r="C138" s="63">
        <f>IF('İş Planı'!$H138="","",'İş Planı'!$H138)</f>
        <v/>
      </c>
      <c r="D138" s="63">
        <f>IF('İş Planı'!$L138="","",'İş Planı'!$L138)</f>
        <v/>
      </c>
      <c r="E138" s="62">
        <f>IF('İş Planı'!$N138="","",'İş Planı'!$N138)</f>
        <v/>
      </c>
      <c r="F138" s="75" t="n"/>
      <c r="G138" s="75" t="n"/>
      <c r="H138" s="75" t="n"/>
      <c r="I138" s="75" t="n"/>
      <c r="J138" s="75" t="n"/>
      <c r="K138" s="75" t="n"/>
      <c r="L138" s="75" t="n"/>
      <c r="M138" s="75" t="n"/>
      <c r="N138" s="75" t="n"/>
      <c r="O138" s="75" t="n"/>
      <c r="P138" s="75" t="n"/>
      <c r="Q138" s="75" t="n"/>
      <c r="R138" s="75" t="n"/>
      <c r="S138" s="75" t="n"/>
      <c r="T138" s="75" t="n"/>
      <c r="U138" s="75" t="n"/>
      <c r="V138" s="75" t="n"/>
      <c r="W138" s="75" t="n"/>
      <c r="X138" s="75" t="n"/>
      <c r="Y138" s="75" t="n"/>
      <c r="Z138" s="75" t="n"/>
      <c r="AA138" s="75" t="n"/>
      <c r="AB138" s="75" t="n"/>
      <c r="AC138" s="75" t="n"/>
      <c r="AD138" s="75" t="n"/>
      <c r="AE138" s="75" t="n"/>
      <c r="AF138" s="75" t="n"/>
      <c r="AG138" s="75" t="n"/>
      <c r="AH138" s="75" t="n"/>
      <c r="AI138" s="75" t="n"/>
      <c r="AJ138" s="75" t="n"/>
      <c r="AK138" s="75" t="n"/>
      <c r="AL138" s="75" t="n"/>
      <c r="AM138" s="75" t="n"/>
      <c r="AN138" s="75" t="n"/>
      <c r="AO138" s="75" t="n"/>
      <c r="AP138" s="75" t="n"/>
      <c r="AQ138" s="75" t="n"/>
      <c r="AR138" s="75" t="n"/>
      <c r="AS138" s="75" t="n"/>
      <c r="AT138" s="75" t="n"/>
      <c r="AU138" s="75" t="n"/>
      <c r="AV138" s="75" t="n"/>
      <c r="AW138" s="75" t="n"/>
      <c r="AX138" s="75" t="n"/>
      <c r="AY138" s="75" t="n"/>
      <c r="AZ138" s="75" t="n"/>
      <c r="BA138" s="75" t="n"/>
      <c r="BB138" s="75" t="n"/>
      <c r="BC138" s="75" t="n"/>
      <c r="BD138" s="75" t="n"/>
      <c r="BE138" s="75" t="n"/>
    </row>
    <row r="139" ht="18" customHeight="1">
      <c r="A139" s="49">
        <f>IF('İş Planı'!$C139="","",'İş Planı'!$C139)</f>
        <v/>
      </c>
      <c r="B139" s="49">
        <f>IF('İş Planı'!$B139="","",'İş Planı'!$B139)</f>
        <v/>
      </c>
      <c r="C139" s="63">
        <f>IF('İş Planı'!$H139="","",'İş Planı'!$H139)</f>
        <v/>
      </c>
      <c r="D139" s="63">
        <f>IF('İş Planı'!$L139="","",'İş Planı'!$L139)</f>
        <v/>
      </c>
      <c r="E139" s="62">
        <f>IF('İş Planı'!$N139="","",'İş Planı'!$N139)</f>
        <v/>
      </c>
      <c r="F139" s="75" t="n"/>
      <c r="G139" s="75" t="n"/>
      <c r="H139" s="75" t="n"/>
      <c r="I139" s="75" t="n"/>
      <c r="J139" s="75" t="n"/>
      <c r="K139" s="75" t="n"/>
      <c r="L139" s="75" t="n"/>
      <c r="M139" s="75" t="n"/>
      <c r="N139" s="75" t="n"/>
      <c r="O139" s="75" t="n"/>
      <c r="P139" s="75" t="n"/>
      <c r="Q139" s="75" t="n"/>
      <c r="R139" s="75" t="n"/>
      <c r="S139" s="75" t="n"/>
      <c r="T139" s="75" t="n"/>
      <c r="U139" s="75" t="n"/>
      <c r="V139" s="75" t="n"/>
      <c r="W139" s="75" t="n"/>
      <c r="X139" s="75" t="n"/>
      <c r="Y139" s="75" t="n"/>
      <c r="Z139" s="75" t="n"/>
      <c r="AA139" s="75" t="n"/>
      <c r="AB139" s="75" t="n"/>
      <c r="AC139" s="75" t="n"/>
      <c r="AD139" s="75" t="n"/>
      <c r="AE139" s="75" t="n"/>
      <c r="AF139" s="75" t="n"/>
      <c r="AG139" s="75" t="n"/>
      <c r="AH139" s="75" t="n"/>
      <c r="AI139" s="75" t="n"/>
      <c r="AJ139" s="75" t="n"/>
      <c r="AK139" s="75" t="n"/>
      <c r="AL139" s="75" t="n"/>
      <c r="AM139" s="75" t="n"/>
      <c r="AN139" s="75" t="n"/>
      <c r="AO139" s="75" t="n"/>
      <c r="AP139" s="75" t="n"/>
      <c r="AQ139" s="75" t="n"/>
      <c r="AR139" s="75" t="n"/>
      <c r="AS139" s="75" t="n"/>
      <c r="AT139" s="75" t="n"/>
      <c r="AU139" s="75" t="n"/>
      <c r="AV139" s="75" t="n"/>
      <c r="AW139" s="75" t="n"/>
      <c r="AX139" s="75" t="n"/>
      <c r="AY139" s="75" t="n"/>
      <c r="AZ139" s="75" t="n"/>
      <c r="BA139" s="75" t="n"/>
      <c r="BB139" s="75" t="n"/>
      <c r="BC139" s="75" t="n"/>
      <c r="BD139" s="75" t="n"/>
      <c r="BE139" s="75" t="n"/>
    </row>
    <row r="140" ht="18" customHeight="1">
      <c r="A140" s="49">
        <f>IF('İş Planı'!$C140="","",'İş Planı'!$C140)</f>
        <v/>
      </c>
      <c r="B140" s="49">
        <f>IF('İş Planı'!$B140="","",'İş Planı'!$B140)</f>
        <v/>
      </c>
      <c r="C140" s="63">
        <f>IF('İş Planı'!$H140="","",'İş Planı'!$H140)</f>
        <v/>
      </c>
      <c r="D140" s="63">
        <f>IF('İş Planı'!$L140="","",'İş Planı'!$L140)</f>
        <v/>
      </c>
      <c r="E140" s="62">
        <f>IF('İş Planı'!$N140="","",'İş Planı'!$N140)</f>
        <v/>
      </c>
      <c r="F140" s="75" t="n"/>
      <c r="G140" s="75" t="n"/>
      <c r="H140" s="75" t="n"/>
      <c r="I140" s="75" t="n"/>
      <c r="J140" s="75" t="n"/>
      <c r="K140" s="75" t="n"/>
      <c r="L140" s="75" t="n"/>
      <c r="M140" s="75" t="n"/>
      <c r="N140" s="75" t="n"/>
      <c r="O140" s="75" t="n"/>
      <c r="P140" s="75" t="n"/>
      <c r="Q140" s="75" t="n"/>
      <c r="R140" s="75" t="n"/>
      <c r="S140" s="75" t="n"/>
      <c r="T140" s="75" t="n"/>
      <c r="U140" s="75" t="n"/>
      <c r="V140" s="75" t="n"/>
      <c r="W140" s="75" t="n"/>
      <c r="X140" s="75" t="n"/>
      <c r="Y140" s="75" t="n"/>
      <c r="Z140" s="75" t="n"/>
      <c r="AA140" s="75" t="n"/>
      <c r="AB140" s="75" t="n"/>
      <c r="AC140" s="75" t="n"/>
      <c r="AD140" s="75" t="n"/>
      <c r="AE140" s="75" t="n"/>
      <c r="AF140" s="75" t="n"/>
      <c r="AG140" s="75" t="n"/>
      <c r="AH140" s="75" t="n"/>
      <c r="AI140" s="75" t="n"/>
      <c r="AJ140" s="75" t="n"/>
      <c r="AK140" s="75" t="n"/>
      <c r="AL140" s="75" t="n"/>
      <c r="AM140" s="75" t="n"/>
      <c r="AN140" s="75" t="n"/>
      <c r="AO140" s="75" t="n"/>
      <c r="AP140" s="75" t="n"/>
      <c r="AQ140" s="75" t="n"/>
      <c r="AR140" s="75" t="n"/>
      <c r="AS140" s="75" t="n"/>
      <c r="AT140" s="75" t="n"/>
      <c r="AU140" s="75" t="n"/>
      <c r="AV140" s="75" t="n"/>
      <c r="AW140" s="75" t="n"/>
      <c r="AX140" s="75" t="n"/>
      <c r="AY140" s="75" t="n"/>
      <c r="AZ140" s="75" t="n"/>
      <c r="BA140" s="75" t="n"/>
      <c r="BB140" s="75" t="n"/>
      <c r="BC140" s="75" t="n"/>
      <c r="BD140" s="75" t="n"/>
      <c r="BE140" s="75" t="n"/>
    </row>
    <row r="141" ht="18" customHeight="1">
      <c r="A141" s="49">
        <f>IF('İş Planı'!$C141="","",'İş Planı'!$C141)</f>
        <v/>
      </c>
      <c r="B141" s="49">
        <f>IF('İş Planı'!$B141="","",'İş Planı'!$B141)</f>
        <v/>
      </c>
      <c r="C141" s="63">
        <f>IF('İş Planı'!$H141="","",'İş Planı'!$H141)</f>
        <v/>
      </c>
      <c r="D141" s="63">
        <f>IF('İş Planı'!$L141="","",'İş Planı'!$L141)</f>
        <v/>
      </c>
      <c r="E141" s="62">
        <f>IF('İş Planı'!$N141="","",'İş Planı'!$N141)</f>
        <v/>
      </c>
      <c r="F141" s="75" t="n"/>
      <c r="G141" s="75" t="n"/>
      <c r="H141" s="75" t="n"/>
      <c r="I141" s="75" t="n"/>
      <c r="J141" s="75" t="n"/>
      <c r="K141" s="75" t="n"/>
      <c r="L141" s="75" t="n"/>
      <c r="M141" s="75" t="n"/>
      <c r="N141" s="75" t="n"/>
      <c r="O141" s="75" t="n"/>
      <c r="P141" s="75" t="n"/>
      <c r="Q141" s="75" t="n"/>
      <c r="R141" s="75" t="n"/>
      <c r="S141" s="75" t="n"/>
      <c r="T141" s="75" t="n"/>
      <c r="U141" s="75" t="n"/>
      <c r="V141" s="75" t="n"/>
      <c r="W141" s="75" t="n"/>
      <c r="X141" s="75" t="n"/>
      <c r="Y141" s="75" t="n"/>
      <c r="Z141" s="75" t="n"/>
      <c r="AA141" s="75" t="n"/>
      <c r="AB141" s="75" t="n"/>
      <c r="AC141" s="75" t="n"/>
      <c r="AD141" s="75" t="n"/>
      <c r="AE141" s="75" t="n"/>
      <c r="AF141" s="75" t="n"/>
      <c r="AG141" s="75" t="n"/>
      <c r="AH141" s="75" t="n"/>
      <c r="AI141" s="75" t="n"/>
      <c r="AJ141" s="75" t="n"/>
      <c r="AK141" s="75" t="n"/>
      <c r="AL141" s="75" t="n"/>
      <c r="AM141" s="75" t="n"/>
      <c r="AN141" s="75" t="n"/>
      <c r="AO141" s="75" t="n"/>
      <c r="AP141" s="75" t="n"/>
      <c r="AQ141" s="75" t="n"/>
      <c r="AR141" s="75" t="n"/>
      <c r="AS141" s="75" t="n"/>
      <c r="AT141" s="75" t="n"/>
      <c r="AU141" s="75" t="n"/>
      <c r="AV141" s="75" t="n"/>
      <c r="AW141" s="75" t="n"/>
      <c r="AX141" s="75" t="n"/>
      <c r="AY141" s="75" t="n"/>
      <c r="AZ141" s="75" t="n"/>
      <c r="BA141" s="75" t="n"/>
      <c r="BB141" s="75" t="n"/>
      <c r="BC141" s="75" t="n"/>
      <c r="BD141" s="75" t="n"/>
      <c r="BE141" s="75" t="n"/>
    </row>
    <row r="142" ht="18" customHeight="1">
      <c r="A142" s="49">
        <f>IF('İş Planı'!$C142="","",'İş Planı'!$C142)</f>
        <v/>
      </c>
      <c r="B142" s="49">
        <f>IF('İş Planı'!$B142="","",'İş Planı'!$B142)</f>
        <v/>
      </c>
      <c r="C142" s="63">
        <f>IF('İş Planı'!$H142="","",'İş Planı'!$H142)</f>
        <v/>
      </c>
      <c r="D142" s="63">
        <f>IF('İş Planı'!$L142="","",'İş Planı'!$L142)</f>
        <v/>
      </c>
      <c r="E142" s="62">
        <f>IF('İş Planı'!$N142="","",'İş Planı'!$N142)</f>
        <v/>
      </c>
      <c r="F142" s="75" t="n"/>
      <c r="G142" s="75" t="n"/>
      <c r="H142" s="75" t="n"/>
      <c r="I142" s="75" t="n"/>
      <c r="J142" s="75" t="n"/>
      <c r="K142" s="75" t="n"/>
      <c r="L142" s="75" t="n"/>
      <c r="M142" s="75" t="n"/>
      <c r="N142" s="75" t="n"/>
      <c r="O142" s="75" t="n"/>
      <c r="P142" s="75" t="n"/>
      <c r="Q142" s="75" t="n"/>
      <c r="R142" s="75" t="n"/>
      <c r="S142" s="75" t="n"/>
      <c r="T142" s="75" t="n"/>
      <c r="U142" s="75" t="n"/>
      <c r="V142" s="75" t="n"/>
      <c r="W142" s="75" t="n"/>
      <c r="X142" s="75" t="n"/>
      <c r="Y142" s="75" t="n"/>
      <c r="Z142" s="75" t="n"/>
      <c r="AA142" s="75" t="n"/>
      <c r="AB142" s="75" t="n"/>
      <c r="AC142" s="75" t="n"/>
      <c r="AD142" s="75" t="n"/>
      <c r="AE142" s="75" t="n"/>
      <c r="AF142" s="75" t="n"/>
      <c r="AG142" s="75" t="n"/>
      <c r="AH142" s="75" t="n"/>
      <c r="AI142" s="75" t="n"/>
      <c r="AJ142" s="75" t="n"/>
      <c r="AK142" s="75" t="n"/>
      <c r="AL142" s="75" t="n"/>
      <c r="AM142" s="75" t="n"/>
      <c r="AN142" s="75" t="n"/>
      <c r="AO142" s="75" t="n"/>
      <c r="AP142" s="75" t="n"/>
      <c r="AQ142" s="75" t="n"/>
      <c r="AR142" s="75" t="n"/>
      <c r="AS142" s="75" t="n"/>
      <c r="AT142" s="75" t="n"/>
      <c r="AU142" s="75" t="n"/>
      <c r="AV142" s="75" t="n"/>
      <c r="AW142" s="75" t="n"/>
      <c r="AX142" s="75" t="n"/>
      <c r="AY142" s="75" t="n"/>
      <c r="AZ142" s="75" t="n"/>
      <c r="BA142" s="75" t="n"/>
      <c r="BB142" s="75" t="n"/>
      <c r="BC142" s="75" t="n"/>
      <c r="BD142" s="75" t="n"/>
      <c r="BE142" s="75" t="n"/>
    </row>
    <row r="143" ht="18" customHeight="1">
      <c r="A143" s="49">
        <f>IF('İş Planı'!$C143="","",'İş Planı'!$C143)</f>
        <v/>
      </c>
      <c r="B143" s="49">
        <f>IF('İş Planı'!$B143="","",'İş Planı'!$B143)</f>
        <v/>
      </c>
      <c r="C143" s="63">
        <f>IF('İş Planı'!$H143="","",'İş Planı'!$H143)</f>
        <v/>
      </c>
      <c r="D143" s="63">
        <f>IF('İş Planı'!$L143="","",'İş Planı'!$L143)</f>
        <v/>
      </c>
      <c r="E143" s="62">
        <f>IF('İş Planı'!$N143="","",'İş Planı'!$N143)</f>
        <v/>
      </c>
      <c r="F143" s="75" t="n"/>
      <c r="G143" s="75" t="n"/>
      <c r="H143" s="75" t="n"/>
      <c r="I143" s="75" t="n"/>
      <c r="J143" s="75" t="n"/>
      <c r="K143" s="75" t="n"/>
      <c r="L143" s="75" t="n"/>
      <c r="M143" s="75" t="n"/>
      <c r="N143" s="75" t="n"/>
      <c r="O143" s="75" t="n"/>
      <c r="P143" s="75" t="n"/>
      <c r="Q143" s="75" t="n"/>
      <c r="R143" s="75" t="n"/>
      <c r="S143" s="75" t="n"/>
      <c r="T143" s="75" t="n"/>
      <c r="U143" s="75" t="n"/>
      <c r="V143" s="75" t="n"/>
      <c r="W143" s="75" t="n"/>
      <c r="X143" s="75" t="n"/>
      <c r="Y143" s="75" t="n"/>
      <c r="Z143" s="75" t="n"/>
      <c r="AA143" s="75" t="n"/>
      <c r="AB143" s="75" t="n"/>
      <c r="AC143" s="75" t="n"/>
      <c r="AD143" s="75" t="n"/>
      <c r="AE143" s="75" t="n"/>
      <c r="AF143" s="75" t="n"/>
      <c r="AG143" s="75" t="n"/>
      <c r="AH143" s="75" t="n"/>
      <c r="AI143" s="75" t="n"/>
      <c r="AJ143" s="75" t="n"/>
      <c r="AK143" s="75" t="n"/>
      <c r="AL143" s="75" t="n"/>
      <c r="AM143" s="75" t="n"/>
      <c r="AN143" s="75" t="n"/>
      <c r="AO143" s="75" t="n"/>
      <c r="AP143" s="75" t="n"/>
      <c r="AQ143" s="75" t="n"/>
      <c r="AR143" s="75" t="n"/>
      <c r="AS143" s="75" t="n"/>
      <c r="AT143" s="75" t="n"/>
      <c r="AU143" s="75" t="n"/>
      <c r="AV143" s="75" t="n"/>
      <c r="AW143" s="75" t="n"/>
      <c r="AX143" s="75" t="n"/>
      <c r="AY143" s="75" t="n"/>
      <c r="AZ143" s="75" t="n"/>
      <c r="BA143" s="75" t="n"/>
      <c r="BB143" s="75" t="n"/>
      <c r="BC143" s="75" t="n"/>
      <c r="BD143" s="75" t="n"/>
      <c r="BE143" s="75" t="n"/>
    </row>
    <row r="144" ht="18" customHeight="1">
      <c r="A144" s="49">
        <f>IF('İş Planı'!$C144="","",'İş Planı'!$C144)</f>
        <v/>
      </c>
      <c r="B144" s="49">
        <f>IF('İş Planı'!$B144="","",'İş Planı'!$B144)</f>
        <v/>
      </c>
      <c r="C144" s="63">
        <f>IF('İş Planı'!$H144="","",'İş Planı'!$H144)</f>
        <v/>
      </c>
      <c r="D144" s="63">
        <f>IF('İş Planı'!$L144="","",'İş Planı'!$L144)</f>
        <v/>
      </c>
      <c r="E144" s="62">
        <f>IF('İş Planı'!$N144="","",'İş Planı'!$N144)</f>
        <v/>
      </c>
      <c r="F144" s="75" t="n"/>
      <c r="G144" s="75" t="n"/>
      <c r="H144" s="75" t="n"/>
      <c r="I144" s="75" t="n"/>
      <c r="J144" s="75" t="n"/>
      <c r="K144" s="75" t="n"/>
      <c r="L144" s="75" t="n"/>
      <c r="M144" s="75" t="n"/>
      <c r="N144" s="75" t="n"/>
      <c r="O144" s="75" t="n"/>
      <c r="P144" s="75" t="n"/>
      <c r="Q144" s="75" t="n"/>
      <c r="R144" s="75" t="n"/>
      <c r="S144" s="75" t="n"/>
      <c r="T144" s="75" t="n"/>
      <c r="U144" s="75" t="n"/>
      <c r="V144" s="75" t="n"/>
      <c r="W144" s="75" t="n"/>
      <c r="X144" s="75" t="n"/>
      <c r="Y144" s="75" t="n"/>
      <c r="Z144" s="75" t="n"/>
      <c r="AA144" s="75" t="n"/>
      <c r="AB144" s="75" t="n"/>
      <c r="AC144" s="75" t="n"/>
      <c r="AD144" s="75" t="n"/>
      <c r="AE144" s="75" t="n"/>
      <c r="AF144" s="75" t="n"/>
      <c r="AG144" s="75" t="n"/>
      <c r="AH144" s="75" t="n"/>
      <c r="AI144" s="75" t="n"/>
      <c r="AJ144" s="75" t="n"/>
      <c r="AK144" s="75" t="n"/>
      <c r="AL144" s="75" t="n"/>
      <c r="AM144" s="75" t="n"/>
      <c r="AN144" s="75" t="n"/>
      <c r="AO144" s="75" t="n"/>
      <c r="AP144" s="75" t="n"/>
      <c r="AQ144" s="75" t="n"/>
      <c r="AR144" s="75" t="n"/>
      <c r="AS144" s="75" t="n"/>
      <c r="AT144" s="75" t="n"/>
      <c r="AU144" s="75" t="n"/>
      <c r="AV144" s="75" t="n"/>
      <c r="AW144" s="75" t="n"/>
      <c r="AX144" s="75" t="n"/>
      <c r="AY144" s="75" t="n"/>
      <c r="AZ144" s="75" t="n"/>
      <c r="BA144" s="75" t="n"/>
      <c r="BB144" s="75" t="n"/>
      <c r="BC144" s="75" t="n"/>
      <c r="BD144" s="75" t="n"/>
      <c r="BE144" s="75" t="n"/>
    </row>
    <row r="145" ht="18" customHeight="1">
      <c r="A145" s="49">
        <f>IF('İş Planı'!$C145="","",'İş Planı'!$C145)</f>
        <v/>
      </c>
      <c r="B145" s="49">
        <f>IF('İş Planı'!$B145="","",'İş Planı'!$B145)</f>
        <v/>
      </c>
      <c r="C145" s="63">
        <f>IF('İş Planı'!$H145="","",'İş Planı'!$H145)</f>
        <v/>
      </c>
      <c r="D145" s="63">
        <f>IF('İş Planı'!$L145="","",'İş Planı'!$L145)</f>
        <v/>
      </c>
      <c r="E145" s="62">
        <f>IF('İş Planı'!$N145="","",'İş Planı'!$N145)</f>
        <v/>
      </c>
      <c r="F145" s="75" t="n"/>
      <c r="G145" s="75" t="n"/>
      <c r="H145" s="75" t="n"/>
      <c r="I145" s="75" t="n"/>
      <c r="J145" s="75" t="n"/>
      <c r="K145" s="75" t="n"/>
      <c r="L145" s="75" t="n"/>
      <c r="M145" s="75" t="n"/>
      <c r="N145" s="75" t="n"/>
      <c r="O145" s="75" t="n"/>
      <c r="P145" s="75" t="n"/>
      <c r="Q145" s="75" t="n"/>
      <c r="R145" s="75" t="n"/>
      <c r="S145" s="75" t="n"/>
      <c r="T145" s="75" t="n"/>
      <c r="U145" s="75" t="n"/>
      <c r="V145" s="75" t="n"/>
      <c r="W145" s="75" t="n"/>
      <c r="X145" s="75" t="n"/>
      <c r="Y145" s="75" t="n"/>
      <c r="Z145" s="75" t="n"/>
      <c r="AA145" s="75" t="n"/>
      <c r="AB145" s="75" t="n"/>
      <c r="AC145" s="75" t="n"/>
      <c r="AD145" s="75" t="n"/>
      <c r="AE145" s="75" t="n"/>
      <c r="AF145" s="75" t="n"/>
      <c r="AG145" s="75" t="n"/>
      <c r="AH145" s="75" t="n"/>
      <c r="AI145" s="75" t="n"/>
      <c r="AJ145" s="75" t="n"/>
      <c r="AK145" s="75" t="n"/>
      <c r="AL145" s="75" t="n"/>
      <c r="AM145" s="75" t="n"/>
      <c r="AN145" s="75" t="n"/>
      <c r="AO145" s="75" t="n"/>
      <c r="AP145" s="75" t="n"/>
      <c r="AQ145" s="75" t="n"/>
      <c r="AR145" s="75" t="n"/>
      <c r="AS145" s="75" t="n"/>
      <c r="AT145" s="75" t="n"/>
      <c r="AU145" s="75" t="n"/>
      <c r="AV145" s="75" t="n"/>
      <c r="AW145" s="75" t="n"/>
      <c r="AX145" s="75" t="n"/>
      <c r="AY145" s="75" t="n"/>
      <c r="AZ145" s="75" t="n"/>
      <c r="BA145" s="75" t="n"/>
      <c r="BB145" s="75" t="n"/>
      <c r="BC145" s="75" t="n"/>
      <c r="BD145" s="75" t="n"/>
      <c r="BE145" s="75" t="n"/>
    </row>
    <row r="146" ht="18" customHeight="1">
      <c r="A146" s="49">
        <f>IF('İş Planı'!$C146="","",'İş Planı'!$C146)</f>
        <v/>
      </c>
      <c r="B146" s="49">
        <f>IF('İş Planı'!$B146="","",'İş Planı'!$B146)</f>
        <v/>
      </c>
      <c r="C146" s="63">
        <f>IF('İş Planı'!$H146="","",'İş Planı'!$H146)</f>
        <v/>
      </c>
      <c r="D146" s="63">
        <f>IF('İş Planı'!$L146="","",'İş Planı'!$L146)</f>
        <v/>
      </c>
      <c r="E146" s="62">
        <f>IF('İş Planı'!$N146="","",'İş Planı'!$N146)</f>
        <v/>
      </c>
      <c r="F146" s="75" t="n"/>
      <c r="G146" s="75" t="n"/>
      <c r="H146" s="75" t="n"/>
      <c r="I146" s="75" t="n"/>
      <c r="J146" s="75" t="n"/>
      <c r="K146" s="75" t="n"/>
      <c r="L146" s="75" t="n"/>
      <c r="M146" s="75" t="n"/>
      <c r="N146" s="75" t="n"/>
      <c r="O146" s="75" t="n"/>
      <c r="P146" s="75" t="n"/>
      <c r="Q146" s="75" t="n"/>
      <c r="R146" s="75" t="n"/>
      <c r="S146" s="75" t="n"/>
      <c r="T146" s="75" t="n"/>
      <c r="U146" s="75" t="n"/>
      <c r="V146" s="75" t="n"/>
      <c r="W146" s="75" t="n"/>
      <c r="X146" s="75" t="n"/>
      <c r="Y146" s="75" t="n"/>
      <c r="Z146" s="75" t="n"/>
      <c r="AA146" s="75" t="n"/>
      <c r="AB146" s="75" t="n"/>
      <c r="AC146" s="75" t="n"/>
      <c r="AD146" s="75" t="n"/>
      <c r="AE146" s="75" t="n"/>
      <c r="AF146" s="75" t="n"/>
      <c r="AG146" s="75" t="n"/>
      <c r="AH146" s="75" t="n"/>
      <c r="AI146" s="75" t="n"/>
      <c r="AJ146" s="75" t="n"/>
      <c r="AK146" s="75" t="n"/>
      <c r="AL146" s="75" t="n"/>
      <c r="AM146" s="75" t="n"/>
      <c r="AN146" s="75" t="n"/>
      <c r="AO146" s="75" t="n"/>
      <c r="AP146" s="75" t="n"/>
      <c r="AQ146" s="75" t="n"/>
      <c r="AR146" s="75" t="n"/>
      <c r="AS146" s="75" t="n"/>
      <c r="AT146" s="75" t="n"/>
      <c r="AU146" s="75" t="n"/>
      <c r="AV146" s="75" t="n"/>
      <c r="AW146" s="75" t="n"/>
      <c r="AX146" s="75" t="n"/>
      <c r="AY146" s="75" t="n"/>
      <c r="AZ146" s="75" t="n"/>
      <c r="BA146" s="75" t="n"/>
      <c r="BB146" s="75" t="n"/>
      <c r="BC146" s="75" t="n"/>
      <c r="BD146" s="75" t="n"/>
      <c r="BE146" s="75" t="n"/>
    </row>
    <row r="147" ht="18" customHeight="1">
      <c r="A147" s="49">
        <f>IF('İş Planı'!$C147="","",'İş Planı'!$C147)</f>
        <v/>
      </c>
      <c r="B147" s="49">
        <f>IF('İş Planı'!$B147="","",'İş Planı'!$B147)</f>
        <v/>
      </c>
      <c r="C147" s="63">
        <f>IF('İş Planı'!$H147="","",'İş Planı'!$H147)</f>
        <v/>
      </c>
      <c r="D147" s="63">
        <f>IF('İş Planı'!$L147="","",'İş Planı'!$L147)</f>
        <v/>
      </c>
      <c r="E147" s="62">
        <f>IF('İş Planı'!$N147="","",'İş Planı'!$N147)</f>
        <v/>
      </c>
      <c r="F147" s="75" t="n"/>
      <c r="G147" s="75" t="n"/>
      <c r="H147" s="75" t="n"/>
      <c r="I147" s="75" t="n"/>
      <c r="J147" s="75" t="n"/>
      <c r="K147" s="75" t="n"/>
      <c r="L147" s="75" t="n"/>
      <c r="M147" s="75" t="n"/>
      <c r="N147" s="75" t="n"/>
      <c r="O147" s="75" t="n"/>
      <c r="P147" s="75" t="n"/>
      <c r="Q147" s="75" t="n"/>
      <c r="R147" s="75" t="n"/>
      <c r="S147" s="75" t="n"/>
      <c r="T147" s="75" t="n"/>
      <c r="U147" s="75" t="n"/>
      <c r="V147" s="75" t="n"/>
      <c r="W147" s="75" t="n"/>
      <c r="X147" s="75" t="n"/>
      <c r="Y147" s="75" t="n"/>
      <c r="Z147" s="75" t="n"/>
      <c r="AA147" s="75" t="n"/>
      <c r="AB147" s="75" t="n"/>
      <c r="AC147" s="75" t="n"/>
      <c r="AD147" s="75" t="n"/>
      <c r="AE147" s="75" t="n"/>
      <c r="AF147" s="75" t="n"/>
      <c r="AG147" s="75" t="n"/>
      <c r="AH147" s="75" t="n"/>
      <c r="AI147" s="75" t="n"/>
      <c r="AJ147" s="75" t="n"/>
      <c r="AK147" s="75" t="n"/>
      <c r="AL147" s="75" t="n"/>
      <c r="AM147" s="75" t="n"/>
      <c r="AN147" s="75" t="n"/>
      <c r="AO147" s="75" t="n"/>
      <c r="AP147" s="75" t="n"/>
      <c r="AQ147" s="75" t="n"/>
      <c r="AR147" s="75" t="n"/>
      <c r="AS147" s="75" t="n"/>
      <c r="AT147" s="75" t="n"/>
      <c r="AU147" s="75" t="n"/>
      <c r="AV147" s="75" t="n"/>
      <c r="AW147" s="75" t="n"/>
      <c r="AX147" s="75" t="n"/>
      <c r="AY147" s="75" t="n"/>
      <c r="AZ147" s="75" t="n"/>
      <c r="BA147" s="75" t="n"/>
      <c r="BB147" s="75" t="n"/>
      <c r="BC147" s="75" t="n"/>
      <c r="BD147" s="75" t="n"/>
      <c r="BE147" s="75" t="n"/>
    </row>
    <row r="148" ht="18" customHeight="1">
      <c r="A148" s="49">
        <f>IF('İş Planı'!$C148="","",'İş Planı'!$C148)</f>
        <v/>
      </c>
      <c r="B148" s="49">
        <f>IF('İş Planı'!$B148="","",'İş Planı'!$B148)</f>
        <v/>
      </c>
      <c r="C148" s="63">
        <f>IF('İş Planı'!$H148="","",'İş Planı'!$H148)</f>
        <v/>
      </c>
      <c r="D148" s="63">
        <f>IF('İş Planı'!$L148="","",'İş Planı'!$L148)</f>
        <v/>
      </c>
      <c r="E148" s="62">
        <f>IF('İş Planı'!$N148="","",'İş Planı'!$N148)</f>
        <v/>
      </c>
      <c r="F148" s="75" t="n"/>
      <c r="G148" s="75" t="n"/>
      <c r="H148" s="75" t="n"/>
      <c r="I148" s="75" t="n"/>
      <c r="J148" s="75" t="n"/>
      <c r="K148" s="75" t="n"/>
      <c r="L148" s="75" t="n"/>
      <c r="M148" s="75" t="n"/>
      <c r="N148" s="75" t="n"/>
      <c r="O148" s="75" t="n"/>
      <c r="P148" s="75" t="n"/>
      <c r="Q148" s="75" t="n"/>
      <c r="R148" s="75" t="n"/>
      <c r="S148" s="75" t="n"/>
      <c r="T148" s="75" t="n"/>
      <c r="U148" s="75" t="n"/>
      <c r="V148" s="75" t="n"/>
      <c r="W148" s="75" t="n"/>
      <c r="X148" s="75" t="n"/>
      <c r="Y148" s="75" t="n"/>
      <c r="Z148" s="75" t="n"/>
      <c r="AA148" s="75" t="n"/>
      <c r="AB148" s="75" t="n"/>
      <c r="AC148" s="75" t="n"/>
      <c r="AD148" s="75" t="n"/>
      <c r="AE148" s="75" t="n"/>
      <c r="AF148" s="75" t="n"/>
      <c r="AG148" s="75" t="n"/>
      <c r="AH148" s="75" t="n"/>
      <c r="AI148" s="75" t="n"/>
      <c r="AJ148" s="75" t="n"/>
      <c r="AK148" s="75" t="n"/>
      <c r="AL148" s="75" t="n"/>
      <c r="AM148" s="75" t="n"/>
      <c r="AN148" s="75" t="n"/>
      <c r="AO148" s="75" t="n"/>
      <c r="AP148" s="75" t="n"/>
      <c r="AQ148" s="75" t="n"/>
      <c r="AR148" s="75" t="n"/>
      <c r="AS148" s="75" t="n"/>
      <c r="AT148" s="75" t="n"/>
      <c r="AU148" s="75" t="n"/>
      <c r="AV148" s="75" t="n"/>
      <c r="AW148" s="75" t="n"/>
      <c r="AX148" s="75" t="n"/>
      <c r="AY148" s="75" t="n"/>
      <c r="AZ148" s="75" t="n"/>
      <c r="BA148" s="75" t="n"/>
      <c r="BB148" s="75" t="n"/>
      <c r="BC148" s="75" t="n"/>
      <c r="BD148" s="75" t="n"/>
      <c r="BE148" s="75" t="n"/>
    </row>
    <row r="149" ht="18" customHeight="1">
      <c r="A149" s="49">
        <f>IF('İş Planı'!$C149="","",'İş Planı'!$C149)</f>
        <v/>
      </c>
      <c r="B149" s="49">
        <f>IF('İş Planı'!$B149="","",'İş Planı'!$B149)</f>
        <v/>
      </c>
      <c r="C149" s="63">
        <f>IF('İş Planı'!$H149="","",'İş Planı'!$H149)</f>
        <v/>
      </c>
      <c r="D149" s="63">
        <f>IF('İş Planı'!$L149="","",'İş Planı'!$L149)</f>
        <v/>
      </c>
      <c r="E149" s="62">
        <f>IF('İş Planı'!$N149="","",'İş Planı'!$N149)</f>
        <v/>
      </c>
      <c r="F149" s="75" t="n"/>
      <c r="G149" s="75" t="n"/>
      <c r="H149" s="75" t="n"/>
      <c r="I149" s="75" t="n"/>
      <c r="J149" s="75" t="n"/>
      <c r="K149" s="75" t="n"/>
      <c r="L149" s="75" t="n"/>
      <c r="M149" s="75" t="n"/>
      <c r="N149" s="75" t="n"/>
      <c r="O149" s="75" t="n"/>
      <c r="P149" s="75" t="n"/>
      <c r="Q149" s="75" t="n"/>
      <c r="R149" s="75" t="n"/>
      <c r="S149" s="75" t="n"/>
      <c r="T149" s="75" t="n"/>
      <c r="U149" s="75" t="n"/>
      <c r="V149" s="75" t="n"/>
      <c r="W149" s="75" t="n"/>
      <c r="X149" s="75" t="n"/>
      <c r="Y149" s="75" t="n"/>
      <c r="Z149" s="75" t="n"/>
      <c r="AA149" s="75" t="n"/>
      <c r="AB149" s="75" t="n"/>
      <c r="AC149" s="75" t="n"/>
      <c r="AD149" s="75" t="n"/>
      <c r="AE149" s="75" t="n"/>
      <c r="AF149" s="75" t="n"/>
      <c r="AG149" s="75" t="n"/>
      <c r="AH149" s="75" t="n"/>
      <c r="AI149" s="75" t="n"/>
      <c r="AJ149" s="75" t="n"/>
      <c r="AK149" s="75" t="n"/>
      <c r="AL149" s="75" t="n"/>
      <c r="AM149" s="75" t="n"/>
      <c r="AN149" s="75" t="n"/>
      <c r="AO149" s="75" t="n"/>
      <c r="AP149" s="75" t="n"/>
      <c r="AQ149" s="75" t="n"/>
      <c r="AR149" s="75" t="n"/>
      <c r="AS149" s="75" t="n"/>
      <c r="AT149" s="75" t="n"/>
      <c r="AU149" s="75" t="n"/>
      <c r="AV149" s="75" t="n"/>
      <c r="AW149" s="75" t="n"/>
      <c r="AX149" s="75" t="n"/>
      <c r="AY149" s="75" t="n"/>
      <c r="AZ149" s="75" t="n"/>
      <c r="BA149" s="75" t="n"/>
      <c r="BB149" s="75" t="n"/>
      <c r="BC149" s="75" t="n"/>
      <c r="BD149" s="75" t="n"/>
      <c r="BE149" s="75" t="n"/>
    </row>
    <row r="150" ht="18" customHeight="1">
      <c r="A150" s="49">
        <f>IF('İş Planı'!$C150="","",'İş Planı'!$C150)</f>
        <v/>
      </c>
      <c r="B150" s="49">
        <f>IF('İş Planı'!$B150="","",'İş Planı'!$B150)</f>
        <v/>
      </c>
      <c r="C150" s="63">
        <f>IF('İş Planı'!$H150="","",'İş Planı'!$H150)</f>
        <v/>
      </c>
      <c r="D150" s="63">
        <f>IF('İş Planı'!$L150="","",'İş Planı'!$L150)</f>
        <v/>
      </c>
      <c r="E150" s="62">
        <f>IF('İş Planı'!$N150="","",'İş Planı'!$N150)</f>
        <v/>
      </c>
      <c r="F150" s="75" t="n"/>
      <c r="G150" s="75" t="n"/>
      <c r="H150" s="75" t="n"/>
      <c r="I150" s="75" t="n"/>
      <c r="J150" s="75" t="n"/>
      <c r="K150" s="75" t="n"/>
      <c r="L150" s="75" t="n"/>
      <c r="M150" s="75" t="n"/>
      <c r="N150" s="75" t="n"/>
      <c r="O150" s="75" t="n"/>
      <c r="P150" s="75" t="n"/>
      <c r="Q150" s="75" t="n"/>
      <c r="R150" s="75" t="n"/>
      <c r="S150" s="75" t="n"/>
      <c r="T150" s="75" t="n"/>
      <c r="U150" s="75" t="n"/>
      <c r="V150" s="75" t="n"/>
      <c r="W150" s="75" t="n"/>
      <c r="X150" s="75" t="n"/>
      <c r="Y150" s="75" t="n"/>
      <c r="Z150" s="75" t="n"/>
      <c r="AA150" s="75" t="n"/>
      <c r="AB150" s="75" t="n"/>
      <c r="AC150" s="75" t="n"/>
      <c r="AD150" s="75" t="n"/>
      <c r="AE150" s="75" t="n"/>
      <c r="AF150" s="75" t="n"/>
      <c r="AG150" s="75" t="n"/>
      <c r="AH150" s="75" t="n"/>
      <c r="AI150" s="75" t="n"/>
      <c r="AJ150" s="75" t="n"/>
      <c r="AK150" s="75" t="n"/>
      <c r="AL150" s="75" t="n"/>
      <c r="AM150" s="75" t="n"/>
      <c r="AN150" s="75" t="n"/>
      <c r="AO150" s="75" t="n"/>
      <c r="AP150" s="75" t="n"/>
      <c r="AQ150" s="75" t="n"/>
      <c r="AR150" s="75" t="n"/>
      <c r="AS150" s="75" t="n"/>
      <c r="AT150" s="75" t="n"/>
      <c r="AU150" s="75" t="n"/>
      <c r="AV150" s="75" t="n"/>
      <c r="AW150" s="75" t="n"/>
      <c r="AX150" s="75" t="n"/>
      <c r="AY150" s="75" t="n"/>
      <c r="AZ150" s="75" t="n"/>
      <c r="BA150" s="75" t="n"/>
      <c r="BB150" s="75" t="n"/>
      <c r="BC150" s="75" t="n"/>
      <c r="BD150" s="75" t="n"/>
      <c r="BE150" s="75" t="n"/>
    </row>
    <row r="151" ht="18" customHeight="1">
      <c r="A151" s="49">
        <f>IF('İş Planı'!$C151="","",'İş Planı'!$C151)</f>
        <v/>
      </c>
      <c r="B151" s="49">
        <f>IF('İş Planı'!$B151="","",'İş Planı'!$B151)</f>
        <v/>
      </c>
      <c r="C151" s="63">
        <f>IF('İş Planı'!$H151="","",'İş Planı'!$H151)</f>
        <v/>
      </c>
      <c r="D151" s="63">
        <f>IF('İş Planı'!$L151="","",'İş Planı'!$L151)</f>
        <v/>
      </c>
      <c r="E151" s="62">
        <f>IF('İş Planı'!$N151="","",'İş Planı'!$N151)</f>
        <v/>
      </c>
      <c r="F151" s="75" t="n"/>
      <c r="G151" s="75" t="n"/>
      <c r="H151" s="75" t="n"/>
      <c r="I151" s="75" t="n"/>
      <c r="J151" s="75" t="n"/>
      <c r="K151" s="75" t="n"/>
      <c r="L151" s="75" t="n"/>
      <c r="M151" s="75" t="n"/>
      <c r="N151" s="75" t="n"/>
      <c r="O151" s="75" t="n"/>
      <c r="P151" s="75" t="n"/>
      <c r="Q151" s="75" t="n"/>
      <c r="R151" s="75" t="n"/>
      <c r="S151" s="75" t="n"/>
      <c r="T151" s="75" t="n"/>
      <c r="U151" s="75" t="n"/>
      <c r="V151" s="75" t="n"/>
      <c r="W151" s="75" t="n"/>
      <c r="X151" s="75" t="n"/>
      <c r="Y151" s="75" t="n"/>
      <c r="Z151" s="75" t="n"/>
      <c r="AA151" s="75" t="n"/>
      <c r="AB151" s="75" t="n"/>
      <c r="AC151" s="75" t="n"/>
      <c r="AD151" s="75" t="n"/>
      <c r="AE151" s="75" t="n"/>
      <c r="AF151" s="75" t="n"/>
      <c r="AG151" s="75" t="n"/>
      <c r="AH151" s="75" t="n"/>
      <c r="AI151" s="75" t="n"/>
      <c r="AJ151" s="75" t="n"/>
      <c r="AK151" s="75" t="n"/>
      <c r="AL151" s="75" t="n"/>
      <c r="AM151" s="75" t="n"/>
      <c r="AN151" s="75" t="n"/>
      <c r="AO151" s="75" t="n"/>
      <c r="AP151" s="75" t="n"/>
      <c r="AQ151" s="75" t="n"/>
      <c r="AR151" s="75" t="n"/>
      <c r="AS151" s="75" t="n"/>
      <c r="AT151" s="75" t="n"/>
      <c r="AU151" s="75" t="n"/>
      <c r="AV151" s="75" t="n"/>
      <c r="AW151" s="75" t="n"/>
      <c r="AX151" s="75" t="n"/>
      <c r="AY151" s="75" t="n"/>
      <c r="AZ151" s="75" t="n"/>
      <c r="BA151" s="75" t="n"/>
      <c r="BB151" s="75" t="n"/>
      <c r="BC151" s="75" t="n"/>
      <c r="BD151" s="75" t="n"/>
      <c r="BE151" s="75" t="n"/>
    </row>
    <row r="152" ht="18" customHeight="1">
      <c r="A152" s="49">
        <f>IF('İş Planı'!$C152="","",'İş Planı'!$C152)</f>
        <v/>
      </c>
      <c r="B152" s="49">
        <f>IF('İş Planı'!$B152="","",'İş Planı'!$B152)</f>
        <v/>
      </c>
      <c r="C152" s="63">
        <f>IF('İş Planı'!$H152="","",'İş Planı'!$H152)</f>
        <v/>
      </c>
      <c r="D152" s="63">
        <f>IF('İş Planı'!$L152="","",'İş Planı'!$L152)</f>
        <v/>
      </c>
      <c r="E152" s="62">
        <f>IF('İş Planı'!$N152="","",'İş Planı'!$N152)</f>
        <v/>
      </c>
      <c r="F152" s="75" t="n"/>
      <c r="G152" s="75" t="n"/>
      <c r="H152" s="75" t="n"/>
      <c r="I152" s="75" t="n"/>
      <c r="J152" s="75" t="n"/>
      <c r="K152" s="75" t="n"/>
      <c r="L152" s="75" t="n"/>
      <c r="M152" s="75" t="n"/>
      <c r="N152" s="75" t="n"/>
      <c r="O152" s="75" t="n"/>
      <c r="P152" s="75" t="n"/>
      <c r="Q152" s="75" t="n"/>
      <c r="R152" s="75" t="n"/>
      <c r="S152" s="75" t="n"/>
      <c r="T152" s="75" t="n"/>
      <c r="U152" s="75" t="n"/>
      <c r="V152" s="75" t="n"/>
      <c r="W152" s="75" t="n"/>
      <c r="X152" s="75" t="n"/>
      <c r="Y152" s="75" t="n"/>
      <c r="Z152" s="75" t="n"/>
      <c r="AA152" s="75" t="n"/>
      <c r="AB152" s="75" t="n"/>
      <c r="AC152" s="75" t="n"/>
      <c r="AD152" s="75" t="n"/>
      <c r="AE152" s="75" t="n"/>
      <c r="AF152" s="75" t="n"/>
      <c r="AG152" s="75" t="n"/>
      <c r="AH152" s="75" t="n"/>
      <c r="AI152" s="75" t="n"/>
      <c r="AJ152" s="75" t="n"/>
      <c r="AK152" s="75" t="n"/>
      <c r="AL152" s="75" t="n"/>
      <c r="AM152" s="75" t="n"/>
      <c r="AN152" s="75" t="n"/>
      <c r="AO152" s="75" t="n"/>
      <c r="AP152" s="75" t="n"/>
      <c r="AQ152" s="75" t="n"/>
      <c r="AR152" s="75" t="n"/>
      <c r="AS152" s="75" t="n"/>
      <c r="AT152" s="75" t="n"/>
      <c r="AU152" s="75" t="n"/>
      <c r="AV152" s="75" t="n"/>
      <c r="AW152" s="75" t="n"/>
      <c r="AX152" s="75" t="n"/>
      <c r="AY152" s="75" t="n"/>
      <c r="AZ152" s="75" t="n"/>
      <c r="BA152" s="75" t="n"/>
      <c r="BB152" s="75" t="n"/>
      <c r="BC152" s="75" t="n"/>
      <c r="BD152" s="75" t="n"/>
      <c r="BE152" s="75" t="n"/>
    </row>
    <row r="153" ht="18" customHeight="1">
      <c r="A153" s="49">
        <f>IF('İş Planı'!$C153="","",'İş Planı'!$C153)</f>
        <v/>
      </c>
      <c r="B153" s="49">
        <f>IF('İş Planı'!$B153="","",'İş Planı'!$B153)</f>
        <v/>
      </c>
      <c r="C153" s="63">
        <f>IF('İş Planı'!$H153="","",'İş Planı'!$H153)</f>
        <v/>
      </c>
      <c r="D153" s="63">
        <f>IF('İş Planı'!$L153="","",'İş Planı'!$L153)</f>
        <v/>
      </c>
      <c r="E153" s="62">
        <f>IF('İş Planı'!$N153="","",'İş Planı'!$N153)</f>
        <v/>
      </c>
      <c r="F153" s="75" t="n"/>
      <c r="G153" s="75" t="n"/>
      <c r="H153" s="75" t="n"/>
      <c r="I153" s="75" t="n"/>
      <c r="J153" s="75" t="n"/>
      <c r="K153" s="75" t="n"/>
      <c r="L153" s="75" t="n"/>
      <c r="M153" s="75" t="n"/>
      <c r="N153" s="75" t="n"/>
      <c r="O153" s="75" t="n"/>
      <c r="P153" s="75" t="n"/>
      <c r="Q153" s="75" t="n"/>
      <c r="R153" s="75" t="n"/>
      <c r="S153" s="75" t="n"/>
      <c r="T153" s="75" t="n"/>
      <c r="U153" s="75" t="n"/>
      <c r="V153" s="75" t="n"/>
      <c r="W153" s="75" t="n"/>
      <c r="X153" s="75" t="n"/>
      <c r="Y153" s="75" t="n"/>
      <c r="Z153" s="75" t="n"/>
      <c r="AA153" s="75" t="n"/>
      <c r="AB153" s="75" t="n"/>
      <c r="AC153" s="75" t="n"/>
      <c r="AD153" s="75" t="n"/>
      <c r="AE153" s="75" t="n"/>
      <c r="AF153" s="75" t="n"/>
      <c r="AG153" s="75" t="n"/>
      <c r="AH153" s="75" t="n"/>
      <c r="AI153" s="75" t="n"/>
      <c r="AJ153" s="75" t="n"/>
      <c r="AK153" s="75" t="n"/>
      <c r="AL153" s="75" t="n"/>
      <c r="AM153" s="75" t="n"/>
      <c r="AN153" s="75" t="n"/>
      <c r="AO153" s="75" t="n"/>
      <c r="AP153" s="75" t="n"/>
      <c r="AQ153" s="75" t="n"/>
      <c r="AR153" s="75" t="n"/>
      <c r="AS153" s="75" t="n"/>
      <c r="AT153" s="75" t="n"/>
      <c r="AU153" s="75" t="n"/>
      <c r="AV153" s="75" t="n"/>
      <c r="AW153" s="75" t="n"/>
      <c r="AX153" s="75" t="n"/>
      <c r="AY153" s="75" t="n"/>
      <c r="AZ153" s="75" t="n"/>
      <c r="BA153" s="75" t="n"/>
      <c r="BB153" s="75" t="n"/>
      <c r="BC153" s="75" t="n"/>
      <c r="BD153" s="75" t="n"/>
      <c r="BE153" s="75" t="n"/>
    </row>
    <row r="154" ht="18" customHeight="1">
      <c r="A154" s="49">
        <f>IF('İş Planı'!$C154="","",'İş Planı'!$C154)</f>
        <v/>
      </c>
      <c r="B154" s="49">
        <f>IF('İş Planı'!$B154="","",'İş Planı'!$B154)</f>
        <v/>
      </c>
      <c r="C154" s="63">
        <f>IF('İş Planı'!$H154="","",'İş Planı'!$H154)</f>
        <v/>
      </c>
      <c r="D154" s="63">
        <f>IF('İş Planı'!$L154="","",'İş Planı'!$L154)</f>
        <v/>
      </c>
      <c r="E154" s="62">
        <f>IF('İş Planı'!$N154="","",'İş Planı'!$N154)</f>
        <v/>
      </c>
      <c r="F154" s="75" t="n"/>
      <c r="G154" s="75" t="n"/>
      <c r="H154" s="75" t="n"/>
      <c r="I154" s="75" t="n"/>
      <c r="J154" s="75" t="n"/>
      <c r="K154" s="75" t="n"/>
      <c r="L154" s="75" t="n"/>
      <c r="M154" s="75" t="n"/>
      <c r="N154" s="75" t="n"/>
      <c r="O154" s="75" t="n"/>
      <c r="P154" s="75" t="n"/>
      <c r="Q154" s="75" t="n"/>
      <c r="R154" s="75" t="n"/>
      <c r="S154" s="75" t="n"/>
      <c r="T154" s="75" t="n"/>
      <c r="U154" s="75" t="n"/>
      <c r="V154" s="75" t="n"/>
      <c r="W154" s="75" t="n"/>
      <c r="X154" s="75" t="n"/>
      <c r="Y154" s="75" t="n"/>
      <c r="Z154" s="75" t="n"/>
      <c r="AA154" s="75" t="n"/>
      <c r="AB154" s="75" t="n"/>
      <c r="AC154" s="75" t="n"/>
      <c r="AD154" s="75" t="n"/>
      <c r="AE154" s="75" t="n"/>
      <c r="AF154" s="75" t="n"/>
      <c r="AG154" s="75" t="n"/>
      <c r="AH154" s="75" t="n"/>
      <c r="AI154" s="75" t="n"/>
      <c r="AJ154" s="75" t="n"/>
      <c r="AK154" s="75" t="n"/>
      <c r="AL154" s="75" t="n"/>
      <c r="AM154" s="75" t="n"/>
      <c r="AN154" s="75" t="n"/>
      <c r="AO154" s="75" t="n"/>
      <c r="AP154" s="75" t="n"/>
      <c r="AQ154" s="75" t="n"/>
      <c r="AR154" s="75" t="n"/>
      <c r="AS154" s="75" t="n"/>
      <c r="AT154" s="75" t="n"/>
      <c r="AU154" s="75" t="n"/>
      <c r="AV154" s="75" t="n"/>
      <c r="AW154" s="75" t="n"/>
      <c r="AX154" s="75" t="n"/>
      <c r="AY154" s="75" t="n"/>
      <c r="AZ154" s="75" t="n"/>
      <c r="BA154" s="75" t="n"/>
      <c r="BB154" s="75" t="n"/>
      <c r="BC154" s="75" t="n"/>
      <c r="BD154" s="75" t="n"/>
      <c r="BE154" s="75" t="n"/>
    </row>
    <row r="155" ht="18" customHeight="1">
      <c r="A155" s="49">
        <f>IF('İş Planı'!$C155="","",'İş Planı'!$C155)</f>
        <v/>
      </c>
      <c r="B155" s="49">
        <f>IF('İş Planı'!$B155="","",'İş Planı'!$B155)</f>
        <v/>
      </c>
      <c r="C155" s="63">
        <f>IF('İş Planı'!$H155="","",'İş Planı'!$H155)</f>
        <v/>
      </c>
      <c r="D155" s="63">
        <f>IF('İş Planı'!$L155="","",'İş Planı'!$L155)</f>
        <v/>
      </c>
      <c r="E155" s="62">
        <f>IF('İş Planı'!$N155="","",'İş Planı'!$N155)</f>
        <v/>
      </c>
      <c r="F155" s="75" t="n"/>
      <c r="G155" s="75" t="n"/>
      <c r="H155" s="75" t="n"/>
      <c r="I155" s="75" t="n"/>
      <c r="J155" s="75" t="n"/>
      <c r="K155" s="75" t="n"/>
      <c r="L155" s="75" t="n"/>
      <c r="M155" s="75" t="n"/>
      <c r="N155" s="75" t="n"/>
      <c r="O155" s="75" t="n"/>
      <c r="P155" s="75" t="n"/>
      <c r="Q155" s="75" t="n"/>
      <c r="R155" s="75" t="n"/>
      <c r="S155" s="75" t="n"/>
      <c r="T155" s="75" t="n"/>
      <c r="U155" s="75" t="n"/>
      <c r="V155" s="75" t="n"/>
      <c r="W155" s="75" t="n"/>
      <c r="X155" s="75" t="n"/>
      <c r="Y155" s="75" t="n"/>
      <c r="Z155" s="75" t="n"/>
      <c r="AA155" s="75" t="n"/>
      <c r="AB155" s="75" t="n"/>
      <c r="AC155" s="75" t="n"/>
      <c r="AD155" s="75" t="n"/>
      <c r="AE155" s="75" t="n"/>
      <c r="AF155" s="75" t="n"/>
      <c r="AG155" s="75" t="n"/>
      <c r="AH155" s="75" t="n"/>
      <c r="AI155" s="75" t="n"/>
      <c r="AJ155" s="75" t="n"/>
      <c r="AK155" s="75" t="n"/>
      <c r="AL155" s="75" t="n"/>
      <c r="AM155" s="75" t="n"/>
      <c r="AN155" s="75" t="n"/>
      <c r="AO155" s="75" t="n"/>
      <c r="AP155" s="75" t="n"/>
      <c r="AQ155" s="75" t="n"/>
      <c r="AR155" s="75" t="n"/>
      <c r="AS155" s="75" t="n"/>
      <c r="AT155" s="75" t="n"/>
      <c r="AU155" s="75" t="n"/>
      <c r="AV155" s="75" t="n"/>
      <c r="AW155" s="75" t="n"/>
      <c r="AX155" s="75" t="n"/>
      <c r="AY155" s="75" t="n"/>
      <c r="AZ155" s="75" t="n"/>
      <c r="BA155" s="75" t="n"/>
      <c r="BB155" s="75" t="n"/>
      <c r="BC155" s="75" t="n"/>
      <c r="BD155" s="75" t="n"/>
      <c r="BE155" s="75" t="n"/>
    </row>
    <row r="156" ht="18" customHeight="1">
      <c r="A156" s="49">
        <f>IF('İş Planı'!$C156="","",'İş Planı'!$C156)</f>
        <v/>
      </c>
      <c r="B156" s="49">
        <f>IF('İş Planı'!$B156="","",'İş Planı'!$B156)</f>
        <v/>
      </c>
      <c r="C156" s="63">
        <f>IF('İş Planı'!$H156="","",'İş Planı'!$H156)</f>
        <v/>
      </c>
      <c r="D156" s="63">
        <f>IF('İş Planı'!$L156="","",'İş Planı'!$L156)</f>
        <v/>
      </c>
      <c r="E156" s="62">
        <f>IF('İş Planı'!$N156="","",'İş Planı'!$N156)</f>
        <v/>
      </c>
      <c r="F156" s="75" t="n"/>
      <c r="G156" s="75" t="n"/>
      <c r="H156" s="75" t="n"/>
      <c r="I156" s="75" t="n"/>
      <c r="J156" s="75" t="n"/>
      <c r="K156" s="75" t="n"/>
      <c r="L156" s="75" t="n"/>
      <c r="M156" s="75" t="n"/>
      <c r="N156" s="75" t="n"/>
      <c r="O156" s="75" t="n"/>
      <c r="P156" s="75" t="n"/>
      <c r="Q156" s="75" t="n"/>
      <c r="R156" s="75" t="n"/>
      <c r="S156" s="75" t="n"/>
      <c r="T156" s="75" t="n"/>
      <c r="U156" s="75" t="n"/>
      <c r="V156" s="75" t="n"/>
      <c r="W156" s="75" t="n"/>
      <c r="X156" s="75" t="n"/>
      <c r="Y156" s="75" t="n"/>
      <c r="Z156" s="75" t="n"/>
      <c r="AA156" s="75" t="n"/>
      <c r="AB156" s="75" t="n"/>
      <c r="AC156" s="75" t="n"/>
      <c r="AD156" s="75" t="n"/>
      <c r="AE156" s="75" t="n"/>
      <c r="AF156" s="75" t="n"/>
      <c r="AG156" s="75" t="n"/>
      <c r="AH156" s="75" t="n"/>
      <c r="AI156" s="75" t="n"/>
      <c r="AJ156" s="75" t="n"/>
      <c r="AK156" s="75" t="n"/>
      <c r="AL156" s="75" t="n"/>
      <c r="AM156" s="75" t="n"/>
      <c r="AN156" s="75" t="n"/>
      <c r="AO156" s="75" t="n"/>
      <c r="AP156" s="75" t="n"/>
      <c r="AQ156" s="75" t="n"/>
      <c r="AR156" s="75" t="n"/>
      <c r="AS156" s="75" t="n"/>
      <c r="AT156" s="75" t="n"/>
      <c r="AU156" s="75" t="n"/>
      <c r="AV156" s="75" t="n"/>
      <c r="AW156" s="75" t="n"/>
      <c r="AX156" s="75" t="n"/>
      <c r="AY156" s="75" t="n"/>
      <c r="AZ156" s="75" t="n"/>
      <c r="BA156" s="75" t="n"/>
      <c r="BB156" s="75" t="n"/>
      <c r="BC156" s="75" t="n"/>
      <c r="BD156" s="75" t="n"/>
      <c r="BE156" s="75" t="n"/>
    </row>
    <row r="157" ht="18" customHeight="1">
      <c r="A157" s="49">
        <f>IF('İş Planı'!$C157="","",'İş Planı'!$C157)</f>
        <v/>
      </c>
      <c r="B157" s="49">
        <f>IF('İş Planı'!$B157="","",'İş Planı'!$B157)</f>
        <v/>
      </c>
      <c r="C157" s="63">
        <f>IF('İş Planı'!$H157="","",'İş Planı'!$H157)</f>
        <v/>
      </c>
      <c r="D157" s="63">
        <f>IF('İş Planı'!$L157="","",'İş Planı'!$L157)</f>
        <v/>
      </c>
      <c r="E157" s="62">
        <f>IF('İş Planı'!$N157="","",'İş Planı'!$N157)</f>
        <v/>
      </c>
      <c r="F157" s="75" t="n"/>
      <c r="G157" s="75" t="n"/>
      <c r="H157" s="75" t="n"/>
      <c r="I157" s="75" t="n"/>
      <c r="J157" s="75" t="n"/>
      <c r="K157" s="75" t="n"/>
      <c r="L157" s="75" t="n"/>
      <c r="M157" s="75" t="n"/>
      <c r="N157" s="75" t="n"/>
      <c r="O157" s="75" t="n"/>
      <c r="P157" s="75" t="n"/>
      <c r="Q157" s="75" t="n"/>
      <c r="R157" s="75" t="n"/>
      <c r="S157" s="75" t="n"/>
      <c r="T157" s="75" t="n"/>
      <c r="U157" s="75" t="n"/>
      <c r="V157" s="75" t="n"/>
      <c r="W157" s="75" t="n"/>
      <c r="X157" s="75" t="n"/>
      <c r="Y157" s="75" t="n"/>
      <c r="Z157" s="75" t="n"/>
      <c r="AA157" s="75" t="n"/>
      <c r="AB157" s="75" t="n"/>
      <c r="AC157" s="75" t="n"/>
      <c r="AD157" s="75" t="n"/>
      <c r="AE157" s="75" t="n"/>
      <c r="AF157" s="75" t="n"/>
      <c r="AG157" s="75" t="n"/>
      <c r="AH157" s="75" t="n"/>
      <c r="AI157" s="75" t="n"/>
      <c r="AJ157" s="75" t="n"/>
      <c r="AK157" s="75" t="n"/>
      <c r="AL157" s="75" t="n"/>
      <c r="AM157" s="75" t="n"/>
      <c r="AN157" s="75" t="n"/>
      <c r="AO157" s="75" t="n"/>
      <c r="AP157" s="75" t="n"/>
      <c r="AQ157" s="75" t="n"/>
      <c r="AR157" s="75" t="n"/>
      <c r="AS157" s="75" t="n"/>
      <c r="AT157" s="75" t="n"/>
      <c r="AU157" s="75" t="n"/>
      <c r="AV157" s="75" t="n"/>
      <c r="AW157" s="75" t="n"/>
      <c r="AX157" s="75" t="n"/>
      <c r="AY157" s="75" t="n"/>
      <c r="AZ157" s="75" t="n"/>
      <c r="BA157" s="75" t="n"/>
      <c r="BB157" s="75" t="n"/>
      <c r="BC157" s="75" t="n"/>
      <c r="BD157" s="75" t="n"/>
      <c r="BE157" s="75" t="n"/>
    </row>
    <row r="158" ht="18" customHeight="1">
      <c r="A158" s="49">
        <f>IF('İş Planı'!$C158="","",'İş Planı'!$C158)</f>
        <v/>
      </c>
      <c r="B158" s="49">
        <f>IF('İş Planı'!$B158="","",'İş Planı'!$B158)</f>
        <v/>
      </c>
      <c r="C158" s="63">
        <f>IF('İş Planı'!$H158="","",'İş Planı'!$H158)</f>
        <v/>
      </c>
      <c r="D158" s="63">
        <f>IF('İş Planı'!$L158="","",'İş Planı'!$L158)</f>
        <v/>
      </c>
      <c r="E158" s="62">
        <f>IF('İş Planı'!$N158="","",'İş Planı'!$N158)</f>
        <v/>
      </c>
      <c r="F158" s="75" t="n"/>
      <c r="G158" s="75" t="n"/>
      <c r="H158" s="75" t="n"/>
      <c r="I158" s="75" t="n"/>
      <c r="J158" s="75" t="n"/>
      <c r="K158" s="75" t="n"/>
      <c r="L158" s="75" t="n"/>
      <c r="M158" s="75" t="n"/>
      <c r="N158" s="75" t="n"/>
      <c r="O158" s="75" t="n"/>
      <c r="P158" s="75" t="n"/>
      <c r="Q158" s="75" t="n"/>
      <c r="R158" s="75" t="n"/>
      <c r="S158" s="75" t="n"/>
      <c r="T158" s="75" t="n"/>
      <c r="U158" s="75" t="n"/>
      <c r="V158" s="75" t="n"/>
      <c r="W158" s="75" t="n"/>
      <c r="X158" s="75" t="n"/>
      <c r="Y158" s="75" t="n"/>
      <c r="Z158" s="75" t="n"/>
      <c r="AA158" s="75" t="n"/>
      <c r="AB158" s="75" t="n"/>
      <c r="AC158" s="75" t="n"/>
      <c r="AD158" s="75" t="n"/>
      <c r="AE158" s="75" t="n"/>
      <c r="AF158" s="75" t="n"/>
      <c r="AG158" s="75" t="n"/>
      <c r="AH158" s="75" t="n"/>
      <c r="AI158" s="75" t="n"/>
      <c r="AJ158" s="75" t="n"/>
      <c r="AK158" s="75" t="n"/>
      <c r="AL158" s="75" t="n"/>
      <c r="AM158" s="75" t="n"/>
      <c r="AN158" s="75" t="n"/>
      <c r="AO158" s="75" t="n"/>
      <c r="AP158" s="75" t="n"/>
      <c r="AQ158" s="75" t="n"/>
      <c r="AR158" s="75" t="n"/>
      <c r="AS158" s="75" t="n"/>
      <c r="AT158" s="75" t="n"/>
      <c r="AU158" s="75" t="n"/>
      <c r="AV158" s="75" t="n"/>
      <c r="AW158" s="75" t="n"/>
      <c r="AX158" s="75" t="n"/>
      <c r="AY158" s="75" t="n"/>
      <c r="AZ158" s="75" t="n"/>
      <c r="BA158" s="75" t="n"/>
      <c r="BB158" s="75" t="n"/>
      <c r="BC158" s="75" t="n"/>
      <c r="BD158" s="75" t="n"/>
      <c r="BE158" s="75" t="n"/>
    </row>
    <row r="159" ht="18" customHeight="1">
      <c r="A159" s="49">
        <f>IF('İş Planı'!$C159="","",'İş Planı'!$C159)</f>
        <v/>
      </c>
      <c r="B159" s="49">
        <f>IF('İş Planı'!$B159="","",'İş Planı'!$B159)</f>
        <v/>
      </c>
      <c r="C159" s="63">
        <f>IF('İş Planı'!$H159="","",'İş Planı'!$H159)</f>
        <v/>
      </c>
      <c r="D159" s="63">
        <f>IF('İş Planı'!$L159="","",'İş Planı'!$L159)</f>
        <v/>
      </c>
      <c r="E159" s="62">
        <f>IF('İş Planı'!$N159="","",'İş Planı'!$N159)</f>
        <v/>
      </c>
      <c r="F159" s="75" t="n"/>
      <c r="G159" s="75" t="n"/>
      <c r="H159" s="75" t="n"/>
      <c r="I159" s="75" t="n"/>
      <c r="J159" s="75" t="n"/>
      <c r="K159" s="75" t="n"/>
      <c r="L159" s="75" t="n"/>
      <c r="M159" s="75" t="n"/>
      <c r="N159" s="75" t="n"/>
      <c r="O159" s="75" t="n"/>
      <c r="P159" s="75" t="n"/>
      <c r="Q159" s="75" t="n"/>
      <c r="R159" s="75" t="n"/>
      <c r="S159" s="75" t="n"/>
      <c r="T159" s="75" t="n"/>
      <c r="U159" s="75" t="n"/>
      <c r="V159" s="75" t="n"/>
      <c r="W159" s="75" t="n"/>
      <c r="X159" s="75" t="n"/>
      <c r="Y159" s="75" t="n"/>
      <c r="Z159" s="75" t="n"/>
      <c r="AA159" s="75" t="n"/>
      <c r="AB159" s="75" t="n"/>
      <c r="AC159" s="75" t="n"/>
      <c r="AD159" s="75" t="n"/>
      <c r="AE159" s="75" t="n"/>
      <c r="AF159" s="75" t="n"/>
      <c r="AG159" s="75" t="n"/>
      <c r="AH159" s="75" t="n"/>
      <c r="AI159" s="75" t="n"/>
      <c r="AJ159" s="75" t="n"/>
      <c r="AK159" s="75" t="n"/>
      <c r="AL159" s="75" t="n"/>
      <c r="AM159" s="75" t="n"/>
      <c r="AN159" s="75" t="n"/>
      <c r="AO159" s="75" t="n"/>
      <c r="AP159" s="75" t="n"/>
      <c r="AQ159" s="75" t="n"/>
      <c r="AR159" s="75" t="n"/>
      <c r="AS159" s="75" t="n"/>
      <c r="AT159" s="75" t="n"/>
      <c r="AU159" s="75" t="n"/>
      <c r="AV159" s="75" t="n"/>
      <c r="AW159" s="75" t="n"/>
      <c r="AX159" s="75" t="n"/>
      <c r="AY159" s="75" t="n"/>
      <c r="AZ159" s="75" t="n"/>
      <c r="BA159" s="75" t="n"/>
      <c r="BB159" s="75" t="n"/>
      <c r="BC159" s="75" t="n"/>
      <c r="BD159" s="75" t="n"/>
      <c r="BE159" s="75" t="n"/>
    </row>
    <row r="160" ht="18" customHeight="1">
      <c r="A160" s="49">
        <f>IF('İş Planı'!$C160="","",'İş Planı'!$C160)</f>
        <v/>
      </c>
      <c r="B160" s="49">
        <f>IF('İş Planı'!$B160="","",'İş Planı'!$B160)</f>
        <v/>
      </c>
      <c r="C160" s="63">
        <f>IF('İş Planı'!$H160="","",'İş Planı'!$H160)</f>
        <v/>
      </c>
      <c r="D160" s="63">
        <f>IF('İş Planı'!$L160="","",'İş Planı'!$L160)</f>
        <v/>
      </c>
      <c r="E160" s="62">
        <f>IF('İş Planı'!$N160="","",'İş Planı'!$N160)</f>
        <v/>
      </c>
      <c r="F160" s="75" t="n"/>
      <c r="G160" s="75" t="n"/>
      <c r="H160" s="75" t="n"/>
      <c r="I160" s="75" t="n"/>
      <c r="J160" s="75" t="n"/>
      <c r="K160" s="75" t="n"/>
      <c r="L160" s="75" t="n"/>
      <c r="M160" s="75" t="n"/>
      <c r="N160" s="75" t="n"/>
      <c r="O160" s="75" t="n"/>
      <c r="P160" s="75" t="n"/>
      <c r="Q160" s="75" t="n"/>
      <c r="R160" s="75" t="n"/>
      <c r="S160" s="75" t="n"/>
      <c r="T160" s="75" t="n"/>
      <c r="U160" s="75" t="n"/>
      <c r="V160" s="75" t="n"/>
      <c r="W160" s="75" t="n"/>
      <c r="X160" s="75" t="n"/>
      <c r="Y160" s="75" t="n"/>
      <c r="Z160" s="75" t="n"/>
      <c r="AA160" s="75" t="n"/>
      <c r="AB160" s="75" t="n"/>
      <c r="AC160" s="75" t="n"/>
      <c r="AD160" s="75" t="n"/>
      <c r="AE160" s="75" t="n"/>
      <c r="AF160" s="75" t="n"/>
      <c r="AG160" s="75" t="n"/>
      <c r="AH160" s="75" t="n"/>
      <c r="AI160" s="75" t="n"/>
      <c r="AJ160" s="75" t="n"/>
      <c r="AK160" s="75" t="n"/>
      <c r="AL160" s="75" t="n"/>
      <c r="AM160" s="75" t="n"/>
      <c r="AN160" s="75" t="n"/>
      <c r="AO160" s="75" t="n"/>
      <c r="AP160" s="75" t="n"/>
      <c r="AQ160" s="75" t="n"/>
      <c r="AR160" s="75" t="n"/>
      <c r="AS160" s="75" t="n"/>
      <c r="AT160" s="75" t="n"/>
      <c r="AU160" s="75" t="n"/>
      <c r="AV160" s="75" t="n"/>
      <c r="AW160" s="75" t="n"/>
      <c r="AX160" s="75" t="n"/>
      <c r="AY160" s="75" t="n"/>
      <c r="AZ160" s="75" t="n"/>
      <c r="BA160" s="75" t="n"/>
      <c r="BB160" s="75" t="n"/>
      <c r="BC160" s="75" t="n"/>
      <c r="BD160" s="75" t="n"/>
      <c r="BE160" s="75" t="n"/>
    </row>
    <row r="161" ht="18" customHeight="1">
      <c r="A161" s="49">
        <f>IF('İş Planı'!$C161="","",'İş Planı'!$C161)</f>
        <v/>
      </c>
      <c r="B161" s="49">
        <f>IF('İş Planı'!$B161="","",'İş Planı'!$B161)</f>
        <v/>
      </c>
      <c r="C161" s="63">
        <f>IF('İş Planı'!$H161="","",'İş Planı'!$H161)</f>
        <v/>
      </c>
      <c r="D161" s="63">
        <f>IF('İş Planı'!$L161="","",'İş Planı'!$L161)</f>
        <v/>
      </c>
      <c r="E161" s="62">
        <f>IF('İş Planı'!$N161="","",'İş Planı'!$N161)</f>
        <v/>
      </c>
      <c r="F161" s="75" t="n"/>
      <c r="G161" s="75" t="n"/>
      <c r="H161" s="75" t="n"/>
      <c r="I161" s="75" t="n"/>
      <c r="J161" s="75" t="n"/>
      <c r="K161" s="75" t="n"/>
      <c r="L161" s="75" t="n"/>
      <c r="M161" s="75" t="n"/>
      <c r="N161" s="75" t="n"/>
      <c r="O161" s="75" t="n"/>
      <c r="P161" s="75" t="n"/>
      <c r="Q161" s="75" t="n"/>
      <c r="R161" s="75" t="n"/>
      <c r="S161" s="75" t="n"/>
      <c r="T161" s="75" t="n"/>
      <c r="U161" s="75" t="n"/>
      <c r="V161" s="75" t="n"/>
      <c r="W161" s="75" t="n"/>
      <c r="X161" s="75" t="n"/>
      <c r="Y161" s="75" t="n"/>
      <c r="Z161" s="75" t="n"/>
      <c r="AA161" s="75" t="n"/>
      <c r="AB161" s="75" t="n"/>
      <c r="AC161" s="75" t="n"/>
      <c r="AD161" s="75" t="n"/>
      <c r="AE161" s="75" t="n"/>
      <c r="AF161" s="75" t="n"/>
      <c r="AG161" s="75" t="n"/>
      <c r="AH161" s="75" t="n"/>
      <c r="AI161" s="75" t="n"/>
      <c r="AJ161" s="75" t="n"/>
      <c r="AK161" s="75" t="n"/>
      <c r="AL161" s="75" t="n"/>
      <c r="AM161" s="75" t="n"/>
      <c r="AN161" s="75" t="n"/>
      <c r="AO161" s="75" t="n"/>
      <c r="AP161" s="75" t="n"/>
      <c r="AQ161" s="75" t="n"/>
      <c r="AR161" s="75" t="n"/>
      <c r="AS161" s="75" t="n"/>
      <c r="AT161" s="75" t="n"/>
      <c r="AU161" s="75" t="n"/>
      <c r="AV161" s="75" t="n"/>
      <c r="AW161" s="75" t="n"/>
      <c r="AX161" s="75" t="n"/>
      <c r="AY161" s="75" t="n"/>
      <c r="AZ161" s="75" t="n"/>
      <c r="BA161" s="75" t="n"/>
      <c r="BB161" s="75" t="n"/>
      <c r="BC161" s="75" t="n"/>
      <c r="BD161" s="75" t="n"/>
      <c r="BE161" s="75" t="n"/>
    </row>
    <row r="162" ht="18" customHeight="1">
      <c r="A162" s="49">
        <f>IF('İş Planı'!$C162="","",'İş Planı'!$C162)</f>
        <v/>
      </c>
      <c r="B162" s="49">
        <f>IF('İş Planı'!$B162="","",'İş Planı'!$B162)</f>
        <v/>
      </c>
      <c r="C162" s="63">
        <f>IF('İş Planı'!$H162="","",'İş Planı'!$H162)</f>
        <v/>
      </c>
      <c r="D162" s="63">
        <f>IF('İş Planı'!$L162="","",'İş Planı'!$L162)</f>
        <v/>
      </c>
      <c r="E162" s="62">
        <f>IF('İş Planı'!$N162="","",'İş Planı'!$N162)</f>
        <v/>
      </c>
      <c r="F162" s="75" t="n"/>
      <c r="G162" s="75" t="n"/>
      <c r="H162" s="75" t="n"/>
      <c r="I162" s="75" t="n"/>
      <c r="J162" s="75" t="n"/>
      <c r="K162" s="75" t="n"/>
      <c r="L162" s="75" t="n"/>
      <c r="M162" s="75" t="n"/>
      <c r="N162" s="75" t="n"/>
      <c r="O162" s="75" t="n"/>
      <c r="P162" s="75" t="n"/>
      <c r="Q162" s="75" t="n"/>
      <c r="R162" s="75" t="n"/>
      <c r="S162" s="75" t="n"/>
      <c r="T162" s="75" t="n"/>
      <c r="U162" s="75" t="n"/>
      <c r="V162" s="75" t="n"/>
      <c r="W162" s="75" t="n"/>
      <c r="X162" s="75" t="n"/>
      <c r="Y162" s="75" t="n"/>
      <c r="Z162" s="75" t="n"/>
      <c r="AA162" s="75" t="n"/>
      <c r="AB162" s="75" t="n"/>
      <c r="AC162" s="75" t="n"/>
      <c r="AD162" s="75" t="n"/>
      <c r="AE162" s="75" t="n"/>
      <c r="AF162" s="75" t="n"/>
      <c r="AG162" s="75" t="n"/>
      <c r="AH162" s="75" t="n"/>
      <c r="AI162" s="75" t="n"/>
      <c r="AJ162" s="75" t="n"/>
      <c r="AK162" s="75" t="n"/>
      <c r="AL162" s="75" t="n"/>
      <c r="AM162" s="75" t="n"/>
      <c r="AN162" s="75" t="n"/>
      <c r="AO162" s="75" t="n"/>
      <c r="AP162" s="75" t="n"/>
      <c r="AQ162" s="75" t="n"/>
      <c r="AR162" s="75" t="n"/>
      <c r="AS162" s="75" t="n"/>
      <c r="AT162" s="75" t="n"/>
      <c r="AU162" s="75" t="n"/>
      <c r="AV162" s="75" t="n"/>
      <c r="AW162" s="75" t="n"/>
      <c r="AX162" s="75" t="n"/>
      <c r="AY162" s="75" t="n"/>
      <c r="AZ162" s="75" t="n"/>
      <c r="BA162" s="75" t="n"/>
      <c r="BB162" s="75" t="n"/>
      <c r="BC162" s="75" t="n"/>
      <c r="BD162" s="75" t="n"/>
      <c r="BE162" s="75" t="n"/>
    </row>
    <row r="163" ht="18" customHeight="1">
      <c r="A163" s="49">
        <f>IF('İş Planı'!$C163="","",'İş Planı'!$C163)</f>
        <v/>
      </c>
      <c r="B163" s="49">
        <f>IF('İş Planı'!$B163="","",'İş Planı'!$B163)</f>
        <v/>
      </c>
      <c r="C163" s="63">
        <f>IF('İş Planı'!$H163="","",'İş Planı'!$H163)</f>
        <v/>
      </c>
      <c r="D163" s="63">
        <f>IF('İş Planı'!$L163="","",'İş Planı'!$L163)</f>
        <v/>
      </c>
      <c r="E163" s="62">
        <f>IF('İş Planı'!$N163="","",'İş Planı'!$N163)</f>
        <v/>
      </c>
      <c r="F163" s="75" t="n"/>
      <c r="G163" s="75" t="n"/>
      <c r="H163" s="75" t="n"/>
      <c r="I163" s="75" t="n"/>
      <c r="J163" s="75" t="n"/>
      <c r="K163" s="75" t="n"/>
      <c r="L163" s="75" t="n"/>
      <c r="M163" s="75" t="n"/>
      <c r="N163" s="75" t="n"/>
      <c r="O163" s="75" t="n"/>
      <c r="P163" s="75" t="n"/>
      <c r="Q163" s="75" t="n"/>
      <c r="R163" s="75" t="n"/>
      <c r="S163" s="75" t="n"/>
      <c r="T163" s="75" t="n"/>
      <c r="U163" s="75" t="n"/>
      <c r="V163" s="75" t="n"/>
      <c r="W163" s="75" t="n"/>
      <c r="X163" s="75" t="n"/>
      <c r="Y163" s="75" t="n"/>
      <c r="Z163" s="75" t="n"/>
      <c r="AA163" s="75" t="n"/>
      <c r="AB163" s="75" t="n"/>
      <c r="AC163" s="75" t="n"/>
      <c r="AD163" s="75" t="n"/>
      <c r="AE163" s="75" t="n"/>
      <c r="AF163" s="75" t="n"/>
      <c r="AG163" s="75" t="n"/>
      <c r="AH163" s="75" t="n"/>
      <c r="AI163" s="75" t="n"/>
      <c r="AJ163" s="75" t="n"/>
      <c r="AK163" s="75" t="n"/>
      <c r="AL163" s="75" t="n"/>
      <c r="AM163" s="75" t="n"/>
      <c r="AN163" s="75" t="n"/>
      <c r="AO163" s="75" t="n"/>
      <c r="AP163" s="75" t="n"/>
      <c r="AQ163" s="75" t="n"/>
      <c r="AR163" s="75" t="n"/>
      <c r="AS163" s="75" t="n"/>
      <c r="AT163" s="75" t="n"/>
      <c r="AU163" s="75" t="n"/>
      <c r="AV163" s="75" t="n"/>
      <c r="AW163" s="75" t="n"/>
      <c r="AX163" s="75" t="n"/>
      <c r="AY163" s="75" t="n"/>
      <c r="AZ163" s="75" t="n"/>
      <c r="BA163" s="75" t="n"/>
      <c r="BB163" s="75" t="n"/>
      <c r="BC163" s="75" t="n"/>
      <c r="BD163" s="75" t="n"/>
      <c r="BE163" s="75" t="n"/>
    </row>
    <row r="164" ht="18" customHeight="1">
      <c r="A164" s="49">
        <f>IF('İş Planı'!$C164="","",'İş Planı'!$C164)</f>
        <v/>
      </c>
      <c r="B164" s="49">
        <f>IF('İş Planı'!$B164="","",'İş Planı'!$B164)</f>
        <v/>
      </c>
      <c r="C164" s="63">
        <f>IF('İş Planı'!$H164="","",'İş Planı'!$H164)</f>
        <v/>
      </c>
      <c r="D164" s="63">
        <f>IF('İş Planı'!$L164="","",'İş Planı'!$L164)</f>
        <v/>
      </c>
      <c r="E164" s="62">
        <f>IF('İş Planı'!$N164="","",'İş Planı'!$N164)</f>
        <v/>
      </c>
      <c r="F164" s="75" t="n"/>
      <c r="G164" s="75" t="n"/>
      <c r="H164" s="75" t="n"/>
      <c r="I164" s="75" t="n"/>
      <c r="J164" s="75" t="n"/>
      <c r="K164" s="75" t="n"/>
      <c r="L164" s="75" t="n"/>
      <c r="M164" s="75" t="n"/>
      <c r="N164" s="75" t="n"/>
      <c r="O164" s="75" t="n"/>
      <c r="P164" s="75" t="n"/>
      <c r="Q164" s="75" t="n"/>
      <c r="R164" s="75" t="n"/>
      <c r="S164" s="75" t="n"/>
      <c r="T164" s="75" t="n"/>
      <c r="U164" s="75" t="n"/>
      <c r="V164" s="75" t="n"/>
      <c r="W164" s="75" t="n"/>
      <c r="X164" s="75" t="n"/>
      <c r="Y164" s="75" t="n"/>
      <c r="Z164" s="75" t="n"/>
      <c r="AA164" s="75" t="n"/>
      <c r="AB164" s="75" t="n"/>
      <c r="AC164" s="75" t="n"/>
      <c r="AD164" s="75" t="n"/>
      <c r="AE164" s="75" t="n"/>
      <c r="AF164" s="75" t="n"/>
      <c r="AG164" s="75" t="n"/>
      <c r="AH164" s="75" t="n"/>
      <c r="AI164" s="75" t="n"/>
      <c r="AJ164" s="75" t="n"/>
      <c r="AK164" s="75" t="n"/>
      <c r="AL164" s="75" t="n"/>
      <c r="AM164" s="75" t="n"/>
      <c r="AN164" s="75" t="n"/>
      <c r="AO164" s="75" t="n"/>
      <c r="AP164" s="75" t="n"/>
      <c r="AQ164" s="75" t="n"/>
      <c r="AR164" s="75" t="n"/>
      <c r="AS164" s="75" t="n"/>
      <c r="AT164" s="75" t="n"/>
      <c r="AU164" s="75" t="n"/>
      <c r="AV164" s="75" t="n"/>
      <c r="AW164" s="75" t="n"/>
      <c r="AX164" s="75" t="n"/>
      <c r="AY164" s="75" t="n"/>
      <c r="AZ164" s="75" t="n"/>
      <c r="BA164" s="75" t="n"/>
      <c r="BB164" s="75" t="n"/>
      <c r="BC164" s="75" t="n"/>
      <c r="BD164" s="75" t="n"/>
      <c r="BE164" s="75" t="n"/>
    </row>
    <row r="165" ht="18" customHeight="1">
      <c r="A165" s="49">
        <f>IF('İş Planı'!$C165="","",'İş Planı'!$C165)</f>
        <v/>
      </c>
      <c r="B165" s="49">
        <f>IF('İş Planı'!$B165="","",'İş Planı'!$B165)</f>
        <v/>
      </c>
      <c r="C165" s="63">
        <f>IF('İş Planı'!$H165="","",'İş Planı'!$H165)</f>
        <v/>
      </c>
      <c r="D165" s="63">
        <f>IF('İş Planı'!$L165="","",'İş Planı'!$L165)</f>
        <v/>
      </c>
      <c r="E165" s="62">
        <f>IF('İş Planı'!$N165="","",'İş Planı'!$N165)</f>
        <v/>
      </c>
      <c r="F165" s="75" t="n"/>
      <c r="G165" s="75" t="n"/>
      <c r="H165" s="75" t="n"/>
      <c r="I165" s="75" t="n"/>
      <c r="J165" s="75" t="n"/>
      <c r="K165" s="75" t="n"/>
      <c r="L165" s="75" t="n"/>
      <c r="M165" s="75" t="n"/>
      <c r="N165" s="75" t="n"/>
      <c r="O165" s="75" t="n"/>
      <c r="P165" s="75" t="n"/>
      <c r="Q165" s="75" t="n"/>
      <c r="R165" s="75" t="n"/>
      <c r="S165" s="75" t="n"/>
      <c r="T165" s="75" t="n"/>
      <c r="U165" s="75" t="n"/>
      <c r="V165" s="75" t="n"/>
      <c r="W165" s="75" t="n"/>
      <c r="X165" s="75" t="n"/>
      <c r="Y165" s="75" t="n"/>
      <c r="Z165" s="75" t="n"/>
      <c r="AA165" s="75" t="n"/>
      <c r="AB165" s="75" t="n"/>
      <c r="AC165" s="75" t="n"/>
      <c r="AD165" s="75" t="n"/>
      <c r="AE165" s="75" t="n"/>
      <c r="AF165" s="75" t="n"/>
      <c r="AG165" s="75" t="n"/>
      <c r="AH165" s="75" t="n"/>
      <c r="AI165" s="75" t="n"/>
      <c r="AJ165" s="75" t="n"/>
      <c r="AK165" s="75" t="n"/>
      <c r="AL165" s="75" t="n"/>
      <c r="AM165" s="75" t="n"/>
      <c r="AN165" s="75" t="n"/>
      <c r="AO165" s="75" t="n"/>
      <c r="AP165" s="75" t="n"/>
      <c r="AQ165" s="75" t="n"/>
      <c r="AR165" s="75" t="n"/>
      <c r="AS165" s="75" t="n"/>
      <c r="AT165" s="75" t="n"/>
      <c r="AU165" s="75" t="n"/>
      <c r="AV165" s="75" t="n"/>
      <c r="AW165" s="75" t="n"/>
      <c r="AX165" s="75" t="n"/>
      <c r="AY165" s="75" t="n"/>
      <c r="AZ165" s="75" t="n"/>
      <c r="BA165" s="75" t="n"/>
      <c r="BB165" s="75" t="n"/>
      <c r="BC165" s="75" t="n"/>
      <c r="BD165" s="75" t="n"/>
      <c r="BE165" s="75" t="n"/>
    </row>
    <row r="166" ht="18" customHeight="1">
      <c r="A166" s="49">
        <f>IF('İş Planı'!$C166="","",'İş Planı'!$C166)</f>
        <v/>
      </c>
      <c r="B166" s="49">
        <f>IF('İş Planı'!$B166="","",'İş Planı'!$B166)</f>
        <v/>
      </c>
      <c r="C166" s="63">
        <f>IF('İş Planı'!$H166="","",'İş Planı'!$H166)</f>
        <v/>
      </c>
      <c r="D166" s="63">
        <f>IF('İş Planı'!$L166="","",'İş Planı'!$L166)</f>
        <v/>
      </c>
      <c r="E166" s="62">
        <f>IF('İş Planı'!$N166="","",'İş Planı'!$N166)</f>
        <v/>
      </c>
      <c r="F166" s="75" t="n"/>
      <c r="G166" s="75" t="n"/>
      <c r="H166" s="75" t="n"/>
      <c r="I166" s="75" t="n"/>
      <c r="J166" s="75" t="n"/>
      <c r="K166" s="75" t="n"/>
      <c r="L166" s="75" t="n"/>
      <c r="M166" s="75" t="n"/>
      <c r="N166" s="75" t="n"/>
      <c r="O166" s="75" t="n"/>
      <c r="P166" s="75" t="n"/>
      <c r="Q166" s="75" t="n"/>
      <c r="R166" s="75" t="n"/>
      <c r="S166" s="75" t="n"/>
      <c r="T166" s="75" t="n"/>
      <c r="U166" s="75" t="n"/>
      <c r="V166" s="75" t="n"/>
      <c r="W166" s="75" t="n"/>
      <c r="X166" s="75" t="n"/>
      <c r="Y166" s="75" t="n"/>
      <c r="Z166" s="75" t="n"/>
      <c r="AA166" s="75" t="n"/>
      <c r="AB166" s="75" t="n"/>
      <c r="AC166" s="75" t="n"/>
      <c r="AD166" s="75" t="n"/>
      <c r="AE166" s="75" t="n"/>
      <c r="AF166" s="75" t="n"/>
      <c r="AG166" s="75" t="n"/>
      <c r="AH166" s="75" t="n"/>
      <c r="AI166" s="75" t="n"/>
      <c r="AJ166" s="75" t="n"/>
      <c r="AK166" s="75" t="n"/>
      <c r="AL166" s="75" t="n"/>
      <c r="AM166" s="75" t="n"/>
      <c r="AN166" s="75" t="n"/>
      <c r="AO166" s="75" t="n"/>
      <c r="AP166" s="75" t="n"/>
      <c r="AQ166" s="75" t="n"/>
      <c r="AR166" s="75" t="n"/>
      <c r="AS166" s="75" t="n"/>
      <c r="AT166" s="75" t="n"/>
      <c r="AU166" s="75" t="n"/>
      <c r="AV166" s="75" t="n"/>
      <c r="AW166" s="75" t="n"/>
      <c r="AX166" s="75" t="n"/>
      <c r="AY166" s="75" t="n"/>
      <c r="AZ166" s="75" t="n"/>
      <c r="BA166" s="75" t="n"/>
      <c r="BB166" s="75" t="n"/>
      <c r="BC166" s="75" t="n"/>
      <c r="BD166" s="75" t="n"/>
      <c r="BE166" s="75" t="n"/>
    </row>
    <row r="167" ht="18" customHeight="1">
      <c r="A167" s="49">
        <f>IF('İş Planı'!$C167="","",'İş Planı'!$C167)</f>
        <v/>
      </c>
      <c r="B167" s="49">
        <f>IF('İş Planı'!$B167="","",'İş Planı'!$B167)</f>
        <v/>
      </c>
      <c r="C167" s="63">
        <f>IF('İş Planı'!$H167="","",'İş Planı'!$H167)</f>
        <v/>
      </c>
      <c r="D167" s="63">
        <f>IF('İş Planı'!$L167="","",'İş Planı'!$L167)</f>
        <v/>
      </c>
      <c r="E167" s="62">
        <f>IF('İş Planı'!$N167="","",'İş Planı'!$N167)</f>
        <v/>
      </c>
      <c r="F167" s="75" t="n"/>
      <c r="G167" s="75" t="n"/>
      <c r="H167" s="75" t="n"/>
      <c r="I167" s="75" t="n"/>
      <c r="J167" s="75" t="n"/>
      <c r="K167" s="75" t="n"/>
      <c r="L167" s="75" t="n"/>
      <c r="M167" s="75" t="n"/>
      <c r="N167" s="75" t="n"/>
      <c r="O167" s="75" t="n"/>
      <c r="P167" s="75" t="n"/>
      <c r="Q167" s="75" t="n"/>
      <c r="R167" s="75" t="n"/>
      <c r="S167" s="75" t="n"/>
      <c r="T167" s="75" t="n"/>
      <c r="U167" s="75" t="n"/>
      <c r="V167" s="75" t="n"/>
      <c r="W167" s="75" t="n"/>
      <c r="X167" s="75" t="n"/>
      <c r="Y167" s="75" t="n"/>
      <c r="Z167" s="75" t="n"/>
      <c r="AA167" s="75" t="n"/>
      <c r="AB167" s="75" t="n"/>
      <c r="AC167" s="75" t="n"/>
      <c r="AD167" s="75" t="n"/>
      <c r="AE167" s="75" t="n"/>
      <c r="AF167" s="75" t="n"/>
      <c r="AG167" s="75" t="n"/>
      <c r="AH167" s="75" t="n"/>
      <c r="AI167" s="75" t="n"/>
      <c r="AJ167" s="75" t="n"/>
      <c r="AK167" s="75" t="n"/>
      <c r="AL167" s="75" t="n"/>
      <c r="AM167" s="75" t="n"/>
      <c r="AN167" s="75" t="n"/>
      <c r="AO167" s="75" t="n"/>
      <c r="AP167" s="75" t="n"/>
      <c r="AQ167" s="75" t="n"/>
      <c r="AR167" s="75" t="n"/>
      <c r="AS167" s="75" t="n"/>
      <c r="AT167" s="75" t="n"/>
      <c r="AU167" s="75" t="n"/>
      <c r="AV167" s="75" t="n"/>
      <c r="AW167" s="75" t="n"/>
      <c r="AX167" s="75" t="n"/>
      <c r="AY167" s="75" t="n"/>
      <c r="AZ167" s="75" t="n"/>
      <c r="BA167" s="75" t="n"/>
      <c r="BB167" s="75" t="n"/>
      <c r="BC167" s="75" t="n"/>
      <c r="BD167" s="75" t="n"/>
      <c r="BE167" s="75" t="n"/>
    </row>
    <row r="168" ht="18" customHeight="1">
      <c r="A168" s="49">
        <f>IF('İş Planı'!$C168="","",'İş Planı'!$C168)</f>
        <v/>
      </c>
      <c r="B168" s="49">
        <f>IF('İş Planı'!$B168="","",'İş Planı'!$B168)</f>
        <v/>
      </c>
      <c r="C168" s="63">
        <f>IF('İş Planı'!$H168="","",'İş Planı'!$H168)</f>
        <v/>
      </c>
      <c r="D168" s="63">
        <f>IF('İş Planı'!$L168="","",'İş Planı'!$L168)</f>
        <v/>
      </c>
      <c r="E168" s="62">
        <f>IF('İş Planı'!$N168="","",'İş Planı'!$N168)</f>
        <v/>
      </c>
      <c r="F168" s="75" t="n"/>
      <c r="G168" s="75" t="n"/>
      <c r="H168" s="75" t="n"/>
      <c r="I168" s="75" t="n"/>
      <c r="J168" s="75" t="n"/>
      <c r="K168" s="75" t="n"/>
      <c r="L168" s="75" t="n"/>
      <c r="M168" s="75" t="n"/>
      <c r="N168" s="75" t="n"/>
      <c r="O168" s="75" t="n"/>
      <c r="P168" s="75" t="n"/>
      <c r="Q168" s="75" t="n"/>
      <c r="R168" s="75" t="n"/>
      <c r="S168" s="75" t="n"/>
      <c r="T168" s="75" t="n"/>
      <c r="U168" s="75" t="n"/>
      <c r="V168" s="75" t="n"/>
      <c r="W168" s="75" t="n"/>
      <c r="X168" s="75" t="n"/>
      <c r="Y168" s="75" t="n"/>
      <c r="Z168" s="75" t="n"/>
      <c r="AA168" s="75" t="n"/>
      <c r="AB168" s="75" t="n"/>
      <c r="AC168" s="75" t="n"/>
      <c r="AD168" s="75" t="n"/>
      <c r="AE168" s="75" t="n"/>
      <c r="AF168" s="75" t="n"/>
      <c r="AG168" s="75" t="n"/>
      <c r="AH168" s="75" t="n"/>
      <c r="AI168" s="75" t="n"/>
      <c r="AJ168" s="75" t="n"/>
      <c r="AK168" s="75" t="n"/>
      <c r="AL168" s="75" t="n"/>
      <c r="AM168" s="75" t="n"/>
      <c r="AN168" s="75" t="n"/>
      <c r="AO168" s="75" t="n"/>
      <c r="AP168" s="75" t="n"/>
      <c r="AQ168" s="75" t="n"/>
      <c r="AR168" s="75" t="n"/>
      <c r="AS168" s="75" t="n"/>
      <c r="AT168" s="75" t="n"/>
      <c r="AU168" s="75" t="n"/>
      <c r="AV168" s="75" t="n"/>
      <c r="AW168" s="75" t="n"/>
      <c r="AX168" s="75" t="n"/>
      <c r="AY168" s="75" t="n"/>
      <c r="AZ168" s="75" t="n"/>
      <c r="BA168" s="75" t="n"/>
      <c r="BB168" s="75" t="n"/>
      <c r="BC168" s="75" t="n"/>
      <c r="BD168" s="75" t="n"/>
      <c r="BE168" s="75" t="n"/>
    </row>
    <row r="169" ht="18" customHeight="1">
      <c r="A169" s="49">
        <f>IF('İş Planı'!$C169="","",'İş Planı'!$C169)</f>
        <v/>
      </c>
      <c r="B169" s="49">
        <f>IF('İş Planı'!$B169="","",'İş Planı'!$B169)</f>
        <v/>
      </c>
      <c r="C169" s="63">
        <f>IF('İş Planı'!$H169="","",'İş Planı'!$H169)</f>
        <v/>
      </c>
      <c r="D169" s="63">
        <f>IF('İş Planı'!$L169="","",'İş Planı'!$L169)</f>
        <v/>
      </c>
      <c r="E169" s="62">
        <f>IF('İş Planı'!$N169="","",'İş Planı'!$N169)</f>
        <v/>
      </c>
      <c r="F169" s="75" t="n"/>
      <c r="G169" s="75" t="n"/>
      <c r="H169" s="75" t="n"/>
      <c r="I169" s="75" t="n"/>
      <c r="J169" s="75" t="n"/>
      <c r="K169" s="75" t="n"/>
      <c r="L169" s="75" t="n"/>
      <c r="M169" s="75" t="n"/>
      <c r="N169" s="75" t="n"/>
      <c r="O169" s="75" t="n"/>
      <c r="P169" s="75" t="n"/>
      <c r="Q169" s="75" t="n"/>
      <c r="R169" s="75" t="n"/>
      <c r="S169" s="75" t="n"/>
      <c r="T169" s="75" t="n"/>
      <c r="U169" s="75" t="n"/>
      <c r="V169" s="75" t="n"/>
      <c r="W169" s="75" t="n"/>
      <c r="X169" s="75" t="n"/>
      <c r="Y169" s="75" t="n"/>
      <c r="Z169" s="75" t="n"/>
      <c r="AA169" s="75" t="n"/>
      <c r="AB169" s="75" t="n"/>
      <c r="AC169" s="75" t="n"/>
      <c r="AD169" s="75" t="n"/>
      <c r="AE169" s="75" t="n"/>
      <c r="AF169" s="75" t="n"/>
      <c r="AG169" s="75" t="n"/>
      <c r="AH169" s="75" t="n"/>
      <c r="AI169" s="75" t="n"/>
      <c r="AJ169" s="75" t="n"/>
      <c r="AK169" s="75" t="n"/>
      <c r="AL169" s="75" t="n"/>
      <c r="AM169" s="75" t="n"/>
      <c r="AN169" s="75" t="n"/>
      <c r="AO169" s="75" t="n"/>
      <c r="AP169" s="75" t="n"/>
      <c r="AQ169" s="75" t="n"/>
      <c r="AR169" s="75" t="n"/>
      <c r="AS169" s="75" t="n"/>
      <c r="AT169" s="75" t="n"/>
      <c r="AU169" s="75" t="n"/>
      <c r="AV169" s="75" t="n"/>
      <c r="AW169" s="75" t="n"/>
      <c r="AX169" s="75" t="n"/>
      <c r="AY169" s="75" t="n"/>
      <c r="AZ169" s="75" t="n"/>
      <c r="BA169" s="75" t="n"/>
      <c r="BB169" s="75" t="n"/>
      <c r="BC169" s="75" t="n"/>
      <c r="BD169" s="75" t="n"/>
      <c r="BE169" s="75" t="n"/>
    </row>
    <row r="170" ht="18" customHeight="1">
      <c r="A170" s="49">
        <f>IF('İş Planı'!$C170="","",'İş Planı'!$C170)</f>
        <v/>
      </c>
      <c r="B170" s="49">
        <f>IF('İş Planı'!$B170="","",'İş Planı'!$B170)</f>
        <v/>
      </c>
      <c r="C170" s="63">
        <f>IF('İş Planı'!$H170="","",'İş Planı'!$H170)</f>
        <v/>
      </c>
      <c r="D170" s="63">
        <f>IF('İş Planı'!$L170="","",'İş Planı'!$L170)</f>
        <v/>
      </c>
      <c r="E170" s="62">
        <f>IF('İş Planı'!$N170="","",'İş Planı'!$N170)</f>
        <v/>
      </c>
      <c r="F170" s="75" t="n"/>
      <c r="G170" s="75" t="n"/>
      <c r="H170" s="75" t="n"/>
      <c r="I170" s="75" t="n"/>
      <c r="J170" s="75" t="n"/>
      <c r="K170" s="75" t="n"/>
      <c r="L170" s="75" t="n"/>
      <c r="M170" s="75" t="n"/>
      <c r="N170" s="75" t="n"/>
      <c r="O170" s="75" t="n"/>
      <c r="P170" s="75" t="n"/>
      <c r="Q170" s="75" t="n"/>
      <c r="R170" s="75" t="n"/>
      <c r="S170" s="75" t="n"/>
      <c r="T170" s="75" t="n"/>
      <c r="U170" s="75" t="n"/>
      <c r="V170" s="75" t="n"/>
      <c r="W170" s="75" t="n"/>
      <c r="X170" s="75" t="n"/>
      <c r="Y170" s="75" t="n"/>
      <c r="Z170" s="75" t="n"/>
      <c r="AA170" s="75" t="n"/>
      <c r="AB170" s="75" t="n"/>
      <c r="AC170" s="75" t="n"/>
      <c r="AD170" s="75" t="n"/>
      <c r="AE170" s="75" t="n"/>
      <c r="AF170" s="75" t="n"/>
      <c r="AG170" s="75" t="n"/>
      <c r="AH170" s="75" t="n"/>
      <c r="AI170" s="75" t="n"/>
      <c r="AJ170" s="75" t="n"/>
      <c r="AK170" s="75" t="n"/>
      <c r="AL170" s="75" t="n"/>
      <c r="AM170" s="75" t="n"/>
      <c r="AN170" s="75" t="n"/>
      <c r="AO170" s="75" t="n"/>
      <c r="AP170" s="75" t="n"/>
      <c r="AQ170" s="75" t="n"/>
      <c r="AR170" s="75" t="n"/>
      <c r="AS170" s="75" t="n"/>
      <c r="AT170" s="75" t="n"/>
      <c r="AU170" s="75" t="n"/>
      <c r="AV170" s="75" t="n"/>
      <c r="AW170" s="75" t="n"/>
      <c r="AX170" s="75" t="n"/>
      <c r="AY170" s="75" t="n"/>
      <c r="AZ170" s="75" t="n"/>
      <c r="BA170" s="75" t="n"/>
      <c r="BB170" s="75" t="n"/>
      <c r="BC170" s="75" t="n"/>
      <c r="BD170" s="75" t="n"/>
      <c r="BE170" s="75" t="n"/>
    </row>
    <row r="171" ht="18" customHeight="1">
      <c r="A171" s="49">
        <f>IF('İş Planı'!$C171="","",'İş Planı'!$C171)</f>
        <v/>
      </c>
      <c r="B171" s="49">
        <f>IF('İş Planı'!$B171="","",'İş Planı'!$B171)</f>
        <v/>
      </c>
      <c r="C171" s="63">
        <f>IF('İş Planı'!$H171="","",'İş Planı'!$H171)</f>
        <v/>
      </c>
      <c r="D171" s="63">
        <f>IF('İş Planı'!$L171="","",'İş Planı'!$L171)</f>
        <v/>
      </c>
      <c r="E171" s="62">
        <f>IF('İş Planı'!$N171="","",'İş Planı'!$N171)</f>
        <v/>
      </c>
      <c r="F171" s="75" t="n"/>
      <c r="G171" s="75" t="n"/>
      <c r="H171" s="75" t="n"/>
      <c r="I171" s="75" t="n"/>
      <c r="J171" s="75" t="n"/>
      <c r="K171" s="75" t="n"/>
      <c r="L171" s="75" t="n"/>
      <c r="M171" s="75" t="n"/>
      <c r="N171" s="75" t="n"/>
      <c r="O171" s="75" t="n"/>
      <c r="P171" s="75" t="n"/>
      <c r="Q171" s="75" t="n"/>
      <c r="R171" s="75" t="n"/>
      <c r="S171" s="75" t="n"/>
      <c r="T171" s="75" t="n"/>
      <c r="U171" s="75" t="n"/>
      <c r="V171" s="75" t="n"/>
      <c r="W171" s="75" t="n"/>
      <c r="X171" s="75" t="n"/>
      <c r="Y171" s="75" t="n"/>
      <c r="Z171" s="75" t="n"/>
      <c r="AA171" s="75" t="n"/>
      <c r="AB171" s="75" t="n"/>
      <c r="AC171" s="75" t="n"/>
      <c r="AD171" s="75" t="n"/>
      <c r="AE171" s="75" t="n"/>
      <c r="AF171" s="75" t="n"/>
      <c r="AG171" s="75" t="n"/>
      <c r="AH171" s="75" t="n"/>
      <c r="AI171" s="75" t="n"/>
      <c r="AJ171" s="75" t="n"/>
      <c r="AK171" s="75" t="n"/>
      <c r="AL171" s="75" t="n"/>
      <c r="AM171" s="75" t="n"/>
      <c r="AN171" s="75" t="n"/>
      <c r="AO171" s="75" t="n"/>
      <c r="AP171" s="75" t="n"/>
      <c r="AQ171" s="75" t="n"/>
      <c r="AR171" s="75" t="n"/>
      <c r="AS171" s="75" t="n"/>
      <c r="AT171" s="75" t="n"/>
      <c r="AU171" s="75" t="n"/>
      <c r="AV171" s="75" t="n"/>
      <c r="AW171" s="75" t="n"/>
      <c r="AX171" s="75" t="n"/>
      <c r="AY171" s="75" t="n"/>
      <c r="AZ171" s="75" t="n"/>
      <c r="BA171" s="75" t="n"/>
      <c r="BB171" s="75" t="n"/>
      <c r="BC171" s="75" t="n"/>
      <c r="BD171" s="75" t="n"/>
      <c r="BE171" s="75" t="n"/>
    </row>
    <row r="172" ht="18" customHeight="1">
      <c r="A172" s="49">
        <f>IF('İş Planı'!$C172="","",'İş Planı'!$C172)</f>
        <v/>
      </c>
      <c r="B172" s="49">
        <f>IF('İş Planı'!$B172="","",'İş Planı'!$B172)</f>
        <v/>
      </c>
      <c r="C172" s="63">
        <f>IF('İş Planı'!$H172="","",'İş Planı'!$H172)</f>
        <v/>
      </c>
      <c r="D172" s="63">
        <f>IF('İş Planı'!$L172="","",'İş Planı'!$L172)</f>
        <v/>
      </c>
      <c r="E172" s="62">
        <f>IF('İş Planı'!$N172="","",'İş Planı'!$N172)</f>
        <v/>
      </c>
      <c r="F172" s="75" t="n"/>
      <c r="G172" s="75" t="n"/>
      <c r="H172" s="75" t="n"/>
      <c r="I172" s="75" t="n"/>
      <c r="J172" s="75" t="n"/>
      <c r="K172" s="75" t="n"/>
      <c r="L172" s="75" t="n"/>
      <c r="M172" s="75" t="n"/>
      <c r="N172" s="75" t="n"/>
      <c r="O172" s="75" t="n"/>
      <c r="P172" s="75" t="n"/>
      <c r="Q172" s="75" t="n"/>
      <c r="R172" s="75" t="n"/>
      <c r="S172" s="75" t="n"/>
      <c r="T172" s="75" t="n"/>
      <c r="U172" s="75" t="n"/>
      <c r="V172" s="75" t="n"/>
      <c r="W172" s="75" t="n"/>
      <c r="X172" s="75" t="n"/>
      <c r="Y172" s="75" t="n"/>
      <c r="Z172" s="75" t="n"/>
      <c r="AA172" s="75" t="n"/>
      <c r="AB172" s="75" t="n"/>
      <c r="AC172" s="75" t="n"/>
      <c r="AD172" s="75" t="n"/>
      <c r="AE172" s="75" t="n"/>
      <c r="AF172" s="75" t="n"/>
      <c r="AG172" s="75" t="n"/>
      <c r="AH172" s="75" t="n"/>
      <c r="AI172" s="75" t="n"/>
      <c r="AJ172" s="75" t="n"/>
      <c r="AK172" s="75" t="n"/>
      <c r="AL172" s="75" t="n"/>
      <c r="AM172" s="75" t="n"/>
      <c r="AN172" s="75" t="n"/>
      <c r="AO172" s="75" t="n"/>
      <c r="AP172" s="75" t="n"/>
      <c r="AQ172" s="75" t="n"/>
      <c r="AR172" s="75" t="n"/>
      <c r="AS172" s="75" t="n"/>
      <c r="AT172" s="75" t="n"/>
      <c r="AU172" s="75" t="n"/>
      <c r="AV172" s="75" t="n"/>
      <c r="AW172" s="75" t="n"/>
      <c r="AX172" s="75" t="n"/>
      <c r="AY172" s="75" t="n"/>
      <c r="AZ172" s="75" t="n"/>
      <c r="BA172" s="75" t="n"/>
      <c r="BB172" s="75" t="n"/>
      <c r="BC172" s="75" t="n"/>
      <c r="BD172" s="75" t="n"/>
      <c r="BE172" s="75" t="n"/>
    </row>
    <row r="173" ht="18" customHeight="1">
      <c r="A173" s="49">
        <f>IF('İş Planı'!$C173="","",'İş Planı'!$C173)</f>
        <v/>
      </c>
      <c r="B173" s="49">
        <f>IF('İş Planı'!$B173="","",'İş Planı'!$B173)</f>
        <v/>
      </c>
      <c r="C173" s="63">
        <f>IF('İş Planı'!$H173="","",'İş Planı'!$H173)</f>
        <v/>
      </c>
      <c r="D173" s="63">
        <f>IF('İş Planı'!$L173="","",'İş Planı'!$L173)</f>
        <v/>
      </c>
      <c r="E173" s="62">
        <f>IF('İş Planı'!$N173="","",'İş Planı'!$N173)</f>
        <v/>
      </c>
      <c r="F173" s="75" t="n"/>
      <c r="G173" s="75" t="n"/>
      <c r="H173" s="75" t="n"/>
      <c r="I173" s="75" t="n"/>
      <c r="J173" s="75" t="n"/>
      <c r="K173" s="75" t="n"/>
      <c r="L173" s="75" t="n"/>
      <c r="M173" s="75" t="n"/>
      <c r="N173" s="75" t="n"/>
      <c r="O173" s="75" t="n"/>
      <c r="P173" s="75" t="n"/>
      <c r="Q173" s="75" t="n"/>
      <c r="R173" s="75" t="n"/>
      <c r="S173" s="75" t="n"/>
      <c r="T173" s="75" t="n"/>
      <c r="U173" s="75" t="n"/>
      <c r="V173" s="75" t="n"/>
      <c r="W173" s="75" t="n"/>
      <c r="X173" s="75" t="n"/>
      <c r="Y173" s="75" t="n"/>
      <c r="Z173" s="75" t="n"/>
      <c r="AA173" s="75" t="n"/>
      <c r="AB173" s="75" t="n"/>
      <c r="AC173" s="75" t="n"/>
      <c r="AD173" s="75" t="n"/>
      <c r="AE173" s="75" t="n"/>
      <c r="AF173" s="75" t="n"/>
      <c r="AG173" s="75" t="n"/>
      <c r="AH173" s="75" t="n"/>
      <c r="AI173" s="75" t="n"/>
      <c r="AJ173" s="75" t="n"/>
      <c r="AK173" s="75" t="n"/>
      <c r="AL173" s="75" t="n"/>
      <c r="AM173" s="75" t="n"/>
      <c r="AN173" s="75" t="n"/>
      <c r="AO173" s="75" t="n"/>
      <c r="AP173" s="75" t="n"/>
      <c r="AQ173" s="75" t="n"/>
      <c r="AR173" s="75" t="n"/>
      <c r="AS173" s="75" t="n"/>
      <c r="AT173" s="75" t="n"/>
      <c r="AU173" s="75" t="n"/>
      <c r="AV173" s="75" t="n"/>
      <c r="AW173" s="75" t="n"/>
      <c r="AX173" s="75" t="n"/>
      <c r="AY173" s="75" t="n"/>
      <c r="AZ173" s="75" t="n"/>
      <c r="BA173" s="75" t="n"/>
      <c r="BB173" s="75" t="n"/>
      <c r="BC173" s="75" t="n"/>
      <c r="BD173" s="75" t="n"/>
      <c r="BE173" s="75" t="n"/>
    </row>
    <row r="174" ht="18" customHeight="1">
      <c r="A174" s="49">
        <f>IF('İş Planı'!$C174="","",'İş Planı'!$C174)</f>
        <v/>
      </c>
      <c r="B174" s="49">
        <f>IF('İş Planı'!$B174="","",'İş Planı'!$B174)</f>
        <v/>
      </c>
      <c r="C174" s="63">
        <f>IF('İş Planı'!$H174="","",'İş Planı'!$H174)</f>
        <v/>
      </c>
      <c r="D174" s="63">
        <f>IF('İş Planı'!$L174="","",'İş Planı'!$L174)</f>
        <v/>
      </c>
      <c r="E174" s="62">
        <f>IF('İş Planı'!$N174="","",'İş Planı'!$N174)</f>
        <v/>
      </c>
      <c r="F174" s="75" t="n"/>
      <c r="G174" s="75" t="n"/>
      <c r="H174" s="75" t="n"/>
      <c r="I174" s="75" t="n"/>
      <c r="J174" s="75" t="n"/>
      <c r="K174" s="75" t="n"/>
      <c r="L174" s="75" t="n"/>
      <c r="M174" s="75" t="n"/>
      <c r="N174" s="75" t="n"/>
      <c r="O174" s="75" t="n"/>
      <c r="P174" s="75" t="n"/>
      <c r="Q174" s="75" t="n"/>
      <c r="R174" s="75" t="n"/>
      <c r="S174" s="75" t="n"/>
      <c r="T174" s="75" t="n"/>
      <c r="U174" s="75" t="n"/>
      <c r="V174" s="75" t="n"/>
      <c r="W174" s="75" t="n"/>
      <c r="X174" s="75" t="n"/>
      <c r="Y174" s="75" t="n"/>
      <c r="Z174" s="75" t="n"/>
      <c r="AA174" s="75" t="n"/>
      <c r="AB174" s="75" t="n"/>
      <c r="AC174" s="75" t="n"/>
      <c r="AD174" s="75" t="n"/>
      <c r="AE174" s="75" t="n"/>
      <c r="AF174" s="75" t="n"/>
      <c r="AG174" s="75" t="n"/>
      <c r="AH174" s="75" t="n"/>
      <c r="AI174" s="75" t="n"/>
      <c r="AJ174" s="75" t="n"/>
      <c r="AK174" s="75" t="n"/>
      <c r="AL174" s="75" t="n"/>
      <c r="AM174" s="75" t="n"/>
      <c r="AN174" s="75" t="n"/>
      <c r="AO174" s="75" t="n"/>
      <c r="AP174" s="75" t="n"/>
      <c r="AQ174" s="75" t="n"/>
      <c r="AR174" s="75" t="n"/>
      <c r="AS174" s="75" t="n"/>
      <c r="AT174" s="75" t="n"/>
      <c r="AU174" s="75" t="n"/>
      <c r="AV174" s="75" t="n"/>
      <c r="AW174" s="75" t="n"/>
      <c r="AX174" s="75" t="n"/>
      <c r="AY174" s="75" t="n"/>
      <c r="AZ174" s="75" t="n"/>
      <c r="BA174" s="75" t="n"/>
      <c r="BB174" s="75" t="n"/>
      <c r="BC174" s="75" t="n"/>
      <c r="BD174" s="75" t="n"/>
      <c r="BE174" s="75" t="n"/>
    </row>
    <row r="175" ht="18" customHeight="1">
      <c r="A175" s="49">
        <f>IF('İş Planı'!$C175="","",'İş Planı'!$C175)</f>
        <v/>
      </c>
      <c r="B175" s="49">
        <f>IF('İş Planı'!$B175="","",'İş Planı'!$B175)</f>
        <v/>
      </c>
      <c r="C175" s="63">
        <f>IF('İş Planı'!$H175="","",'İş Planı'!$H175)</f>
        <v/>
      </c>
      <c r="D175" s="63">
        <f>IF('İş Planı'!$L175="","",'İş Planı'!$L175)</f>
        <v/>
      </c>
      <c r="E175" s="62">
        <f>IF('İş Planı'!$N175="","",'İş Planı'!$N175)</f>
        <v/>
      </c>
      <c r="F175" s="75" t="n"/>
      <c r="G175" s="75" t="n"/>
      <c r="H175" s="75" t="n"/>
      <c r="I175" s="75" t="n"/>
      <c r="J175" s="75" t="n"/>
      <c r="K175" s="75" t="n"/>
      <c r="L175" s="75" t="n"/>
      <c r="M175" s="75" t="n"/>
      <c r="N175" s="75" t="n"/>
      <c r="O175" s="75" t="n"/>
      <c r="P175" s="75" t="n"/>
      <c r="Q175" s="75" t="n"/>
      <c r="R175" s="75" t="n"/>
      <c r="S175" s="75" t="n"/>
      <c r="T175" s="75" t="n"/>
      <c r="U175" s="75" t="n"/>
      <c r="V175" s="75" t="n"/>
      <c r="W175" s="75" t="n"/>
      <c r="X175" s="75" t="n"/>
      <c r="Y175" s="75" t="n"/>
      <c r="Z175" s="75" t="n"/>
      <c r="AA175" s="75" t="n"/>
      <c r="AB175" s="75" t="n"/>
      <c r="AC175" s="75" t="n"/>
      <c r="AD175" s="75" t="n"/>
      <c r="AE175" s="75" t="n"/>
      <c r="AF175" s="75" t="n"/>
      <c r="AG175" s="75" t="n"/>
      <c r="AH175" s="75" t="n"/>
      <c r="AI175" s="75" t="n"/>
      <c r="AJ175" s="75" t="n"/>
      <c r="AK175" s="75" t="n"/>
      <c r="AL175" s="75" t="n"/>
      <c r="AM175" s="75" t="n"/>
      <c r="AN175" s="75" t="n"/>
      <c r="AO175" s="75" t="n"/>
      <c r="AP175" s="75" t="n"/>
      <c r="AQ175" s="75" t="n"/>
      <c r="AR175" s="75" t="n"/>
      <c r="AS175" s="75" t="n"/>
      <c r="AT175" s="75" t="n"/>
      <c r="AU175" s="75" t="n"/>
      <c r="AV175" s="75" t="n"/>
      <c r="AW175" s="75" t="n"/>
      <c r="AX175" s="75" t="n"/>
      <c r="AY175" s="75" t="n"/>
      <c r="AZ175" s="75" t="n"/>
      <c r="BA175" s="75" t="n"/>
      <c r="BB175" s="75" t="n"/>
      <c r="BC175" s="75" t="n"/>
      <c r="BD175" s="75" t="n"/>
      <c r="BE175" s="75" t="n"/>
    </row>
    <row r="176" ht="18" customHeight="1">
      <c r="A176" s="49">
        <f>IF('İş Planı'!$C176="","",'İş Planı'!$C176)</f>
        <v/>
      </c>
      <c r="B176" s="49">
        <f>IF('İş Planı'!$B176="","",'İş Planı'!$B176)</f>
        <v/>
      </c>
      <c r="C176" s="63">
        <f>IF('İş Planı'!$H176="","",'İş Planı'!$H176)</f>
        <v/>
      </c>
      <c r="D176" s="63">
        <f>IF('İş Planı'!$L176="","",'İş Planı'!$L176)</f>
        <v/>
      </c>
      <c r="E176" s="62">
        <f>IF('İş Planı'!$N176="","",'İş Planı'!$N176)</f>
        <v/>
      </c>
      <c r="F176" s="75" t="n"/>
      <c r="G176" s="75" t="n"/>
      <c r="H176" s="75" t="n"/>
      <c r="I176" s="75" t="n"/>
      <c r="J176" s="75" t="n"/>
      <c r="K176" s="75" t="n"/>
      <c r="L176" s="75" t="n"/>
      <c r="M176" s="75" t="n"/>
      <c r="N176" s="75" t="n"/>
      <c r="O176" s="75" t="n"/>
      <c r="P176" s="75" t="n"/>
      <c r="Q176" s="75" t="n"/>
      <c r="R176" s="75" t="n"/>
      <c r="S176" s="75" t="n"/>
      <c r="T176" s="75" t="n"/>
      <c r="U176" s="75" t="n"/>
      <c r="V176" s="75" t="n"/>
      <c r="W176" s="75" t="n"/>
      <c r="X176" s="75" t="n"/>
      <c r="Y176" s="75" t="n"/>
      <c r="Z176" s="75" t="n"/>
      <c r="AA176" s="75" t="n"/>
      <c r="AB176" s="75" t="n"/>
      <c r="AC176" s="75" t="n"/>
      <c r="AD176" s="75" t="n"/>
      <c r="AE176" s="75" t="n"/>
      <c r="AF176" s="75" t="n"/>
      <c r="AG176" s="75" t="n"/>
      <c r="AH176" s="75" t="n"/>
      <c r="AI176" s="75" t="n"/>
      <c r="AJ176" s="75" t="n"/>
      <c r="AK176" s="75" t="n"/>
      <c r="AL176" s="75" t="n"/>
      <c r="AM176" s="75" t="n"/>
      <c r="AN176" s="75" t="n"/>
      <c r="AO176" s="75" t="n"/>
      <c r="AP176" s="75" t="n"/>
      <c r="AQ176" s="75" t="n"/>
      <c r="AR176" s="75" t="n"/>
      <c r="AS176" s="75" t="n"/>
      <c r="AT176" s="75" t="n"/>
      <c r="AU176" s="75" t="n"/>
      <c r="AV176" s="75" t="n"/>
      <c r="AW176" s="75" t="n"/>
      <c r="AX176" s="75" t="n"/>
      <c r="AY176" s="75" t="n"/>
      <c r="AZ176" s="75" t="n"/>
      <c r="BA176" s="75" t="n"/>
      <c r="BB176" s="75" t="n"/>
      <c r="BC176" s="75" t="n"/>
      <c r="BD176" s="75" t="n"/>
      <c r="BE176" s="75" t="n"/>
    </row>
    <row r="177" ht="18" customHeight="1">
      <c r="A177" s="49">
        <f>IF('İş Planı'!$C177="","",'İş Planı'!$C177)</f>
        <v/>
      </c>
      <c r="B177" s="49">
        <f>IF('İş Planı'!$B177="","",'İş Planı'!$B177)</f>
        <v/>
      </c>
      <c r="C177" s="63">
        <f>IF('İş Planı'!$H177="","",'İş Planı'!$H177)</f>
        <v/>
      </c>
      <c r="D177" s="63">
        <f>IF('İş Planı'!$L177="","",'İş Planı'!$L177)</f>
        <v/>
      </c>
      <c r="E177" s="62">
        <f>IF('İş Planı'!$N177="","",'İş Planı'!$N177)</f>
        <v/>
      </c>
      <c r="F177" s="75" t="n"/>
      <c r="G177" s="75" t="n"/>
      <c r="H177" s="75" t="n"/>
      <c r="I177" s="75" t="n"/>
      <c r="J177" s="75" t="n"/>
      <c r="K177" s="75" t="n"/>
      <c r="L177" s="75" t="n"/>
      <c r="M177" s="75" t="n"/>
      <c r="N177" s="75" t="n"/>
      <c r="O177" s="75" t="n"/>
      <c r="P177" s="75" t="n"/>
      <c r="Q177" s="75" t="n"/>
      <c r="R177" s="75" t="n"/>
      <c r="S177" s="75" t="n"/>
      <c r="T177" s="75" t="n"/>
      <c r="U177" s="75" t="n"/>
      <c r="V177" s="75" t="n"/>
      <c r="W177" s="75" t="n"/>
      <c r="X177" s="75" t="n"/>
      <c r="Y177" s="75" t="n"/>
      <c r="Z177" s="75" t="n"/>
      <c r="AA177" s="75" t="n"/>
      <c r="AB177" s="75" t="n"/>
      <c r="AC177" s="75" t="n"/>
      <c r="AD177" s="75" t="n"/>
      <c r="AE177" s="75" t="n"/>
      <c r="AF177" s="75" t="n"/>
      <c r="AG177" s="75" t="n"/>
      <c r="AH177" s="75" t="n"/>
      <c r="AI177" s="75" t="n"/>
      <c r="AJ177" s="75" t="n"/>
      <c r="AK177" s="75" t="n"/>
      <c r="AL177" s="75" t="n"/>
      <c r="AM177" s="75" t="n"/>
      <c r="AN177" s="75" t="n"/>
      <c r="AO177" s="75" t="n"/>
      <c r="AP177" s="75" t="n"/>
      <c r="AQ177" s="75" t="n"/>
      <c r="AR177" s="75" t="n"/>
      <c r="AS177" s="75" t="n"/>
      <c r="AT177" s="75" t="n"/>
      <c r="AU177" s="75" t="n"/>
      <c r="AV177" s="75" t="n"/>
      <c r="AW177" s="75" t="n"/>
      <c r="AX177" s="75" t="n"/>
      <c r="AY177" s="75" t="n"/>
      <c r="AZ177" s="75" t="n"/>
      <c r="BA177" s="75" t="n"/>
      <c r="BB177" s="75" t="n"/>
      <c r="BC177" s="75" t="n"/>
      <c r="BD177" s="75" t="n"/>
      <c r="BE177" s="75" t="n"/>
    </row>
    <row r="178" ht="18" customHeight="1">
      <c r="A178" s="49">
        <f>IF('İş Planı'!$C178="","",'İş Planı'!$C178)</f>
        <v/>
      </c>
      <c r="B178" s="49">
        <f>IF('İş Planı'!$B178="","",'İş Planı'!$B178)</f>
        <v/>
      </c>
      <c r="C178" s="63">
        <f>IF('İş Planı'!$H178="","",'İş Planı'!$H178)</f>
        <v/>
      </c>
      <c r="D178" s="63">
        <f>IF('İş Planı'!$L178="","",'İş Planı'!$L178)</f>
        <v/>
      </c>
      <c r="E178" s="62">
        <f>IF('İş Planı'!$N178="","",'İş Planı'!$N178)</f>
        <v/>
      </c>
      <c r="F178" s="75" t="n"/>
      <c r="G178" s="75" t="n"/>
      <c r="H178" s="75" t="n"/>
      <c r="I178" s="75" t="n"/>
      <c r="J178" s="75" t="n"/>
      <c r="K178" s="75" t="n"/>
      <c r="L178" s="75" t="n"/>
      <c r="M178" s="75" t="n"/>
      <c r="N178" s="75" t="n"/>
      <c r="O178" s="75" t="n"/>
      <c r="P178" s="75" t="n"/>
      <c r="Q178" s="75" t="n"/>
      <c r="R178" s="75" t="n"/>
      <c r="S178" s="75" t="n"/>
      <c r="T178" s="75" t="n"/>
      <c r="U178" s="75" t="n"/>
      <c r="V178" s="75" t="n"/>
      <c r="W178" s="75" t="n"/>
      <c r="X178" s="75" t="n"/>
      <c r="Y178" s="75" t="n"/>
      <c r="Z178" s="75" t="n"/>
      <c r="AA178" s="75" t="n"/>
      <c r="AB178" s="75" t="n"/>
      <c r="AC178" s="75" t="n"/>
      <c r="AD178" s="75" t="n"/>
      <c r="AE178" s="75" t="n"/>
      <c r="AF178" s="75" t="n"/>
      <c r="AG178" s="75" t="n"/>
      <c r="AH178" s="75" t="n"/>
      <c r="AI178" s="75" t="n"/>
      <c r="AJ178" s="75" t="n"/>
      <c r="AK178" s="75" t="n"/>
      <c r="AL178" s="75" t="n"/>
      <c r="AM178" s="75" t="n"/>
      <c r="AN178" s="75" t="n"/>
      <c r="AO178" s="75" t="n"/>
      <c r="AP178" s="75" t="n"/>
      <c r="AQ178" s="75" t="n"/>
      <c r="AR178" s="75" t="n"/>
      <c r="AS178" s="75" t="n"/>
      <c r="AT178" s="75" t="n"/>
      <c r="AU178" s="75" t="n"/>
      <c r="AV178" s="75" t="n"/>
      <c r="AW178" s="75" t="n"/>
      <c r="AX178" s="75" t="n"/>
      <c r="AY178" s="75" t="n"/>
      <c r="AZ178" s="75" t="n"/>
      <c r="BA178" s="75" t="n"/>
      <c r="BB178" s="75" t="n"/>
      <c r="BC178" s="75" t="n"/>
      <c r="BD178" s="75" t="n"/>
      <c r="BE178" s="75" t="n"/>
    </row>
    <row r="179" ht="18" customHeight="1">
      <c r="A179" s="49">
        <f>IF('İş Planı'!$C179="","",'İş Planı'!$C179)</f>
        <v/>
      </c>
      <c r="B179" s="49">
        <f>IF('İş Planı'!$B179="","",'İş Planı'!$B179)</f>
        <v/>
      </c>
      <c r="C179" s="63">
        <f>IF('İş Planı'!$H179="","",'İş Planı'!$H179)</f>
        <v/>
      </c>
      <c r="D179" s="63">
        <f>IF('İş Planı'!$L179="","",'İş Planı'!$L179)</f>
        <v/>
      </c>
      <c r="E179" s="62">
        <f>IF('İş Planı'!$N179="","",'İş Planı'!$N179)</f>
        <v/>
      </c>
      <c r="F179" s="75" t="n"/>
      <c r="G179" s="75" t="n"/>
      <c r="H179" s="75" t="n"/>
      <c r="I179" s="75" t="n"/>
      <c r="J179" s="75" t="n"/>
      <c r="K179" s="75" t="n"/>
      <c r="L179" s="75" t="n"/>
      <c r="M179" s="75" t="n"/>
      <c r="N179" s="75" t="n"/>
      <c r="O179" s="75" t="n"/>
      <c r="P179" s="75" t="n"/>
      <c r="Q179" s="75" t="n"/>
      <c r="R179" s="75" t="n"/>
      <c r="S179" s="75" t="n"/>
      <c r="T179" s="75" t="n"/>
      <c r="U179" s="75" t="n"/>
      <c r="V179" s="75" t="n"/>
      <c r="W179" s="75" t="n"/>
      <c r="X179" s="75" t="n"/>
      <c r="Y179" s="75" t="n"/>
      <c r="Z179" s="75" t="n"/>
      <c r="AA179" s="75" t="n"/>
      <c r="AB179" s="75" t="n"/>
      <c r="AC179" s="75" t="n"/>
      <c r="AD179" s="75" t="n"/>
      <c r="AE179" s="75" t="n"/>
      <c r="AF179" s="75" t="n"/>
      <c r="AG179" s="75" t="n"/>
      <c r="AH179" s="75" t="n"/>
      <c r="AI179" s="75" t="n"/>
      <c r="AJ179" s="75" t="n"/>
      <c r="AK179" s="75" t="n"/>
      <c r="AL179" s="75" t="n"/>
      <c r="AM179" s="75" t="n"/>
      <c r="AN179" s="75" t="n"/>
      <c r="AO179" s="75" t="n"/>
      <c r="AP179" s="75" t="n"/>
      <c r="AQ179" s="75" t="n"/>
      <c r="AR179" s="75" t="n"/>
      <c r="AS179" s="75" t="n"/>
      <c r="AT179" s="75" t="n"/>
      <c r="AU179" s="75" t="n"/>
      <c r="AV179" s="75" t="n"/>
      <c r="AW179" s="75" t="n"/>
      <c r="AX179" s="75" t="n"/>
      <c r="AY179" s="75" t="n"/>
      <c r="AZ179" s="75" t="n"/>
      <c r="BA179" s="75" t="n"/>
      <c r="BB179" s="75" t="n"/>
      <c r="BC179" s="75" t="n"/>
      <c r="BD179" s="75" t="n"/>
      <c r="BE179" s="75" t="n"/>
    </row>
    <row r="180" ht="18" customHeight="1">
      <c r="A180" s="49">
        <f>IF('İş Planı'!$C180="","",'İş Planı'!$C180)</f>
        <v/>
      </c>
      <c r="B180" s="49">
        <f>IF('İş Planı'!$B180="","",'İş Planı'!$B180)</f>
        <v/>
      </c>
      <c r="C180" s="63">
        <f>IF('İş Planı'!$H180="","",'İş Planı'!$H180)</f>
        <v/>
      </c>
      <c r="D180" s="63">
        <f>IF('İş Planı'!$L180="","",'İş Planı'!$L180)</f>
        <v/>
      </c>
      <c r="E180" s="62">
        <f>IF('İş Planı'!$N180="","",'İş Planı'!$N180)</f>
        <v/>
      </c>
      <c r="F180" s="75" t="n"/>
      <c r="G180" s="75" t="n"/>
      <c r="H180" s="75" t="n"/>
      <c r="I180" s="75" t="n"/>
      <c r="J180" s="75" t="n"/>
      <c r="K180" s="75" t="n"/>
      <c r="L180" s="75" t="n"/>
      <c r="M180" s="75" t="n"/>
      <c r="N180" s="75" t="n"/>
      <c r="O180" s="75" t="n"/>
      <c r="P180" s="75" t="n"/>
      <c r="Q180" s="75" t="n"/>
      <c r="R180" s="75" t="n"/>
      <c r="S180" s="75" t="n"/>
      <c r="T180" s="75" t="n"/>
      <c r="U180" s="75" t="n"/>
      <c r="V180" s="75" t="n"/>
      <c r="W180" s="75" t="n"/>
      <c r="X180" s="75" t="n"/>
      <c r="Y180" s="75" t="n"/>
      <c r="Z180" s="75" t="n"/>
      <c r="AA180" s="75" t="n"/>
      <c r="AB180" s="75" t="n"/>
      <c r="AC180" s="75" t="n"/>
      <c r="AD180" s="75" t="n"/>
      <c r="AE180" s="75" t="n"/>
      <c r="AF180" s="75" t="n"/>
      <c r="AG180" s="75" t="n"/>
      <c r="AH180" s="75" t="n"/>
      <c r="AI180" s="75" t="n"/>
      <c r="AJ180" s="75" t="n"/>
      <c r="AK180" s="75" t="n"/>
      <c r="AL180" s="75" t="n"/>
      <c r="AM180" s="75" t="n"/>
      <c r="AN180" s="75" t="n"/>
      <c r="AO180" s="75" t="n"/>
      <c r="AP180" s="75" t="n"/>
      <c r="AQ180" s="75" t="n"/>
      <c r="AR180" s="75" t="n"/>
      <c r="AS180" s="75" t="n"/>
      <c r="AT180" s="75" t="n"/>
      <c r="AU180" s="75" t="n"/>
      <c r="AV180" s="75" t="n"/>
      <c r="AW180" s="75" t="n"/>
      <c r="AX180" s="75" t="n"/>
      <c r="AY180" s="75" t="n"/>
      <c r="AZ180" s="75" t="n"/>
      <c r="BA180" s="75" t="n"/>
      <c r="BB180" s="75" t="n"/>
      <c r="BC180" s="75" t="n"/>
      <c r="BD180" s="75" t="n"/>
      <c r="BE180" s="75" t="n"/>
    </row>
    <row r="181" ht="18" customHeight="1">
      <c r="A181" s="49">
        <f>IF('İş Planı'!$C181="","",'İş Planı'!$C181)</f>
        <v/>
      </c>
      <c r="B181" s="49">
        <f>IF('İş Planı'!$B181="","",'İş Planı'!$B181)</f>
        <v/>
      </c>
      <c r="C181" s="63">
        <f>IF('İş Planı'!$H181="","",'İş Planı'!$H181)</f>
        <v/>
      </c>
      <c r="D181" s="63">
        <f>IF('İş Planı'!$L181="","",'İş Planı'!$L181)</f>
        <v/>
      </c>
      <c r="E181" s="62">
        <f>IF('İş Planı'!$N181="","",'İş Planı'!$N181)</f>
        <v/>
      </c>
      <c r="F181" s="75" t="n"/>
      <c r="G181" s="75" t="n"/>
      <c r="H181" s="75" t="n"/>
      <c r="I181" s="75" t="n"/>
      <c r="J181" s="75" t="n"/>
      <c r="K181" s="75" t="n"/>
      <c r="L181" s="75" t="n"/>
      <c r="M181" s="75" t="n"/>
      <c r="N181" s="75" t="n"/>
      <c r="O181" s="75" t="n"/>
      <c r="P181" s="75" t="n"/>
      <c r="Q181" s="75" t="n"/>
      <c r="R181" s="75" t="n"/>
      <c r="S181" s="75" t="n"/>
      <c r="T181" s="75" t="n"/>
      <c r="U181" s="75" t="n"/>
      <c r="V181" s="75" t="n"/>
      <c r="W181" s="75" t="n"/>
      <c r="X181" s="75" t="n"/>
      <c r="Y181" s="75" t="n"/>
      <c r="Z181" s="75" t="n"/>
      <c r="AA181" s="75" t="n"/>
      <c r="AB181" s="75" t="n"/>
      <c r="AC181" s="75" t="n"/>
      <c r="AD181" s="75" t="n"/>
      <c r="AE181" s="75" t="n"/>
      <c r="AF181" s="75" t="n"/>
      <c r="AG181" s="75" t="n"/>
      <c r="AH181" s="75" t="n"/>
      <c r="AI181" s="75" t="n"/>
      <c r="AJ181" s="75" t="n"/>
      <c r="AK181" s="75" t="n"/>
      <c r="AL181" s="75" t="n"/>
      <c r="AM181" s="75" t="n"/>
      <c r="AN181" s="75" t="n"/>
      <c r="AO181" s="75" t="n"/>
      <c r="AP181" s="75" t="n"/>
      <c r="AQ181" s="75" t="n"/>
      <c r="AR181" s="75" t="n"/>
      <c r="AS181" s="75" t="n"/>
      <c r="AT181" s="75" t="n"/>
      <c r="AU181" s="75" t="n"/>
      <c r="AV181" s="75" t="n"/>
      <c r="AW181" s="75" t="n"/>
      <c r="AX181" s="75" t="n"/>
      <c r="AY181" s="75" t="n"/>
      <c r="AZ181" s="75" t="n"/>
      <c r="BA181" s="75" t="n"/>
      <c r="BB181" s="75" t="n"/>
      <c r="BC181" s="75" t="n"/>
      <c r="BD181" s="75" t="n"/>
      <c r="BE181" s="75" t="n"/>
    </row>
    <row r="182" ht="18" customHeight="1">
      <c r="A182" s="49">
        <f>IF('İş Planı'!$C182="","",'İş Planı'!$C182)</f>
        <v/>
      </c>
      <c r="B182" s="49">
        <f>IF('İş Planı'!$B182="","",'İş Planı'!$B182)</f>
        <v/>
      </c>
      <c r="C182" s="63">
        <f>IF('İş Planı'!$H182="","",'İş Planı'!$H182)</f>
        <v/>
      </c>
      <c r="D182" s="63">
        <f>IF('İş Planı'!$L182="","",'İş Planı'!$L182)</f>
        <v/>
      </c>
      <c r="E182" s="62">
        <f>IF('İş Planı'!$N182="","",'İş Planı'!$N182)</f>
        <v/>
      </c>
      <c r="F182" s="75" t="n"/>
      <c r="G182" s="75" t="n"/>
      <c r="H182" s="75" t="n"/>
      <c r="I182" s="75" t="n"/>
      <c r="J182" s="75" t="n"/>
      <c r="K182" s="75" t="n"/>
      <c r="L182" s="75" t="n"/>
      <c r="M182" s="75" t="n"/>
      <c r="N182" s="75" t="n"/>
      <c r="O182" s="75" t="n"/>
      <c r="P182" s="75" t="n"/>
      <c r="Q182" s="75" t="n"/>
      <c r="R182" s="75" t="n"/>
      <c r="S182" s="75" t="n"/>
      <c r="T182" s="75" t="n"/>
      <c r="U182" s="75" t="n"/>
      <c r="V182" s="75" t="n"/>
      <c r="W182" s="75" t="n"/>
      <c r="X182" s="75" t="n"/>
      <c r="Y182" s="75" t="n"/>
      <c r="Z182" s="75" t="n"/>
      <c r="AA182" s="75" t="n"/>
      <c r="AB182" s="75" t="n"/>
      <c r="AC182" s="75" t="n"/>
      <c r="AD182" s="75" t="n"/>
      <c r="AE182" s="75" t="n"/>
      <c r="AF182" s="75" t="n"/>
      <c r="AG182" s="75" t="n"/>
      <c r="AH182" s="75" t="n"/>
      <c r="AI182" s="75" t="n"/>
      <c r="AJ182" s="75" t="n"/>
      <c r="AK182" s="75" t="n"/>
      <c r="AL182" s="75" t="n"/>
      <c r="AM182" s="75" t="n"/>
      <c r="AN182" s="75" t="n"/>
      <c r="AO182" s="75" t="n"/>
      <c r="AP182" s="75" t="n"/>
      <c r="AQ182" s="75" t="n"/>
      <c r="AR182" s="75" t="n"/>
      <c r="AS182" s="75" t="n"/>
      <c r="AT182" s="75" t="n"/>
      <c r="AU182" s="75" t="n"/>
      <c r="AV182" s="75" t="n"/>
      <c r="AW182" s="75" t="n"/>
      <c r="AX182" s="75" t="n"/>
      <c r="AY182" s="75" t="n"/>
      <c r="AZ182" s="75" t="n"/>
      <c r="BA182" s="75" t="n"/>
      <c r="BB182" s="75" t="n"/>
      <c r="BC182" s="75" t="n"/>
      <c r="BD182" s="75" t="n"/>
      <c r="BE182" s="75" t="n"/>
    </row>
    <row r="183" ht="18" customHeight="1">
      <c r="A183" s="49">
        <f>IF('İş Planı'!$C183="","",'İş Planı'!$C183)</f>
        <v/>
      </c>
      <c r="B183" s="49">
        <f>IF('İş Planı'!$B183="","",'İş Planı'!$B183)</f>
        <v/>
      </c>
      <c r="C183" s="63">
        <f>IF('İş Planı'!$H183="","",'İş Planı'!$H183)</f>
        <v/>
      </c>
      <c r="D183" s="63">
        <f>IF('İş Planı'!$L183="","",'İş Planı'!$L183)</f>
        <v/>
      </c>
      <c r="E183" s="62">
        <f>IF('İş Planı'!$N183="","",'İş Planı'!$N183)</f>
        <v/>
      </c>
      <c r="F183" s="75" t="n"/>
      <c r="G183" s="75" t="n"/>
      <c r="H183" s="75" t="n"/>
      <c r="I183" s="75" t="n"/>
      <c r="J183" s="75" t="n"/>
      <c r="K183" s="75" t="n"/>
      <c r="L183" s="75" t="n"/>
      <c r="M183" s="75" t="n"/>
      <c r="N183" s="75" t="n"/>
      <c r="O183" s="75" t="n"/>
      <c r="P183" s="75" t="n"/>
      <c r="Q183" s="75" t="n"/>
      <c r="R183" s="75" t="n"/>
      <c r="S183" s="75" t="n"/>
      <c r="T183" s="75" t="n"/>
      <c r="U183" s="75" t="n"/>
      <c r="V183" s="75" t="n"/>
      <c r="W183" s="75" t="n"/>
      <c r="X183" s="75" t="n"/>
      <c r="Y183" s="75" t="n"/>
      <c r="Z183" s="75" t="n"/>
      <c r="AA183" s="75" t="n"/>
      <c r="AB183" s="75" t="n"/>
      <c r="AC183" s="75" t="n"/>
      <c r="AD183" s="75" t="n"/>
      <c r="AE183" s="75" t="n"/>
      <c r="AF183" s="75" t="n"/>
      <c r="AG183" s="75" t="n"/>
      <c r="AH183" s="75" t="n"/>
      <c r="AI183" s="75" t="n"/>
      <c r="AJ183" s="75" t="n"/>
      <c r="AK183" s="75" t="n"/>
      <c r="AL183" s="75" t="n"/>
      <c r="AM183" s="75" t="n"/>
      <c r="AN183" s="75" t="n"/>
      <c r="AO183" s="75" t="n"/>
      <c r="AP183" s="75" t="n"/>
      <c r="AQ183" s="75" t="n"/>
      <c r="AR183" s="75" t="n"/>
      <c r="AS183" s="75" t="n"/>
      <c r="AT183" s="75" t="n"/>
      <c r="AU183" s="75" t="n"/>
      <c r="AV183" s="75" t="n"/>
      <c r="AW183" s="75" t="n"/>
      <c r="AX183" s="75" t="n"/>
      <c r="AY183" s="75" t="n"/>
      <c r="AZ183" s="75" t="n"/>
      <c r="BA183" s="75" t="n"/>
      <c r="BB183" s="75" t="n"/>
      <c r="BC183" s="75" t="n"/>
      <c r="BD183" s="75" t="n"/>
      <c r="BE183" s="75" t="n"/>
    </row>
    <row r="184" ht="18" customHeight="1">
      <c r="A184" s="49">
        <f>IF('İş Planı'!$C184="","",'İş Planı'!$C184)</f>
        <v/>
      </c>
      <c r="B184" s="49">
        <f>IF('İş Planı'!$B184="","",'İş Planı'!$B184)</f>
        <v/>
      </c>
      <c r="C184" s="63">
        <f>IF('İş Planı'!$H184="","",'İş Planı'!$H184)</f>
        <v/>
      </c>
      <c r="D184" s="63">
        <f>IF('İş Planı'!$L184="","",'İş Planı'!$L184)</f>
        <v/>
      </c>
      <c r="E184" s="62">
        <f>IF('İş Planı'!$N184="","",'İş Planı'!$N184)</f>
        <v/>
      </c>
      <c r="F184" s="75" t="n"/>
      <c r="G184" s="75" t="n"/>
      <c r="H184" s="75" t="n"/>
      <c r="I184" s="75" t="n"/>
      <c r="J184" s="75" t="n"/>
      <c r="K184" s="75" t="n"/>
      <c r="L184" s="75" t="n"/>
      <c r="M184" s="75" t="n"/>
      <c r="N184" s="75" t="n"/>
      <c r="O184" s="75" t="n"/>
      <c r="P184" s="75" t="n"/>
      <c r="Q184" s="75" t="n"/>
      <c r="R184" s="75" t="n"/>
      <c r="S184" s="75" t="n"/>
      <c r="T184" s="75" t="n"/>
      <c r="U184" s="75" t="n"/>
      <c r="V184" s="75" t="n"/>
      <c r="W184" s="75" t="n"/>
      <c r="X184" s="75" t="n"/>
      <c r="Y184" s="75" t="n"/>
      <c r="Z184" s="75" t="n"/>
      <c r="AA184" s="75" t="n"/>
      <c r="AB184" s="75" t="n"/>
      <c r="AC184" s="75" t="n"/>
      <c r="AD184" s="75" t="n"/>
      <c r="AE184" s="75" t="n"/>
      <c r="AF184" s="75" t="n"/>
      <c r="AG184" s="75" t="n"/>
      <c r="AH184" s="75" t="n"/>
      <c r="AI184" s="75" t="n"/>
      <c r="AJ184" s="75" t="n"/>
      <c r="AK184" s="75" t="n"/>
      <c r="AL184" s="75" t="n"/>
      <c r="AM184" s="75" t="n"/>
      <c r="AN184" s="75" t="n"/>
      <c r="AO184" s="75" t="n"/>
      <c r="AP184" s="75" t="n"/>
      <c r="AQ184" s="75" t="n"/>
      <c r="AR184" s="75" t="n"/>
      <c r="AS184" s="75" t="n"/>
      <c r="AT184" s="75" t="n"/>
      <c r="AU184" s="75" t="n"/>
      <c r="AV184" s="75" t="n"/>
      <c r="AW184" s="75" t="n"/>
      <c r="AX184" s="75" t="n"/>
      <c r="AY184" s="75" t="n"/>
      <c r="AZ184" s="75" t="n"/>
      <c r="BA184" s="75" t="n"/>
      <c r="BB184" s="75" t="n"/>
      <c r="BC184" s="75" t="n"/>
      <c r="BD184" s="75" t="n"/>
      <c r="BE184" s="75" t="n"/>
    </row>
    <row r="185" ht="18" customHeight="1">
      <c r="A185" s="49">
        <f>IF('İş Planı'!$C185="","",'İş Planı'!$C185)</f>
        <v/>
      </c>
      <c r="B185" s="49">
        <f>IF('İş Planı'!$B185="","",'İş Planı'!$B185)</f>
        <v/>
      </c>
      <c r="C185" s="63">
        <f>IF('İş Planı'!$H185="","",'İş Planı'!$H185)</f>
        <v/>
      </c>
      <c r="D185" s="63">
        <f>IF('İş Planı'!$L185="","",'İş Planı'!$L185)</f>
        <v/>
      </c>
      <c r="E185" s="62">
        <f>IF('İş Planı'!$N185="","",'İş Planı'!$N185)</f>
        <v/>
      </c>
      <c r="F185" s="75" t="n"/>
      <c r="G185" s="75" t="n"/>
      <c r="H185" s="75" t="n"/>
      <c r="I185" s="75" t="n"/>
      <c r="J185" s="75" t="n"/>
      <c r="K185" s="75" t="n"/>
      <c r="L185" s="75" t="n"/>
      <c r="M185" s="75" t="n"/>
      <c r="N185" s="75" t="n"/>
      <c r="O185" s="75" t="n"/>
      <c r="P185" s="75" t="n"/>
      <c r="Q185" s="75" t="n"/>
      <c r="R185" s="75" t="n"/>
      <c r="S185" s="75" t="n"/>
      <c r="T185" s="75" t="n"/>
      <c r="U185" s="75" t="n"/>
      <c r="V185" s="75" t="n"/>
      <c r="W185" s="75" t="n"/>
      <c r="X185" s="75" t="n"/>
      <c r="Y185" s="75" t="n"/>
      <c r="Z185" s="75" t="n"/>
      <c r="AA185" s="75" t="n"/>
      <c r="AB185" s="75" t="n"/>
      <c r="AC185" s="75" t="n"/>
      <c r="AD185" s="75" t="n"/>
      <c r="AE185" s="75" t="n"/>
      <c r="AF185" s="75" t="n"/>
      <c r="AG185" s="75" t="n"/>
      <c r="AH185" s="75" t="n"/>
      <c r="AI185" s="75" t="n"/>
      <c r="AJ185" s="75" t="n"/>
      <c r="AK185" s="75" t="n"/>
      <c r="AL185" s="75" t="n"/>
      <c r="AM185" s="75" t="n"/>
      <c r="AN185" s="75" t="n"/>
      <c r="AO185" s="75" t="n"/>
      <c r="AP185" s="75" t="n"/>
      <c r="AQ185" s="75" t="n"/>
      <c r="AR185" s="75" t="n"/>
      <c r="AS185" s="75" t="n"/>
      <c r="AT185" s="75" t="n"/>
      <c r="AU185" s="75" t="n"/>
      <c r="AV185" s="75" t="n"/>
      <c r="AW185" s="75" t="n"/>
      <c r="AX185" s="75" t="n"/>
      <c r="AY185" s="75" t="n"/>
      <c r="AZ185" s="75" t="n"/>
      <c r="BA185" s="75" t="n"/>
      <c r="BB185" s="75" t="n"/>
      <c r="BC185" s="75" t="n"/>
      <c r="BD185" s="75" t="n"/>
      <c r="BE185" s="75" t="n"/>
    </row>
    <row r="186" ht="18" customHeight="1">
      <c r="A186" s="49">
        <f>IF('İş Planı'!$C186="","",'İş Planı'!$C186)</f>
        <v/>
      </c>
      <c r="B186" s="49">
        <f>IF('İş Planı'!$B186="","",'İş Planı'!$B186)</f>
        <v/>
      </c>
      <c r="C186" s="63">
        <f>IF('İş Planı'!$H186="","",'İş Planı'!$H186)</f>
        <v/>
      </c>
      <c r="D186" s="63">
        <f>IF('İş Planı'!$L186="","",'İş Planı'!$L186)</f>
        <v/>
      </c>
      <c r="E186" s="62">
        <f>IF('İş Planı'!$N186="","",'İş Planı'!$N186)</f>
        <v/>
      </c>
      <c r="F186" s="75" t="n"/>
      <c r="G186" s="75" t="n"/>
      <c r="H186" s="75" t="n"/>
      <c r="I186" s="75" t="n"/>
      <c r="J186" s="75" t="n"/>
      <c r="K186" s="75" t="n"/>
      <c r="L186" s="75" t="n"/>
      <c r="M186" s="75" t="n"/>
      <c r="N186" s="75" t="n"/>
      <c r="O186" s="75" t="n"/>
      <c r="P186" s="75" t="n"/>
      <c r="Q186" s="75" t="n"/>
      <c r="R186" s="75" t="n"/>
      <c r="S186" s="75" t="n"/>
      <c r="T186" s="75" t="n"/>
      <c r="U186" s="75" t="n"/>
      <c r="V186" s="75" t="n"/>
      <c r="W186" s="75" t="n"/>
      <c r="X186" s="75" t="n"/>
      <c r="Y186" s="75" t="n"/>
      <c r="Z186" s="75" t="n"/>
      <c r="AA186" s="75" t="n"/>
      <c r="AB186" s="75" t="n"/>
      <c r="AC186" s="75" t="n"/>
      <c r="AD186" s="75" t="n"/>
      <c r="AE186" s="75" t="n"/>
      <c r="AF186" s="75" t="n"/>
      <c r="AG186" s="75" t="n"/>
      <c r="AH186" s="75" t="n"/>
      <c r="AI186" s="75" t="n"/>
      <c r="AJ186" s="75" t="n"/>
      <c r="AK186" s="75" t="n"/>
      <c r="AL186" s="75" t="n"/>
      <c r="AM186" s="75" t="n"/>
      <c r="AN186" s="75" t="n"/>
      <c r="AO186" s="75" t="n"/>
      <c r="AP186" s="75" t="n"/>
      <c r="AQ186" s="75" t="n"/>
      <c r="AR186" s="75" t="n"/>
      <c r="AS186" s="75" t="n"/>
      <c r="AT186" s="75" t="n"/>
      <c r="AU186" s="75" t="n"/>
      <c r="AV186" s="75" t="n"/>
      <c r="AW186" s="75" t="n"/>
      <c r="AX186" s="75" t="n"/>
      <c r="AY186" s="75" t="n"/>
      <c r="AZ186" s="75" t="n"/>
      <c r="BA186" s="75" t="n"/>
      <c r="BB186" s="75" t="n"/>
      <c r="BC186" s="75" t="n"/>
      <c r="BD186" s="75" t="n"/>
      <c r="BE186" s="75" t="n"/>
    </row>
    <row r="187" ht="18" customHeight="1">
      <c r="A187" s="49">
        <f>IF('İş Planı'!$C187="","",'İş Planı'!$C187)</f>
        <v/>
      </c>
      <c r="B187" s="49">
        <f>IF('İş Planı'!$B187="","",'İş Planı'!$B187)</f>
        <v/>
      </c>
      <c r="C187" s="63">
        <f>IF('İş Planı'!$H187="","",'İş Planı'!$H187)</f>
        <v/>
      </c>
      <c r="D187" s="63">
        <f>IF('İş Planı'!$L187="","",'İş Planı'!$L187)</f>
        <v/>
      </c>
      <c r="E187" s="62">
        <f>IF('İş Planı'!$N187="","",'İş Planı'!$N187)</f>
        <v/>
      </c>
      <c r="F187" s="75" t="n"/>
      <c r="G187" s="75" t="n"/>
      <c r="H187" s="75" t="n"/>
      <c r="I187" s="75" t="n"/>
      <c r="J187" s="75" t="n"/>
      <c r="K187" s="75" t="n"/>
      <c r="L187" s="75" t="n"/>
      <c r="M187" s="75" t="n"/>
      <c r="N187" s="75" t="n"/>
      <c r="O187" s="75" t="n"/>
      <c r="P187" s="75" t="n"/>
      <c r="Q187" s="75" t="n"/>
      <c r="R187" s="75" t="n"/>
      <c r="S187" s="75" t="n"/>
      <c r="T187" s="75" t="n"/>
      <c r="U187" s="75" t="n"/>
      <c r="V187" s="75" t="n"/>
      <c r="W187" s="75" t="n"/>
      <c r="X187" s="75" t="n"/>
      <c r="Y187" s="75" t="n"/>
      <c r="Z187" s="75" t="n"/>
      <c r="AA187" s="75" t="n"/>
      <c r="AB187" s="75" t="n"/>
      <c r="AC187" s="75" t="n"/>
      <c r="AD187" s="75" t="n"/>
      <c r="AE187" s="75" t="n"/>
      <c r="AF187" s="75" t="n"/>
      <c r="AG187" s="75" t="n"/>
      <c r="AH187" s="75" t="n"/>
      <c r="AI187" s="75" t="n"/>
      <c r="AJ187" s="75" t="n"/>
      <c r="AK187" s="75" t="n"/>
      <c r="AL187" s="75" t="n"/>
      <c r="AM187" s="75" t="n"/>
      <c r="AN187" s="75" t="n"/>
      <c r="AO187" s="75" t="n"/>
      <c r="AP187" s="75" t="n"/>
      <c r="AQ187" s="75" t="n"/>
      <c r="AR187" s="75" t="n"/>
      <c r="AS187" s="75" t="n"/>
      <c r="AT187" s="75" t="n"/>
      <c r="AU187" s="75" t="n"/>
      <c r="AV187" s="75" t="n"/>
      <c r="AW187" s="75" t="n"/>
      <c r="AX187" s="75" t="n"/>
      <c r="AY187" s="75" t="n"/>
      <c r="AZ187" s="75" t="n"/>
      <c r="BA187" s="75" t="n"/>
      <c r="BB187" s="75" t="n"/>
      <c r="BC187" s="75" t="n"/>
      <c r="BD187" s="75" t="n"/>
      <c r="BE187" s="75" t="n"/>
    </row>
    <row r="188" ht="18" customHeight="1">
      <c r="A188" s="49">
        <f>IF('İş Planı'!$C188="","",'İş Planı'!$C188)</f>
        <v/>
      </c>
      <c r="B188" s="49">
        <f>IF('İş Planı'!$B188="","",'İş Planı'!$B188)</f>
        <v/>
      </c>
      <c r="C188" s="63">
        <f>IF('İş Planı'!$H188="","",'İş Planı'!$H188)</f>
        <v/>
      </c>
      <c r="D188" s="63">
        <f>IF('İş Planı'!$L188="","",'İş Planı'!$L188)</f>
        <v/>
      </c>
      <c r="E188" s="62">
        <f>IF('İş Planı'!$N188="","",'İş Planı'!$N188)</f>
        <v/>
      </c>
      <c r="F188" s="75" t="n"/>
      <c r="G188" s="75" t="n"/>
      <c r="H188" s="75" t="n"/>
      <c r="I188" s="75" t="n"/>
      <c r="J188" s="75" t="n"/>
      <c r="K188" s="75" t="n"/>
      <c r="L188" s="75" t="n"/>
      <c r="M188" s="75" t="n"/>
      <c r="N188" s="75" t="n"/>
      <c r="O188" s="75" t="n"/>
      <c r="P188" s="75" t="n"/>
      <c r="Q188" s="75" t="n"/>
      <c r="R188" s="75" t="n"/>
      <c r="S188" s="75" t="n"/>
      <c r="T188" s="75" t="n"/>
      <c r="U188" s="75" t="n"/>
      <c r="V188" s="75" t="n"/>
      <c r="W188" s="75" t="n"/>
      <c r="X188" s="75" t="n"/>
      <c r="Y188" s="75" t="n"/>
      <c r="Z188" s="75" t="n"/>
      <c r="AA188" s="75" t="n"/>
      <c r="AB188" s="75" t="n"/>
      <c r="AC188" s="75" t="n"/>
      <c r="AD188" s="75" t="n"/>
      <c r="AE188" s="75" t="n"/>
      <c r="AF188" s="75" t="n"/>
      <c r="AG188" s="75" t="n"/>
      <c r="AH188" s="75" t="n"/>
      <c r="AI188" s="75" t="n"/>
      <c r="AJ188" s="75" t="n"/>
      <c r="AK188" s="75" t="n"/>
      <c r="AL188" s="75" t="n"/>
      <c r="AM188" s="75" t="n"/>
      <c r="AN188" s="75" t="n"/>
      <c r="AO188" s="75" t="n"/>
      <c r="AP188" s="75" t="n"/>
      <c r="AQ188" s="75" t="n"/>
      <c r="AR188" s="75" t="n"/>
      <c r="AS188" s="75" t="n"/>
      <c r="AT188" s="75" t="n"/>
      <c r="AU188" s="75" t="n"/>
      <c r="AV188" s="75" t="n"/>
      <c r="AW188" s="75" t="n"/>
      <c r="AX188" s="75" t="n"/>
      <c r="AY188" s="75" t="n"/>
      <c r="AZ188" s="75" t="n"/>
      <c r="BA188" s="75" t="n"/>
      <c r="BB188" s="75" t="n"/>
      <c r="BC188" s="75" t="n"/>
      <c r="BD188" s="75" t="n"/>
      <c r="BE188" s="75" t="n"/>
    </row>
    <row r="189" ht="18" customHeight="1">
      <c r="A189" s="49">
        <f>IF('İş Planı'!$C189="","",'İş Planı'!$C189)</f>
        <v/>
      </c>
      <c r="B189" s="49">
        <f>IF('İş Planı'!$B189="","",'İş Planı'!$B189)</f>
        <v/>
      </c>
      <c r="C189" s="63">
        <f>IF('İş Planı'!$H189="","",'İş Planı'!$H189)</f>
        <v/>
      </c>
      <c r="D189" s="63">
        <f>IF('İş Planı'!$L189="","",'İş Planı'!$L189)</f>
        <v/>
      </c>
      <c r="E189" s="62">
        <f>IF('İş Planı'!$N189="","",'İş Planı'!$N189)</f>
        <v/>
      </c>
      <c r="F189" s="75" t="n"/>
      <c r="G189" s="75" t="n"/>
      <c r="H189" s="75" t="n"/>
      <c r="I189" s="75" t="n"/>
      <c r="J189" s="75" t="n"/>
      <c r="K189" s="75" t="n"/>
      <c r="L189" s="75" t="n"/>
      <c r="M189" s="75" t="n"/>
      <c r="N189" s="75" t="n"/>
      <c r="O189" s="75" t="n"/>
      <c r="P189" s="75" t="n"/>
      <c r="Q189" s="75" t="n"/>
      <c r="R189" s="75" t="n"/>
      <c r="S189" s="75" t="n"/>
      <c r="T189" s="75" t="n"/>
      <c r="U189" s="75" t="n"/>
      <c r="V189" s="75" t="n"/>
      <c r="W189" s="75" t="n"/>
      <c r="X189" s="75" t="n"/>
      <c r="Y189" s="75" t="n"/>
      <c r="Z189" s="75" t="n"/>
      <c r="AA189" s="75" t="n"/>
      <c r="AB189" s="75" t="n"/>
      <c r="AC189" s="75" t="n"/>
      <c r="AD189" s="75" t="n"/>
      <c r="AE189" s="75" t="n"/>
      <c r="AF189" s="75" t="n"/>
      <c r="AG189" s="75" t="n"/>
      <c r="AH189" s="75" t="n"/>
      <c r="AI189" s="75" t="n"/>
      <c r="AJ189" s="75" t="n"/>
      <c r="AK189" s="75" t="n"/>
      <c r="AL189" s="75" t="n"/>
      <c r="AM189" s="75" t="n"/>
      <c r="AN189" s="75" t="n"/>
      <c r="AO189" s="75" t="n"/>
      <c r="AP189" s="75" t="n"/>
      <c r="AQ189" s="75" t="n"/>
      <c r="AR189" s="75" t="n"/>
      <c r="AS189" s="75" t="n"/>
      <c r="AT189" s="75" t="n"/>
      <c r="AU189" s="75" t="n"/>
      <c r="AV189" s="75" t="n"/>
      <c r="AW189" s="75" t="n"/>
      <c r="AX189" s="75" t="n"/>
      <c r="AY189" s="75" t="n"/>
      <c r="AZ189" s="75" t="n"/>
      <c r="BA189" s="75" t="n"/>
      <c r="BB189" s="75" t="n"/>
      <c r="BC189" s="75" t="n"/>
      <c r="BD189" s="75" t="n"/>
      <c r="BE189" s="75" t="n"/>
    </row>
    <row r="190" ht="18" customHeight="1">
      <c r="A190" s="49">
        <f>IF('İş Planı'!$C190="","",'İş Planı'!$C190)</f>
        <v/>
      </c>
      <c r="B190" s="49">
        <f>IF('İş Planı'!$B190="","",'İş Planı'!$B190)</f>
        <v/>
      </c>
      <c r="C190" s="63">
        <f>IF('İş Planı'!$H190="","",'İş Planı'!$H190)</f>
        <v/>
      </c>
      <c r="D190" s="63">
        <f>IF('İş Planı'!$L190="","",'İş Planı'!$L190)</f>
        <v/>
      </c>
      <c r="E190" s="62">
        <f>IF('İş Planı'!$N190="","",'İş Planı'!$N190)</f>
        <v/>
      </c>
      <c r="F190" s="75" t="n"/>
      <c r="G190" s="75" t="n"/>
      <c r="H190" s="75" t="n"/>
      <c r="I190" s="75" t="n"/>
      <c r="J190" s="75" t="n"/>
      <c r="K190" s="75" t="n"/>
      <c r="L190" s="75" t="n"/>
      <c r="M190" s="75" t="n"/>
      <c r="N190" s="75" t="n"/>
      <c r="O190" s="75" t="n"/>
      <c r="P190" s="75" t="n"/>
      <c r="Q190" s="75" t="n"/>
      <c r="R190" s="75" t="n"/>
      <c r="S190" s="75" t="n"/>
      <c r="T190" s="75" t="n"/>
      <c r="U190" s="75" t="n"/>
      <c r="V190" s="75" t="n"/>
      <c r="W190" s="75" t="n"/>
      <c r="X190" s="75" t="n"/>
      <c r="Y190" s="75" t="n"/>
      <c r="Z190" s="75" t="n"/>
      <c r="AA190" s="75" t="n"/>
      <c r="AB190" s="75" t="n"/>
      <c r="AC190" s="75" t="n"/>
      <c r="AD190" s="75" t="n"/>
      <c r="AE190" s="75" t="n"/>
      <c r="AF190" s="75" t="n"/>
      <c r="AG190" s="75" t="n"/>
      <c r="AH190" s="75" t="n"/>
      <c r="AI190" s="75" t="n"/>
      <c r="AJ190" s="75" t="n"/>
      <c r="AK190" s="75" t="n"/>
      <c r="AL190" s="75" t="n"/>
      <c r="AM190" s="75" t="n"/>
      <c r="AN190" s="75" t="n"/>
      <c r="AO190" s="75" t="n"/>
      <c r="AP190" s="75" t="n"/>
      <c r="AQ190" s="75" t="n"/>
      <c r="AR190" s="75" t="n"/>
      <c r="AS190" s="75" t="n"/>
      <c r="AT190" s="75" t="n"/>
      <c r="AU190" s="75" t="n"/>
      <c r="AV190" s="75" t="n"/>
      <c r="AW190" s="75" t="n"/>
      <c r="AX190" s="75" t="n"/>
      <c r="AY190" s="75" t="n"/>
      <c r="AZ190" s="75" t="n"/>
      <c r="BA190" s="75" t="n"/>
      <c r="BB190" s="75" t="n"/>
      <c r="BC190" s="75" t="n"/>
      <c r="BD190" s="75" t="n"/>
      <c r="BE190" s="75" t="n"/>
    </row>
    <row r="191" ht="18" customHeight="1">
      <c r="A191" s="49">
        <f>IF('İş Planı'!$C191="","",'İş Planı'!$C191)</f>
        <v/>
      </c>
      <c r="B191" s="49">
        <f>IF('İş Planı'!$B191="","",'İş Planı'!$B191)</f>
        <v/>
      </c>
      <c r="C191" s="63">
        <f>IF('İş Planı'!$H191="","",'İş Planı'!$H191)</f>
        <v/>
      </c>
      <c r="D191" s="63">
        <f>IF('İş Planı'!$L191="","",'İş Planı'!$L191)</f>
        <v/>
      </c>
      <c r="E191" s="62">
        <f>IF('İş Planı'!$N191="","",'İş Planı'!$N191)</f>
        <v/>
      </c>
      <c r="F191" s="75" t="n"/>
      <c r="G191" s="75" t="n"/>
      <c r="H191" s="75" t="n"/>
      <c r="I191" s="75" t="n"/>
      <c r="J191" s="75" t="n"/>
      <c r="K191" s="75" t="n"/>
      <c r="L191" s="75" t="n"/>
      <c r="M191" s="75" t="n"/>
      <c r="N191" s="75" t="n"/>
      <c r="O191" s="75" t="n"/>
      <c r="P191" s="75" t="n"/>
      <c r="Q191" s="75" t="n"/>
      <c r="R191" s="75" t="n"/>
      <c r="S191" s="75" t="n"/>
      <c r="T191" s="75" t="n"/>
      <c r="U191" s="75" t="n"/>
      <c r="V191" s="75" t="n"/>
      <c r="W191" s="75" t="n"/>
      <c r="X191" s="75" t="n"/>
      <c r="Y191" s="75" t="n"/>
      <c r="Z191" s="75" t="n"/>
      <c r="AA191" s="75" t="n"/>
      <c r="AB191" s="75" t="n"/>
      <c r="AC191" s="75" t="n"/>
      <c r="AD191" s="75" t="n"/>
      <c r="AE191" s="75" t="n"/>
      <c r="AF191" s="75" t="n"/>
      <c r="AG191" s="75" t="n"/>
      <c r="AH191" s="75" t="n"/>
      <c r="AI191" s="75" t="n"/>
      <c r="AJ191" s="75" t="n"/>
      <c r="AK191" s="75" t="n"/>
      <c r="AL191" s="75" t="n"/>
      <c r="AM191" s="75" t="n"/>
      <c r="AN191" s="75" t="n"/>
      <c r="AO191" s="75" t="n"/>
      <c r="AP191" s="75" t="n"/>
      <c r="AQ191" s="75" t="n"/>
      <c r="AR191" s="75" t="n"/>
      <c r="AS191" s="75" t="n"/>
      <c r="AT191" s="75" t="n"/>
      <c r="AU191" s="75" t="n"/>
      <c r="AV191" s="75" t="n"/>
      <c r="AW191" s="75" t="n"/>
      <c r="AX191" s="75" t="n"/>
      <c r="AY191" s="75" t="n"/>
      <c r="AZ191" s="75" t="n"/>
      <c r="BA191" s="75" t="n"/>
      <c r="BB191" s="75" t="n"/>
      <c r="BC191" s="75" t="n"/>
      <c r="BD191" s="75" t="n"/>
      <c r="BE191" s="75" t="n"/>
    </row>
    <row r="192" ht="18" customHeight="1">
      <c r="A192" s="49">
        <f>IF('İş Planı'!$C192="","",'İş Planı'!$C192)</f>
        <v/>
      </c>
      <c r="B192" s="49">
        <f>IF('İş Planı'!$B192="","",'İş Planı'!$B192)</f>
        <v/>
      </c>
      <c r="C192" s="63">
        <f>IF('İş Planı'!$H192="","",'İş Planı'!$H192)</f>
        <v/>
      </c>
      <c r="D192" s="63">
        <f>IF('İş Planı'!$L192="","",'İş Planı'!$L192)</f>
        <v/>
      </c>
      <c r="E192" s="62">
        <f>IF('İş Planı'!$N192="","",'İş Planı'!$N192)</f>
        <v/>
      </c>
      <c r="F192" s="75" t="n"/>
      <c r="G192" s="75" t="n"/>
      <c r="H192" s="75" t="n"/>
      <c r="I192" s="75" t="n"/>
      <c r="J192" s="75" t="n"/>
      <c r="K192" s="75" t="n"/>
      <c r="L192" s="75" t="n"/>
      <c r="M192" s="75" t="n"/>
      <c r="N192" s="75" t="n"/>
      <c r="O192" s="75" t="n"/>
      <c r="P192" s="75" t="n"/>
      <c r="Q192" s="75" t="n"/>
      <c r="R192" s="75" t="n"/>
      <c r="S192" s="75" t="n"/>
      <c r="T192" s="75" t="n"/>
      <c r="U192" s="75" t="n"/>
      <c r="V192" s="75" t="n"/>
      <c r="W192" s="75" t="n"/>
      <c r="X192" s="75" t="n"/>
      <c r="Y192" s="75" t="n"/>
      <c r="Z192" s="75" t="n"/>
      <c r="AA192" s="75" t="n"/>
      <c r="AB192" s="75" t="n"/>
      <c r="AC192" s="75" t="n"/>
      <c r="AD192" s="75" t="n"/>
      <c r="AE192" s="75" t="n"/>
      <c r="AF192" s="75" t="n"/>
      <c r="AG192" s="75" t="n"/>
      <c r="AH192" s="75" t="n"/>
      <c r="AI192" s="75" t="n"/>
      <c r="AJ192" s="75" t="n"/>
      <c r="AK192" s="75" t="n"/>
      <c r="AL192" s="75" t="n"/>
      <c r="AM192" s="75" t="n"/>
      <c r="AN192" s="75" t="n"/>
      <c r="AO192" s="75" t="n"/>
      <c r="AP192" s="75" t="n"/>
      <c r="AQ192" s="75" t="n"/>
      <c r="AR192" s="75" t="n"/>
      <c r="AS192" s="75" t="n"/>
      <c r="AT192" s="75" t="n"/>
      <c r="AU192" s="75" t="n"/>
      <c r="AV192" s="75" t="n"/>
      <c r="AW192" s="75" t="n"/>
      <c r="AX192" s="75" t="n"/>
      <c r="AY192" s="75" t="n"/>
      <c r="AZ192" s="75" t="n"/>
      <c r="BA192" s="75" t="n"/>
      <c r="BB192" s="75" t="n"/>
      <c r="BC192" s="75" t="n"/>
      <c r="BD192" s="75" t="n"/>
      <c r="BE192" s="75" t="n"/>
    </row>
    <row r="193" ht="18" customHeight="1">
      <c r="A193" s="49">
        <f>IF('İş Planı'!$C193="","",'İş Planı'!$C193)</f>
        <v/>
      </c>
      <c r="B193" s="49">
        <f>IF('İş Planı'!$B193="","",'İş Planı'!$B193)</f>
        <v/>
      </c>
      <c r="C193" s="63">
        <f>IF('İş Planı'!$H193="","",'İş Planı'!$H193)</f>
        <v/>
      </c>
      <c r="D193" s="63">
        <f>IF('İş Planı'!$L193="","",'İş Planı'!$L193)</f>
        <v/>
      </c>
      <c r="E193" s="62">
        <f>IF('İş Planı'!$N193="","",'İş Planı'!$N193)</f>
        <v/>
      </c>
      <c r="F193" s="75" t="n"/>
      <c r="G193" s="75" t="n"/>
      <c r="H193" s="75" t="n"/>
      <c r="I193" s="75" t="n"/>
      <c r="J193" s="75" t="n"/>
      <c r="K193" s="75" t="n"/>
      <c r="L193" s="75" t="n"/>
      <c r="M193" s="75" t="n"/>
      <c r="N193" s="75" t="n"/>
      <c r="O193" s="75" t="n"/>
      <c r="P193" s="75" t="n"/>
      <c r="Q193" s="75" t="n"/>
      <c r="R193" s="75" t="n"/>
      <c r="S193" s="75" t="n"/>
      <c r="T193" s="75" t="n"/>
      <c r="U193" s="75" t="n"/>
      <c r="V193" s="75" t="n"/>
      <c r="W193" s="75" t="n"/>
      <c r="X193" s="75" t="n"/>
      <c r="Y193" s="75" t="n"/>
      <c r="Z193" s="75" t="n"/>
      <c r="AA193" s="75" t="n"/>
      <c r="AB193" s="75" t="n"/>
      <c r="AC193" s="75" t="n"/>
      <c r="AD193" s="75" t="n"/>
      <c r="AE193" s="75" t="n"/>
      <c r="AF193" s="75" t="n"/>
      <c r="AG193" s="75" t="n"/>
      <c r="AH193" s="75" t="n"/>
      <c r="AI193" s="75" t="n"/>
      <c r="AJ193" s="75" t="n"/>
      <c r="AK193" s="75" t="n"/>
      <c r="AL193" s="75" t="n"/>
      <c r="AM193" s="75" t="n"/>
      <c r="AN193" s="75" t="n"/>
      <c r="AO193" s="75" t="n"/>
      <c r="AP193" s="75" t="n"/>
      <c r="AQ193" s="75" t="n"/>
      <c r="AR193" s="75" t="n"/>
      <c r="AS193" s="75" t="n"/>
      <c r="AT193" s="75" t="n"/>
      <c r="AU193" s="75" t="n"/>
      <c r="AV193" s="75" t="n"/>
      <c r="AW193" s="75" t="n"/>
      <c r="AX193" s="75" t="n"/>
      <c r="AY193" s="75" t="n"/>
      <c r="AZ193" s="75" t="n"/>
      <c r="BA193" s="75" t="n"/>
      <c r="BB193" s="75" t="n"/>
      <c r="BC193" s="75" t="n"/>
      <c r="BD193" s="75" t="n"/>
      <c r="BE193" s="75" t="n"/>
    </row>
    <row r="194" ht="18" customHeight="1">
      <c r="A194" s="49">
        <f>IF('İş Planı'!$C194="","",'İş Planı'!$C194)</f>
        <v/>
      </c>
      <c r="B194" s="49">
        <f>IF('İş Planı'!$B194="","",'İş Planı'!$B194)</f>
        <v/>
      </c>
      <c r="C194" s="63">
        <f>IF('İş Planı'!$H194="","",'İş Planı'!$H194)</f>
        <v/>
      </c>
      <c r="D194" s="63">
        <f>IF('İş Planı'!$L194="","",'İş Planı'!$L194)</f>
        <v/>
      </c>
      <c r="E194" s="62">
        <f>IF('İş Planı'!$N194="","",'İş Planı'!$N194)</f>
        <v/>
      </c>
      <c r="F194" s="75" t="n"/>
      <c r="G194" s="75" t="n"/>
      <c r="H194" s="75" t="n"/>
      <c r="I194" s="75" t="n"/>
      <c r="J194" s="75" t="n"/>
      <c r="K194" s="75" t="n"/>
      <c r="L194" s="75" t="n"/>
      <c r="M194" s="75" t="n"/>
      <c r="N194" s="75" t="n"/>
      <c r="O194" s="75" t="n"/>
      <c r="P194" s="75" t="n"/>
      <c r="Q194" s="75" t="n"/>
      <c r="R194" s="75" t="n"/>
      <c r="S194" s="75" t="n"/>
      <c r="T194" s="75" t="n"/>
      <c r="U194" s="75" t="n"/>
      <c r="V194" s="75" t="n"/>
      <c r="W194" s="75" t="n"/>
      <c r="X194" s="75" t="n"/>
      <c r="Y194" s="75" t="n"/>
      <c r="Z194" s="75" t="n"/>
      <c r="AA194" s="75" t="n"/>
      <c r="AB194" s="75" t="n"/>
      <c r="AC194" s="75" t="n"/>
      <c r="AD194" s="75" t="n"/>
      <c r="AE194" s="75" t="n"/>
      <c r="AF194" s="75" t="n"/>
      <c r="AG194" s="75" t="n"/>
      <c r="AH194" s="75" t="n"/>
      <c r="AI194" s="75" t="n"/>
      <c r="AJ194" s="75" t="n"/>
      <c r="AK194" s="75" t="n"/>
      <c r="AL194" s="75" t="n"/>
      <c r="AM194" s="75" t="n"/>
      <c r="AN194" s="75" t="n"/>
      <c r="AO194" s="75" t="n"/>
      <c r="AP194" s="75" t="n"/>
      <c r="AQ194" s="75" t="n"/>
      <c r="AR194" s="75" t="n"/>
      <c r="AS194" s="75" t="n"/>
      <c r="AT194" s="75" t="n"/>
      <c r="AU194" s="75" t="n"/>
      <c r="AV194" s="75" t="n"/>
      <c r="AW194" s="75" t="n"/>
      <c r="AX194" s="75" t="n"/>
      <c r="AY194" s="75" t="n"/>
      <c r="AZ194" s="75" t="n"/>
      <c r="BA194" s="75" t="n"/>
      <c r="BB194" s="75" t="n"/>
      <c r="BC194" s="75" t="n"/>
      <c r="BD194" s="75" t="n"/>
      <c r="BE194" s="75" t="n"/>
    </row>
    <row r="195" ht="18" customHeight="1">
      <c r="A195" s="49">
        <f>IF('İş Planı'!$C195="","",'İş Planı'!$C195)</f>
        <v/>
      </c>
      <c r="B195" s="49">
        <f>IF('İş Planı'!$B195="","",'İş Planı'!$B195)</f>
        <v/>
      </c>
      <c r="C195" s="63">
        <f>IF('İş Planı'!$H195="","",'İş Planı'!$H195)</f>
        <v/>
      </c>
      <c r="D195" s="63">
        <f>IF('İş Planı'!$L195="","",'İş Planı'!$L195)</f>
        <v/>
      </c>
      <c r="E195" s="62">
        <f>IF('İş Planı'!$N195="","",'İş Planı'!$N195)</f>
        <v/>
      </c>
      <c r="F195" s="75" t="n"/>
      <c r="G195" s="75" t="n"/>
      <c r="H195" s="75" t="n"/>
      <c r="I195" s="75" t="n"/>
      <c r="J195" s="75" t="n"/>
      <c r="K195" s="75" t="n"/>
      <c r="L195" s="75" t="n"/>
      <c r="M195" s="75" t="n"/>
      <c r="N195" s="75" t="n"/>
      <c r="O195" s="75" t="n"/>
      <c r="P195" s="75" t="n"/>
      <c r="Q195" s="75" t="n"/>
      <c r="R195" s="75" t="n"/>
      <c r="S195" s="75" t="n"/>
      <c r="T195" s="75" t="n"/>
      <c r="U195" s="75" t="n"/>
      <c r="V195" s="75" t="n"/>
      <c r="W195" s="75" t="n"/>
      <c r="X195" s="75" t="n"/>
      <c r="Y195" s="75" t="n"/>
      <c r="Z195" s="75" t="n"/>
      <c r="AA195" s="75" t="n"/>
      <c r="AB195" s="75" t="n"/>
      <c r="AC195" s="75" t="n"/>
      <c r="AD195" s="75" t="n"/>
      <c r="AE195" s="75" t="n"/>
      <c r="AF195" s="75" t="n"/>
      <c r="AG195" s="75" t="n"/>
      <c r="AH195" s="75" t="n"/>
      <c r="AI195" s="75" t="n"/>
      <c r="AJ195" s="75" t="n"/>
      <c r="AK195" s="75" t="n"/>
      <c r="AL195" s="75" t="n"/>
      <c r="AM195" s="75" t="n"/>
      <c r="AN195" s="75" t="n"/>
      <c r="AO195" s="75" t="n"/>
      <c r="AP195" s="75" t="n"/>
      <c r="AQ195" s="75" t="n"/>
      <c r="AR195" s="75" t="n"/>
      <c r="AS195" s="75" t="n"/>
      <c r="AT195" s="75" t="n"/>
      <c r="AU195" s="75" t="n"/>
      <c r="AV195" s="75" t="n"/>
      <c r="AW195" s="75" t="n"/>
      <c r="AX195" s="75" t="n"/>
      <c r="AY195" s="75" t="n"/>
      <c r="AZ195" s="75" t="n"/>
      <c r="BA195" s="75" t="n"/>
      <c r="BB195" s="75" t="n"/>
      <c r="BC195" s="75" t="n"/>
      <c r="BD195" s="75" t="n"/>
      <c r="BE195" s="75" t="n"/>
    </row>
    <row r="196" ht="18" customHeight="1">
      <c r="A196" s="49">
        <f>IF('İş Planı'!$C196="","",'İş Planı'!$C196)</f>
        <v/>
      </c>
      <c r="B196" s="49">
        <f>IF('İş Planı'!$B196="","",'İş Planı'!$B196)</f>
        <v/>
      </c>
      <c r="C196" s="63">
        <f>IF('İş Planı'!$H196="","",'İş Planı'!$H196)</f>
        <v/>
      </c>
      <c r="D196" s="63">
        <f>IF('İş Planı'!$L196="","",'İş Planı'!$L196)</f>
        <v/>
      </c>
      <c r="E196" s="62">
        <f>IF('İş Planı'!$N196="","",'İş Planı'!$N196)</f>
        <v/>
      </c>
      <c r="F196" s="75" t="n"/>
      <c r="G196" s="75" t="n"/>
      <c r="H196" s="75" t="n"/>
      <c r="I196" s="75" t="n"/>
      <c r="J196" s="75" t="n"/>
      <c r="K196" s="75" t="n"/>
      <c r="L196" s="75" t="n"/>
      <c r="M196" s="75" t="n"/>
      <c r="N196" s="75" t="n"/>
      <c r="O196" s="75" t="n"/>
      <c r="P196" s="75" t="n"/>
      <c r="Q196" s="75" t="n"/>
      <c r="R196" s="75" t="n"/>
      <c r="S196" s="75" t="n"/>
      <c r="T196" s="75" t="n"/>
      <c r="U196" s="75" t="n"/>
      <c r="V196" s="75" t="n"/>
      <c r="W196" s="75" t="n"/>
      <c r="X196" s="75" t="n"/>
      <c r="Y196" s="75" t="n"/>
      <c r="Z196" s="75" t="n"/>
      <c r="AA196" s="75" t="n"/>
      <c r="AB196" s="75" t="n"/>
      <c r="AC196" s="75" t="n"/>
      <c r="AD196" s="75" t="n"/>
      <c r="AE196" s="75" t="n"/>
      <c r="AF196" s="75" t="n"/>
      <c r="AG196" s="75" t="n"/>
      <c r="AH196" s="75" t="n"/>
      <c r="AI196" s="75" t="n"/>
      <c r="AJ196" s="75" t="n"/>
      <c r="AK196" s="75" t="n"/>
      <c r="AL196" s="75" t="n"/>
      <c r="AM196" s="75" t="n"/>
      <c r="AN196" s="75" t="n"/>
      <c r="AO196" s="75" t="n"/>
      <c r="AP196" s="75" t="n"/>
      <c r="AQ196" s="75" t="n"/>
      <c r="AR196" s="75" t="n"/>
      <c r="AS196" s="75" t="n"/>
      <c r="AT196" s="75" t="n"/>
      <c r="AU196" s="75" t="n"/>
      <c r="AV196" s="75" t="n"/>
      <c r="AW196" s="75" t="n"/>
      <c r="AX196" s="75" t="n"/>
      <c r="AY196" s="75" t="n"/>
      <c r="AZ196" s="75" t="n"/>
      <c r="BA196" s="75" t="n"/>
      <c r="BB196" s="75" t="n"/>
      <c r="BC196" s="75" t="n"/>
      <c r="BD196" s="75" t="n"/>
      <c r="BE196" s="75" t="n"/>
    </row>
    <row r="197" ht="18" customHeight="1">
      <c r="A197" s="49">
        <f>IF('İş Planı'!$C197="","",'İş Planı'!$C197)</f>
        <v/>
      </c>
      <c r="B197" s="49">
        <f>IF('İş Planı'!$B197="","",'İş Planı'!$B197)</f>
        <v/>
      </c>
      <c r="C197" s="63">
        <f>IF('İş Planı'!$H197="","",'İş Planı'!$H197)</f>
        <v/>
      </c>
      <c r="D197" s="63">
        <f>IF('İş Planı'!$L197="","",'İş Planı'!$L197)</f>
        <v/>
      </c>
      <c r="E197" s="62">
        <f>IF('İş Planı'!$N197="","",'İş Planı'!$N197)</f>
        <v/>
      </c>
      <c r="F197" s="75" t="n"/>
      <c r="G197" s="75" t="n"/>
      <c r="H197" s="75" t="n"/>
      <c r="I197" s="75" t="n"/>
      <c r="J197" s="75" t="n"/>
      <c r="K197" s="75" t="n"/>
      <c r="L197" s="75" t="n"/>
      <c r="M197" s="75" t="n"/>
      <c r="N197" s="75" t="n"/>
      <c r="O197" s="75" t="n"/>
      <c r="P197" s="75" t="n"/>
      <c r="Q197" s="75" t="n"/>
      <c r="R197" s="75" t="n"/>
      <c r="S197" s="75" t="n"/>
      <c r="T197" s="75" t="n"/>
      <c r="U197" s="75" t="n"/>
      <c r="V197" s="75" t="n"/>
      <c r="W197" s="75" t="n"/>
      <c r="X197" s="75" t="n"/>
      <c r="Y197" s="75" t="n"/>
      <c r="Z197" s="75" t="n"/>
      <c r="AA197" s="75" t="n"/>
      <c r="AB197" s="75" t="n"/>
      <c r="AC197" s="75" t="n"/>
      <c r="AD197" s="75" t="n"/>
      <c r="AE197" s="75" t="n"/>
      <c r="AF197" s="75" t="n"/>
      <c r="AG197" s="75" t="n"/>
      <c r="AH197" s="75" t="n"/>
      <c r="AI197" s="75" t="n"/>
      <c r="AJ197" s="75" t="n"/>
      <c r="AK197" s="75" t="n"/>
      <c r="AL197" s="75" t="n"/>
      <c r="AM197" s="75" t="n"/>
      <c r="AN197" s="75" t="n"/>
      <c r="AO197" s="75" t="n"/>
      <c r="AP197" s="75" t="n"/>
      <c r="AQ197" s="75" t="n"/>
      <c r="AR197" s="75" t="n"/>
      <c r="AS197" s="75" t="n"/>
      <c r="AT197" s="75" t="n"/>
      <c r="AU197" s="75" t="n"/>
      <c r="AV197" s="75" t="n"/>
      <c r="AW197" s="75" t="n"/>
      <c r="AX197" s="75" t="n"/>
      <c r="AY197" s="75" t="n"/>
      <c r="AZ197" s="75" t="n"/>
      <c r="BA197" s="75" t="n"/>
      <c r="BB197" s="75" t="n"/>
      <c r="BC197" s="75" t="n"/>
      <c r="BD197" s="75" t="n"/>
      <c r="BE197" s="75" t="n"/>
    </row>
    <row r="198" ht="18" customHeight="1">
      <c r="A198" s="49">
        <f>IF('İş Planı'!$C198="","",'İş Planı'!$C198)</f>
        <v/>
      </c>
      <c r="B198" s="49">
        <f>IF('İş Planı'!$B198="","",'İş Planı'!$B198)</f>
        <v/>
      </c>
      <c r="C198" s="63">
        <f>IF('İş Planı'!$H198="","",'İş Planı'!$H198)</f>
        <v/>
      </c>
      <c r="D198" s="63">
        <f>IF('İş Planı'!$L198="","",'İş Planı'!$L198)</f>
        <v/>
      </c>
      <c r="E198" s="62">
        <f>IF('İş Planı'!$N198="","",'İş Planı'!$N198)</f>
        <v/>
      </c>
      <c r="F198" s="75" t="n"/>
      <c r="G198" s="75" t="n"/>
      <c r="H198" s="75" t="n"/>
      <c r="I198" s="75" t="n"/>
      <c r="J198" s="75" t="n"/>
      <c r="K198" s="75" t="n"/>
      <c r="L198" s="75" t="n"/>
      <c r="M198" s="75" t="n"/>
      <c r="N198" s="75" t="n"/>
      <c r="O198" s="75" t="n"/>
      <c r="P198" s="75" t="n"/>
      <c r="Q198" s="75" t="n"/>
      <c r="R198" s="75" t="n"/>
      <c r="S198" s="75" t="n"/>
      <c r="T198" s="75" t="n"/>
      <c r="U198" s="75" t="n"/>
      <c r="V198" s="75" t="n"/>
      <c r="W198" s="75" t="n"/>
      <c r="X198" s="75" t="n"/>
      <c r="Y198" s="75" t="n"/>
      <c r="Z198" s="75" t="n"/>
      <c r="AA198" s="75" t="n"/>
      <c r="AB198" s="75" t="n"/>
      <c r="AC198" s="75" t="n"/>
      <c r="AD198" s="75" t="n"/>
      <c r="AE198" s="75" t="n"/>
      <c r="AF198" s="75" t="n"/>
      <c r="AG198" s="75" t="n"/>
      <c r="AH198" s="75" t="n"/>
      <c r="AI198" s="75" t="n"/>
      <c r="AJ198" s="75" t="n"/>
      <c r="AK198" s="75" t="n"/>
      <c r="AL198" s="75" t="n"/>
      <c r="AM198" s="75" t="n"/>
      <c r="AN198" s="75" t="n"/>
      <c r="AO198" s="75" t="n"/>
      <c r="AP198" s="75" t="n"/>
      <c r="AQ198" s="75" t="n"/>
      <c r="AR198" s="75" t="n"/>
      <c r="AS198" s="75" t="n"/>
      <c r="AT198" s="75" t="n"/>
      <c r="AU198" s="75" t="n"/>
      <c r="AV198" s="75" t="n"/>
      <c r="AW198" s="75" t="n"/>
      <c r="AX198" s="75" t="n"/>
      <c r="AY198" s="75" t="n"/>
      <c r="AZ198" s="75" t="n"/>
      <c r="BA198" s="75" t="n"/>
      <c r="BB198" s="75" t="n"/>
      <c r="BC198" s="75" t="n"/>
      <c r="BD198" s="75" t="n"/>
      <c r="BE198" s="75" t="n"/>
    </row>
    <row r="199" ht="18" customHeight="1">
      <c r="A199" s="49">
        <f>IF('İş Planı'!$C199="","",'İş Planı'!$C199)</f>
        <v/>
      </c>
      <c r="B199" s="49">
        <f>IF('İş Planı'!$B199="","",'İş Planı'!$B199)</f>
        <v/>
      </c>
      <c r="C199" s="63">
        <f>IF('İş Planı'!$H199="","",'İş Planı'!$H199)</f>
        <v/>
      </c>
      <c r="D199" s="63">
        <f>IF('İş Planı'!$L199="","",'İş Planı'!$L199)</f>
        <v/>
      </c>
      <c r="E199" s="62">
        <f>IF('İş Planı'!$N199="","",'İş Planı'!$N199)</f>
        <v/>
      </c>
      <c r="F199" s="75" t="n"/>
      <c r="G199" s="75" t="n"/>
      <c r="H199" s="75" t="n"/>
      <c r="I199" s="75" t="n"/>
      <c r="J199" s="75" t="n"/>
      <c r="K199" s="75" t="n"/>
      <c r="L199" s="75" t="n"/>
      <c r="M199" s="75" t="n"/>
      <c r="N199" s="75" t="n"/>
      <c r="O199" s="75" t="n"/>
      <c r="P199" s="75" t="n"/>
      <c r="Q199" s="75" t="n"/>
      <c r="R199" s="75" t="n"/>
      <c r="S199" s="75" t="n"/>
      <c r="T199" s="75" t="n"/>
      <c r="U199" s="75" t="n"/>
      <c r="V199" s="75" t="n"/>
      <c r="W199" s="75" t="n"/>
      <c r="X199" s="75" t="n"/>
      <c r="Y199" s="75" t="n"/>
      <c r="Z199" s="75" t="n"/>
      <c r="AA199" s="75" t="n"/>
      <c r="AB199" s="75" t="n"/>
      <c r="AC199" s="75" t="n"/>
      <c r="AD199" s="75" t="n"/>
      <c r="AE199" s="75" t="n"/>
      <c r="AF199" s="75" t="n"/>
      <c r="AG199" s="75" t="n"/>
      <c r="AH199" s="75" t="n"/>
      <c r="AI199" s="75" t="n"/>
      <c r="AJ199" s="75" t="n"/>
      <c r="AK199" s="75" t="n"/>
      <c r="AL199" s="75" t="n"/>
      <c r="AM199" s="75" t="n"/>
      <c r="AN199" s="75" t="n"/>
      <c r="AO199" s="75" t="n"/>
      <c r="AP199" s="75" t="n"/>
      <c r="AQ199" s="75" t="n"/>
      <c r="AR199" s="75" t="n"/>
      <c r="AS199" s="75" t="n"/>
      <c r="AT199" s="75" t="n"/>
      <c r="AU199" s="75" t="n"/>
      <c r="AV199" s="75" t="n"/>
      <c r="AW199" s="75" t="n"/>
      <c r="AX199" s="75" t="n"/>
      <c r="AY199" s="75" t="n"/>
      <c r="AZ199" s="75" t="n"/>
      <c r="BA199" s="75" t="n"/>
      <c r="BB199" s="75" t="n"/>
      <c r="BC199" s="75" t="n"/>
      <c r="BD199" s="75" t="n"/>
      <c r="BE199" s="75" t="n"/>
    </row>
    <row r="200" ht="18" customHeight="1">
      <c r="A200" s="49">
        <f>IF('İş Planı'!$C200="","",'İş Planı'!$C200)</f>
        <v/>
      </c>
      <c r="B200" s="49">
        <f>IF('İş Planı'!$B200="","",'İş Planı'!$B200)</f>
        <v/>
      </c>
      <c r="C200" s="63">
        <f>IF('İş Planı'!$H200="","",'İş Planı'!$H200)</f>
        <v/>
      </c>
      <c r="D200" s="63">
        <f>IF('İş Planı'!$L200="","",'İş Planı'!$L200)</f>
        <v/>
      </c>
      <c r="E200" s="62">
        <f>IF('İş Planı'!$N200="","",'İş Planı'!$N200)</f>
        <v/>
      </c>
      <c r="F200" s="75" t="n"/>
      <c r="G200" s="75" t="n"/>
      <c r="H200" s="75" t="n"/>
      <c r="I200" s="75" t="n"/>
      <c r="J200" s="75" t="n"/>
      <c r="K200" s="75" t="n"/>
      <c r="L200" s="75" t="n"/>
      <c r="M200" s="75" t="n"/>
      <c r="N200" s="75" t="n"/>
      <c r="O200" s="75" t="n"/>
      <c r="P200" s="75" t="n"/>
      <c r="Q200" s="75" t="n"/>
      <c r="R200" s="75" t="n"/>
      <c r="S200" s="75" t="n"/>
      <c r="T200" s="75" t="n"/>
      <c r="U200" s="75" t="n"/>
      <c r="V200" s="75" t="n"/>
      <c r="W200" s="75" t="n"/>
      <c r="X200" s="75" t="n"/>
      <c r="Y200" s="75" t="n"/>
      <c r="Z200" s="75" t="n"/>
      <c r="AA200" s="75" t="n"/>
      <c r="AB200" s="75" t="n"/>
      <c r="AC200" s="75" t="n"/>
      <c r="AD200" s="75" t="n"/>
      <c r="AE200" s="75" t="n"/>
      <c r="AF200" s="75" t="n"/>
      <c r="AG200" s="75" t="n"/>
      <c r="AH200" s="75" t="n"/>
      <c r="AI200" s="75" t="n"/>
      <c r="AJ200" s="75" t="n"/>
      <c r="AK200" s="75" t="n"/>
      <c r="AL200" s="75" t="n"/>
      <c r="AM200" s="75" t="n"/>
      <c r="AN200" s="75" t="n"/>
      <c r="AO200" s="75" t="n"/>
      <c r="AP200" s="75" t="n"/>
      <c r="AQ200" s="75" t="n"/>
      <c r="AR200" s="75" t="n"/>
      <c r="AS200" s="75" t="n"/>
      <c r="AT200" s="75" t="n"/>
      <c r="AU200" s="75" t="n"/>
      <c r="AV200" s="75" t="n"/>
      <c r="AW200" s="75" t="n"/>
      <c r="AX200" s="75" t="n"/>
      <c r="AY200" s="75" t="n"/>
      <c r="AZ200" s="75" t="n"/>
      <c r="BA200" s="75" t="n"/>
      <c r="BB200" s="75" t="n"/>
      <c r="BC200" s="75" t="n"/>
      <c r="BD200" s="75" t="n"/>
      <c r="BE200" s="75" t="n"/>
    </row>
    <row r="201" ht="18" customHeight="1">
      <c r="A201" s="49">
        <f>IF('İş Planı'!$C201="","",'İş Planı'!$C201)</f>
        <v/>
      </c>
      <c r="B201" s="49">
        <f>IF('İş Planı'!$B201="","",'İş Planı'!$B201)</f>
        <v/>
      </c>
      <c r="C201" s="63">
        <f>IF('İş Planı'!$H201="","",'İş Planı'!$H201)</f>
        <v/>
      </c>
      <c r="D201" s="63">
        <f>IF('İş Planı'!$L201="","",'İş Planı'!$L201)</f>
        <v/>
      </c>
      <c r="E201" s="62">
        <f>IF('İş Planı'!$N201="","",'İş Planı'!$N201)</f>
        <v/>
      </c>
      <c r="F201" s="75" t="n"/>
      <c r="G201" s="75" t="n"/>
      <c r="H201" s="75" t="n"/>
      <c r="I201" s="75" t="n"/>
      <c r="J201" s="75" t="n"/>
      <c r="K201" s="75" t="n"/>
      <c r="L201" s="75" t="n"/>
      <c r="M201" s="75" t="n"/>
      <c r="N201" s="75" t="n"/>
      <c r="O201" s="75" t="n"/>
      <c r="P201" s="75" t="n"/>
      <c r="Q201" s="75" t="n"/>
      <c r="R201" s="75" t="n"/>
      <c r="S201" s="75" t="n"/>
      <c r="T201" s="75" t="n"/>
      <c r="U201" s="75" t="n"/>
      <c r="V201" s="75" t="n"/>
      <c r="W201" s="75" t="n"/>
      <c r="X201" s="75" t="n"/>
      <c r="Y201" s="75" t="n"/>
      <c r="Z201" s="75" t="n"/>
      <c r="AA201" s="75" t="n"/>
      <c r="AB201" s="75" t="n"/>
      <c r="AC201" s="75" t="n"/>
      <c r="AD201" s="75" t="n"/>
      <c r="AE201" s="75" t="n"/>
      <c r="AF201" s="75" t="n"/>
      <c r="AG201" s="75" t="n"/>
      <c r="AH201" s="75" t="n"/>
      <c r="AI201" s="75" t="n"/>
      <c r="AJ201" s="75" t="n"/>
      <c r="AK201" s="75" t="n"/>
      <c r="AL201" s="75" t="n"/>
      <c r="AM201" s="75" t="n"/>
      <c r="AN201" s="75" t="n"/>
      <c r="AO201" s="75" t="n"/>
      <c r="AP201" s="75" t="n"/>
      <c r="AQ201" s="75" t="n"/>
      <c r="AR201" s="75" t="n"/>
      <c r="AS201" s="75" t="n"/>
      <c r="AT201" s="75" t="n"/>
      <c r="AU201" s="75" t="n"/>
      <c r="AV201" s="75" t="n"/>
      <c r="AW201" s="75" t="n"/>
      <c r="AX201" s="75" t="n"/>
      <c r="AY201" s="75" t="n"/>
      <c r="AZ201" s="75" t="n"/>
      <c r="BA201" s="75" t="n"/>
      <c r="BB201" s="75" t="n"/>
      <c r="BC201" s="75" t="n"/>
      <c r="BD201" s="75" t="n"/>
      <c r="BE201" s="75" t="n"/>
    </row>
    <row r="202" ht="18" customHeight="1">
      <c r="A202" s="49">
        <f>IF('İş Planı'!$C202="","",'İş Planı'!$C202)</f>
        <v/>
      </c>
      <c r="B202" s="49">
        <f>IF('İş Planı'!$B202="","",'İş Planı'!$B202)</f>
        <v/>
      </c>
      <c r="C202" s="63">
        <f>IF('İş Planı'!$H202="","",'İş Planı'!$H202)</f>
        <v/>
      </c>
      <c r="D202" s="63">
        <f>IF('İş Planı'!$L202="","",'İş Planı'!$L202)</f>
        <v/>
      </c>
      <c r="E202" s="62">
        <f>IF('İş Planı'!$N202="","",'İş Planı'!$N202)</f>
        <v/>
      </c>
      <c r="F202" s="75" t="n"/>
      <c r="G202" s="75" t="n"/>
      <c r="H202" s="75" t="n"/>
      <c r="I202" s="75" t="n"/>
      <c r="J202" s="75" t="n"/>
      <c r="K202" s="75" t="n"/>
      <c r="L202" s="75" t="n"/>
      <c r="M202" s="75" t="n"/>
      <c r="N202" s="75" t="n"/>
      <c r="O202" s="75" t="n"/>
      <c r="P202" s="75" t="n"/>
      <c r="Q202" s="75" t="n"/>
      <c r="R202" s="75" t="n"/>
      <c r="S202" s="75" t="n"/>
      <c r="T202" s="75" t="n"/>
      <c r="U202" s="75" t="n"/>
      <c r="V202" s="75" t="n"/>
      <c r="W202" s="75" t="n"/>
      <c r="X202" s="75" t="n"/>
      <c r="Y202" s="75" t="n"/>
      <c r="Z202" s="75" t="n"/>
      <c r="AA202" s="75" t="n"/>
      <c r="AB202" s="75" t="n"/>
      <c r="AC202" s="75" t="n"/>
      <c r="AD202" s="75" t="n"/>
      <c r="AE202" s="75" t="n"/>
      <c r="AF202" s="75" t="n"/>
      <c r="AG202" s="75" t="n"/>
      <c r="AH202" s="75" t="n"/>
      <c r="AI202" s="75" t="n"/>
      <c r="AJ202" s="75" t="n"/>
      <c r="AK202" s="75" t="n"/>
      <c r="AL202" s="75" t="n"/>
      <c r="AM202" s="75" t="n"/>
      <c r="AN202" s="75" t="n"/>
      <c r="AO202" s="75" t="n"/>
      <c r="AP202" s="75" t="n"/>
      <c r="AQ202" s="75" t="n"/>
      <c r="AR202" s="75" t="n"/>
      <c r="AS202" s="75" t="n"/>
      <c r="AT202" s="75" t="n"/>
      <c r="AU202" s="75" t="n"/>
      <c r="AV202" s="75" t="n"/>
      <c r="AW202" s="75" t="n"/>
      <c r="AX202" s="75" t="n"/>
      <c r="AY202" s="75" t="n"/>
      <c r="AZ202" s="75" t="n"/>
      <c r="BA202" s="75" t="n"/>
      <c r="BB202" s="75" t="n"/>
      <c r="BC202" s="75" t="n"/>
      <c r="BD202" s="75" t="n"/>
      <c r="BE202" s="75" t="n"/>
    </row>
    <row r="203" ht="18" customHeight="1">
      <c r="A203" s="49">
        <f>IF('İş Planı'!$C203="","",'İş Planı'!$C203)</f>
        <v/>
      </c>
      <c r="B203" s="49">
        <f>IF('İş Planı'!$B203="","",'İş Planı'!$B203)</f>
        <v/>
      </c>
      <c r="C203" s="63">
        <f>IF('İş Planı'!$H203="","",'İş Planı'!$H203)</f>
        <v/>
      </c>
      <c r="D203" s="63">
        <f>IF('İş Planı'!$L203="","",'İş Planı'!$L203)</f>
        <v/>
      </c>
      <c r="E203" s="62">
        <f>IF('İş Planı'!$N203="","",'İş Planı'!$N203)</f>
        <v/>
      </c>
      <c r="F203" s="75" t="n"/>
      <c r="G203" s="75" t="n"/>
      <c r="H203" s="75" t="n"/>
      <c r="I203" s="75" t="n"/>
      <c r="J203" s="75" t="n"/>
      <c r="K203" s="75" t="n"/>
      <c r="L203" s="75" t="n"/>
      <c r="M203" s="75" t="n"/>
      <c r="N203" s="75" t="n"/>
      <c r="O203" s="75" t="n"/>
      <c r="P203" s="75" t="n"/>
      <c r="Q203" s="75" t="n"/>
      <c r="R203" s="75" t="n"/>
      <c r="S203" s="75" t="n"/>
      <c r="T203" s="75" t="n"/>
      <c r="U203" s="75" t="n"/>
      <c r="V203" s="75" t="n"/>
      <c r="W203" s="75" t="n"/>
      <c r="X203" s="75" t="n"/>
      <c r="Y203" s="75" t="n"/>
      <c r="Z203" s="75" t="n"/>
      <c r="AA203" s="75" t="n"/>
      <c r="AB203" s="75" t="n"/>
      <c r="AC203" s="75" t="n"/>
      <c r="AD203" s="75" t="n"/>
      <c r="AE203" s="75" t="n"/>
      <c r="AF203" s="75" t="n"/>
      <c r="AG203" s="75" t="n"/>
      <c r="AH203" s="75" t="n"/>
      <c r="AI203" s="75" t="n"/>
      <c r="AJ203" s="75" t="n"/>
      <c r="AK203" s="75" t="n"/>
      <c r="AL203" s="75" t="n"/>
      <c r="AM203" s="75" t="n"/>
      <c r="AN203" s="75" t="n"/>
      <c r="AO203" s="75" t="n"/>
      <c r="AP203" s="75" t="n"/>
      <c r="AQ203" s="75" t="n"/>
      <c r="AR203" s="75" t="n"/>
      <c r="AS203" s="75" t="n"/>
      <c r="AT203" s="75" t="n"/>
      <c r="AU203" s="75" t="n"/>
      <c r="AV203" s="75" t="n"/>
      <c r="AW203" s="75" t="n"/>
      <c r="AX203" s="75" t="n"/>
      <c r="AY203" s="75" t="n"/>
      <c r="AZ203" s="75" t="n"/>
      <c r="BA203" s="75" t="n"/>
      <c r="BB203" s="75" t="n"/>
      <c r="BC203" s="75" t="n"/>
      <c r="BD203" s="75" t="n"/>
      <c r="BE203" s="75" t="n"/>
    </row>
    <row r="204" ht="18" customHeight="1">
      <c r="A204" s="49">
        <f>IF('İş Planı'!$C204="","",'İş Planı'!$C204)</f>
        <v/>
      </c>
      <c r="B204" s="49">
        <f>IF('İş Planı'!$B204="","",'İş Planı'!$B204)</f>
        <v/>
      </c>
      <c r="C204" s="63">
        <f>IF('İş Planı'!$H204="","",'İş Planı'!$H204)</f>
        <v/>
      </c>
      <c r="D204" s="63">
        <f>IF('İş Planı'!$L204="","",'İş Planı'!$L204)</f>
        <v/>
      </c>
      <c r="E204" s="62">
        <f>IF('İş Planı'!$N204="","",'İş Planı'!$N204)</f>
        <v/>
      </c>
      <c r="F204" s="75" t="n"/>
      <c r="G204" s="75" t="n"/>
      <c r="H204" s="75" t="n"/>
      <c r="I204" s="75" t="n"/>
      <c r="J204" s="75" t="n"/>
      <c r="K204" s="75" t="n"/>
      <c r="L204" s="75" t="n"/>
      <c r="M204" s="75" t="n"/>
      <c r="N204" s="75" t="n"/>
      <c r="O204" s="75" t="n"/>
      <c r="P204" s="75" t="n"/>
      <c r="Q204" s="75" t="n"/>
      <c r="R204" s="75" t="n"/>
      <c r="S204" s="75" t="n"/>
      <c r="T204" s="75" t="n"/>
      <c r="U204" s="75" t="n"/>
      <c r="V204" s="75" t="n"/>
      <c r="W204" s="75" t="n"/>
      <c r="X204" s="75" t="n"/>
      <c r="Y204" s="75" t="n"/>
      <c r="Z204" s="75" t="n"/>
      <c r="AA204" s="75" t="n"/>
      <c r="AB204" s="75" t="n"/>
      <c r="AC204" s="75" t="n"/>
      <c r="AD204" s="75" t="n"/>
      <c r="AE204" s="75" t="n"/>
      <c r="AF204" s="75" t="n"/>
      <c r="AG204" s="75" t="n"/>
      <c r="AH204" s="75" t="n"/>
      <c r="AI204" s="75" t="n"/>
      <c r="AJ204" s="75" t="n"/>
      <c r="AK204" s="75" t="n"/>
      <c r="AL204" s="75" t="n"/>
      <c r="AM204" s="75" t="n"/>
      <c r="AN204" s="75" t="n"/>
      <c r="AO204" s="75" t="n"/>
      <c r="AP204" s="75" t="n"/>
      <c r="AQ204" s="75" t="n"/>
      <c r="AR204" s="75" t="n"/>
      <c r="AS204" s="75" t="n"/>
      <c r="AT204" s="75" t="n"/>
      <c r="AU204" s="75" t="n"/>
      <c r="AV204" s="75" t="n"/>
      <c r="AW204" s="75" t="n"/>
      <c r="AX204" s="75" t="n"/>
      <c r="AY204" s="75" t="n"/>
      <c r="AZ204" s="75" t="n"/>
      <c r="BA204" s="75" t="n"/>
      <c r="BB204" s="75" t="n"/>
      <c r="BC204" s="75" t="n"/>
      <c r="BD204" s="75" t="n"/>
      <c r="BE204" s="75" t="n"/>
    </row>
  </sheetData>
  <mergeCells count="18">
    <mergeCell ref="F3:J3"/>
    <mergeCell ref="X3:AA3"/>
    <mergeCell ref="AF3:AJ3"/>
    <mergeCell ref="K3:N3"/>
    <mergeCell ref="AB3:AE3"/>
    <mergeCell ref="C3:C4"/>
    <mergeCell ref="B3:B4"/>
    <mergeCell ref="A3:A4"/>
    <mergeCell ref="E3:E4"/>
    <mergeCell ref="A1:BE2"/>
    <mergeCell ref="O3:R3"/>
    <mergeCell ref="AK3:AN3"/>
    <mergeCell ref="D3:D4"/>
    <mergeCell ref="AX3:BA3"/>
    <mergeCell ref="AO3:AR3"/>
    <mergeCell ref="BB3:BE3"/>
    <mergeCell ref="AS3:AW3"/>
    <mergeCell ref="S3:W3"/>
  </mergeCells>
  <conditionalFormatting sqref="F5:BE204">
    <cfRule type="expression" priority="1" dxfId="8">
      <formula>AND($E5="Planlanan",$C5&lt;&gt;"",$D5&lt;&gt;"",F$4&lt;=$D5,F$4+6&gt;=$C5)</formula>
    </cfRule>
    <cfRule type="expression" priority="2" dxfId="9">
      <formula>AND($E5="Devam Ediyor",$C5&lt;&gt;"",$D5&lt;&gt;"",F$4&lt;=$D5,F$4+6&gt;=$C5)</formula>
    </cfRule>
    <cfRule type="expression" priority="3" dxfId="10">
      <formula>AND($E5="Tamamlandı",$C5&lt;&gt;"",$D5&lt;&gt;"",F$4&lt;=$D5,F$4+6&gt;=$C5)</formula>
    </cfRule>
    <cfRule type="expression" priority="4" dxfId="11">
      <formula>AND($E5="Gecikmiş",$C5&lt;&gt;"",$D5&lt;&gt;"",F$4&lt;=$D5,F$4+6&gt;=$C5)</formula>
    </cfRule>
    <cfRule type="expression" priority="5" dxfId="8">
      <formula>AND($E5="",$C5&lt;&gt;"",$D5&lt;&gt;"",F$4&lt;=$D5,F$4+6&gt;=$C5)</formula>
    </cfRule>
  </conditionalFormatting>
  <conditionalFormatting sqref="F4:BE204">
    <cfRule type="expression" priority="6" dxfId="12">
      <formula>AND(TODAY()&gt;=F$4,TODAY()&lt;=F$4+6)</formula>
    </cfRule>
  </conditionalFormatting>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Q204"/>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12" customWidth="1" min="3" max="3"/>
    <col width="13" customWidth="1" min="4" max="4"/>
    <col width="14"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7" t="inlineStr">
        <is>
          <t>GANTT ŞEMASI  |  GANTT AYLIK  |  2026</t>
        </is>
      </c>
    </row>
    <row r="2" ht="16" customHeight="1"/>
    <row r="3" ht="18" customHeight="1">
      <c r="A3" s="59" t="inlineStr">
        <is>
          <t>İş Kalemi</t>
        </is>
      </c>
      <c r="B3" s="59" t="inlineStr">
        <is>
          <t>Grup</t>
        </is>
      </c>
      <c r="C3" s="59" t="inlineStr">
        <is>
          <t>Başlangıç</t>
        </is>
      </c>
      <c r="D3" s="59" t="inlineStr">
        <is>
          <t>Bitiş (Revize)</t>
        </is>
      </c>
      <c r="E3" s="59" t="inlineStr">
        <is>
          <t>Durum</t>
        </is>
      </c>
      <c r="F3" s="69" t="inlineStr">
        <is>
          <t>Ocak</t>
        </is>
      </c>
      <c r="G3" s="71" t="inlineStr">
        <is>
          <t>Şubat</t>
        </is>
      </c>
      <c r="H3" s="69" t="inlineStr">
        <is>
          <t>Mart</t>
        </is>
      </c>
      <c r="I3" s="71" t="inlineStr">
        <is>
          <t>Nisan</t>
        </is>
      </c>
      <c r="J3" s="69" t="inlineStr">
        <is>
          <t>Mayıs</t>
        </is>
      </c>
      <c r="K3" s="71" t="inlineStr">
        <is>
          <t>Haziran</t>
        </is>
      </c>
      <c r="L3" s="69" t="inlineStr">
        <is>
          <t>Temmuz</t>
        </is>
      </c>
      <c r="M3" s="71" t="inlineStr">
        <is>
          <t>Ağustos</t>
        </is>
      </c>
      <c r="N3" s="69" t="inlineStr">
        <is>
          <t>Eylül</t>
        </is>
      </c>
      <c r="O3" s="71" t="inlineStr">
        <is>
          <t>Ekim</t>
        </is>
      </c>
      <c r="P3" s="69" t="inlineStr">
        <is>
          <t>Kasım</t>
        </is>
      </c>
      <c r="Q3" s="71" t="inlineStr">
        <is>
          <t>Aralık</t>
        </is>
      </c>
    </row>
    <row r="4" ht="20" customHeight="1">
      <c r="A4" s="73" t="n"/>
      <c r="B4" s="73" t="n"/>
      <c r="C4" s="73" t="n"/>
      <c r="D4" s="73" t="n"/>
      <c r="E4" s="73" t="n"/>
      <c r="F4" s="74" t="n">
        <v>46023</v>
      </c>
      <c r="G4" s="74" t="n">
        <v>46054</v>
      </c>
      <c r="H4" s="74" t="n">
        <v>46082</v>
      </c>
      <c r="I4" s="74" t="n">
        <v>46113</v>
      </c>
      <c r="J4" s="74" t="n">
        <v>46143</v>
      </c>
      <c r="K4" s="74" t="n">
        <v>46174</v>
      </c>
      <c r="L4" s="74" t="n">
        <v>46204</v>
      </c>
      <c r="M4" s="74" t="n">
        <v>46235</v>
      </c>
      <c r="N4" s="74" t="n">
        <v>46266</v>
      </c>
      <c r="O4" s="74" t="n">
        <v>46296</v>
      </c>
      <c r="P4" s="74" t="n">
        <v>46327</v>
      </c>
      <c r="Q4" s="74" t="n">
        <v>46357</v>
      </c>
    </row>
    <row r="5" ht="18" customHeight="1">
      <c r="A5" s="49">
        <f>IF('İş Planı'!$C5="","",'İş Planı'!$C5)</f>
        <v/>
      </c>
      <c r="B5" s="49">
        <f>IF('İş Planı'!$B5="","",'İş Planı'!$B5)</f>
        <v/>
      </c>
      <c r="C5" s="63">
        <f>IF('İş Planı'!$H5="","",'İş Planı'!$H5)</f>
        <v/>
      </c>
      <c r="D5" s="63">
        <f>IF('İş Planı'!$L5="","",'İş Planı'!$L5)</f>
        <v/>
      </c>
      <c r="E5" s="62">
        <f>IF('İş Planı'!$N5="","",'İş Planı'!$N5)</f>
        <v/>
      </c>
      <c r="F5" s="75" t="n"/>
      <c r="G5" s="75" t="n"/>
      <c r="H5" s="75" t="n"/>
      <c r="I5" s="75" t="n"/>
      <c r="J5" s="75" t="n"/>
      <c r="K5" s="75" t="n"/>
      <c r="L5" s="75" t="n"/>
      <c r="M5" s="75" t="n"/>
      <c r="N5" s="75" t="n"/>
      <c r="O5" s="75" t="n"/>
      <c r="P5" s="75" t="n"/>
      <c r="Q5" s="75" t="n"/>
    </row>
    <row r="6" ht="18" customHeight="1">
      <c r="A6" s="49">
        <f>IF('İş Planı'!$C6="","",'İş Planı'!$C6)</f>
        <v/>
      </c>
      <c r="B6" s="49">
        <f>IF('İş Planı'!$B6="","",'İş Planı'!$B6)</f>
        <v/>
      </c>
      <c r="C6" s="63">
        <f>IF('İş Planı'!$H6="","",'İş Planı'!$H6)</f>
        <v/>
      </c>
      <c r="D6" s="63">
        <f>IF('İş Planı'!$L6="","",'İş Planı'!$L6)</f>
        <v/>
      </c>
      <c r="E6" s="62">
        <f>IF('İş Planı'!$N6="","",'İş Planı'!$N6)</f>
        <v/>
      </c>
      <c r="F6" s="75" t="n"/>
      <c r="G6" s="75" t="n"/>
      <c r="H6" s="75" t="n"/>
      <c r="I6" s="75" t="n"/>
      <c r="J6" s="75" t="n"/>
      <c r="K6" s="75" t="n"/>
      <c r="L6" s="75" t="n"/>
      <c r="M6" s="75" t="n"/>
      <c r="N6" s="75" t="n"/>
      <c r="O6" s="75" t="n"/>
      <c r="P6" s="75" t="n"/>
      <c r="Q6" s="75" t="n"/>
    </row>
    <row r="7" ht="18" customHeight="1">
      <c r="A7" s="49">
        <f>IF('İş Planı'!$C7="","",'İş Planı'!$C7)</f>
        <v/>
      </c>
      <c r="B7" s="49">
        <f>IF('İş Planı'!$B7="","",'İş Planı'!$B7)</f>
        <v/>
      </c>
      <c r="C7" s="63">
        <f>IF('İş Planı'!$H7="","",'İş Planı'!$H7)</f>
        <v/>
      </c>
      <c r="D7" s="63">
        <f>IF('İş Planı'!$L7="","",'İş Planı'!$L7)</f>
        <v/>
      </c>
      <c r="E7" s="62">
        <f>IF('İş Planı'!$N7="","",'İş Planı'!$N7)</f>
        <v/>
      </c>
      <c r="F7" s="75" t="n"/>
      <c r="G7" s="75" t="n"/>
      <c r="H7" s="75" t="n"/>
      <c r="I7" s="75" t="n"/>
      <c r="J7" s="75" t="n"/>
      <c r="K7" s="75" t="n"/>
      <c r="L7" s="75" t="n"/>
      <c r="M7" s="75" t="n"/>
      <c r="N7" s="75" t="n"/>
      <c r="O7" s="75" t="n"/>
      <c r="P7" s="75" t="n"/>
      <c r="Q7" s="75" t="n"/>
    </row>
    <row r="8" ht="18" customHeight="1">
      <c r="A8" s="49">
        <f>IF('İş Planı'!$C8="","",'İş Planı'!$C8)</f>
        <v/>
      </c>
      <c r="B8" s="49">
        <f>IF('İş Planı'!$B8="","",'İş Planı'!$B8)</f>
        <v/>
      </c>
      <c r="C8" s="63">
        <f>IF('İş Planı'!$H8="","",'İş Planı'!$H8)</f>
        <v/>
      </c>
      <c r="D8" s="63">
        <f>IF('İş Planı'!$L8="","",'İş Planı'!$L8)</f>
        <v/>
      </c>
      <c r="E8" s="62">
        <f>IF('İş Planı'!$N8="","",'İş Planı'!$N8)</f>
        <v/>
      </c>
      <c r="F8" s="75" t="n"/>
      <c r="G8" s="75" t="n"/>
      <c r="H8" s="75" t="n"/>
      <c r="I8" s="75" t="n"/>
      <c r="J8" s="75" t="n"/>
      <c r="K8" s="75" t="n"/>
      <c r="L8" s="75" t="n"/>
      <c r="M8" s="75" t="n"/>
      <c r="N8" s="75" t="n"/>
      <c r="O8" s="75" t="n"/>
      <c r="P8" s="75" t="n"/>
      <c r="Q8" s="75" t="n"/>
    </row>
    <row r="9" ht="18" customHeight="1">
      <c r="A9" s="49">
        <f>IF('İş Planı'!$C9="","",'İş Planı'!$C9)</f>
        <v/>
      </c>
      <c r="B9" s="49">
        <f>IF('İş Planı'!$B9="","",'İş Planı'!$B9)</f>
        <v/>
      </c>
      <c r="C9" s="63">
        <f>IF('İş Planı'!$H9="","",'İş Planı'!$H9)</f>
        <v/>
      </c>
      <c r="D9" s="63">
        <f>IF('İş Planı'!$L9="","",'İş Planı'!$L9)</f>
        <v/>
      </c>
      <c r="E9" s="62">
        <f>IF('İş Planı'!$N9="","",'İş Planı'!$N9)</f>
        <v/>
      </c>
      <c r="F9" s="75" t="n"/>
      <c r="G9" s="75" t="n"/>
      <c r="H9" s="75" t="n"/>
      <c r="I9" s="75" t="n"/>
      <c r="J9" s="75" t="n"/>
      <c r="K9" s="75" t="n"/>
      <c r="L9" s="75" t="n"/>
      <c r="M9" s="75" t="n"/>
      <c r="N9" s="75" t="n"/>
      <c r="O9" s="75" t="n"/>
      <c r="P9" s="75" t="n"/>
      <c r="Q9" s="75" t="n"/>
    </row>
    <row r="10" ht="18" customHeight="1">
      <c r="A10" s="49">
        <f>IF('İş Planı'!$C10="","",'İş Planı'!$C10)</f>
        <v/>
      </c>
      <c r="B10" s="49">
        <f>IF('İş Planı'!$B10="","",'İş Planı'!$B10)</f>
        <v/>
      </c>
      <c r="C10" s="63">
        <f>IF('İş Planı'!$H10="","",'İş Planı'!$H10)</f>
        <v/>
      </c>
      <c r="D10" s="63">
        <f>IF('İş Planı'!$L10="","",'İş Planı'!$L10)</f>
        <v/>
      </c>
      <c r="E10" s="62">
        <f>IF('İş Planı'!$N10="","",'İş Planı'!$N10)</f>
        <v/>
      </c>
      <c r="F10" s="75" t="n"/>
      <c r="G10" s="75" t="n"/>
      <c r="H10" s="75" t="n"/>
      <c r="I10" s="75" t="n"/>
      <c r="J10" s="75" t="n"/>
      <c r="K10" s="75" t="n"/>
      <c r="L10" s="75" t="n"/>
      <c r="M10" s="75" t="n"/>
      <c r="N10" s="75" t="n"/>
      <c r="O10" s="75" t="n"/>
      <c r="P10" s="75" t="n"/>
      <c r="Q10" s="75" t="n"/>
    </row>
    <row r="11" ht="18" customHeight="1">
      <c r="A11" s="49">
        <f>IF('İş Planı'!$C11="","",'İş Planı'!$C11)</f>
        <v/>
      </c>
      <c r="B11" s="49">
        <f>IF('İş Planı'!$B11="","",'İş Planı'!$B11)</f>
        <v/>
      </c>
      <c r="C11" s="63">
        <f>IF('İş Planı'!$H11="","",'İş Planı'!$H11)</f>
        <v/>
      </c>
      <c r="D11" s="63">
        <f>IF('İş Planı'!$L11="","",'İş Planı'!$L11)</f>
        <v/>
      </c>
      <c r="E11" s="62">
        <f>IF('İş Planı'!$N11="","",'İş Planı'!$N11)</f>
        <v/>
      </c>
      <c r="F11" s="75" t="n"/>
      <c r="G11" s="75" t="n"/>
      <c r="H11" s="75" t="n"/>
      <c r="I11" s="75" t="n"/>
      <c r="J11" s="75" t="n"/>
      <c r="K11" s="75" t="n"/>
      <c r="L11" s="75" t="n"/>
      <c r="M11" s="75" t="n"/>
      <c r="N11" s="75" t="n"/>
      <c r="O11" s="75" t="n"/>
      <c r="P11" s="75" t="n"/>
      <c r="Q11" s="75" t="n"/>
    </row>
    <row r="12" ht="18" customHeight="1">
      <c r="A12" s="49">
        <f>IF('İş Planı'!$C12="","",'İş Planı'!$C12)</f>
        <v/>
      </c>
      <c r="B12" s="49">
        <f>IF('İş Planı'!$B12="","",'İş Planı'!$B12)</f>
        <v/>
      </c>
      <c r="C12" s="63">
        <f>IF('İş Planı'!$H12="","",'İş Planı'!$H12)</f>
        <v/>
      </c>
      <c r="D12" s="63">
        <f>IF('İş Planı'!$L12="","",'İş Planı'!$L12)</f>
        <v/>
      </c>
      <c r="E12" s="62">
        <f>IF('İş Planı'!$N12="","",'İş Planı'!$N12)</f>
        <v/>
      </c>
      <c r="F12" s="75" t="n"/>
      <c r="G12" s="75" t="n"/>
      <c r="H12" s="75" t="n"/>
      <c r="I12" s="75" t="n"/>
      <c r="J12" s="75" t="n"/>
      <c r="K12" s="75" t="n"/>
      <c r="L12" s="75" t="n"/>
      <c r="M12" s="75" t="n"/>
      <c r="N12" s="75" t="n"/>
      <c r="O12" s="75" t="n"/>
      <c r="P12" s="75" t="n"/>
      <c r="Q12" s="75" t="n"/>
    </row>
    <row r="13" ht="18" customHeight="1">
      <c r="A13" s="49">
        <f>IF('İş Planı'!$C13="","",'İş Planı'!$C13)</f>
        <v/>
      </c>
      <c r="B13" s="49">
        <f>IF('İş Planı'!$B13="","",'İş Planı'!$B13)</f>
        <v/>
      </c>
      <c r="C13" s="63">
        <f>IF('İş Planı'!$H13="","",'İş Planı'!$H13)</f>
        <v/>
      </c>
      <c r="D13" s="63">
        <f>IF('İş Planı'!$L13="","",'İş Planı'!$L13)</f>
        <v/>
      </c>
      <c r="E13" s="62">
        <f>IF('İş Planı'!$N13="","",'İş Planı'!$N13)</f>
        <v/>
      </c>
      <c r="F13" s="75" t="n"/>
      <c r="G13" s="75" t="n"/>
      <c r="H13" s="75" t="n"/>
      <c r="I13" s="75" t="n"/>
      <c r="J13" s="75" t="n"/>
      <c r="K13" s="75" t="n"/>
      <c r="L13" s="75" t="n"/>
      <c r="M13" s="75" t="n"/>
      <c r="N13" s="75" t="n"/>
      <c r="O13" s="75" t="n"/>
      <c r="P13" s="75" t="n"/>
      <c r="Q13" s="75" t="n"/>
    </row>
    <row r="14" ht="18" customHeight="1">
      <c r="A14" s="49">
        <f>IF('İş Planı'!$C14="","",'İş Planı'!$C14)</f>
        <v/>
      </c>
      <c r="B14" s="49">
        <f>IF('İş Planı'!$B14="","",'İş Planı'!$B14)</f>
        <v/>
      </c>
      <c r="C14" s="63">
        <f>IF('İş Planı'!$H14="","",'İş Planı'!$H14)</f>
        <v/>
      </c>
      <c r="D14" s="63">
        <f>IF('İş Planı'!$L14="","",'İş Planı'!$L14)</f>
        <v/>
      </c>
      <c r="E14" s="62">
        <f>IF('İş Planı'!$N14="","",'İş Planı'!$N14)</f>
        <v/>
      </c>
      <c r="F14" s="75" t="n"/>
      <c r="G14" s="75" t="n"/>
      <c r="H14" s="75" t="n"/>
      <c r="I14" s="75" t="n"/>
      <c r="J14" s="75" t="n"/>
      <c r="K14" s="75" t="n"/>
      <c r="L14" s="75" t="n"/>
      <c r="M14" s="75" t="n"/>
      <c r="N14" s="75" t="n"/>
      <c r="O14" s="75" t="n"/>
      <c r="P14" s="75" t="n"/>
      <c r="Q14" s="75" t="n"/>
    </row>
    <row r="15" ht="18" customHeight="1">
      <c r="A15" s="49">
        <f>IF('İş Planı'!$C15="","",'İş Planı'!$C15)</f>
        <v/>
      </c>
      <c r="B15" s="49">
        <f>IF('İş Planı'!$B15="","",'İş Planı'!$B15)</f>
        <v/>
      </c>
      <c r="C15" s="63">
        <f>IF('İş Planı'!$H15="","",'İş Planı'!$H15)</f>
        <v/>
      </c>
      <c r="D15" s="63">
        <f>IF('İş Planı'!$L15="","",'İş Planı'!$L15)</f>
        <v/>
      </c>
      <c r="E15" s="62">
        <f>IF('İş Planı'!$N15="","",'İş Planı'!$N15)</f>
        <v/>
      </c>
      <c r="F15" s="75" t="n"/>
      <c r="G15" s="75" t="n"/>
      <c r="H15" s="75" t="n"/>
      <c r="I15" s="75" t="n"/>
      <c r="J15" s="75" t="n"/>
      <c r="K15" s="75" t="n"/>
      <c r="L15" s="75" t="n"/>
      <c r="M15" s="75" t="n"/>
      <c r="N15" s="75" t="n"/>
      <c r="O15" s="75" t="n"/>
      <c r="P15" s="75" t="n"/>
      <c r="Q15" s="75" t="n"/>
    </row>
    <row r="16" ht="18" customHeight="1">
      <c r="A16" s="49">
        <f>IF('İş Planı'!$C16="","",'İş Planı'!$C16)</f>
        <v/>
      </c>
      <c r="B16" s="49">
        <f>IF('İş Planı'!$B16="","",'İş Planı'!$B16)</f>
        <v/>
      </c>
      <c r="C16" s="63">
        <f>IF('İş Planı'!$H16="","",'İş Planı'!$H16)</f>
        <v/>
      </c>
      <c r="D16" s="63">
        <f>IF('İş Planı'!$L16="","",'İş Planı'!$L16)</f>
        <v/>
      </c>
      <c r="E16" s="62">
        <f>IF('İş Planı'!$N16="","",'İş Planı'!$N16)</f>
        <v/>
      </c>
      <c r="F16" s="75" t="n"/>
      <c r="G16" s="75" t="n"/>
      <c r="H16" s="75" t="n"/>
      <c r="I16" s="75" t="n"/>
      <c r="J16" s="75" t="n"/>
      <c r="K16" s="75" t="n"/>
      <c r="L16" s="75" t="n"/>
      <c r="M16" s="75" t="n"/>
      <c r="N16" s="75" t="n"/>
      <c r="O16" s="75" t="n"/>
      <c r="P16" s="75" t="n"/>
      <c r="Q16" s="75" t="n"/>
    </row>
    <row r="17" ht="18" customHeight="1">
      <c r="A17" s="49">
        <f>IF('İş Planı'!$C17="","",'İş Planı'!$C17)</f>
        <v/>
      </c>
      <c r="B17" s="49">
        <f>IF('İş Planı'!$B17="","",'İş Planı'!$B17)</f>
        <v/>
      </c>
      <c r="C17" s="63">
        <f>IF('İş Planı'!$H17="","",'İş Planı'!$H17)</f>
        <v/>
      </c>
      <c r="D17" s="63">
        <f>IF('İş Planı'!$L17="","",'İş Planı'!$L17)</f>
        <v/>
      </c>
      <c r="E17" s="62">
        <f>IF('İş Planı'!$N17="","",'İş Planı'!$N17)</f>
        <v/>
      </c>
      <c r="F17" s="75" t="n"/>
      <c r="G17" s="75" t="n"/>
      <c r="H17" s="75" t="n"/>
      <c r="I17" s="75" t="n"/>
      <c r="J17" s="75" t="n"/>
      <c r="K17" s="75" t="n"/>
      <c r="L17" s="75" t="n"/>
      <c r="M17" s="75" t="n"/>
      <c r="N17" s="75" t="n"/>
      <c r="O17" s="75" t="n"/>
      <c r="P17" s="75" t="n"/>
      <c r="Q17" s="75" t="n"/>
    </row>
    <row r="18" ht="18" customHeight="1">
      <c r="A18" s="49">
        <f>IF('İş Planı'!$C18="","",'İş Planı'!$C18)</f>
        <v/>
      </c>
      <c r="B18" s="49">
        <f>IF('İş Planı'!$B18="","",'İş Planı'!$B18)</f>
        <v/>
      </c>
      <c r="C18" s="63">
        <f>IF('İş Planı'!$H18="","",'İş Planı'!$H18)</f>
        <v/>
      </c>
      <c r="D18" s="63">
        <f>IF('İş Planı'!$L18="","",'İş Planı'!$L18)</f>
        <v/>
      </c>
      <c r="E18" s="62">
        <f>IF('İş Planı'!$N18="","",'İş Planı'!$N18)</f>
        <v/>
      </c>
      <c r="F18" s="75" t="n"/>
      <c r="G18" s="75" t="n"/>
      <c r="H18" s="75" t="n"/>
      <c r="I18" s="75" t="n"/>
      <c r="J18" s="75" t="n"/>
      <c r="K18" s="75" t="n"/>
      <c r="L18" s="75" t="n"/>
      <c r="M18" s="75" t="n"/>
      <c r="N18" s="75" t="n"/>
      <c r="O18" s="75" t="n"/>
      <c r="P18" s="75" t="n"/>
      <c r="Q18" s="75" t="n"/>
    </row>
    <row r="19" ht="18" customHeight="1">
      <c r="A19" s="49">
        <f>IF('İş Planı'!$C19="","",'İş Planı'!$C19)</f>
        <v/>
      </c>
      <c r="B19" s="49">
        <f>IF('İş Planı'!$B19="","",'İş Planı'!$B19)</f>
        <v/>
      </c>
      <c r="C19" s="63">
        <f>IF('İş Planı'!$H19="","",'İş Planı'!$H19)</f>
        <v/>
      </c>
      <c r="D19" s="63">
        <f>IF('İş Planı'!$L19="","",'İş Planı'!$L19)</f>
        <v/>
      </c>
      <c r="E19" s="62">
        <f>IF('İş Planı'!$N19="","",'İş Planı'!$N19)</f>
        <v/>
      </c>
      <c r="F19" s="75" t="n"/>
      <c r="G19" s="75" t="n"/>
      <c r="H19" s="75" t="n"/>
      <c r="I19" s="75" t="n"/>
      <c r="J19" s="75" t="n"/>
      <c r="K19" s="75" t="n"/>
      <c r="L19" s="75" t="n"/>
      <c r="M19" s="75" t="n"/>
      <c r="N19" s="75" t="n"/>
      <c r="O19" s="75" t="n"/>
      <c r="P19" s="75" t="n"/>
      <c r="Q19" s="75" t="n"/>
    </row>
    <row r="20" ht="18" customHeight="1">
      <c r="A20" s="49">
        <f>IF('İş Planı'!$C20="","",'İş Planı'!$C20)</f>
        <v/>
      </c>
      <c r="B20" s="49">
        <f>IF('İş Planı'!$B20="","",'İş Planı'!$B20)</f>
        <v/>
      </c>
      <c r="C20" s="63">
        <f>IF('İş Planı'!$H20="","",'İş Planı'!$H20)</f>
        <v/>
      </c>
      <c r="D20" s="63">
        <f>IF('İş Planı'!$L20="","",'İş Planı'!$L20)</f>
        <v/>
      </c>
      <c r="E20" s="62">
        <f>IF('İş Planı'!$N20="","",'İş Planı'!$N20)</f>
        <v/>
      </c>
      <c r="F20" s="75" t="n"/>
      <c r="G20" s="75" t="n"/>
      <c r="H20" s="75" t="n"/>
      <c r="I20" s="75" t="n"/>
      <c r="J20" s="75" t="n"/>
      <c r="K20" s="75" t="n"/>
      <c r="L20" s="75" t="n"/>
      <c r="M20" s="75" t="n"/>
      <c r="N20" s="75" t="n"/>
      <c r="O20" s="75" t="n"/>
      <c r="P20" s="75" t="n"/>
      <c r="Q20" s="75" t="n"/>
    </row>
    <row r="21" ht="18" customHeight="1">
      <c r="A21" s="49">
        <f>IF('İş Planı'!$C21="","",'İş Planı'!$C21)</f>
        <v/>
      </c>
      <c r="B21" s="49">
        <f>IF('İş Planı'!$B21="","",'İş Planı'!$B21)</f>
        <v/>
      </c>
      <c r="C21" s="63">
        <f>IF('İş Planı'!$H21="","",'İş Planı'!$H21)</f>
        <v/>
      </c>
      <c r="D21" s="63">
        <f>IF('İş Planı'!$L21="","",'İş Planı'!$L21)</f>
        <v/>
      </c>
      <c r="E21" s="62">
        <f>IF('İş Planı'!$N21="","",'İş Planı'!$N21)</f>
        <v/>
      </c>
      <c r="F21" s="75" t="n"/>
      <c r="G21" s="75" t="n"/>
      <c r="H21" s="75" t="n"/>
      <c r="I21" s="75" t="n"/>
      <c r="J21" s="75" t="n"/>
      <c r="K21" s="75" t="n"/>
      <c r="L21" s="75" t="n"/>
      <c r="M21" s="75" t="n"/>
      <c r="N21" s="75" t="n"/>
      <c r="O21" s="75" t="n"/>
      <c r="P21" s="75" t="n"/>
      <c r="Q21" s="75" t="n"/>
    </row>
    <row r="22" ht="18" customHeight="1">
      <c r="A22" s="49">
        <f>IF('İş Planı'!$C22="","",'İş Planı'!$C22)</f>
        <v/>
      </c>
      <c r="B22" s="49">
        <f>IF('İş Planı'!$B22="","",'İş Planı'!$B22)</f>
        <v/>
      </c>
      <c r="C22" s="63">
        <f>IF('İş Planı'!$H22="","",'İş Planı'!$H22)</f>
        <v/>
      </c>
      <c r="D22" s="63">
        <f>IF('İş Planı'!$L22="","",'İş Planı'!$L22)</f>
        <v/>
      </c>
      <c r="E22" s="62">
        <f>IF('İş Planı'!$N22="","",'İş Planı'!$N22)</f>
        <v/>
      </c>
      <c r="F22" s="75" t="n"/>
      <c r="G22" s="75" t="n"/>
      <c r="H22" s="75" t="n"/>
      <c r="I22" s="75" t="n"/>
      <c r="J22" s="75" t="n"/>
      <c r="K22" s="75" t="n"/>
      <c r="L22" s="75" t="n"/>
      <c r="M22" s="75" t="n"/>
      <c r="N22" s="75" t="n"/>
      <c r="O22" s="75" t="n"/>
      <c r="P22" s="75" t="n"/>
      <c r="Q22" s="75" t="n"/>
    </row>
    <row r="23" ht="18" customHeight="1">
      <c r="A23" s="49">
        <f>IF('İş Planı'!$C23="","",'İş Planı'!$C23)</f>
        <v/>
      </c>
      <c r="B23" s="49">
        <f>IF('İş Planı'!$B23="","",'İş Planı'!$B23)</f>
        <v/>
      </c>
      <c r="C23" s="63">
        <f>IF('İş Planı'!$H23="","",'İş Planı'!$H23)</f>
        <v/>
      </c>
      <c r="D23" s="63">
        <f>IF('İş Planı'!$L23="","",'İş Planı'!$L23)</f>
        <v/>
      </c>
      <c r="E23" s="62">
        <f>IF('İş Planı'!$N23="","",'İş Planı'!$N23)</f>
        <v/>
      </c>
      <c r="F23" s="75" t="n"/>
      <c r="G23" s="75" t="n"/>
      <c r="H23" s="75" t="n"/>
      <c r="I23" s="75" t="n"/>
      <c r="J23" s="75" t="n"/>
      <c r="K23" s="75" t="n"/>
      <c r="L23" s="75" t="n"/>
      <c r="M23" s="75" t="n"/>
      <c r="N23" s="75" t="n"/>
      <c r="O23" s="75" t="n"/>
      <c r="P23" s="75" t="n"/>
      <c r="Q23" s="75" t="n"/>
    </row>
    <row r="24" ht="18" customHeight="1">
      <c r="A24" s="49">
        <f>IF('İş Planı'!$C24="","",'İş Planı'!$C24)</f>
        <v/>
      </c>
      <c r="B24" s="49">
        <f>IF('İş Planı'!$B24="","",'İş Planı'!$B24)</f>
        <v/>
      </c>
      <c r="C24" s="63">
        <f>IF('İş Planı'!$H24="","",'İş Planı'!$H24)</f>
        <v/>
      </c>
      <c r="D24" s="63">
        <f>IF('İş Planı'!$L24="","",'İş Planı'!$L24)</f>
        <v/>
      </c>
      <c r="E24" s="62">
        <f>IF('İş Planı'!$N24="","",'İş Planı'!$N24)</f>
        <v/>
      </c>
      <c r="F24" s="75" t="n"/>
      <c r="G24" s="75" t="n"/>
      <c r="H24" s="75" t="n"/>
      <c r="I24" s="75" t="n"/>
      <c r="J24" s="75" t="n"/>
      <c r="K24" s="75" t="n"/>
      <c r="L24" s="75" t="n"/>
      <c r="M24" s="75" t="n"/>
      <c r="N24" s="75" t="n"/>
      <c r="O24" s="75" t="n"/>
      <c r="P24" s="75" t="n"/>
      <c r="Q24" s="75" t="n"/>
    </row>
    <row r="25" ht="18" customHeight="1">
      <c r="A25" s="49">
        <f>IF('İş Planı'!$C25="","",'İş Planı'!$C25)</f>
        <v/>
      </c>
      <c r="B25" s="49">
        <f>IF('İş Planı'!$B25="","",'İş Planı'!$B25)</f>
        <v/>
      </c>
      <c r="C25" s="63">
        <f>IF('İş Planı'!$H25="","",'İş Planı'!$H25)</f>
        <v/>
      </c>
      <c r="D25" s="63">
        <f>IF('İş Planı'!$L25="","",'İş Planı'!$L25)</f>
        <v/>
      </c>
      <c r="E25" s="62">
        <f>IF('İş Planı'!$N25="","",'İş Planı'!$N25)</f>
        <v/>
      </c>
      <c r="F25" s="75" t="n"/>
      <c r="G25" s="75" t="n"/>
      <c r="H25" s="75" t="n"/>
      <c r="I25" s="75" t="n"/>
      <c r="J25" s="75" t="n"/>
      <c r="K25" s="75" t="n"/>
      <c r="L25" s="75" t="n"/>
      <c r="M25" s="75" t="n"/>
      <c r="N25" s="75" t="n"/>
      <c r="O25" s="75" t="n"/>
      <c r="P25" s="75" t="n"/>
      <c r="Q25" s="75" t="n"/>
    </row>
    <row r="26" ht="18" customHeight="1">
      <c r="A26" s="49">
        <f>IF('İş Planı'!$C26="","",'İş Planı'!$C26)</f>
        <v/>
      </c>
      <c r="B26" s="49">
        <f>IF('İş Planı'!$B26="","",'İş Planı'!$B26)</f>
        <v/>
      </c>
      <c r="C26" s="63">
        <f>IF('İş Planı'!$H26="","",'İş Planı'!$H26)</f>
        <v/>
      </c>
      <c r="D26" s="63">
        <f>IF('İş Planı'!$L26="","",'İş Planı'!$L26)</f>
        <v/>
      </c>
      <c r="E26" s="62">
        <f>IF('İş Planı'!$N26="","",'İş Planı'!$N26)</f>
        <v/>
      </c>
      <c r="F26" s="75" t="n"/>
      <c r="G26" s="75" t="n"/>
      <c r="H26" s="75" t="n"/>
      <c r="I26" s="75" t="n"/>
      <c r="J26" s="75" t="n"/>
      <c r="K26" s="75" t="n"/>
      <c r="L26" s="75" t="n"/>
      <c r="M26" s="75" t="n"/>
      <c r="N26" s="75" t="n"/>
      <c r="O26" s="75" t="n"/>
      <c r="P26" s="75" t="n"/>
      <c r="Q26" s="75" t="n"/>
    </row>
    <row r="27" ht="18" customHeight="1">
      <c r="A27" s="49">
        <f>IF('İş Planı'!$C27="","",'İş Planı'!$C27)</f>
        <v/>
      </c>
      <c r="B27" s="49">
        <f>IF('İş Planı'!$B27="","",'İş Planı'!$B27)</f>
        <v/>
      </c>
      <c r="C27" s="63">
        <f>IF('İş Planı'!$H27="","",'İş Planı'!$H27)</f>
        <v/>
      </c>
      <c r="D27" s="63">
        <f>IF('İş Planı'!$L27="","",'İş Planı'!$L27)</f>
        <v/>
      </c>
      <c r="E27" s="62">
        <f>IF('İş Planı'!$N27="","",'İş Planı'!$N27)</f>
        <v/>
      </c>
      <c r="F27" s="75" t="n"/>
      <c r="G27" s="75" t="n"/>
      <c r="H27" s="75" t="n"/>
      <c r="I27" s="75" t="n"/>
      <c r="J27" s="75" t="n"/>
      <c r="K27" s="75" t="n"/>
      <c r="L27" s="75" t="n"/>
      <c r="M27" s="75" t="n"/>
      <c r="N27" s="75" t="n"/>
      <c r="O27" s="75" t="n"/>
      <c r="P27" s="75" t="n"/>
      <c r="Q27" s="75" t="n"/>
    </row>
    <row r="28" ht="18" customHeight="1">
      <c r="A28" s="49">
        <f>IF('İş Planı'!$C28="","",'İş Planı'!$C28)</f>
        <v/>
      </c>
      <c r="B28" s="49">
        <f>IF('İş Planı'!$B28="","",'İş Planı'!$B28)</f>
        <v/>
      </c>
      <c r="C28" s="63">
        <f>IF('İş Planı'!$H28="","",'İş Planı'!$H28)</f>
        <v/>
      </c>
      <c r="D28" s="63">
        <f>IF('İş Planı'!$L28="","",'İş Planı'!$L28)</f>
        <v/>
      </c>
      <c r="E28" s="62">
        <f>IF('İş Planı'!$N28="","",'İş Planı'!$N28)</f>
        <v/>
      </c>
      <c r="F28" s="75" t="n"/>
      <c r="G28" s="75" t="n"/>
      <c r="H28" s="75" t="n"/>
      <c r="I28" s="75" t="n"/>
      <c r="J28" s="75" t="n"/>
      <c r="K28" s="75" t="n"/>
      <c r="L28" s="75" t="n"/>
      <c r="M28" s="75" t="n"/>
      <c r="N28" s="75" t="n"/>
      <c r="O28" s="75" t="n"/>
      <c r="P28" s="75" t="n"/>
      <c r="Q28" s="75" t="n"/>
    </row>
    <row r="29" ht="18" customHeight="1">
      <c r="A29" s="49">
        <f>IF('İş Planı'!$C29="","",'İş Planı'!$C29)</f>
        <v/>
      </c>
      <c r="B29" s="49">
        <f>IF('İş Planı'!$B29="","",'İş Planı'!$B29)</f>
        <v/>
      </c>
      <c r="C29" s="63">
        <f>IF('İş Planı'!$H29="","",'İş Planı'!$H29)</f>
        <v/>
      </c>
      <c r="D29" s="63">
        <f>IF('İş Planı'!$L29="","",'İş Planı'!$L29)</f>
        <v/>
      </c>
      <c r="E29" s="62">
        <f>IF('İş Planı'!$N29="","",'İş Planı'!$N29)</f>
        <v/>
      </c>
      <c r="F29" s="75" t="n"/>
      <c r="G29" s="75" t="n"/>
      <c r="H29" s="75" t="n"/>
      <c r="I29" s="75" t="n"/>
      <c r="J29" s="75" t="n"/>
      <c r="K29" s="75" t="n"/>
      <c r="L29" s="75" t="n"/>
      <c r="M29" s="75" t="n"/>
      <c r="N29" s="75" t="n"/>
      <c r="O29" s="75" t="n"/>
      <c r="P29" s="75" t="n"/>
      <c r="Q29" s="75" t="n"/>
    </row>
    <row r="30" ht="18" customHeight="1">
      <c r="A30" s="49">
        <f>IF('İş Planı'!$C30="","",'İş Planı'!$C30)</f>
        <v/>
      </c>
      <c r="B30" s="49">
        <f>IF('İş Planı'!$B30="","",'İş Planı'!$B30)</f>
        <v/>
      </c>
      <c r="C30" s="63">
        <f>IF('İş Planı'!$H30="","",'İş Planı'!$H30)</f>
        <v/>
      </c>
      <c r="D30" s="63">
        <f>IF('İş Planı'!$L30="","",'İş Planı'!$L30)</f>
        <v/>
      </c>
      <c r="E30" s="62">
        <f>IF('İş Planı'!$N30="","",'İş Planı'!$N30)</f>
        <v/>
      </c>
      <c r="F30" s="75" t="n"/>
      <c r="G30" s="75" t="n"/>
      <c r="H30" s="75" t="n"/>
      <c r="I30" s="75" t="n"/>
      <c r="J30" s="75" t="n"/>
      <c r="K30" s="75" t="n"/>
      <c r="L30" s="75" t="n"/>
      <c r="M30" s="75" t="n"/>
      <c r="N30" s="75" t="n"/>
      <c r="O30" s="75" t="n"/>
      <c r="P30" s="75" t="n"/>
      <c r="Q30" s="75" t="n"/>
    </row>
    <row r="31" ht="18" customHeight="1">
      <c r="A31" s="49">
        <f>IF('İş Planı'!$C31="","",'İş Planı'!$C31)</f>
        <v/>
      </c>
      <c r="B31" s="49">
        <f>IF('İş Planı'!$B31="","",'İş Planı'!$B31)</f>
        <v/>
      </c>
      <c r="C31" s="63">
        <f>IF('İş Planı'!$H31="","",'İş Planı'!$H31)</f>
        <v/>
      </c>
      <c r="D31" s="63">
        <f>IF('İş Planı'!$L31="","",'İş Planı'!$L31)</f>
        <v/>
      </c>
      <c r="E31" s="62">
        <f>IF('İş Planı'!$N31="","",'İş Planı'!$N31)</f>
        <v/>
      </c>
      <c r="F31" s="75" t="n"/>
      <c r="G31" s="75" t="n"/>
      <c r="H31" s="75" t="n"/>
      <c r="I31" s="75" t="n"/>
      <c r="J31" s="75" t="n"/>
      <c r="K31" s="75" t="n"/>
      <c r="L31" s="75" t="n"/>
      <c r="M31" s="75" t="n"/>
      <c r="N31" s="75" t="n"/>
      <c r="O31" s="75" t="n"/>
      <c r="P31" s="75" t="n"/>
      <c r="Q31" s="75" t="n"/>
    </row>
    <row r="32" ht="18" customHeight="1">
      <c r="A32" s="49">
        <f>IF('İş Planı'!$C32="","",'İş Planı'!$C32)</f>
        <v/>
      </c>
      <c r="B32" s="49">
        <f>IF('İş Planı'!$B32="","",'İş Planı'!$B32)</f>
        <v/>
      </c>
      <c r="C32" s="63">
        <f>IF('İş Planı'!$H32="","",'İş Planı'!$H32)</f>
        <v/>
      </c>
      <c r="D32" s="63">
        <f>IF('İş Planı'!$L32="","",'İş Planı'!$L32)</f>
        <v/>
      </c>
      <c r="E32" s="62">
        <f>IF('İş Planı'!$N32="","",'İş Planı'!$N32)</f>
        <v/>
      </c>
      <c r="F32" s="75" t="n"/>
      <c r="G32" s="75" t="n"/>
      <c r="H32" s="75" t="n"/>
      <c r="I32" s="75" t="n"/>
      <c r="J32" s="75" t="n"/>
      <c r="K32" s="75" t="n"/>
      <c r="L32" s="75" t="n"/>
      <c r="M32" s="75" t="n"/>
      <c r="N32" s="75" t="n"/>
      <c r="O32" s="75" t="n"/>
      <c r="P32" s="75" t="n"/>
      <c r="Q32" s="75" t="n"/>
    </row>
    <row r="33" ht="18" customHeight="1">
      <c r="A33" s="49">
        <f>IF('İş Planı'!$C33="","",'İş Planı'!$C33)</f>
        <v/>
      </c>
      <c r="B33" s="49">
        <f>IF('İş Planı'!$B33="","",'İş Planı'!$B33)</f>
        <v/>
      </c>
      <c r="C33" s="63">
        <f>IF('İş Planı'!$H33="","",'İş Planı'!$H33)</f>
        <v/>
      </c>
      <c r="D33" s="63">
        <f>IF('İş Planı'!$L33="","",'İş Planı'!$L33)</f>
        <v/>
      </c>
      <c r="E33" s="62">
        <f>IF('İş Planı'!$N33="","",'İş Planı'!$N33)</f>
        <v/>
      </c>
      <c r="F33" s="75" t="n"/>
      <c r="G33" s="75" t="n"/>
      <c r="H33" s="75" t="n"/>
      <c r="I33" s="75" t="n"/>
      <c r="J33" s="75" t="n"/>
      <c r="K33" s="75" t="n"/>
      <c r="L33" s="75" t="n"/>
      <c r="M33" s="75" t="n"/>
      <c r="N33" s="75" t="n"/>
      <c r="O33" s="75" t="n"/>
      <c r="P33" s="75" t="n"/>
      <c r="Q33" s="75" t="n"/>
    </row>
    <row r="34" ht="18" customHeight="1">
      <c r="A34" s="49">
        <f>IF('İş Planı'!$C34="","",'İş Planı'!$C34)</f>
        <v/>
      </c>
      <c r="B34" s="49">
        <f>IF('İş Planı'!$B34="","",'İş Planı'!$B34)</f>
        <v/>
      </c>
      <c r="C34" s="63">
        <f>IF('İş Planı'!$H34="","",'İş Planı'!$H34)</f>
        <v/>
      </c>
      <c r="D34" s="63">
        <f>IF('İş Planı'!$L34="","",'İş Planı'!$L34)</f>
        <v/>
      </c>
      <c r="E34" s="62">
        <f>IF('İş Planı'!$N34="","",'İş Planı'!$N34)</f>
        <v/>
      </c>
      <c r="F34" s="75" t="n"/>
      <c r="G34" s="75" t="n"/>
      <c r="H34" s="75" t="n"/>
      <c r="I34" s="75" t="n"/>
      <c r="J34" s="75" t="n"/>
      <c r="K34" s="75" t="n"/>
      <c r="L34" s="75" t="n"/>
      <c r="M34" s="75" t="n"/>
      <c r="N34" s="75" t="n"/>
      <c r="O34" s="75" t="n"/>
      <c r="P34" s="75" t="n"/>
      <c r="Q34" s="75" t="n"/>
    </row>
    <row r="35" ht="18" customHeight="1">
      <c r="A35" s="49">
        <f>IF('İş Planı'!$C35="","",'İş Planı'!$C35)</f>
        <v/>
      </c>
      <c r="B35" s="49">
        <f>IF('İş Planı'!$B35="","",'İş Planı'!$B35)</f>
        <v/>
      </c>
      <c r="C35" s="63">
        <f>IF('İş Planı'!$H35="","",'İş Planı'!$H35)</f>
        <v/>
      </c>
      <c r="D35" s="63">
        <f>IF('İş Planı'!$L35="","",'İş Planı'!$L35)</f>
        <v/>
      </c>
      <c r="E35" s="62">
        <f>IF('İş Planı'!$N35="","",'İş Planı'!$N35)</f>
        <v/>
      </c>
      <c r="F35" s="75" t="n"/>
      <c r="G35" s="75" t="n"/>
      <c r="H35" s="75" t="n"/>
      <c r="I35" s="75" t="n"/>
      <c r="J35" s="75" t="n"/>
      <c r="K35" s="75" t="n"/>
      <c r="L35" s="75" t="n"/>
      <c r="M35" s="75" t="n"/>
      <c r="N35" s="75" t="n"/>
      <c r="O35" s="75" t="n"/>
      <c r="P35" s="75" t="n"/>
      <c r="Q35" s="75" t="n"/>
    </row>
    <row r="36" ht="18" customHeight="1">
      <c r="A36" s="49">
        <f>IF('İş Planı'!$C36="","",'İş Planı'!$C36)</f>
        <v/>
      </c>
      <c r="B36" s="49">
        <f>IF('İş Planı'!$B36="","",'İş Planı'!$B36)</f>
        <v/>
      </c>
      <c r="C36" s="63">
        <f>IF('İş Planı'!$H36="","",'İş Planı'!$H36)</f>
        <v/>
      </c>
      <c r="D36" s="63">
        <f>IF('İş Planı'!$L36="","",'İş Planı'!$L36)</f>
        <v/>
      </c>
      <c r="E36" s="62">
        <f>IF('İş Planı'!$N36="","",'İş Planı'!$N36)</f>
        <v/>
      </c>
      <c r="F36" s="75" t="n"/>
      <c r="G36" s="75" t="n"/>
      <c r="H36" s="75" t="n"/>
      <c r="I36" s="75" t="n"/>
      <c r="J36" s="75" t="n"/>
      <c r="K36" s="75" t="n"/>
      <c r="L36" s="75" t="n"/>
      <c r="M36" s="75" t="n"/>
      <c r="N36" s="75" t="n"/>
      <c r="O36" s="75" t="n"/>
      <c r="P36" s="75" t="n"/>
      <c r="Q36" s="75" t="n"/>
    </row>
    <row r="37" ht="18" customHeight="1">
      <c r="A37" s="49">
        <f>IF('İş Planı'!$C37="","",'İş Planı'!$C37)</f>
        <v/>
      </c>
      <c r="B37" s="49">
        <f>IF('İş Planı'!$B37="","",'İş Planı'!$B37)</f>
        <v/>
      </c>
      <c r="C37" s="63">
        <f>IF('İş Planı'!$H37="","",'İş Planı'!$H37)</f>
        <v/>
      </c>
      <c r="D37" s="63">
        <f>IF('İş Planı'!$L37="","",'İş Planı'!$L37)</f>
        <v/>
      </c>
      <c r="E37" s="62">
        <f>IF('İş Planı'!$N37="","",'İş Planı'!$N37)</f>
        <v/>
      </c>
      <c r="F37" s="75" t="n"/>
      <c r="G37" s="75" t="n"/>
      <c r="H37" s="75" t="n"/>
      <c r="I37" s="75" t="n"/>
      <c r="J37" s="75" t="n"/>
      <c r="K37" s="75" t="n"/>
      <c r="L37" s="75" t="n"/>
      <c r="M37" s="75" t="n"/>
      <c r="N37" s="75" t="n"/>
      <c r="O37" s="75" t="n"/>
      <c r="P37" s="75" t="n"/>
      <c r="Q37" s="75" t="n"/>
    </row>
    <row r="38" ht="18" customHeight="1">
      <c r="A38" s="49">
        <f>IF('İş Planı'!$C38="","",'İş Planı'!$C38)</f>
        <v/>
      </c>
      <c r="B38" s="49">
        <f>IF('İş Planı'!$B38="","",'İş Planı'!$B38)</f>
        <v/>
      </c>
      <c r="C38" s="63">
        <f>IF('İş Planı'!$H38="","",'İş Planı'!$H38)</f>
        <v/>
      </c>
      <c r="D38" s="63">
        <f>IF('İş Planı'!$L38="","",'İş Planı'!$L38)</f>
        <v/>
      </c>
      <c r="E38" s="62">
        <f>IF('İş Planı'!$N38="","",'İş Planı'!$N38)</f>
        <v/>
      </c>
      <c r="F38" s="75" t="n"/>
      <c r="G38" s="75" t="n"/>
      <c r="H38" s="75" t="n"/>
      <c r="I38" s="75" t="n"/>
      <c r="J38" s="75" t="n"/>
      <c r="K38" s="75" t="n"/>
      <c r="L38" s="75" t="n"/>
      <c r="M38" s="75" t="n"/>
      <c r="N38" s="75" t="n"/>
      <c r="O38" s="75" t="n"/>
      <c r="P38" s="75" t="n"/>
      <c r="Q38" s="75" t="n"/>
    </row>
    <row r="39" ht="18" customHeight="1">
      <c r="A39" s="49">
        <f>IF('İş Planı'!$C39="","",'İş Planı'!$C39)</f>
        <v/>
      </c>
      <c r="B39" s="49">
        <f>IF('İş Planı'!$B39="","",'İş Planı'!$B39)</f>
        <v/>
      </c>
      <c r="C39" s="63">
        <f>IF('İş Planı'!$H39="","",'İş Planı'!$H39)</f>
        <v/>
      </c>
      <c r="D39" s="63">
        <f>IF('İş Planı'!$L39="","",'İş Planı'!$L39)</f>
        <v/>
      </c>
      <c r="E39" s="62">
        <f>IF('İş Planı'!$N39="","",'İş Planı'!$N39)</f>
        <v/>
      </c>
      <c r="F39" s="75" t="n"/>
      <c r="G39" s="75" t="n"/>
      <c r="H39" s="75" t="n"/>
      <c r="I39" s="75" t="n"/>
      <c r="J39" s="75" t="n"/>
      <c r="K39" s="75" t="n"/>
      <c r="L39" s="75" t="n"/>
      <c r="M39" s="75" t="n"/>
      <c r="N39" s="75" t="n"/>
      <c r="O39" s="75" t="n"/>
      <c r="P39" s="75" t="n"/>
      <c r="Q39" s="75" t="n"/>
    </row>
    <row r="40" ht="18" customHeight="1">
      <c r="A40" s="49">
        <f>IF('İş Planı'!$C40="","",'İş Planı'!$C40)</f>
        <v/>
      </c>
      <c r="B40" s="49">
        <f>IF('İş Planı'!$B40="","",'İş Planı'!$B40)</f>
        <v/>
      </c>
      <c r="C40" s="63">
        <f>IF('İş Planı'!$H40="","",'İş Planı'!$H40)</f>
        <v/>
      </c>
      <c r="D40" s="63">
        <f>IF('İş Planı'!$L40="","",'İş Planı'!$L40)</f>
        <v/>
      </c>
      <c r="E40" s="62">
        <f>IF('İş Planı'!$N40="","",'İş Planı'!$N40)</f>
        <v/>
      </c>
      <c r="F40" s="75" t="n"/>
      <c r="G40" s="75" t="n"/>
      <c r="H40" s="75" t="n"/>
      <c r="I40" s="75" t="n"/>
      <c r="J40" s="75" t="n"/>
      <c r="K40" s="75" t="n"/>
      <c r="L40" s="75" t="n"/>
      <c r="M40" s="75" t="n"/>
      <c r="N40" s="75" t="n"/>
      <c r="O40" s="75" t="n"/>
      <c r="P40" s="75" t="n"/>
      <c r="Q40" s="75" t="n"/>
    </row>
    <row r="41" ht="18" customHeight="1">
      <c r="A41" s="49">
        <f>IF('İş Planı'!$C41="","",'İş Planı'!$C41)</f>
        <v/>
      </c>
      <c r="B41" s="49">
        <f>IF('İş Planı'!$B41="","",'İş Planı'!$B41)</f>
        <v/>
      </c>
      <c r="C41" s="63">
        <f>IF('İş Planı'!$H41="","",'İş Planı'!$H41)</f>
        <v/>
      </c>
      <c r="D41" s="63">
        <f>IF('İş Planı'!$L41="","",'İş Planı'!$L41)</f>
        <v/>
      </c>
      <c r="E41" s="62">
        <f>IF('İş Planı'!$N41="","",'İş Planı'!$N41)</f>
        <v/>
      </c>
      <c r="F41" s="75" t="n"/>
      <c r="G41" s="75" t="n"/>
      <c r="H41" s="75" t="n"/>
      <c r="I41" s="75" t="n"/>
      <c r="J41" s="75" t="n"/>
      <c r="K41" s="75" t="n"/>
      <c r="L41" s="75" t="n"/>
      <c r="M41" s="75" t="n"/>
      <c r="N41" s="75" t="n"/>
      <c r="O41" s="75" t="n"/>
      <c r="P41" s="75" t="n"/>
      <c r="Q41" s="75" t="n"/>
    </row>
    <row r="42" ht="18" customHeight="1">
      <c r="A42" s="49">
        <f>IF('İş Planı'!$C42="","",'İş Planı'!$C42)</f>
        <v/>
      </c>
      <c r="B42" s="49">
        <f>IF('İş Planı'!$B42="","",'İş Planı'!$B42)</f>
        <v/>
      </c>
      <c r="C42" s="63">
        <f>IF('İş Planı'!$H42="","",'İş Planı'!$H42)</f>
        <v/>
      </c>
      <c r="D42" s="63">
        <f>IF('İş Planı'!$L42="","",'İş Planı'!$L42)</f>
        <v/>
      </c>
      <c r="E42" s="62">
        <f>IF('İş Planı'!$N42="","",'İş Planı'!$N42)</f>
        <v/>
      </c>
      <c r="F42" s="75" t="n"/>
      <c r="G42" s="75" t="n"/>
      <c r="H42" s="75" t="n"/>
      <c r="I42" s="75" t="n"/>
      <c r="J42" s="75" t="n"/>
      <c r="K42" s="75" t="n"/>
      <c r="L42" s="75" t="n"/>
      <c r="M42" s="75" t="n"/>
      <c r="N42" s="75" t="n"/>
      <c r="O42" s="75" t="n"/>
      <c r="P42" s="75" t="n"/>
      <c r="Q42" s="75" t="n"/>
    </row>
    <row r="43" ht="18" customHeight="1">
      <c r="A43" s="49">
        <f>IF('İş Planı'!$C43="","",'İş Planı'!$C43)</f>
        <v/>
      </c>
      <c r="B43" s="49">
        <f>IF('İş Planı'!$B43="","",'İş Planı'!$B43)</f>
        <v/>
      </c>
      <c r="C43" s="63">
        <f>IF('İş Planı'!$H43="","",'İş Planı'!$H43)</f>
        <v/>
      </c>
      <c r="D43" s="63">
        <f>IF('İş Planı'!$L43="","",'İş Planı'!$L43)</f>
        <v/>
      </c>
      <c r="E43" s="62">
        <f>IF('İş Planı'!$N43="","",'İş Planı'!$N43)</f>
        <v/>
      </c>
      <c r="F43" s="75" t="n"/>
      <c r="G43" s="75" t="n"/>
      <c r="H43" s="75" t="n"/>
      <c r="I43" s="75" t="n"/>
      <c r="J43" s="75" t="n"/>
      <c r="K43" s="75" t="n"/>
      <c r="L43" s="75" t="n"/>
      <c r="M43" s="75" t="n"/>
      <c r="N43" s="75" t="n"/>
      <c r="O43" s="75" t="n"/>
      <c r="P43" s="75" t="n"/>
      <c r="Q43" s="75" t="n"/>
    </row>
    <row r="44" ht="18" customHeight="1">
      <c r="A44" s="49">
        <f>IF('İş Planı'!$C44="","",'İş Planı'!$C44)</f>
        <v/>
      </c>
      <c r="B44" s="49">
        <f>IF('İş Planı'!$B44="","",'İş Planı'!$B44)</f>
        <v/>
      </c>
      <c r="C44" s="63">
        <f>IF('İş Planı'!$H44="","",'İş Planı'!$H44)</f>
        <v/>
      </c>
      <c r="D44" s="63">
        <f>IF('İş Planı'!$L44="","",'İş Planı'!$L44)</f>
        <v/>
      </c>
      <c r="E44" s="62">
        <f>IF('İş Planı'!$N44="","",'İş Planı'!$N44)</f>
        <v/>
      </c>
      <c r="F44" s="75" t="n"/>
      <c r="G44" s="75" t="n"/>
      <c r="H44" s="75" t="n"/>
      <c r="I44" s="75" t="n"/>
      <c r="J44" s="75" t="n"/>
      <c r="K44" s="75" t="n"/>
      <c r="L44" s="75" t="n"/>
      <c r="M44" s="75" t="n"/>
      <c r="N44" s="75" t="n"/>
      <c r="O44" s="75" t="n"/>
      <c r="P44" s="75" t="n"/>
      <c r="Q44" s="75" t="n"/>
    </row>
    <row r="45" ht="18" customHeight="1">
      <c r="A45" s="49">
        <f>IF('İş Planı'!$C45="","",'İş Planı'!$C45)</f>
        <v/>
      </c>
      <c r="B45" s="49">
        <f>IF('İş Planı'!$B45="","",'İş Planı'!$B45)</f>
        <v/>
      </c>
      <c r="C45" s="63">
        <f>IF('İş Planı'!$H45="","",'İş Planı'!$H45)</f>
        <v/>
      </c>
      <c r="D45" s="63">
        <f>IF('İş Planı'!$L45="","",'İş Planı'!$L45)</f>
        <v/>
      </c>
      <c r="E45" s="62">
        <f>IF('İş Planı'!$N45="","",'İş Planı'!$N45)</f>
        <v/>
      </c>
      <c r="F45" s="75" t="n"/>
      <c r="G45" s="75" t="n"/>
      <c r="H45" s="75" t="n"/>
      <c r="I45" s="75" t="n"/>
      <c r="J45" s="75" t="n"/>
      <c r="K45" s="75" t="n"/>
      <c r="L45" s="75" t="n"/>
      <c r="M45" s="75" t="n"/>
      <c r="N45" s="75" t="n"/>
      <c r="O45" s="75" t="n"/>
      <c r="P45" s="75" t="n"/>
      <c r="Q45" s="75" t="n"/>
    </row>
    <row r="46" ht="18" customHeight="1">
      <c r="A46" s="49">
        <f>IF('İş Planı'!$C46="","",'İş Planı'!$C46)</f>
        <v/>
      </c>
      <c r="B46" s="49">
        <f>IF('İş Planı'!$B46="","",'İş Planı'!$B46)</f>
        <v/>
      </c>
      <c r="C46" s="63">
        <f>IF('İş Planı'!$H46="","",'İş Planı'!$H46)</f>
        <v/>
      </c>
      <c r="D46" s="63">
        <f>IF('İş Planı'!$L46="","",'İş Planı'!$L46)</f>
        <v/>
      </c>
      <c r="E46" s="62">
        <f>IF('İş Planı'!$N46="","",'İş Planı'!$N46)</f>
        <v/>
      </c>
      <c r="F46" s="75" t="n"/>
      <c r="G46" s="75" t="n"/>
      <c r="H46" s="75" t="n"/>
      <c r="I46" s="75" t="n"/>
      <c r="J46" s="75" t="n"/>
      <c r="K46" s="75" t="n"/>
      <c r="L46" s="75" t="n"/>
      <c r="M46" s="75" t="n"/>
      <c r="N46" s="75" t="n"/>
      <c r="O46" s="75" t="n"/>
      <c r="P46" s="75" t="n"/>
      <c r="Q46" s="75" t="n"/>
    </row>
    <row r="47" ht="18" customHeight="1">
      <c r="A47" s="49">
        <f>IF('İş Planı'!$C47="","",'İş Planı'!$C47)</f>
        <v/>
      </c>
      <c r="B47" s="49">
        <f>IF('İş Planı'!$B47="","",'İş Planı'!$B47)</f>
        <v/>
      </c>
      <c r="C47" s="63">
        <f>IF('İş Planı'!$H47="","",'İş Planı'!$H47)</f>
        <v/>
      </c>
      <c r="D47" s="63">
        <f>IF('İş Planı'!$L47="","",'İş Planı'!$L47)</f>
        <v/>
      </c>
      <c r="E47" s="62">
        <f>IF('İş Planı'!$N47="","",'İş Planı'!$N47)</f>
        <v/>
      </c>
      <c r="F47" s="75" t="n"/>
      <c r="G47" s="75" t="n"/>
      <c r="H47" s="75" t="n"/>
      <c r="I47" s="75" t="n"/>
      <c r="J47" s="75" t="n"/>
      <c r="K47" s="75" t="n"/>
      <c r="L47" s="75" t="n"/>
      <c r="M47" s="75" t="n"/>
      <c r="N47" s="75" t="n"/>
      <c r="O47" s="75" t="n"/>
      <c r="P47" s="75" t="n"/>
      <c r="Q47" s="75" t="n"/>
    </row>
    <row r="48" ht="18" customHeight="1">
      <c r="A48" s="49">
        <f>IF('İş Planı'!$C48="","",'İş Planı'!$C48)</f>
        <v/>
      </c>
      <c r="B48" s="49">
        <f>IF('İş Planı'!$B48="","",'İş Planı'!$B48)</f>
        <v/>
      </c>
      <c r="C48" s="63">
        <f>IF('İş Planı'!$H48="","",'İş Planı'!$H48)</f>
        <v/>
      </c>
      <c r="D48" s="63">
        <f>IF('İş Planı'!$L48="","",'İş Planı'!$L48)</f>
        <v/>
      </c>
      <c r="E48" s="62">
        <f>IF('İş Planı'!$N48="","",'İş Planı'!$N48)</f>
        <v/>
      </c>
      <c r="F48" s="75" t="n"/>
      <c r="G48" s="75" t="n"/>
      <c r="H48" s="75" t="n"/>
      <c r="I48" s="75" t="n"/>
      <c r="J48" s="75" t="n"/>
      <c r="K48" s="75" t="n"/>
      <c r="L48" s="75" t="n"/>
      <c r="M48" s="75" t="n"/>
      <c r="N48" s="75" t="n"/>
      <c r="O48" s="75" t="n"/>
      <c r="P48" s="75" t="n"/>
      <c r="Q48" s="75" t="n"/>
    </row>
    <row r="49" ht="18" customHeight="1">
      <c r="A49" s="49">
        <f>IF('İş Planı'!$C49="","",'İş Planı'!$C49)</f>
        <v/>
      </c>
      <c r="B49" s="49">
        <f>IF('İş Planı'!$B49="","",'İş Planı'!$B49)</f>
        <v/>
      </c>
      <c r="C49" s="63">
        <f>IF('İş Planı'!$H49="","",'İş Planı'!$H49)</f>
        <v/>
      </c>
      <c r="D49" s="63">
        <f>IF('İş Planı'!$L49="","",'İş Planı'!$L49)</f>
        <v/>
      </c>
      <c r="E49" s="62">
        <f>IF('İş Planı'!$N49="","",'İş Planı'!$N49)</f>
        <v/>
      </c>
      <c r="F49" s="75" t="n"/>
      <c r="G49" s="75" t="n"/>
      <c r="H49" s="75" t="n"/>
      <c r="I49" s="75" t="n"/>
      <c r="J49" s="75" t="n"/>
      <c r="K49" s="75" t="n"/>
      <c r="L49" s="75" t="n"/>
      <c r="M49" s="75" t="n"/>
      <c r="N49" s="75" t="n"/>
      <c r="O49" s="75" t="n"/>
      <c r="P49" s="75" t="n"/>
      <c r="Q49" s="75" t="n"/>
    </row>
    <row r="50" ht="18" customHeight="1">
      <c r="A50" s="49">
        <f>IF('İş Planı'!$C50="","",'İş Planı'!$C50)</f>
        <v/>
      </c>
      <c r="B50" s="49">
        <f>IF('İş Planı'!$B50="","",'İş Planı'!$B50)</f>
        <v/>
      </c>
      <c r="C50" s="63">
        <f>IF('İş Planı'!$H50="","",'İş Planı'!$H50)</f>
        <v/>
      </c>
      <c r="D50" s="63">
        <f>IF('İş Planı'!$L50="","",'İş Planı'!$L50)</f>
        <v/>
      </c>
      <c r="E50" s="62">
        <f>IF('İş Planı'!$N50="","",'İş Planı'!$N50)</f>
        <v/>
      </c>
      <c r="F50" s="75" t="n"/>
      <c r="G50" s="75" t="n"/>
      <c r="H50" s="75" t="n"/>
      <c r="I50" s="75" t="n"/>
      <c r="J50" s="75" t="n"/>
      <c r="K50" s="75" t="n"/>
      <c r="L50" s="75" t="n"/>
      <c r="M50" s="75" t="n"/>
      <c r="N50" s="75" t="n"/>
      <c r="O50" s="75" t="n"/>
      <c r="P50" s="75" t="n"/>
      <c r="Q50" s="75" t="n"/>
    </row>
    <row r="51" ht="18" customHeight="1">
      <c r="A51" s="49">
        <f>IF('İş Planı'!$C51="","",'İş Planı'!$C51)</f>
        <v/>
      </c>
      <c r="B51" s="49">
        <f>IF('İş Planı'!$B51="","",'İş Planı'!$B51)</f>
        <v/>
      </c>
      <c r="C51" s="63">
        <f>IF('İş Planı'!$H51="","",'İş Planı'!$H51)</f>
        <v/>
      </c>
      <c r="D51" s="63">
        <f>IF('İş Planı'!$L51="","",'İş Planı'!$L51)</f>
        <v/>
      </c>
      <c r="E51" s="62">
        <f>IF('İş Planı'!$N51="","",'İş Planı'!$N51)</f>
        <v/>
      </c>
      <c r="F51" s="75" t="n"/>
      <c r="G51" s="75" t="n"/>
      <c r="H51" s="75" t="n"/>
      <c r="I51" s="75" t="n"/>
      <c r="J51" s="75" t="n"/>
      <c r="K51" s="75" t="n"/>
      <c r="L51" s="75" t="n"/>
      <c r="M51" s="75" t="n"/>
      <c r="N51" s="75" t="n"/>
      <c r="O51" s="75" t="n"/>
      <c r="P51" s="75" t="n"/>
      <c r="Q51" s="75" t="n"/>
    </row>
    <row r="52" ht="18" customHeight="1">
      <c r="A52" s="49">
        <f>IF('İş Planı'!$C52="","",'İş Planı'!$C52)</f>
        <v/>
      </c>
      <c r="B52" s="49">
        <f>IF('İş Planı'!$B52="","",'İş Planı'!$B52)</f>
        <v/>
      </c>
      <c r="C52" s="63">
        <f>IF('İş Planı'!$H52="","",'İş Planı'!$H52)</f>
        <v/>
      </c>
      <c r="D52" s="63">
        <f>IF('İş Planı'!$L52="","",'İş Planı'!$L52)</f>
        <v/>
      </c>
      <c r="E52" s="62">
        <f>IF('İş Planı'!$N52="","",'İş Planı'!$N52)</f>
        <v/>
      </c>
      <c r="F52" s="75" t="n"/>
      <c r="G52" s="75" t="n"/>
      <c r="H52" s="75" t="n"/>
      <c r="I52" s="75" t="n"/>
      <c r="J52" s="75" t="n"/>
      <c r="K52" s="75" t="n"/>
      <c r="L52" s="75" t="n"/>
      <c r="M52" s="75" t="n"/>
      <c r="N52" s="75" t="n"/>
      <c r="O52" s="75" t="n"/>
      <c r="P52" s="75" t="n"/>
      <c r="Q52" s="75" t="n"/>
    </row>
    <row r="53" ht="18" customHeight="1">
      <c r="A53" s="49">
        <f>IF('İş Planı'!$C53="","",'İş Planı'!$C53)</f>
        <v/>
      </c>
      <c r="B53" s="49">
        <f>IF('İş Planı'!$B53="","",'İş Planı'!$B53)</f>
        <v/>
      </c>
      <c r="C53" s="63">
        <f>IF('İş Planı'!$H53="","",'İş Planı'!$H53)</f>
        <v/>
      </c>
      <c r="D53" s="63">
        <f>IF('İş Planı'!$L53="","",'İş Planı'!$L53)</f>
        <v/>
      </c>
      <c r="E53" s="62">
        <f>IF('İş Planı'!$N53="","",'İş Planı'!$N53)</f>
        <v/>
      </c>
      <c r="F53" s="75" t="n"/>
      <c r="G53" s="75" t="n"/>
      <c r="H53" s="75" t="n"/>
      <c r="I53" s="75" t="n"/>
      <c r="J53" s="75" t="n"/>
      <c r="K53" s="75" t="n"/>
      <c r="L53" s="75" t="n"/>
      <c r="M53" s="75" t="n"/>
      <c r="N53" s="75" t="n"/>
      <c r="O53" s="75" t="n"/>
      <c r="P53" s="75" t="n"/>
      <c r="Q53" s="75" t="n"/>
    </row>
    <row r="54" ht="18" customHeight="1">
      <c r="A54" s="49">
        <f>IF('İş Planı'!$C54="","",'İş Planı'!$C54)</f>
        <v/>
      </c>
      <c r="B54" s="49">
        <f>IF('İş Planı'!$B54="","",'İş Planı'!$B54)</f>
        <v/>
      </c>
      <c r="C54" s="63">
        <f>IF('İş Planı'!$H54="","",'İş Planı'!$H54)</f>
        <v/>
      </c>
      <c r="D54" s="63">
        <f>IF('İş Planı'!$L54="","",'İş Planı'!$L54)</f>
        <v/>
      </c>
      <c r="E54" s="62">
        <f>IF('İş Planı'!$N54="","",'İş Planı'!$N54)</f>
        <v/>
      </c>
      <c r="F54" s="75" t="n"/>
      <c r="G54" s="75" t="n"/>
      <c r="H54" s="75" t="n"/>
      <c r="I54" s="75" t="n"/>
      <c r="J54" s="75" t="n"/>
      <c r="K54" s="75" t="n"/>
      <c r="L54" s="75" t="n"/>
      <c r="M54" s="75" t="n"/>
      <c r="N54" s="75" t="n"/>
      <c r="O54" s="75" t="n"/>
      <c r="P54" s="75" t="n"/>
      <c r="Q54" s="75" t="n"/>
    </row>
    <row r="55" ht="18" customHeight="1">
      <c r="A55" s="49">
        <f>IF('İş Planı'!$C55="","",'İş Planı'!$C55)</f>
        <v/>
      </c>
      <c r="B55" s="49">
        <f>IF('İş Planı'!$B55="","",'İş Planı'!$B55)</f>
        <v/>
      </c>
      <c r="C55" s="63">
        <f>IF('İş Planı'!$H55="","",'İş Planı'!$H55)</f>
        <v/>
      </c>
      <c r="D55" s="63">
        <f>IF('İş Planı'!$L55="","",'İş Planı'!$L55)</f>
        <v/>
      </c>
      <c r="E55" s="62">
        <f>IF('İş Planı'!$N55="","",'İş Planı'!$N55)</f>
        <v/>
      </c>
      <c r="F55" s="75" t="n"/>
      <c r="G55" s="75" t="n"/>
      <c r="H55" s="75" t="n"/>
      <c r="I55" s="75" t="n"/>
      <c r="J55" s="75" t="n"/>
      <c r="K55" s="75" t="n"/>
      <c r="L55" s="75" t="n"/>
      <c r="M55" s="75" t="n"/>
      <c r="N55" s="75" t="n"/>
      <c r="O55" s="75" t="n"/>
      <c r="P55" s="75" t="n"/>
      <c r="Q55" s="75" t="n"/>
    </row>
    <row r="56" ht="18" customHeight="1">
      <c r="A56" s="49">
        <f>IF('İş Planı'!$C56="","",'İş Planı'!$C56)</f>
        <v/>
      </c>
      <c r="B56" s="49">
        <f>IF('İş Planı'!$B56="","",'İş Planı'!$B56)</f>
        <v/>
      </c>
      <c r="C56" s="63">
        <f>IF('İş Planı'!$H56="","",'İş Planı'!$H56)</f>
        <v/>
      </c>
      <c r="D56" s="63">
        <f>IF('İş Planı'!$L56="","",'İş Planı'!$L56)</f>
        <v/>
      </c>
      <c r="E56" s="62">
        <f>IF('İş Planı'!$N56="","",'İş Planı'!$N56)</f>
        <v/>
      </c>
      <c r="F56" s="75" t="n"/>
      <c r="G56" s="75" t="n"/>
      <c r="H56" s="75" t="n"/>
      <c r="I56" s="75" t="n"/>
      <c r="J56" s="75" t="n"/>
      <c r="K56" s="75" t="n"/>
      <c r="L56" s="75" t="n"/>
      <c r="M56" s="75" t="n"/>
      <c r="N56" s="75" t="n"/>
      <c r="O56" s="75" t="n"/>
      <c r="P56" s="75" t="n"/>
      <c r="Q56" s="75" t="n"/>
    </row>
    <row r="57" ht="18" customHeight="1">
      <c r="A57" s="49">
        <f>IF('İş Planı'!$C57="","",'İş Planı'!$C57)</f>
        <v/>
      </c>
      <c r="B57" s="49">
        <f>IF('İş Planı'!$B57="","",'İş Planı'!$B57)</f>
        <v/>
      </c>
      <c r="C57" s="63">
        <f>IF('İş Planı'!$H57="","",'İş Planı'!$H57)</f>
        <v/>
      </c>
      <c r="D57" s="63">
        <f>IF('İş Planı'!$L57="","",'İş Planı'!$L57)</f>
        <v/>
      </c>
      <c r="E57" s="62">
        <f>IF('İş Planı'!$N57="","",'İş Planı'!$N57)</f>
        <v/>
      </c>
      <c r="F57" s="75" t="n"/>
      <c r="G57" s="75" t="n"/>
      <c r="H57" s="75" t="n"/>
      <c r="I57" s="75" t="n"/>
      <c r="J57" s="75" t="n"/>
      <c r="K57" s="75" t="n"/>
      <c r="L57" s="75" t="n"/>
      <c r="M57" s="75" t="n"/>
      <c r="N57" s="75" t="n"/>
      <c r="O57" s="75" t="n"/>
      <c r="P57" s="75" t="n"/>
      <c r="Q57" s="75" t="n"/>
    </row>
    <row r="58" ht="18" customHeight="1">
      <c r="A58" s="49">
        <f>IF('İş Planı'!$C58="","",'İş Planı'!$C58)</f>
        <v/>
      </c>
      <c r="B58" s="49">
        <f>IF('İş Planı'!$B58="","",'İş Planı'!$B58)</f>
        <v/>
      </c>
      <c r="C58" s="63">
        <f>IF('İş Planı'!$H58="","",'İş Planı'!$H58)</f>
        <v/>
      </c>
      <c r="D58" s="63">
        <f>IF('İş Planı'!$L58="","",'İş Planı'!$L58)</f>
        <v/>
      </c>
      <c r="E58" s="62">
        <f>IF('İş Planı'!$N58="","",'İş Planı'!$N58)</f>
        <v/>
      </c>
      <c r="F58" s="75" t="n"/>
      <c r="G58" s="75" t="n"/>
      <c r="H58" s="75" t="n"/>
      <c r="I58" s="75" t="n"/>
      <c r="J58" s="75" t="n"/>
      <c r="K58" s="75" t="n"/>
      <c r="L58" s="75" t="n"/>
      <c r="M58" s="75" t="n"/>
      <c r="N58" s="75" t="n"/>
      <c r="O58" s="75" t="n"/>
      <c r="P58" s="75" t="n"/>
      <c r="Q58" s="75" t="n"/>
    </row>
    <row r="59" ht="18" customHeight="1">
      <c r="A59" s="49">
        <f>IF('İş Planı'!$C59="","",'İş Planı'!$C59)</f>
        <v/>
      </c>
      <c r="B59" s="49">
        <f>IF('İş Planı'!$B59="","",'İş Planı'!$B59)</f>
        <v/>
      </c>
      <c r="C59" s="63">
        <f>IF('İş Planı'!$H59="","",'İş Planı'!$H59)</f>
        <v/>
      </c>
      <c r="D59" s="63">
        <f>IF('İş Planı'!$L59="","",'İş Planı'!$L59)</f>
        <v/>
      </c>
      <c r="E59" s="62">
        <f>IF('İş Planı'!$N59="","",'İş Planı'!$N59)</f>
        <v/>
      </c>
      <c r="F59" s="75" t="n"/>
      <c r="G59" s="75" t="n"/>
      <c r="H59" s="75" t="n"/>
      <c r="I59" s="75" t="n"/>
      <c r="J59" s="75" t="n"/>
      <c r="K59" s="75" t="n"/>
      <c r="L59" s="75" t="n"/>
      <c r="M59" s="75" t="n"/>
      <c r="N59" s="75" t="n"/>
      <c r="O59" s="75" t="n"/>
      <c r="P59" s="75" t="n"/>
      <c r="Q59" s="75" t="n"/>
    </row>
    <row r="60" ht="18" customHeight="1">
      <c r="A60" s="49">
        <f>IF('İş Planı'!$C60="","",'İş Planı'!$C60)</f>
        <v/>
      </c>
      <c r="B60" s="49">
        <f>IF('İş Planı'!$B60="","",'İş Planı'!$B60)</f>
        <v/>
      </c>
      <c r="C60" s="63">
        <f>IF('İş Planı'!$H60="","",'İş Planı'!$H60)</f>
        <v/>
      </c>
      <c r="D60" s="63">
        <f>IF('İş Planı'!$L60="","",'İş Planı'!$L60)</f>
        <v/>
      </c>
      <c r="E60" s="62">
        <f>IF('İş Planı'!$N60="","",'İş Planı'!$N60)</f>
        <v/>
      </c>
      <c r="F60" s="75" t="n"/>
      <c r="G60" s="75" t="n"/>
      <c r="H60" s="75" t="n"/>
      <c r="I60" s="75" t="n"/>
      <c r="J60" s="75" t="n"/>
      <c r="K60" s="75" t="n"/>
      <c r="L60" s="75" t="n"/>
      <c r="M60" s="75" t="n"/>
      <c r="N60" s="75" t="n"/>
      <c r="O60" s="75" t="n"/>
      <c r="P60" s="75" t="n"/>
      <c r="Q60" s="75" t="n"/>
    </row>
    <row r="61" ht="18" customHeight="1">
      <c r="A61" s="49">
        <f>IF('İş Planı'!$C61="","",'İş Planı'!$C61)</f>
        <v/>
      </c>
      <c r="B61" s="49">
        <f>IF('İş Planı'!$B61="","",'İş Planı'!$B61)</f>
        <v/>
      </c>
      <c r="C61" s="63">
        <f>IF('İş Planı'!$H61="","",'İş Planı'!$H61)</f>
        <v/>
      </c>
      <c r="D61" s="63">
        <f>IF('İş Planı'!$L61="","",'İş Planı'!$L61)</f>
        <v/>
      </c>
      <c r="E61" s="62">
        <f>IF('İş Planı'!$N61="","",'İş Planı'!$N61)</f>
        <v/>
      </c>
      <c r="F61" s="75" t="n"/>
      <c r="G61" s="75" t="n"/>
      <c r="H61" s="75" t="n"/>
      <c r="I61" s="75" t="n"/>
      <c r="J61" s="75" t="n"/>
      <c r="K61" s="75" t="n"/>
      <c r="L61" s="75" t="n"/>
      <c r="M61" s="75" t="n"/>
      <c r="N61" s="75" t="n"/>
      <c r="O61" s="75" t="n"/>
      <c r="P61" s="75" t="n"/>
      <c r="Q61" s="75" t="n"/>
    </row>
    <row r="62" ht="18" customHeight="1">
      <c r="A62" s="49">
        <f>IF('İş Planı'!$C62="","",'İş Planı'!$C62)</f>
        <v/>
      </c>
      <c r="B62" s="49">
        <f>IF('İş Planı'!$B62="","",'İş Planı'!$B62)</f>
        <v/>
      </c>
      <c r="C62" s="63">
        <f>IF('İş Planı'!$H62="","",'İş Planı'!$H62)</f>
        <v/>
      </c>
      <c r="D62" s="63">
        <f>IF('İş Planı'!$L62="","",'İş Planı'!$L62)</f>
        <v/>
      </c>
      <c r="E62" s="62">
        <f>IF('İş Planı'!$N62="","",'İş Planı'!$N62)</f>
        <v/>
      </c>
      <c r="F62" s="75" t="n"/>
      <c r="G62" s="75" t="n"/>
      <c r="H62" s="75" t="n"/>
      <c r="I62" s="75" t="n"/>
      <c r="J62" s="75" t="n"/>
      <c r="K62" s="75" t="n"/>
      <c r="L62" s="75" t="n"/>
      <c r="M62" s="75" t="n"/>
      <c r="N62" s="75" t="n"/>
      <c r="O62" s="75" t="n"/>
      <c r="P62" s="75" t="n"/>
      <c r="Q62" s="75" t="n"/>
    </row>
    <row r="63" ht="18" customHeight="1">
      <c r="A63" s="49">
        <f>IF('İş Planı'!$C63="","",'İş Planı'!$C63)</f>
        <v/>
      </c>
      <c r="B63" s="49">
        <f>IF('İş Planı'!$B63="","",'İş Planı'!$B63)</f>
        <v/>
      </c>
      <c r="C63" s="63">
        <f>IF('İş Planı'!$H63="","",'İş Planı'!$H63)</f>
        <v/>
      </c>
      <c r="D63" s="63">
        <f>IF('İş Planı'!$L63="","",'İş Planı'!$L63)</f>
        <v/>
      </c>
      <c r="E63" s="62">
        <f>IF('İş Planı'!$N63="","",'İş Planı'!$N63)</f>
        <v/>
      </c>
      <c r="F63" s="75" t="n"/>
      <c r="G63" s="75" t="n"/>
      <c r="H63" s="75" t="n"/>
      <c r="I63" s="75" t="n"/>
      <c r="J63" s="75" t="n"/>
      <c r="K63" s="75" t="n"/>
      <c r="L63" s="75" t="n"/>
      <c r="M63" s="75" t="n"/>
      <c r="N63" s="75" t="n"/>
      <c r="O63" s="75" t="n"/>
      <c r="P63" s="75" t="n"/>
      <c r="Q63" s="75" t="n"/>
    </row>
    <row r="64" ht="18" customHeight="1">
      <c r="A64" s="49">
        <f>IF('İş Planı'!$C64="","",'İş Planı'!$C64)</f>
        <v/>
      </c>
      <c r="B64" s="49">
        <f>IF('İş Planı'!$B64="","",'İş Planı'!$B64)</f>
        <v/>
      </c>
      <c r="C64" s="63">
        <f>IF('İş Planı'!$H64="","",'İş Planı'!$H64)</f>
        <v/>
      </c>
      <c r="D64" s="63">
        <f>IF('İş Planı'!$L64="","",'İş Planı'!$L64)</f>
        <v/>
      </c>
      <c r="E64" s="62">
        <f>IF('İş Planı'!$N64="","",'İş Planı'!$N64)</f>
        <v/>
      </c>
      <c r="F64" s="75" t="n"/>
      <c r="G64" s="75" t="n"/>
      <c r="H64" s="75" t="n"/>
      <c r="I64" s="75" t="n"/>
      <c r="J64" s="75" t="n"/>
      <c r="K64" s="75" t="n"/>
      <c r="L64" s="75" t="n"/>
      <c r="M64" s="75" t="n"/>
      <c r="N64" s="75" t="n"/>
      <c r="O64" s="75" t="n"/>
      <c r="P64" s="75" t="n"/>
      <c r="Q64" s="75" t="n"/>
    </row>
    <row r="65" ht="18" customHeight="1">
      <c r="A65" s="49">
        <f>IF('İş Planı'!$C65="","",'İş Planı'!$C65)</f>
        <v/>
      </c>
      <c r="B65" s="49">
        <f>IF('İş Planı'!$B65="","",'İş Planı'!$B65)</f>
        <v/>
      </c>
      <c r="C65" s="63">
        <f>IF('İş Planı'!$H65="","",'İş Planı'!$H65)</f>
        <v/>
      </c>
      <c r="D65" s="63">
        <f>IF('İş Planı'!$L65="","",'İş Planı'!$L65)</f>
        <v/>
      </c>
      <c r="E65" s="62">
        <f>IF('İş Planı'!$N65="","",'İş Planı'!$N65)</f>
        <v/>
      </c>
      <c r="F65" s="75" t="n"/>
      <c r="G65" s="75" t="n"/>
      <c r="H65" s="75" t="n"/>
      <c r="I65" s="75" t="n"/>
      <c r="J65" s="75" t="n"/>
      <c r="K65" s="75" t="n"/>
      <c r="L65" s="75" t="n"/>
      <c r="M65" s="75" t="n"/>
      <c r="N65" s="75" t="n"/>
      <c r="O65" s="75" t="n"/>
      <c r="P65" s="75" t="n"/>
      <c r="Q65" s="75" t="n"/>
    </row>
    <row r="66" ht="18" customHeight="1">
      <c r="A66" s="49">
        <f>IF('İş Planı'!$C66="","",'İş Planı'!$C66)</f>
        <v/>
      </c>
      <c r="B66" s="49">
        <f>IF('İş Planı'!$B66="","",'İş Planı'!$B66)</f>
        <v/>
      </c>
      <c r="C66" s="63">
        <f>IF('İş Planı'!$H66="","",'İş Planı'!$H66)</f>
        <v/>
      </c>
      <c r="D66" s="63">
        <f>IF('İş Planı'!$L66="","",'İş Planı'!$L66)</f>
        <v/>
      </c>
      <c r="E66" s="62">
        <f>IF('İş Planı'!$N66="","",'İş Planı'!$N66)</f>
        <v/>
      </c>
      <c r="F66" s="75" t="n"/>
      <c r="G66" s="75" t="n"/>
      <c r="H66" s="75" t="n"/>
      <c r="I66" s="75" t="n"/>
      <c r="J66" s="75" t="n"/>
      <c r="K66" s="75" t="n"/>
      <c r="L66" s="75" t="n"/>
      <c r="M66" s="75" t="n"/>
      <c r="N66" s="75" t="n"/>
      <c r="O66" s="75" t="n"/>
      <c r="P66" s="75" t="n"/>
      <c r="Q66" s="75" t="n"/>
    </row>
    <row r="67" ht="18" customHeight="1">
      <c r="A67" s="49">
        <f>IF('İş Planı'!$C67="","",'İş Planı'!$C67)</f>
        <v/>
      </c>
      <c r="B67" s="49">
        <f>IF('İş Planı'!$B67="","",'İş Planı'!$B67)</f>
        <v/>
      </c>
      <c r="C67" s="63">
        <f>IF('İş Planı'!$H67="","",'İş Planı'!$H67)</f>
        <v/>
      </c>
      <c r="D67" s="63">
        <f>IF('İş Planı'!$L67="","",'İş Planı'!$L67)</f>
        <v/>
      </c>
      <c r="E67" s="62">
        <f>IF('İş Planı'!$N67="","",'İş Planı'!$N67)</f>
        <v/>
      </c>
      <c r="F67" s="75" t="n"/>
      <c r="G67" s="75" t="n"/>
      <c r="H67" s="75" t="n"/>
      <c r="I67" s="75" t="n"/>
      <c r="J67" s="75" t="n"/>
      <c r="K67" s="75" t="n"/>
      <c r="L67" s="75" t="n"/>
      <c r="M67" s="75" t="n"/>
      <c r="N67" s="75" t="n"/>
      <c r="O67" s="75" t="n"/>
      <c r="P67" s="75" t="n"/>
      <c r="Q67" s="75" t="n"/>
    </row>
    <row r="68" ht="18" customHeight="1">
      <c r="A68" s="49">
        <f>IF('İş Planı'!$C68="","",'İş Planı'!$C68)</f>
        <v/>
      </c>
      <c r="B68" s="49">
        <f>IF('İş Planı'!$B68="","",'İş Planı'!$B68)</f>
        <v/>
      </c>
      <c r="C68" s="63">
        <f>IF('İş Planı'!$H68="","",'İş Planı'!$H68)</f>
        <v/>
      </c>
      <c r="D68" s="63">
        <f>IF('İş Planı'!$L68="","",'İş Planı'!$L68)</f>
        <v/>
      </c>
      <c r="E68" s="62">
        <f>IF('İş Planı'!$N68="","",'İş Planı'!$N68)</f>
        <v/>
      </c>
      <c r="F68" s="75" t="n"/>
      <c r="G68" s="75" t="n"/>
      <c r="H68" s="75" t="n"/>
      <c r="I68" s="75" t="n"/>
      <c r="J68" s="75" t="n"/>
      <c r="K68" s="75" t="n"/>
      <c r="L68" s="75" t="n"/>
      <c r="M68" s="75" t="n"/>
      <c r="N68" s="75" t="n"/>
      <c r="O68" s="75" t="n"/>
      <c r="P68" s="75" t="n"/>
      <c r="Q68" s="75" t="n"/>
    </row>
    <row r="69" ht="18" customHeight="1">
      <c r="A69" s="49">
        <f>IF('İş Planı'!$C69="","",'İş Planı'!$C69)</f>
        <v/>
      </c>
      <c r="B69" s="49">
        <f>IF('İş Planı'!$B69="","",'İş Planı'!$B69)</f>
        <v/>
      </c>
      <c r="C69" s="63">
        <f>IF('İş Planı'!$H69="","",'İş Planı'!$H69)</f>
        <v/>
      </c>
      <c r="D69" s="63">
        <f>IF('İş Planı'!$L69="","",'İş Planı'!$L69)</f>
        <v/>
      </c>
      <c r="E69" s="62">
        <f>IF('İş Planı'!$N69="","",'İş Planı'!$N69)</f>
        <v/>
      </c>
      <c r="F69" s="75" t="n"/>
      <c r="G69" s="75" t="n"/>
      <c r="H69" s="75" t="n"/>
      <c r="I69" s="75" t="n"/>
      <c r="J69" s="75" t="n"/>
      <c r="K69" s="75" t="n"/>
      <c r="L69" s="75" t="n"/>
      <c r="M69" s="75" t="n"/>
      <c r="N69" s="75" t="n"/>
      <c r="O69" s="75" t="n"/>
      <c r="P69" s="75" t="n"/>
      <c r="Q69" s="75" t="n"/>
    </row>
    <row r="70" ht="18" customHeight="1">
      <c r="A70" s="49">
        <f>IF('İş Planı'!$C70="","",'İş Planı'!$C70)</f>
        <v/>
      </c>
      <c r="B70" s="49">
        <f>IF('İş Planı'!$B70="","",'İş Planı'!$B70)</f>
        <v/>
      </c>
      <c r="C70" s="63">
        <f>IF('İş Planı'!$H70="","",'İş Planı'!$H70)</f>
        <v/>
      </c>
      <c r="D70" s="63">
        <f>IF('İş Planı'!$L70="","",'İş Planı'!$L70)</f>
        <v/>
      </c>
      <c r="E70" s="62">
        <f>IF('İş Planı'!$N70="","",'İş Planı'!$N70)</f>
        <v/>
      </c>
      <c r="F70" s="75" t="n"/>
      <c r="G70" s="75" t="n"/>
      <c r="H70" s="75" t="n"/>
      <c r="I70" s="75" t="n"/>
      <c r="J70" s="75" t="n"/>
      <c r="K70" s="75" t="n"/>
      <c r="L70" s="75" t="n"/>
      <c r="M70" s="75" t="n"/>
      <c r="N70" s="75" t="n"/>
      <c r="O70" s="75" t="n"/>
      <c r="P70" s="75" t="n"/>
      <c r="Q70" s="75" t="n"/>
    </row>
    <row r="71" ht="18" customHeight="1">
      <c r="A71" s="49">
        <f>IF('İş Planı'!$C71="","",'İş Planı'!$C71)</f>
        <v/>
      </c>
      <c r="B71" s="49">
        <f>IF('İş Planı'!$B71="","",'İş Planı'!$B71)</f>
        <v/>
      </c>
      <c r="C71" s="63">
        <f>IF('İş Planı'!$H71="","",'İş Planı'!$H71)</f>
        <v/>
      </c>
      <c r="D71" s="63">
        <f>IF('İş Planı'!$L71="","",'İş Planı'!$L71)</f>
        <v/>
      </c>
      <c r="E71" s="62">
        <f>IF('İş Planı'!$N71="","",'İş Planı'!$N71)</f>
        <v/>
      </c>
      <c r="F71" s="75" t="n"/>
      <c r="G71" s="75" t="n"/>
      <c r="H71" s="75" t="n"/>
      <c r="I71" s="75" t="n"/>
      <c r="J71" s="75" t="n"/>
      <c r="K71" s="75" t="n"/>
      <c r="L71" s="75" t="n"/>
      <c r="M71" s="75" t="n"/>
      <c r="N71" s="75" t="n"/>
      <c r="O71" s="75" t="n"/>
      <c r="P71" s="75" t="n"/>
      <c r="Q71" s="75" t="n"/>
    </row>
    <row r="72" ht="18" customHeight="1">
      <c r="A72" s="49">
        <f>IF('İş Planı'!$C72="","",'İş Planı'!$C72)</f>
        <v/>
      </c>
      <c r="B72" s="49">
        <f>IF('İş Planı'!$B72="","",'İş Planı'!$B72)</f>
        <v/>
      </c>
      <c r="C72" s="63">
        <f>IF('İş Planı'!$H72="","",'İş Planı'!$H72)</f>
        <v/>
      </c>
      <c r="D72" s="63">
        <f>IF('İş Planı'!$L72="","",'İş Planı'!$L72)</f>
        <v/>
      </c>
      <c r="E72" s="62">
        <f>IF('İş Planı'!$N72="","",'İş Planı'!$N72)</f>
        <v/>
      </c>
      <c r="F72" s="75" t="n"/>
      <c r="G72" s="75" t="n"/>
      <c r="H72" s="75" t="n"/>
      <c r="I72" s="75" t="n"/>
      <c r="J72" s="75" t="n"/>
      <c r="K72" s="75" t="n"/>
      <c r="L72" s="75" t="n"/>
      <c r="M72" s="75" t="n"/>
      <c r="N72" s="75" t="n"/>
      <c r="O72" s="75" t="n"/>
      <c r="P72" s="75" t="n"/>
      <c r="Q72" s="75" t="n"/>
    </row>
    <row r="73" ht="18" customHeight="1">
      <c r="A73" s="49">
        <f>IF('İş Planı'!$C73="","",'İş Planı'!$C73)</f>
        <v/>
      </c>
      <c r="B73" s="49">
        <f>IF('İş Planı'!$B73="","",'İş Planı'!$B73)</f>
        <v/>
      </c>
      <c r="C73" s="63">
        <f>IF('İş Planı'!$H73="","",'İş Planı'!$H73)</f>
        <v/>
      </c>
      <c r="D73" s="63">
        <f>IF('İş Planı'!$L73="","",'İş Planı'!$L73)</f>
        <v/>
      </c>
      <c r="E73" s="62">
        <f>IF('İş Planı'!$N73="","",'İş Planı'!$N73)</f>
        <v/>
      </c>
      <c r="F73" s="75" t="n"/>
      <c r="G73" s="75" t="n"/>
      <c r="H73" s="75" t="n"/>
      <c r="I73" s="75" t="n"/>
      <c r="J73" s="75" t="n"/>
      <c r="K73" s="75" t="n"/>
      <c r="L73" s="75" t="n"/>
      <c r="M73" s="75" t="n"/>
      <c r="N73" s="75" t="n"/>
      <c r="O73" s="75" t="n"/>
      <c r="P73" s="75" t="n"/>
      <c r="Q73" s="75" t="n"/>
    </row>
    <row r="74" ht="18" customHeight="1">
      <c r="A74" s="49">
        <f>IF('İş Planı'!$C74="","",'İş Planı'!$C74)</f>
        <v/>
      </c>
      <c r="B74" s="49">
        <f>IF('İş Planı'!$B74="","",'İş Planı'!$B74)</f>
        <v/>
      </c>
      <c r="C74" s="63">
        <f>IF('İş Planı'!$H74="","",'İş Planı'!$H74)</f>
        <v/>
      </c>
      <c r="D74" s="63">
        <f>IF('İş Planı'!$L74="","",'İş Planı'!$L74)</f>
        <v/>
      </c>
      <c r="E74" s="62">
        <f>IF('İş Planı'!$N74="","",'İş Planı'!$N74)</f>
        <v/>
      </c>
      <c r="F74" s="75" t="n"/>
      <c r="G74" s="75" t="n"/>
      <c r="H74" s="75" t="n"/>
      <c r="I74" s="75" t="n"/>
      <c r="J74" s="75" t="n"/>
      <c r="K74" s="75" t="n"/>
      <c r="L74" s="75" t="n"/>
      <c r="M74" s="75" t="n"/>
      <c r="N74" s="75" t="n"/>
      <c r="O74" s="75" t="n"/>
      <c r="P74" s="75" t="n"/>
      <c r="Q74" s="75" t="n"/>
    </row>
    <row r="75" ht="18" customHeight="1">
      <c r="A75" s="49">
        <f>IF('İş Planı'!$C75="","",'İş Planı'!$C75)</f>
        <v/>
      </c>
      <c r="B75" s="49">
        <f>IF('İş Planı'!$B75="","",'İş Planı'!$B75)</f>
        <v/>
      </c>
      <c r="C75" s="63">
        <f>IF('İş Planı'!$H75="","",'İş Planı'!$H75)</f>
        <v/>
      </c>
      <c r="D75" s="63">
        <f>IF('İş Planı'!$L75="","",'İş Planı'!$L75)</f>
        <v/>
      </c>
      <c r="E75" s="62">
        <f>IF('İş Planı'!$N75="","",'İş Planı'!$N75)</f>
        <v/>
      </c>
      <c r="F75" s="75" t="n"/>
      <c r="G75" s="75" t="n"/>
      <c r="H75" s="75" t="n"/>
      <c r="I75" s="75" t="n"/>
      <c r="J75" s="75" t="n"/>
      <c r="K75" s="75" t="n"/>
      <c r="L75" s="75" t="n"/>
      <c r="M75" s="75" t="n"/>
      <c r="N75" s="75" t="n"/>
      <c r="O75" s="75" t="n"/>
      <c r="P75" s="75" t="n"/>
      <c r="Q75" s="75" t="n"/>
    </row>
    <row r="76" ht="18" customHeight="1">
      <c r="A76" s="49">
        <f>IF('İş Planı'!$C76="","",'İş Planı'!$C76)</f>
        <v/>
      </c>
      <c r="B76" s="49">
        <f>IF('İş Planı'!$B76="","",'İş Planı'!$B76)</f>
        <v/>
      </c>
      <c r="C76" s="63">
        <f>IF('İş Planı'!$H76="","",'İş Planı'!$H76)</f>
        <v/>
      </c>
      <c r="D76" s="63">
        <f>IF('İş Planı'!$L76="","",'İş Planı'!$L76)</f>
        <v/>
      </c>
      <c r="E76" s="62">
        <f>IF('İş Planı'!$N76="","",'İş Planı'!$N76)</f>
        <v/>
      </c>
      <c r="F76" s="75" t="n"/>
      <c r="G76" s="75" t="n"/>
      <c r="H76" s="75" t="n"/>
      <c r="I76" s="75" t="n"/>
      <c r="J76" s="75" t="n"/>
      <c r="K76" s="75" t="n"/>
      <c r="L76" s="75" t="n"/>
      <c r="M76" s="75" t="n"/>
      <c r="N76" s="75" t="n"/>
      <c r="O76" s="75" t="n"/>
      <c r="P76" s="75" t="n"/>
      <c r="Q76" s="75" t="n"/>
    </row>
    <row r="77" ht="18" customHeight="1">
      <c r="A77" s="49">
        <f>IF('İş Planı'!$C77="","",'İş Planı'!$C77)</f>
        <v/>
      </c>
      <c r="B77" s="49">
        <f>IF('İş Planı'!$B77="","",'İş Planı'!$B77)</f>
        <v/>
      </c>
      <c r="C77" s="63">
        <f>IF('İş Planı'!$H77="","",'İş Planı'!$H77)</f>
        <v/>
      </c>
      <c r="D77" s="63">
        <f>IF('İş Planı'!$L77="","",'İş Planı'!$L77)</f>
        <v/>
      </c>
      <c r="E77" s="62">
        <f>IF('İş Planı'!$N77="","",'İş Planı'!$N77)</f>
        <v/>
      </c>
      <c r="F77" s="75" t="n"/>
      <c r="G77" s="75" t="n"/>
      <c r="H77" s="75" t="n"/>
      <c r="I77" s="75" t="n"/>
      <c r="J77" s="75" t="n"/>
      <c r="K77" s="75" t="n"/>
      <c r="L77" s="75" t="n"/>
      <c r="M77" s="75" t="n"/>
      <c r="N77" s="75" t="n"/>
      <c r="O77" s="75" t="n"/>
      <c r="P77" s="75" t="n"/>
      <c r="Q77" s="75" t="n"/>
    </row>
    <row r="78" ht="18" customHeight="1">
      <c r="A78" s="49">
        <f>IF('İş Planı'!$C78="","",'İş Planı'!$C78)</f>
        <v/>
      </c>
      <c r="B78" s="49">
        <f>IF('İş Planı'!$B78="","",'İş Planı'!$B78)</f>
        <v/>
      </c>
      <c r="C78" s="63">
        <f>IF('İş Planı'!$H78="","",'İş Planı'!$H78)</f>
        <v/>
      </c>
      <c r="D78" s="63">
        <f>IF('İş Planı'!$L78="","",'İş Planı'!$L78)</f>
        <v/>
      </c>
      <c r="E78" s="62">
        <f>IF('İş Planı'!$N78="","",'İş Planı'!$N78)</f>
        <v/>
      </c>
      <c r="F78" s="75" t="n"/>
      <c r="G78" s="75" t="n"/>
      <c r="H78" s="75" t="n"/>
      <c r="I78" s="75" t="n"/>
      <c r="J78" s="75" t="n"/>
      <c r="K78" s="75" t="n"/>
      <c r="L78" s="75" t="n"/>
      <c r="M78" s="75" t="n"/>
      <c r="N78" s="75" t="n"/>
      <c r="O78" s="75" t="n"/>
      <c r="P78" s="75" t="n"/>
      <c r="Q78" s="75" t="n"/>
    </row>
    <row r="79" ht="18" customHeight="1">
      <c r="A79" s="49">
        <f>IF('İş Planı'!$C79="","",'İş Planı'!$C79)</f>
        <v/>
      </c>
      <c r="B79" s="49">
        <f>IF('İş Planı'!$B79="","",'İş Planı'!$B79)</f>
        <v/>
      </c>
      <c r="C79" s="63">
        <f>IF('İş Planı'!$H79="","",'İş Planı'!$H79)</f>
        <v/>
      </c>
      <c r="D79" s="63">
        <f>IF('İş Planı'!$L79="","",'İş Planı'!$L79)</f>
        <v/>
      </c>
      <c r="E79" s="62">
        <f>IF('İş Planı'!$N79="","",'İş Planı'!$N79)</f>
        <v/>
      </c>
      <c r="F79" s="75" t="n"/>
      <c r="G79" s="75" t="n"/>
      <c r="H79" s="75" t="n"/>
      <c r="I79" s="75" t="n"/>
      <c r="J79" s="75" t="n"/>
      <c r="K79" s="75" t="n"/>
      <c r="L79" s="75" t="n"/>
      <c r="M79" s="75" t="n"/>
      <c r="N79" s="75" t="n"/>
      <c r="O79" s="75" t="n"/>
      <c r="P79" s="75" t="n"/>
      <c r="Q79" s="75" t="n"/>
    </row>
    <row r="80" ht="18" customHeight="1">
      <c r="A80" s="49">
        <f>IF('İş Planı'!$C80="","",'İş Planı'!$C80)</f>
        <v/>
      </c>
      <c r="B80" s="49">
        <f>IF('İş Planı'!$B80="","",'İş Planı'!$B80)</f>
        <v/>
      </c>
      <c r="C80" s="63">
        <f>IF('İş Planı'!$H80="","",'İş Planı'!$H80)</f>
        <v/>
      </c>
      <c r="D80" s="63">
        <f>IF('İş Planı'!$L80="","",'İş Planı'!$L80)</f>
        <v/>
      </c>
      <c r="E80" s="62">
        <f>IF('İş Planı'!$N80="","",'İş Planı'!$N80)</f>
        <v/>
      </c>
      <c r="F80" s="75" t="n"/>
      <c r="G80" s="75" t="n"/>
      <c r="H80" s="75" t="n"/>
      <c r="I80" s="75" t="n"/>
      <c r="J80" s="75" t="n"/>
      <c r="K80" s="75" t="n"/>
      <c r="L80" s="75" t="n"/>
      <c r="M80" s="75" t="n"/>
      <c r="N80" s="75" t="n"/>
      <c r="O80" s="75" t="n"/>
      <c r="P80" s="75" t="n"/>
      <c r="Q80" s="75" t="n"/>
    </row>
    <row r="81" ht="18" customHeight="1">
      <c r="A81" s="49">
        <f>IF('İş Planı'!$C81="","",'İş Planı'!$C81)</f>
        <v/>
      </c>
      <c r="B81" s="49">
        <f>IF('İş Planı'!$B81="","",'İş Planı'!$B81)</f>
        <v/>
      </c>
      <c r="C81" s="63">
        <f>IF('İş Planı'!$H81="","",'İş Planı'!$H81)</f>
        <v/>
      </c>
      <c r="D81" s="63">
        <f>IF('İş Planı'!$L81="","",'İş Planı'!$L81)</f>
        <v/>
      </c>
      <c r="E81" s="62">
        <f>IF('İş Planı'!$N81="","",'İş Planı'!$N81)</f>
        <v/>
      </c>
      <c r="F81" s="75" t="n"/>
      <c r="G81" s="75" t="n"/>
      <c r="H81" s="75" t="n"/>
      <c r="I81" s="75" t="n"/>
      <c r="J81" s="75" t="n"/>
      <c r="K81" s="75" t="n"/>
      <c r="L81" s="75" t="n"/>
      <c r="M81" s="75" t="n"/>
      <c r="N81" s="75" t="n"/>
      <c r="O81" s="75" t="n"/>
      <c r="P81" s="75" t="n"/>
      <c r="Q81" s="75" t="n"/>
    </row>
    <row r="82" ht="18" customHeight="1">
      <c r="A82" s="49">
        <f>IF('İş Planı'!$C82="","",'İş Planı'!$C82)</f>
        <v/>
      </c>
      <c r="B82" s="49">
        <f>IF('İş Planı'!$B82="","",'İş Planı'!$B82)</f>
        <v/>
      </c>
      <c r="C82" s="63">
        <f>IF('İş Planı'!$H82="","",'İş Planı'!$H82)</f>
        <v/>
      </c>
      <c r="D82" s="63">
        <f>IF('İş Planı'!$L82="","",'İş Planı'!$L82)</f>
        <v/>
      </c>
      <c r="E82" s="62">
        <f>IF('İş Planı'!$N82="","",'İş Planı'!$N82)</f>
        <v/>
      </c>
      <c r="F82" s="75" t="n"/>
      <c r="G82" s="75" t="n"/>
      <c r="H82" s="75" t="n"/>
      <c r="I82" s="75" t="n"/>
      <c r="J82" s="75" t="n"/>
      <c r="K82" s="75" t="n"/>
      <c r="L82" s="75" t="n"/>
      <c r="M82" s="75" t="n"/>
      <c r="N82" s="75" t="n"/>
      <c r="O82" s="75" t="n"/>
      <c r="P82" s="75" t="n"/>
      <c r="Q82" s="75" t="n"/>
    </row>
    <row r="83" ht="18" customHeight="1">
      <c r="A83" s="49">
        <f>IF('İş Planı'!$C83="","",'İş Planı'!$C83)</f>
        <v/>
      </c>
      <c r="B83" s="49">
        <f>IF('İş Planı'!$B83="","",'İş Planı'!$B83)</f>
        <v/>
      </c>
      <c r="C83" s="63">
        <f>IF('İş Planı'!$H83="","",'İş Planı'!$H83)</f>
        <v/>
      </c>
      <c r="D83" s="63">
        <f>IF('İş Planı'!$L83="","",'İş Planı'!$L83)</f>
        <v/>
      </c>
      <c r="E83" s="62">
        <f>IF('İş Planı'!$N83="","",'İş Planı'!$N83)</f>
        <v/>
      </c>
      <c r="F83" s="75" t="n"/>
      <c r="G83" s="75" t="n"/>
      <c r="H83" s="75" t="n"/>
      <c r="I83" s="75" t="n"/>
      <c r="J83" s="75" t="n"/>
      <c r="K83" s="75" t="n"/>
      <c r="L83" s="75" t="n"/>
      <c r="M83" s="75" t="n"/>
      <c r="N83" s="75" t="n"/>
      <c r="O83" s="75" t="n"/>
      <c r="P83" s="75" t="n"/>
      <c r="Q83" s="75" t="n"/>
    </row>
    <row r="84" ht="18" customHeight="1">
      <c r="A84" s="49">
        <f>IF('İş Planı'!$C84="","",'İş Planı'!$C84)</f>
        <v/>
      </c>
      <c r="B84" s="49">
        <f>IF('İş Planı'!$B84="","",'İş Planı'!$B84)</f>
        <v/>
      </c>
      <c r="C84" s="63">
        <f>IF('İş Planı'!$H84="","",'İş Planı'!$H84)</f>
        <v/>
      </c>
      <c r="D84" s="63">
        <f>IF('İş Planı'!$L84="","",'İş Planı'!$L84)</f>
        <v/>
      </c>
      <c r="E84" s="62">
        <f>IF('İş Planı'!$N84="","",'İş Planı'!$N84)</f>
        <v/>
      </c>
      <c r="F84" s="75" t="n"/>
      <c r="G84" s="75" t="n"/>
      <c r="H84" s="75" t="n"/>
      <c r="I84" s="75" t="n"/>
      <c r="J84" s="75" t="n"/>
      <c r="K84" s="75" t="n"/>
      <c r="L84" s="75" t="n"/>
      <c r="M84" s="75" t="n"/>
      <c r="N84" s="75" t="n"/>
      <c r="O84" s="75" t="n"/>
      <c r="P84" s="75" t="n"/>
      <c r="Q84" s="75" t="n"/>
    </row>
    <row r="85" ht="18" customHeight="1">
      <c r="A85" s="49">
        <f>IF('İş Planı'!$C85="","",'İş Planı'!$C85)</f>
        <v/>
      </c>
      <c r="B85" s="49">
        <f>IF('İş Planı'!$B85="","",'İş Planı'!$B85)</f>
        <v/>
      </c>
      <c r="C85" s="63">
        <f>IF('İş Planı'!$H85="","",'İş Planı'!$H85)</f>
        <v/>
      </c>
      <c r="D85" s="63">
        <f>IF('İş Planı'!$L85="","",'İş Planı'!$L85)</f>
        <v/>
      </c>
      <c r="E85" s="62">
        <f>IF('İş Planı'!$N85="","",'İş Planı'!$N85)</f>
        <v/>
      </c>
      <c r="F85" s="75" t="n"/>
      <c r="G85" s="75" t="n"/>
      <c r="H85" s="75" t="n"/>
      <c r="I85" s="75" t="n"/>
      <c r="J85" s="75" t="n"/>
      <c r="K85" s="75" t="n"/>
      <c r="L85" s="75" t="n"/>
      <c r="M85" s="75" t="n"/>
      <c r="N85" s="75" t="n"/>
      <c r="O85" s="75" t="n"/>
      <c r="P85" s="75" t="n"/>
      <c r="Q85" s="75" t="n"/>
    </row>
    <row r="86" ht="18" customHeight="1">
      <c r="A86" s="49">
        <f>IF('İş Planı'!$C86="","",'İş Planı'!$C86)</f>
        <v/>
      </c>
      <c r="B86" s="49">
        <f>IF('İş Planı'!$B86="","",'İş Planı'!$B86)</f>
        <v/>
      </c>
      <c r="C86" s="63">
        <f>IF('İş Planı'!$H86="","",'İş Planı'!$H86)</f>
        <v/>
      </c>
      <c r="D86" s="63">
        <f>IF('İş Planı'!$L86="","",'İş Planı'!$L86)</f>
        <v/>
      </c>
      <c r="E86" s="62">
        <f>IF('İş Planı'!$N86="","",'İş Planı'!$N86)</f>
        <v/>
      </c>
      <c r="F86" s="75" t="n"/>
      <c r="G86" s="75" t="n"/>
      <c r="H86" s="75" t="n"/>
      <c r="I86" s="75" t="n"/>
      <c r="J86" s="75" t="n"/>
      <c r="K86" s="75" t="n"/>
      <c r="L86" s="75" t="n"/>
      <c r="M86" s="75" t="n"/>
      <c r="N86" s="75" t="n"/>
      <c r="O86" s="75" t="n"/>
      <c r="P86" s="75" t="n"/>
      <c r="Q86" s="75" t="n"/>
    </row>
    <row r="87" ht="18" customHeight="1">
      <c r="A87" s="49">
        <f>IF('İş Planı'!$C87="","",'İş Planı'!$C87)</f>
        <v/>
      </c>
      <c r="B87" s="49">
        <f>IF('İş Planı'!$B87="","",'İş Planı'!$B87)</f>
        <v/>
      </c>
      <c r="C87" s="63">
        <f>IF('İş Planı'!$H87="","",'İş Planı'!$H87)</f>
        <v/>
      </c>
      <c r="D87" s="63">
        <f>IF('İş Planı'!$L87="","",'İş Planı'!$L87)</f>
        <v/>
      </c>
      <c r="E87" s="62">
        <f>IF('İş Planı'!$N87="","",'İş Planı'!$N87)</f>
        <v/>
      </c>
      <c r="F87" s="75" t="n"/>
      <c r="G87" s="75" t="n"/>
      <c r="H87" s="75" t="n"/>
      <c r="I87" s="75" t="n"/>
      <c r="J87" s="75" t="n"/>
      <c r="K87" s="75" t="n"/>
      <c r="L87" s="75" t="n"/>
      <c r="M87" s="75" t="n"/>
      <c r="N87" s="75" t="n"/>
      <c r="O87" s="75" t="n"/>
      <c r="P87" s="75" t="n"/>
      <c r="Q87" s="75" t="n"/>
    </row>
    <row r="88" ht="18" customHeight="1">
      <c r="A88" s="49">
        <f>IF('İş Planı'!$C88="","",'İş Planı'!$C88)</f>
        <v/>
      </c>
      <c r="B88" s="49">
        <f>IF('İş Planı'!$B88="","",'İş Planı'!$B88)</f>
        <v/>
      </c>
      <c r="C88" s="63">
        <f>IF('İş Planı'!$H88="","",'İş Planı'!$H88)</f>
        <v/>
      </c>
      <c r="D88" s="63">
        <f>IF('İş Planı'!$L88="","",'İş Planı'!$L88)</f>
        <v/>
      </c>
      <c r="E88" s="62">
        <f>IF('İş Planı'!$N88="","",'İş Planı'!$N88)</f>
        <v/>
      </c>
      <c r="F88" s="75" t="n"/>
      <c r="G88" s="75" t="n"/>
      <c r="H88" s="75" t="n"/>
      <c r="I88" s="75" t="n"/>
      <c r="J88" s="75" t="n"/>
      <c r="K88" s="75" t="n"/>
      <c r="L88" s="75" t="n"/>
      <c r="M88" s="75" t="n"/>
      <c r="N88" s="75" t="n"/>
      <c r="O88" s="75" t="n"/>
      <c r="P88" s="75" t="n"/>
      <c r="Q88" s="75" t="n"/>
    </row>
    <row r="89" ht="18" customHeight="1">
      <c r="A89" s="49">
        <f>IF('İş Planı'!$C89="","",'İş Planı'!$C89)</f>
        <v/>
      </c>
      <c r="B89" s="49">
        <f>IF('İş Planı'!$B89="","",'İş Planı'!$B89)</f>
        <v/>
      </c>
      <c r="C89" s="63">
        <f>IF('İş Planı'!$H89="","",'İş Planı'!$H89)</f>
        <v/>
      </c>
      <c r="D89" s="63">
        <f>IF('İş Planı'!$L89="","",'İş Planı'!$L89)</f>
        <v/>
      </c>
      <c r="E89" s="62">
        <f>IF('İş Planı'!$N89="","",'İş Planı'!$N89)</f>
        <v/>
      </c>
      <c r="F89" s="75" t="n"/>
      <c r="G89" s="75" t="n"/>
      <c r="H89" s="75" t="n"/>
      <c r="I89" s="75" t="n"/>
      <c r="J89" s="75" t="n"/>
      <c r="K89" s="75" t="n"/>
      <c r="L89" s="75" t="n"/>
      <c r="M89" s="75" t="n"/>
      <c r="N89" s="75" t="n"/>
      <c r="O89" s="75" t="n"/>
      <c r="P89" s="75" t="n"/>
      <c r="Q89" s="75" t="n"/>
    </row>
    <row r="90" ht="18" customHeight="1">
      <c r="A90" s="49">
        <f>IF('İş Planı'!$C90="","",'İş Planı'!$C90)</f>
        <v/>
      </c>
      <c r="B90" s="49">
        <f>IF('İş Planı'!$B90="","",'İş Planı'!$B90)</f>
        <v/>
      </c>
      <c r="C90" s="63">
        <f>IF('İş Planı'!$H90="","",'İş Planı'!$H90)</f>
        <v/>
      </c>
      <c r="D90" s="63">
        <f>IF('İş Planı'!$L90="","",'İş Planı'!$L90)</f>
        <v/>
      </c>
      <c r="E90" s="62">
        <f>IF('İş Planı'!$N90="","",'İş Planı'!$N90)</f>
        <v/>
      </c>
      <c r="F90" s="75" t="n"/>
      <c r="G90" s="75" t="n"/>
      <c r="H90" s="75" t="n"/>
      <c r="I90" s="75" t="n"/>
      <c r="J90" s="75" t="n"/>
      <c r="K90" s="75" t="n"/>
      <c r="L90" s="75" t="n"/>
      <c r="M90" s="75" t="n"/>
      <c r="N90" s="75" t="n"/>
      <c r="O90" s="75" t="n"/>
      <c r="P90" s="75" t="n"/>
      <c r="Q90" s="75" t="n"/>
    </row>
    <row r="91" ht="18" customHeight="1">
      <c r="A91" s="49">
        <f>IF('İş Planı'!$C91="","",'İş Planı'!$C91)</f>
        <v/>
      </c>
      <c r="B91" s="49">
        <f>IF('İş Planı'!$B91="","",'İş Planı'!$B91)</f>
        <v/>
      </c>
      <c r="C91" s="63">
        <f>IF('İş Planı'!$H91="","",'İş Planı'!$H91)</f>
        <v/>
      </c>
      <c r="D91" s="63">
        <f>IF('İş Planı'!$L91="","",'İş Planı'!$L91)</f>
        <v/>
      </c>
      <c r="E91" s="62">
        <f>IF('İş Planı'!$N91="","",'İş Planı'!$N91)</f>
        <v/>
      </c>
      <c r="F91" s="75" t="n"/>
      <c r="G91" s="75" t="n"/>
      <c r="H91" s="75" t="n"/>
      <c r="I91" s="75" t="n"/>
      <c r="J91" s="75" t="n"/>
      <c r="K91" s="75" t="n"/>
      <c r="L91" s="75" t="n"/>
      <c r="M91" s="75" t="n"/>
      <c r="N91" s="75" t="n"/>
      <c r="O91" s="75" t="n"/>
      <c r="P91" s="75" t="n"/>
      <c r="Q91" s="75" t="n"/>
    </row>
    <row r="92" ht="18" customHeight="1">
      <c r="A92" s="49">
        <f>IF('İş Planı'!$C92="","",'İş Planı'!$C92)</f>
        <v/>
      </c>
      <c r="B92" s="49">
        <f>IF('İş Planı'!$B92="","",'İş Planı'!$B92)</f>
        <v/>
      </c>
      <c r="C92" s="63">
        <f>IF('İş Planı'!$H92="","",'İş Planı'!$H92)</f>
        <v/>
      </c>
      <c r="D92" s="63">
        <f>IF('İş Planı'!$L92="","",'İş Planı'!$L92)</f>
        <v/>
      </c>
      <c r="E92" s="62">
        <f>IF('İş Planı'!$N92="","",'İş Planı'!$N92)</f>
        <v/>
      </c>
      <c r="F92" s="75" t="n"/>
      <c r="G92" s="75" t="n"/>
      <c r="H92" s="75" t="n"/>
      <c r="I92" s="75" t="n"/>
      <c r="J92" s="75" t="n"/>
      <c r="K92" s="75" t="n"/>
      <c r="L92" s="75" t="n"/>
      <c r="M92" s="75" t="n"/>
      <c r="N92" s="75" t="n"/>
      <c r="O92" s="75" t="n"/>
      <c r="P92" s="75" t="n"/>
      <c r="Q92" s="75" t="n"/>
    </row>
    <row r="93" ht="18" customHeight="1">
      <c r="A93" s="49">
        <f>IF('İş Planı'!$C93="","",'İş Planı'!$C93)</f>
        <v/>
      </c>
      <c r="B93" s="49">
        <f>IF('İş Planı'!$B93="","",'İş Planı'!$B93)</f>
        <v/>
      </c>
      <c r="C93" s="63">
        <f>IF('İş Planı'!$H93="","",'İş Planı'!$H93)</f>
        <v/>
      </c>
      <c r="D93" s="63">
        <f>IF('İş Planı'!$L93="","",'İş Planı'!$L93)</f>
        <v/>
      </c>
      <c r="E93" s="62">
        <f>IF('İş Planı'!$N93="","",'İş Planı'!$N93)</f>
        <v/>
      </c>
      <c r="F93" s="75" t="n"/>
      <c r="G93" s="75" t="n"/>
      <c r="H93" s="75" t="n"/>
      <c r="I93" s="75" t="n"/>
      <c r="J93" s="75" t="n"/>
      <c r="K93" s="75" t="n"/>
      <c r="L93" s="75" t="n"/>
      <c r="M93" s="75" t="n"/>
      <c r="N93" s="75" t="n"/>
      <c r="O93" s="75" t="n"/>
      <c r="P93" s="75" t="n"/>
      <c r="Q93" s="75" t="n"/>
    </row>
    <row r="94" ht="18" customHeight="1">
      <c r="A94" s="49">
        <f>IF('İş Planı'!$C94="","",'İş Planı'!$C94)</f>
        <v/>
      </c>
      <c r="B94" s="49">
        <f>IF('İş Planı'!$B94="","",'İş Planı'!$B94)</f>
        <v/>
      </c>
      <c r="C94" s="63">
        <f>IF('İş Planı'!$H94="","",'İş Planı'!$H94)</f>
        <v/>
      </c>
      <c r="D94" s="63">
        <f>IF('İş Planı'!$L94="","",'İş Planı'!$L94)</f>
        <v/>
      </c>
      <c r="E94" s="62">
        <f>IF('İş Planı'!$N94="","",'İş Planı'!$N94)</f>
        <v/>
      </c>
      <c r="F94" s="75" t="n"/>
      <c r="G94" s="75" t="n"/>
      <c r="H94" s="75" t="n"/>
      <c r="I94" s="75" t="n"/>
      <c r="J94" s="75" t="n"/>
      <c r="K94" s="75" t="n"/>
      <c r="L94" s="75" t="n"/>
      <c r="M94" s="75" t="n"/>
      <c r="N94" s="75" t="n"/>
      <c r="O94" s="75" t="n"/>
      <c r="P94" s="75" t="n"/>
      <c r="Q94" s="75" t="n"/>
    </row>
    <row r="95" ht="18" customHeight="1">
      <c r="A95" s="49">
        <f>IF('İş Planı'!$C95="","",'İş Planı'!$C95)</f>
        <v/>
      </c>
      <c r="B95" s="49">
        <f>IF('İş Planı'!$B95="","",'İş Planı'!$B95)</f>
        <v/>
      </c>
      <c r="C95" s="63">
        <f>IF('İş Planı'!$H95="","",'İş Planı'!$H95)</f>
        <v/>
      </c>
      <c r="D95" s="63">
        <f>IF('İş Planı'!$L95="","",'İş Planı'!$L95)</f>
        <v/>
      </c>
      <c r="E95" s="62">
        <f>IF('İş Planı'!$N95="","",'İş Planı'!$N95)</f>
        <v/>
      </c>
      <c r="F95" s="75" t="n"/>
      <c r="G95" s="75" t="n"/>
      <c r="H95" s="75" t="n"/>
      <c r="I95" s="75" t="n"/>
      <c r="J95" s="75" t="n"/>
      <c r="K95" s="75" t="n"/>
      <c r="L95" s="75" t="n"/>
      <c r="M95" s="75" t="n"/>
      <c r="N95" s="75" t="n"/>
      <c r="O95" s="75" t="n"/>
      <c r="P95" s="75" t="n"/>
      <c r="Q95" s="75" t="n"/>
    </row>
    <row r="96" ht="18" customHeight="1">
      <c r="A96" s="49">
        <f>IF('İş Planı'!$C96="","",'İş Planı'!$C96)</f>
        <v/>
      </c>
      <c r="B96" s="49">
        <f>IF('İş Planı'!$B96="","",'İş Planı'!$B96)</f>
        <v/>
      </c>
      <c r="C96" s="63">
        <f>IF('İş Planı'!$H96="","",'İş Planı'!$H96)</f>
        <v/>
      </c>
      <c r="D96" s="63">
        <f>IF('İş Planı'!$L96="","",'İş Planı'!$L96)</f>
        <v/>
      </c>
      <c r="E96" s="62">
        <f>IF('İş Planı'!$N96="","",'İş Planı'!$N96)</f>
        <v/>
      </c>
      <c r="F96" s="75" t="n"/>
      <c r="G96" s="75" t="n"/>
      <c r="H96" s="75" t="n"/>
      <c r="I96" s="75" t="n"/>
      <c r="J96" s="75" t="n"/>
      <c r="K96" s="75" t="n"/>
      <c r="L96" s="75" t="n"/>
      <c r="M96" s="75" t="n"/>
      <c r="N96" s="75" t="n"/>
      <c r="O96" s="75" t="n"/>
      <c r="P96" s="75" t="n"/>
      <c r="Q96" s="75" t="n"/>
    </row>
    <row r="97" ht="18" customHeight="1">
      <c r="A97" s="49">
        <f>IF('İş Planı'!$C97="","",'İş Planı'!$C97)</f>
        <v/>
      </c>
      <c r="B97" s="49">
        <f>IF('İş Planı'!$B97="","",'İş Planı'!$B97)</f>
        <v/>
      </c>
      <c r="C97" s="63">
        <f>IF('İş Planı'!$H97="","",'İş Planı'!$H97)</f>
        <v/>
      </c>
      <c r="D97" s="63">
        <f>IF('İş Planı'!$L97="","",'İş Planı'!$L97)</f>
        <v/>
      </c>
      <c r="E97" s="62">
        <f>IF('İş Planı'!$N97="","",'İş Planı'!$N97)</f>
        <v/>
      </c>
      <c r="F97" s="75" t="n"/>
      <c r="G97" s="75" t="n"/>
      <c r="H97" s="75" t="n"/>
      <c r="I97" s="75" t="n"/>
      <c r="J97" s="75" t="n"/>
      <c r="K97" s="75" t="n"/>
      <c r="L97" s="75" t="n"/>
      <c r="M97" s="75" t="n"/>
      <c r="N97" s="75" t="n"/>
      <c r="O97" s="75" t="n"/>
      <c r="P97" s="75" t="n"/>
      <c r="Q97" s="75" t="n"/>
    </row>
    <row r="98" ht="18" customHeight="1">
      <c r="A98" s="49">
        <f>IF('İş Planı'!$C98="","",'İş Planı'!$C98)</f>
        <v/>
      </c>
      <c r="B98" s="49">
        <f>IF('İş Planı'!$B98="","",'İş Planı'!$B98)</f>
        <v/>
      </c>
      <c r="C98" s="63">
        <f>IF('İş Planı'!$H98="","",'İş Planı'!$H98)</f>
        <v/>
      </c>
      <c r="D98" s="63">
        <f>IF('İş Planı'!$L98="","",'İş Planı'!$L98)</f>
        <v/>
      </c>
      <c r="E98" s="62">
        <f>IF('İş Planı'!$N98="","",'İş Planı'!$N98)</f>
        <v/>
      </c>
      <c r="F98" s="75" t="n"/>
      <c r="G98" s="75" t="n"/>
      <c r="H98" s="75" t="n"/>
      <c r="I98" s="75" t="n"/>
      <c r="J98" s="75" t="n"/>
      <c r="K98" s="75" t="n"/>
      <c r="L98" s="75" t="n"/>
      <c r="M98" s="75" t="n"/>
      <c r="N98" s="75" t="n"/>
      <c r="O98" s="75" t="n"/>
      <c r="P98" s="75" t="n"/>
      <c r="Q98" s="75" t="n"/>
    </row>
    <row r="99" ht="18" customHeight="1">
      <c r="A99" s="49">
        <f>IF('İş Planı'!$C99="","",'İş Planı'!$C99)</f>
        <v/>
      </c>
      <c r="B99" s="49">
        <f>IF('İş Planı'!$B99="","",'İş Planı'!$B99)</f>
        <v/>
      </c>
      <c r="C99" s="63">
        <f>IF('İş Planı'!$H99="","",'İş Planı'!$H99)</f>
        <v/>
      </c>
      <c r="D99" s="63">
        <f>IF('İş Planı'!$L99="","",'İş Planı'!$L99)</f>
        <v/>
      </c>
      <c r="E99" s="62">
        <f>IF('İş Planı'!$N99="","",'İş Planı'!$N99)</f>
        <v/>
      </c>
      <c r="F99" s="75" t="n"/>
      <c r="G99" s="75" t="n"/>
      <c r="H99" s="75" t="n"/>
      <c r="I99" s="75" t="n"/>
      <c r="J99" s="75" t="n"/>
      <c r="K99" s="75" t="n"/>
      <c r="L99" s="75" t="n"/>
      <c r="M99" s="75" t="n"/>
      <c r="N99" s="75" t="n"/>
      <c r="O99" s="75" t="n"/>
      <c r="P99" s="75" t="n"/>
      <c r="Q99" s="75" t="n"/>
    </row>
    <row r="100" ht="18" customHeight="1">
      <c r="A100" s="49">
        <f>IF('İş Planı'!$C100="","",'İş Planı'!$C100)</f>
        <v/>
      </c>
      <c r="B100" s="49">
        <f>IF('İş Planı'!$B100="","",'İş Planı'!$B100)</f>
        <v/>
      </c>
      <c r="C100" s="63">
        <f>IF('İş Planı'!$H100="","",'İş Planı'!$H100)</f>
        <v/>
      </c>
      <c r="D100" s="63">
        <f>IF('İş Planı'!$L100="","",'İş Planı'!$L100)</f>
        <v/>
      </c>
      <c r="E100" s="62">
        <f>IF('İş Planı'!$N100="","",'İş Planı'!$N100)</f>
        <v/>
      </c>
      <c r="F100" s="75" t="n"/>
      <c r="G100" s="75" t="n"/>
      <c r="H100" s="75" t="n"/>
      <c r="I100" s="75" t="n"/>
      <c r="J100" s="75" t="n"/>
      <c r="K100" s="75" t="n"/>
      <c r="L100" s="75" t="n"/>
      <c r="M100" s="75" t="n"/>
      <c r="N100" s="75" t="n"/>
      <c r="O100" s="75" t="n"/>
      <c r="P100" s="75" t="n"/>
      <c r="Q100" s="75" t="n"/>
    </row>
    <row r="101" ht="18" customHeight="1">
      <c r="A101" s="49">
        <f>IF('İş Planı'!$C101="","",'İş Planı'!$C101)</f>
        <v/>
      </c>
      <c r="B101" s="49">
        <f>IF('İş Planı'!$B101="","",'İş Planı'!$B101)</f>
        <v/>
      </c>
      <c r="C101" s="63">
        <f>IF('İş Planı'!$H101="","",'İş Planı'!$H101)</f>
        <v/>
      </c>
      <c r="D101" s="63">
        <f>IF('İş Planı'!$L101="","",'İş Planı'!$L101)</f>
        <v/>
      </c>
      <c r="E101" s="62">
        <f>IF('İş Planı'!$N101="","",'İş Planı'!$N101)</f>
        <v/>
      </c>
      <c r="F101" s="75" t="n"/>
      <c r="G101" s="75" t="n"/>
      <c r="H101" s="75" t="n"/>
      <c r="I101" s="75" t="n"/>
      <c r="J101" s="75" t="n"/>
      <c r="K101" s="75" t="n"/>
      <c r="L101" s="75" t="n"/>
      <c r="M101" s="75" t="n"/>
      <c r="N101" s="75" t="n"/>
      <c r="O101" s="75" t="n"/>
      <c r="P101" s="75" t="n"/>
      <c r="Q101" s="75" t="n"/>
    </row>
    <row r="102" ht="18" customHeight="1">
      <c r="A102" s="49">
        <f>IF('İş Planı'!$C102="","",'İş Planı'!$C102)</f>
        <v/>
      </c>
      <c r="B102" s="49">
        <f>IF('İş Planı'!$B102="","",'İş Planı'!$B102)</f>
        <v/>
      </c>
      <c r="C102" s="63">
        <f>IF('İş Planı'!$H102="","",'İş Planı'!$H102)</f>
        <v/>
      </c>
      <c r="D102" s="63">
        <f>IF('İş Planı'!$L102="","",'İş Planı'!$L102)</f>
        <v/>
      </c>
      <c r="E102" s="62">
        <f>IF('İş Planı'!$N102="","",'İş Planı'!$N102)</f>
        <v/>
      </c>
      <c r="F102" s="75" t="n"/>
      <c r="G102" s="75" t="n"/>
      <c r="H102" s="75" t="n"/>
      <c r="I102" s="75" t="n"/>
      <c r="J102" s="75" t="n"/>
      <c r="K102" s="75" t="n"/>
      <c r="L102" s="75" t="n"/>
      <c r="M102" s="75" t="n"/>
      <c r="N102" s="75" t="n"/>
      <c r="O102" s="75" t="n"/>
      <c r="P102" s="75" t="n"/>
      <c r="Q102" s="75" t="n"/>
    </row>
    <row r="103" ht="18" customHeight="1">
      <c r="A103" s="49">
        <f>IF('İş Planı'!$C103="","",'İş Planı'!$C103)</f>
        <v/>
      </c>
      <c r="B103" s="49">
        <f>IF('İş Planı'!$B103="","",'İş Planı'!$B103)</f>
        <v/>
      </c>
      <c r="C103" s="63">
        <f>IF('İş Planı'!$H103="","",'İş Planı'!$H103)</f>
        <v/>
      </c>
      <c r="D103" s="63">
        <f>IF('İş Planı'!$L103="","",'İş Planı'!$L103)</f>
        <v/>
      </c>
      <c r="E103" s="62">
        <f>IF('İş Planı'!$N103="","",'İş Planı'!$N103)</f>
        <v/>
      </c>
      <c r="F103" s="75" t="n"/>
      <c r="G103" s="75" t="n"/>
      <c r="H103" s="75" t="n"/>
      <c r="I103" s="75" t="n"/>
      <c r="J103" s="75" t="n"/>
      <c r="K103" s="75" t="n"/>
      <c r="L103" s="75" t="n"/>
      <c r="M103" s="75" t="n"/>
      <c r="N103" s="75" t="n"/>
      <c r="O103" s="75" t="n"/>
      <c r="P103" s="75" t="n"/>
      <c r="Q103" s="75" t="n"/>
    </row>
    <row r="104" ht="18" customHeight="1">
      <c r="A104" s="49">
        <f>IF('İş Planı'!$C104="","",'İş Planı'!$C104)</f>
        <v/>
      </c>
      <c r="B104" s="49">
        <f>IF('İş Planı'!$B104="","",'İş Planı'!$B104)</f>
        <v/>
      </c>
      <c r="C104" s="63">
        <f>IF('İş Planı'!$H104="","",'İş Planı'!$H104)</f>
        <v/>
      </c>
      <c r="D104" s="63">
        <f>IF('İş Planı'!$L104="","",'İş Planı'!$L104)</f>
        <v/>
      </c>
      <c r="E104" s="62">
        <f>IF('İş Planı'!$N104="","",'İş Planı'!$N104)</f>
        <v/>
      </c>
      <c r="F104" s="75" t="n"/>
      <c r="G104" s="75" t="n"/>
      <c r="H104" s="75" t="n"/>
      <c r="I104" s="75" t="n"/>
      <c r="J104" s="75" t="n"/>
      <c r="K104" s="75" t="n"/>
      <c r="L104" s="75" t="n"/>
      <c r="M104" s="75" t="n"/>
      <c r="N104" s="75" t="n"/>
      <c r="O104" s="75" t="n"/>
      <c r="P104" s="75" t="n"/>
      <c r="Q104" s="75" t="n"/>
    </row>
    <row r="105" ht="18" customHeight="1">
      <c r="A105" s="49">
        <f>IF('İş Planı'!$C105="","",'İş Planı'!$C105)</f>
        <v/>
      </c>
      <c r="B105" s="49">
        <f>IF('İş Planı'!$B105="","",'İş Planı'!$B105)</f>
        <v/>
      </c>
      <c r="C105" s="63">
        <f>IF('İş Planı'!$H105="","",'İş Planı'!$H105)</f>
        <v/>
      </c>
      <c r="D105" s="63">
        <f>IF('İş Planı'!$L105="","",'İş Planı'!$L105)</f>
        <v/>
      </c>
      <c r="E105" s="62">
        <f>IF('İş Planı'!$N105="","",'İş Planı'!$N105)</f>
        <v/>
      </c>
      <c r="F105" s="75" t="n"/>
      <c r="G105" s="75" t="n"/>
      <c r="H105" s="75" t="n"/>
      <c r="I105" s="75" t="n"/>
      <c r="J105" s="75" t="n"/>
      <c r="K105" s="75" t="n"/>
      <c r="L105" s="75" t="n"/>
      <c r="M105" s="75" t="n"/>
      <c r="N105" s="75" t="n"/>
      <c r="O105" s="75" t="n"/>
      <c r="P105" s="75" t="n"/>
      <c r="Q105" s="75" t="n"/>
    </row>
    <row r="106" ht="18" customHeight="1">
      <c r="A106" s="49">
        <f>IF('İş Planı'!$C106="","",'İş Planı'!$C106)</f>
        <v/>
      </c>
      <c r="B106" s="49">
        <f>IF('İş Planı'!$B106="","",'İş Planı'!$B106)</f>
        <v/>
      </c>
      <c r="C106" s="63">
        <f>IF('İş Planı'!$H106="","",'İş Planı'!$H106)</f>
        <v/>
      </c>
      <c r="D106" s="63">
        <f>IF('İş Planı'!$L106="","",'İş Planı'!$L106)</f>
        <v/>
      </c>
      <c r="E106" s="62">
        <f>IF('İş Planı'!$N106="","",'İş Planı'!$N106)</f>
        <v/>
      </c>
      <c r="F106" s="75" t="n"/>
      <c r="G106" s="75" t="n"/>
      <c r="H106" s="75" t="n"/>
      <c r="I106" s="75" t="n"/>
      <c r="J106" s="75" t="n"/>
      <c r="K106" s="75" t="n"/>
      <c r="L106" s="75" t="n"/>
      <c r="M106" s="75" t="n"/>
      <c r="N106" s="75" t="n"/>
      <c r="O106" s="75" t="n"/>
      <c r="P106" s="75" t="n"/>
      <c r="Q106" s="75" t="n"/>
    </row>
    <row r="107" ht="18" customHeight="1">
      <c r="A107" s="49">
        <f>IF('İş Planı'!$C107="","",'İş Planı'!$C107)</f>
        <v/>
      </c>
      <c r="B107" s="49">
        <f>IF('İş Planı'!$B107="","",'İş Planı'!$B107)</f>
        <v/>
      </c>
      <c r="C107" s="63">
        <f>IF('İş Planı'!$H107="","",'İş Planı'!$H107)</f>
        <v/>
      </c>
      <c r="D107" s="63">
        <f>IF('İş Planı'!$L107="","",'İş Planı'!$L107)</f>
        <v/>
      </c>
      <c r="E107" s="62">
        <f>IF('İş Planı'!$N107="","",'İş Planı'!$N107)</f>
        <v/>
      </c>
      <c r="F107" s="75" t="n"/>
      <c r="G107" s="75" t="n"/>
      <c r="H107" s="75" t="n"/>
      <c r="I107" s="75" t="n"/>
      <c r="J107" s="75" t="n"/>
      <c r="K107" s="75" t="n"/>
      <c r="L107" s="75" t="n"/>
      <c r="M107" s="75" t="n"/>
      <c r="N107" s="75" t="n"/>
      <c r="O107" s="75" t="n"/>
      <c r="P107" s="75" t="n"/>
      <c r="Q107" s="75" t="n"/>
    </row>
    <row r="108" ht="18" customHeight="1">
      <c r="A108" s="49">
        <f>IF('İş Planı'!$C108="","",'İş Planı'!$C108)</f>
        <v/>
      </c>
      <c r="B108" s="49">
        <f>IF('İş Planı'!$B108="","",'İş Planı'!$B108)</f>
        <v/>
      </c>
      <c r="C108" s="63">
        <f>IF('İş Planı'!$H108="","",'İş Planı'!$H108)</f>
        <v/>
      </c>
      <c r="D108" s="63">
        <f>IF('İş Planı'!$L108="","",'İş Planı'!$L108)</f>
        <v/>
      </c>
      <c r="E108" s="62">
        <f>IF('İş Planı'!$N108="","",'İş Planı'!$N108)</f>
        <v/>
      </c>
      <c r="F108" s="75" t="n"/>
      <c r="G108" s="75" t="n"/>
      <c r="H108" s="75" t="n"/>
      <c r="I108" s="75" t="n"/>
      <c r="J108" s="75" t="n"/>
      <c r="K108" s="75" t="n"/>
      <c r="L108" s="75" t="n"/>
      <c r="M108" s="75" t="n"/>
      <c r="N108" s="75" t="n"/>
      <c r="O108" s="75" t="n"/>
      <c r="P108" s="75" t="n"/>
      <c r="Q108" s="75" t="n"/>
    </row>
    <row r="109" ht="18" customHeight="1">
      <c r="A109" s="49">
        <f>IF('İş Planı'!$C109="","",'İş Planı'!$C109)</f>
        <v/>
      </c>
      <c r="B109" s="49">
        <f>IF('İş Planı'!$B109="","",'İş Planı'!$B109)</f>
        <v/>
      </c>
      <c r="C109" s="63">
        <f>IF('İş Planı'!$H109="","",'İş Planı'!$H109)</f>
        <v/>
      </c>
      <c r="D109" s="63">
        <f>IF('İş Planı'!$L109="","",'İş Planı'!$L109)</f>
        <v/>
      </c>
      <c r="E109" s="62">
        <f>IF('İş Planı'!$N109="","",'İş Planı'!$N109)</f>
        <v/>
      </c>
      <c r="F109" s="75" t="n"/>
      <c r="G109" s="75" t="n"/>
      <c r="H109" s="75" t="n"/>
      <c r="I109" s="75" t="n"/>
      <c r="J109" s="75" t="n"/>
      <c r="K109" s="75" t="n"/>
      <c r="L109" s="75" t="n"/>
      <c r="M109" s="75" t="n"/>
      <c r="N109" s="75" t="n"/>
      <c r="O109" s="75" t="n"/>
      <c r="P109" s="75" t="n"/>
      <c r="Q109" s="75" t="n"/>
    </row>
    <row r="110" ht="18" customHeight="1">
      <c r="A110" s="49">
        <f>IF('İş Planı'!$C110="","",'İş Planı'!$C110)</f>
        <v/>
      </c>
      <c r="B110" s="49">
        <f>IF('İş Planı'!$B110="","",'İş Planı'!$B110)</f>
        <v/>
      </c>
      <c r="C110" s="63">
        <f>IF('İş Planı'!$H110="","",'İş Planı'!$H110)</f>
        <v/>
      </c>
      <c r="D110" s="63">
        <f>IF('İş Planı'!$L110="","",'İş Planı'!$L110)</f>
        <v/>
      </c>
      <c r="E110" s="62">
        <f>IF('İş Planı'!$N110="","",'İş Planı'!$N110)</f>
        <v/>
      </c>
      <c r="F110" s="75" t="n"/>
      <c r="G110" s="75" t="n"/>
      <c r="H110" s="75" t="n"/>
      <c r="I110" s="75" t="n"/>
      <c r="J110" s="75" t="n"/>
      <c r="K110" s="75" t="n"/>
      <c r="L110" s="75" t="n"/>
      <c r="M110" s="75" t="n"/>
      <c r="N110" s="75" t="n"/>
      <c r="O110" s="75" t="n"/>
      <c r="P110" s="75" t="n"/>
      <c r="Q110" s="75" t="n"/>
    </row>
    <row r="111" ht="18" customHeight="1">
      <c r="A111" s="49">
        <f>IF('İş Planı'!$C111="","",'İş Planı'!$C111)</f>
        <v/>
      </c>
      <c r="B111" s="49">
        <f>IF('İş Planı'!$B111="","",'İş Planı'!$B111)</f>
        <v/>
      </c>
      <c r="C111" s="63">
        <f>IF('İş Planı'!$H111="","",'İş Planı'!$H111)</f>
        <v/>
      </c>
      <c r="D111" s="63">
        <f>IF('İş Planı'!$L111="","",'İş Planı'!$L111)</f>
        <v/>
      </c>
      <c r="E111" s="62">
        <f>IF('İş Planı'!$N111="","",'İş Planı'!$N111)</f>
        <v/>
      </c>
      <c r="F111" s="75" t="n"/>
      <c r="G111" s="75" t="n"/>
      <c r="H111" s="75" t="n"/>
      <c r="I111" s="75" t="n"/>
      <c r="J111" s="75" t="n"/>
      <c r="K111" s="75" t="n"/>
      <c r="L111" s="75" t="n"/>
      <c r="M111" s="75" t="n"/>
      <c r="N111" s="75" t="n"/>
      <c r="O111" s="75" t="n"/>
      <c r="P111" s="75" t="n"/>
      <c r="Q111" s="75" t="n"/>
    </row>
    <row r="112" ht="18" customHeight="1">
      <c r="A112" s="49">
        <f>IF('İş Planı'!$C112="","",'İş Planı'!$C112)</f>
        <v/>
      </c>
      <c r="B112" s="49">
        <f>IF('İş Planı'!$B112="","",'İş Planı'!$B112)</f>
        <v/>
      </c>
      <c r="C112" s="63">
        <f>IF('İş Planı'!$H112="","",'İş Planı'!$H112)</f>
        <v/>
      </c>
      <c r="D112" s="63">
        <f>IF('İş Planı'!$L112="","",'İş Planı'!$L112)</f>
        <v/>
      </c>
      <c r="E112" s="62">
        <f>IF('İş Planı'!$N112="","",'İş Planı'!$N112)</f>
        <v/>
      </c>
      <c r="F112" s="75" t="n"/>
      <c r="G112" s="75" t="n"/>
      <c r="H112" s="75" t="n"/>
      <c r="I112" s="75" t="n"/>
      <c r="J112" s="75" t="n"/>
      <c r="K112" s="75" t="n"/>
      <c r="L112" s="75" t="n"/>
      <c r="M112" s="75" t="n"/>
      <c r="N112" s="75" t="n"/>
      <c r="O112" s="75" t="n"/>
      <c r="P112" s="75" t="n"/>
      <c r="Q112" s="75" t="n"/>
    </row>
    <row r="113" ht="18" customHeight="1">
      <c r="A113" s="49">
        <f>IF('İş Planı'!$C113="","",'İş Planı'!$C113)</f>
        <v/>
      </c>
      <c r="B113" s="49">
        <f>IF('İş Planı'!$B113="","",'İş Planı'!$B113)</f>
        <v/>
      </c>
      <c r="C113" s="63">
        <f>IF('İş Planı'!$H113="","",'İş Planı'!$H113)</f>
        <v/>
      </c>
      <c r="D113" s="63">
        <f>IF('İş Planı'!$L113="","",'İş Planı'!$L113)</f>
        <v/>
      </c>
      <c r="E113" s="62">
        <f>IF('İş Planı'!$N113="","",'İş Planı'!$N113)</f>
        <v/>
      </c>
      <c r="F113" s="75" t="n"/>
      <c r="G113" s="75" t="n"/>
      <c r="H113" s="75" t="n"/>
      <c r="I113" s="75" t="n"/>
      <c r="J113" s="75" t="n"/>
      <c r="K113" s="75" t="n"/>
      <c r="L113" s="75" t="n"/>
      <c r="M113" s="75" t="n"/>
      <c r="N113" s="75" t="n"/>
      <c r="O113" s="75" t="n"/>
      <c r="P113" s="75" t="n"/>
      <c r="Q113" s="75" t="n"/>
    </row>
    <row r="114" ht="18" customHeight="1">
      <c r="A114" s="49">
        <f>IF('İş Planı'!$C114="","",'İş Planı'!$C114)</f>
        <v/>
      </c>
      <c r="B114" s="49">
        <f>IF('İş Planı'!$B114="","",'İş Planı'!$B114)</f>
        <v/>
      </c>
      <c r="C114" s="63">
        <f>IF('İş Planı'!$H114="","",'İş Planı'!$H114)</f>
        <v/>
      </c>
      <c r="D114" s="63">
        <f>IF('İş Planı'!$L114="","",'İş Planı'!$L114)</f>
        <v/>
      </c>
      <c r="E114" s="62">
        <f>IF('İş Planı'!$N114="","",'İş Planı'!$N114)</f>
        <v/>
      </c>
      <c r="F114" s="75" t="n"/>
      <c r="G114" s="75" t="n"/>
      <c r="H114" s="75" t="n"/>
      <c r="I114" s="75" t="n"/>
      <c r="J114" s="75" t="n"/>
      <c r="K114" s="75" t="n"/>
      <c r="L114" s="75" t="n"/>
      <c r="M114" s="75" t="n"/>
      <c r="N114" s="75" t="n"/>
      <c r="O114" s="75" t="n"/>
      <c r="P114" s="75" t="n"/>
      <c r="Q114" s="75" t="n"/>
    </row>
    <row r="115" ht="18" customHeight="1">
      <c r="A115" s="49">
        <f>IF('İş Planı'!$C115="","",'İş Planı'!$C115)</f>
        <v/>
      </c>
      <c r="B115" s="49">
        <f>IF('İş Planı'!$B115="","",'İş Planı'!$B115)</f>
        <v/>
      </c>
      <c r="C115" s="63">
        <f>IF('İş Planı'!$H115="","",'İş Planı'!$H115)</f>
        <v/>
      </c>
      <c r="D115" s="63">
        <f>IF('İş Planı'!$L115="","",'İş Planı'!$L115)</f>
        <v/>
      </c>
      <c r="E115" s="62">
        <f>IF('İş Planı'!$N115="","",'İş Planı'!$N115)</f>
        <v/>
      </c>
      <c r="F115" s="75" t="n"/>
      <c r="G115" s="75" t="n"/>
      <c r="H115" s="75" t="n"/>
      <c r="I115" s="75" t="n"/>
      <c r="J115" s="75" t="n"/>
      <c r="K115" s="75" t="n"/>
      <c r="L115" s="75" t="n"/>
      <c r="M115" s="75" t="n"/>
      <c r="N115" s="75" t="n"/>
      <c r="O115" s="75" t="n"/>
      <c r="P115" s="75" t="n"/>
      <c r="Q115" s="75" t="n"/>
    </row>
    <row r="116" ht="18" customHeight="1">
      <c r="A116" s="49">
        <f>IF('İş Planı'!$C116="","",'İş Planı'!$C116)</f>
        <v/>
      </c>
      <c r="B116" s="49">
        <f>IF('İş Planı'!$B116="","",'İş Planı'!$B116)</f>
        <v/>
      </c>
      <c r="C116" s="63">
        <f>IF('İş Planı'!$H116="","",'İş Planı'!$H116)</f>
        <v/>
      </c>
      <c r="D116" s="63">
        <f>IF('İş Planı'!$L116="","",'İş Planı'!$L116)</f>
        <v/>
      </c>
      <c r="E116" s="62">
        <f>IF('İş Planı'!$N116="","",'İş Planı'!$N116)</f>
        <v/>
      </c>
      <c r="F116" s="75" t="n"/>
      <c r="G116" s="75" t="n"/>
      <c r="H116" s="75" t="n"/>
      <c r="I116" s="75" t="n"/>
      <c r="J116" s="75" t="n"/>
      <c r="K116" s="75" t="n"/>
      <c r="L116" s="75" t="n"/>
      <c r="M116" s="75" t="n"/>
      <c r="N116" s="75" t="n"/>
      <c r="O116" s="75" t="n"/>
      <c r="P116" s="75" t="n"/>
      <c r="Q116" s="75" t="n"/>
    </row>
    <row r="117" ht="18" customHeight="1">
      <c r="A117" s="49">
        <f>IF('İş Planı'!$C117="","",'İş Planı'!$C117)</f>
        <v/>
      </c>
      <c r="B117" s="49">
        <f>IF('İş Planı'!$B117="","",'İş Planı'!$B117)</f>
        <v/>
      </c>
      <c r="C117" s="63">
        <f>IF('İş Planı'!$H117="","",'İş Planı'!$H117)</f>
        <v/>
      </c>
      <c r="D117" s="63">
        <f>IF('İş Planı'!$L117="","",'İş Planı'!$L117)</f>
        <v/>
      </c>
      <c r="E117" s="62">
        <f>IF('İş Planı'!$N117="","",'İş Planı'!$N117)</f>
        <v/>
      </c>
      <c r="F117" s="75" t="n"/>
      <c r="G117" s="75" t="n"/>
      <c r="H117" s="75" t="n"/>
      <c r="I117" s="75" t="n"/>
      <c r="J117" s="75" t="n"/>
      <c r="K117" s="75" t="n"/>
      <c r="L117" s="75" t="n"/>
      <c r="M117" s="75" t="n"/>
      <c r="N117" s="75" t="n"/>
      <c r="O117" s="75" t="n"/>
      <c r="P117" s="75" t="n"/>
      <c r="Q117" s="75" t="n"/>
    </row>
    <row r="118" ht="18" customHeight="1">
      <c r="A118" s="49">
        <f>IF('İş Planı'!$C118="","",'İş Planı'!$C118)</f>
        <v/>
      </c>
      <c r="B118" s="49">
        <f>IF('İş Planı'!$B118="","",'İş Planı'!$B118)</f>
        <v/>
      </c>
      <c r="C118" s="63">
        <f>IF('İş Planı'!$H118="","",'İş Planı'!$H118)</f>
        <v/>
      </c>
      <c r="D118" s="63">
        <f>IF('İş Planı'!$L118="","",'İş Planı'!$L118)</f>
        <v/>
      </c>
      <c r="E118" s="62">
        <f>IF('İş Planı'!$N118="","",'İş Planı'!$N118)</f>
        <v/>
      </c>
      <c r="F118" s="75" t="n"/>
      <c r="G118" s="75" t="n"/>
      <c r="H118" s="75" t="n"/>
      <c r="I118" s="75" t="n"/>
      <c r="J118" s="75" t="n"/>
      <c r="K118" s="75" t="n"/>
      <c r="L118" s="75" t="n"/>
      <c r="M118" s="75" t="n"/>
      <c r="N118" s="75" t="n"/>
      <c r="O118" s="75" t="n"/>
      <c r="P118" s="75" t="n"/>
      <c r="Q118" s="75" t="n"/>
    </row>
    <row r="119" ht="18" customHeight="1">
      <c r="A119" s="49">
        <f>IF('İş Planı'!$C119="","",'İş Planı'!$C119)</f>
        <v/>
      </c>
      <c r="B119" s="49">
        <f>IF('İş Planı'!$B119="","",'İş Planı'!$B119)</f>
        <v/>
      </c>
      <c r="C119" s="63">
        <f>IF('İş Planı'!$H119="","",'İş Planı'!$H119)</f>
        <v/>
      </c>
      <c r="D119" s="63">
        <f>IF('İş Planı'!$L119="","",'İş Planı'!$L119)</f>
        <v/>
      </c>
      <c r="E119" s="62">
        <f>IF('İş Planı'!$N119="","",'İş Planı'!$N119)</f>
        <v/>
      </c>
      <c r="F119" s="75" t="n"/>
      <c r="G119" s="75" t="n"/>
      <c r="H119" s="75" t="n"/>
      <c r="I119" s="75" t="n"/>
      <c r="J119" s="75" t="n"/>
      <c r="K119" s="75" t="n"/>
      <c r="L119" s="75" t="n"/>
      <c r="M119" s="75" t="n"/>
      <c r="N119" s="75" t="n"/>
      <c r="O119" s="75" t="n"/>
      <c r="P119" s="75" t="n"/>
      <c r="Q119" s="75" t="n"/>
    </row>
    <row r="120" ht="18" customHeight="1">
      <c r="A120" s="49">
        <f>IF('İş Planı'!$C120="","",'İş Planı'!$C120)</f>
        <v/>
      </c>
      <c r="B120" s="49">
        <f>IF('İş Planı'!$B120="","",'İş Planı'!$B120)</f>
        <v/>
      </c>
      <c r="C120" s="63">
        <f>IF('İş Planı'!$H120="","",'İş Planı'!$H120)</f>
        <v/>
      </c>
      <c r="D120" s="63">
        <f>IF('İş Planı'!$L120="","",'İş Planı'!$L120)</f>
        <v/>
      </c>
      <c r="E120" s="62">
        <f>IF('İş Planı'!$N120="","",'İş Planı'!$N120)</f>
        <v/>
      </c>
      <c r="F120" s="75" t="n"/>
      <c r="G120" s="75" t="n"/>
      <c r="H120" s="75" t="n"/>
      <c r="I120" s="75" t="n"/>
      <c r="J120" s="75" t="n"/>
      <c r="K120" s="75" t="n"/>
      <c r="L120" s="75" t="n"/>
      <c r="M120" s="75" t="n"/>
      <c r="N120" s="75" t="n"/>
      <c r="O120" s="75" t="n"/>
      <c r="P120" s="75" t="n"/>
      <c r="Q120" s="75" t="n"/>
    </row>
    <row r="121" ht="18" customHeight="1">
      <c r="A121" s="49">
        <f>IF('İş Planı'!$C121="","",'İş Planı'!$C121)</f>
        <v/>
      </c>
      <c r="B121" s="49">
        <f>IF('İş Planı'!$B121="","",'İş Planı'!$B121)</f>
        <v/>
      </c>
      <c r="C121" s="63">
        <f>IF('İş Planı'!$H121="","",'İş Planı'!$H121)</f>
        <v/>
      </c>
      <c r="D121" s="63">
        <f>IF('İş Planı'!$L121="","",'İş Planı'!$L121)</f>
        <v/>
      </c>
      <c r="E121" s="62">
        <f>IF('İş Planı'!$N121="","",'İş Planı'!$N121)</f>
        <v/>
      </c>
      <c r="F121" s="75" t="n"/>
      <c r="G121" s="75" t="n"/>
      <c r="H121" s="75" t="n"/>
      <c r="I121" s="75" t="n"/>
      <c r="J121" s="75" t="n"/>
      <c r="K121" s="75" t="n"/>
      <c r="L121" s="75" t="n"/>
      <c r="M121" s="75" t="n"/>
      <c r="N121" s="75" t="n"/>
      <c r="O121" s="75" t="n"/>
      <c r="P121" s="75" t="n"/>
      <c r="Q121" s="75" t="n"/>
    </row>
    <row r="122" ht="18" customHeight="1">
      <c r="A122" s="49">
        <f>IF('İş Planı'!$C122="","",'İş Planı'!$C122)</f>
        <v/>
      </c>
      <c r="B122" s="49">
        <f>IF('İş Planı'!$B122="","",'İş Planı'!$B122)</f>
        <v/>
      </c>
      <c r="C122" s="63">
        <f>IF('İş Planı'!$H122="","",'İş Planı'!$H122)</f>
        <v/>
      </c>
      <c r="D122" s="63">
        <f>IF('İş Planı'!$L122="","",'İş Planı'!$L122)</f>
        <v/>
      </c>
      <c r="E122" s="62">
        <f>IF('İş Planı'!$N122="","",'İş Planı'!$N122)</f>
        <v/>
      </c>
      <c r="F122" s="75" t="n"/>
      <c r="G122" s="75" t="n"/>
      <c r="H122" s="75" t="n"/>
      <c r="I122" s="75" t="n"/>
      <c r="J122" s="75" t="n"/>
      <c r="K122" s="75" t="n"/>
      <c r="L122" s="75" t="n"/>
      <c r="M122" s="75" t="n"/>
      <c r="N122" s="75" t="n"/>
      <c r="O122" s="75" t="n"/>
      <c r="P122" s="75" t="n"/>
      <c r="Q122" s="75" t="n"/>
    </row>
    <row r="123" ht="18" customHeight="1">
      <c r="A123" s="49">
        <f>IF('İş Planı'!$C123="","",'İş Planı'!$C123)</f>
        <v/>
      </c>
      <c r="B123" s="49">
        <f>IF('İş Planı'!$B123="","",'İş Planı'!$B123)</f>
        <v/>
      </c>
      <c r="C123" s="63">
        <f>IF('İş Planı'!$H123="","",'İş Planı'!$H123)</f>
        <v/>
      </c>
      <c r="D123" s="63">
        <f>IF('İş Planı'!$L123="","",'İş Planı'!$L123)</f>
        <v/>
      </c>
      <c r="E123" s="62">
        <f>IF('İş Planı'!$N123="","",'İş Planı'!$N123)</f>
        <v/>
      </c>
      <c r="F123" s="75" t="n"/>
      <c r="G123" s="75" t="n"/>
      <c r="H123" s="75" t="n"/>
      <c r="I123" s="75" t="n"/>
      <c r="J123" s="75" t="n"/>
      <c r="K123" s="75" t="n"/>
      <c r="L123" s="75" t="n"/>
      <c r="M123" s="75" t="n"/>
      <c r="N123" s="75" t="n"/>
      <c r="O123" s="75" t="n"/>
      <c r="P123" s="75" t="n"/>
      <c r="Q123" s="75" t="n"/>
    </row>
    <row r="124" ht="18" customHeight="1">
      <c r="A124" s="49">
        <f>IF('İş Planı'!$C124="","",'İş Planı'!$C124)</f>
        <v/>
      </c>
      <c r="B124" s="49">
        <f>IF('İş Planı'!$B124="","",'İş Planı'!$B124)</f>
        <v/>
      </c>
      <c r="C124" s="63">
        <f>IF('İş Planı'!$H124="","",'İş Planı'!$H124)</f>
        <v/>
      </c>
      <c r="D124" s="63">
        <f>IF('İş Planı'!$L124="","",'İş Planı'!$L124)</f>
        <v/>
      </c>
      <c r="E124" s="62">
        <f>IF('İş Planı'!$N124="","",'İş Planı'!$N124)</f>
        <v/>
      </c>
      <c r="F124" s="75" t="n"/>
      <c r="G124" s="75" t="n"/>
      <c r="H124" s="75" t="n"/>
      <c r="I124" s="75" t="n"/>
      <c r="J124" s="75" t="n"/>
      <c r="K124" s="75" t="n"/>
      <c r="L124" s="75" t="n"/>
      <c r="M124" s="75" t="n"/>
      <c r="N124" s="75" t="n"/>
      <c r="O124" s="75" t="n"/>
      <c r="P124" s="75" t="n"/>
      <c r="Q124" s="75" t="n"/>
    </row>
    <row r="125" ht="18" customHeight="1">
      <c r="A125" s="49">
        <f>IF('İş Planı'!$C125="","",'İş Planı'!$C125)</f>
        <v/>
      </c>
      <c r="B125" s="49">
        <f>IF('İş Planı'!$B125="","",'İş Planı'!$B125)</f>
        <v/>
      </c>
      <c r="C125" s="63">
        <f>IF('İş Planı'!$H125="","",'İş Planı'!$H125)</f>
        <v/>
      </c>
      <c r="D125" s="63">
        <f>IF('İş Planı'!$L125="","",'İş Planı'!$L125)</f>
        <v/>
      </c>
      <c r="E125" s="62">
        <f>IF('İş Planı'!$N125="","",'İş Planı'!$N125)</f>
        <v/>
      </c>
      <c r="F125" s="75" t="n"/>
      <c r="G125" s="75" t="n"/>
      <c r="H125" s="75" t="n"/>
      <c r="I125" s="75" t="n"/>
      <c r="J125" s="75" t="n"/>
      <c r="K125" s="75" t="n"/>
      <c r="L125" s="75" t="n"/>
      <c r="M125" s="75" t="n"/>
      <c r="N125" s="75" t="n"/>
      <c r="O125" s="75" t="n"/>
      <c r="P125" s="75" t="n"/>
      <c r="Q125" s="75" t="n"/>
    </row>
    <row r="126" ht="18" customHeight="1">
      <c r="A126" s="49">
        <f>IF('İş Planı'!$C126="","",'İş Planı'!$C126)</f>
        <v/>
      </c>
      <c r="B126" s="49">
        <f>IF('İş Planı'!$B126="","",'İş Planı'!$B126)</f>
        <v/>
      </c>
      <c r="C126" s="63">
        <f>IF('İş Planı'!$H126="","",'İş Planı'!$H126)</f>
        <v/>
      </c>
      <c r="D126" s="63">
        <f>IF('İş Planı'!$L126="","",'İş Planı'!$L126)</f>
        <v/>
      </c>
      <c r="E126" s="62">
        <f>IF('İş Planı'!$N126="","",'İş Planı'!$N126)</f>
        <v/>
      </c>
      <c r="F126" s="75" t="n"/>
      <c r="G126" s="75" t="n"/>
      <c r="H126" s="75" t="n"/>
      <c r="I126" s="75" t="n"/>
      <c r="J126" s="75" t="n"/>
      <c r="K126" s="75" t="n"/>
      <c r="L126" s="75" t="n"/>
      <c r="M126" s="75" t="n"/>
      <c r="N126" s="75" t="n"/>
      <c r="O126" s="75" t="n"/>
      <c r="P126" s="75" t="n"/>
      <c r="Q126" s="75" t="n"/>
    </row>
    <row r="127" ht="18" customHeight="1">
      <c r="A127" s="49">
        <f>IF('İş Planı'!$C127="","",'İş Planı'!$C127)</f>
        <v/>
      </c>
      <c r="B127" s="49">
        <f>IF('İş Planı'!$B127="","",'İş Planı'!$B127)</f>
        <v/>
      </c>
      <c r="C127" s="63">
        <f>IF('İş Planı'!$H127="","",'İş Planı'!$H127)</f>
        <v/>
      </c>
      <c r="D127" s="63">
        <f>IF('İş Planı'!$L127="","",'İş Planı'!$L127)</f>
        <v/>
      </c>
      <c r="E127" s="62">
        <f>IF('İş Planı'!$N127="","",'İş Planı'!$N127)</f>
        <v/>
      </c>
      <c r="F127" s="75" t="n"/>
      <c r="G127" s="75" t="n"/>
      <c r="H127" s="75" t="n"/>
      <c r="I127" s="75" t="n"/>
      <c r="J127" s="75" t="n"/>
      <c r="K127" s="75" t="n"/>
      <c r="L127" s="75" t="n"/>
      <c r="M127" s="75" t="n"/>
      <c r="N127" s="75" t="n"/>
      <c r="O127" s="75" t="n"/>
      <c r="P127" s="75" t="n"/>
      <c r="Q127" s="75" t="n"/>
    </row>
    <row r="128" ht="18" customHeight="1">
      <c r="A128" s="49">
        <f>IF('İş Planı'!$C128="","",'İş Planı'!$C128)</f>
        <v/>
      </c>
      <c r="B128" s="49">
        <f>IF('İş Planı'!$B128="","",'İş Planı'!$B128)</f>
        <v/>
      </c>
      <c r="C128" s="63">
        <f>IF('İş Planı'!$H128="","",'İş Planı'!$H128)</f>
        <v/>
      </c>
      <c r="D128" s="63">
        <f>IF('İş Planı'!$L128="","",'İş Planı'!$L128)</f>
        <v/>
      </c>
      <c r="E128" s="62">
        <f>IF('İş Planı'!$N128="","",'İş Planı'!$N128)</f>
        <v/>
      </c>
      <c r="F128" s="75" t="n"/>
      <c r="G128" s="75" t="n"/>
      <c r="H128" s="75" t="n"/>
      <c r="I128" s="75" t="n"/>
      <c r="J128" s="75" t="n"/>
      <c r="K128" s="75" t="n"/>
      <c r="L128" s="75" t="n"/>
      <c r="M128" s="75" t="n"/>
      <c r="N128" s="75" t="n"/>
      <c r="O128" s="75" t="n"/>
      <c r="P128" s="75" t="n"/>
      <c r="Q128" s="75" t="n"/>
    </row>
    <row r="129" ht="18" customHeight="1">
      <c r="A129" s="49">
        <f>IF('İş Planı'!$C129="","",'İş Planı'!$C129)</f>
        <v/>
      </c>
      <c r="B129" s="49">
        <f>IF('İş Planı'!$B129="","",'İş Planı'!$B129)</f>
        <v/>
      </c>
      <c r="C129" s="63">
        <f>IF('İş Planı'!$H129="","",'İş Planı'!$H129)</f>
        <v/>
      </c>
      <c r="D129" s="63">
        <f>IF('İş Planı'!$L129="","",'İş Planı'!$L129)</f>
        <v/>
      </c>
      <c r="E129" s="62">
        <f>IF('İş Planı'!$N129="","",'İş Planı'!$N129)</f>
        <v/>
      </c>
      <c r="F129" s="75" t="n"/>
      <c r="G129" s="75" t="n"/>
      <c r="H129" s="75" t="n"/>
      <c r="I129" s="75" t="n"/>
      <c r="J129" s="75" t="n"/>
      <c r="K129" s="75" t="n"/>
      <c r="L129" s="75" t="n"/>
      <c r="M129" s="75" t="n"/>
      <c r="N129" s="75" t="n"/>
      <c r="O129" s="75" t="n"/>
      <c r="P129" s="75" t="n"/>
      <c r="Q129" s="75" t="n"/>
    </row>
    <row r="130" ht="18" customHeight="1">
      <c r="A130" s="49">
        <f>IF('İş Planı'!$C130="","",'İş Planı'!$C130)</f>
        <v/>
      </c>
      <c r="B130" s="49">
        <f>IF('İş Planı'!$B130="","",'İş Planı'!$B130)</f>
        <v/>
      </c>
      <c r="C130" s="63">
        <f>IF('İş Planı'!$H130="","",'İş Planı'!$H130)</f>
        <v/>
      </c>
      <c r="D130" s="63">
        <f>IF('İş Planı'!$L130="","",'İş Planı'!$L130)</f>
        <v/>
      </c>
      <c r="E130" s="62">
        <f>IF('İş Planı'!$N130="","",'İş Planı'!$N130)</f>
        <v/>
      </c>
      <c r="F130" s="75" t="n"/>
      <c r="G130" s="75" t="n"/>
      <c r="H130" s="75" t="n"/>
      <c r="I130" s="75" t="n"/>
      <c r="J130" s="75" t="n"/>
      <c r="K130" s="75" t="n"/>
      <c r="L130" s="75" t="n"/>
      <c r="M130" s="75" t="n"/>
      <c r="N130" s="75" t="n"/>
      <c r="O130" s="75" t="n"/>
      <c r="P130" s="75" t="n"/>
      <c r="Q130" s="75" t="n"/>
    </row>
    <row r="131" ht="18" customHeight="1">
      <c r="A131" s="49">
        <f>IF('İş Planı'!$C131="","",'İş Planı'!$C131)</f>
        <v/>
      </c>
      <c r="B131" s="49">
        <f>IF('İş Planı'!$B131="","",'İş Planı'!$B131)</f>
        <v/>
      </c>
      <c r="C131" s="63">
        <f>IF('İş Planı'!$H131="","",'İş Planı'!$H131)</f>
        <v/>
      </c>
      <c r="D131" s="63">
        <f>IF('İş Planı'!$L131="","",'İş Planı'!$L131)</f>
        <v/>
      </c>
      <c r="E131" s="62">
        <f>IF('İş Planı'!$N131="","",'İş Planı'!$N131)</f>
        <v/>
      </c>
      <c r="F131" s="75" t="n"/>
      <c r="G131" s="75" t="n"/>
      <c r="H131" s="75" t="n"/>
      <c r="I131" s="75" t="n"/>
      <c r="J131" s="75" t="n"/>
      <c r="K131" s="75" t="n"/>
      <c r="L131" s="75" t="n"/>
      <c r="M131" s="75" t="n"/>
      <c r="N131" s="75" t="n"/>
      <c r="O131" s="75" t="n"/>
      <c r="P131" s="75" t="n"/>
      <c r="Q131" s="75" t="n"/>
    </row>
    <row r="132" ht="18" customHeight="1">
      <c r="A132" s="49">
        <f>IF('İş Planı'!$C132="","",'İş Planı'!$C132)</f>
        <v/>
      </c>
      <c r="B132" s="49">
        <f>IF('İş Planı'!$B132="","",'İş Planı'!$B132)</f>
        <v/>
      </c>
      <c r="C132" s="63">
        <f>IF('İş Planı'!$H132="","",'İş Planı'!$H132)</f>
        <v/>
      </c>
      <c r="D132" s="63">
        <f>IF('İş Planı'!$L132="","",'İş Planı'!$L132)</f>
        <v/>
      </c>
      <c r="E132" s="62">
        <f>IF('İş Planı'!$N132="","",'İş Planı'!$N132)</f>
        <v/>
      </c>
      <c r="F132" s="75" t="n"/>
      <c r="G132" s="75" t="n"/>
      <c r="H132" s="75" t="n"/>
      <c r="I132" s="75" t="n"/>
      <c r="J132" s="75" t="n"/>
      <c r="K132" s="75" t="n"/>
      <c r="L132" s="75" t="n"/>
      <c r="M132" s="75" t="n"/>
      <c r="N132" s="75" t="n"/>
      <c r="O132" s="75" t="n"/>
      <c r="P132" s="75" t="n"/>
      <c r="Q132" s="75" t="n"/>
    </row>
    <row r="133" ht="18" customHeight="1">
      <c r="A133" s="49">
        <f>IF('İş Planı'!$C133="","",'İş Planı'!$C133)</f>
        <v/>
      </c>
      <c r="B133" s="49">
        <f>IF('İş Planı'!$B133="","",'İş Planı'!$B133)</f>
        <v/>
      </c>
      <c r="C133" s="63">
        <f>IF('İş Planı'!$H133="","",'İş Planı'!$H133)</f>
        <v/>
      </c>
      <c r="D133" s="63">
        <f>IF('İş Planı'!$L133="","",'İş Planı'!$L133)</f>
        <v/>
      </c>
      <c r="E133" s="62">
        <f>IF('İş Planı'!$N133="","",'İş Planı'!$N133)</f>
        <v/>
      </c>
      <c r="F133" s="75" t="n"/>
      <c r="G133" s="75" t="n"/>
      <c r="H133" s="75" t="n"/>
      <c r="I133" s="75" t="n"/>
      <c r="J133" s="75" t="n"/>
      <c r="K133" s="75" t="n"/>
      <c r="L133" s="75" t="n"/>
      <c r="M133" s="75" t="n"/>
      <c r="N133" s="75" t="n"/>
      <c r="O133" s="75" t="n"/>
      <c r="P133" s="75" t="n"/>
      <c r="Q133" s="75" t="n"/>
    </row>
    <row r="134" ht="18" customHeight="1">
      <c r="A134" s="49">
        <f>IF('İş Planı'!$C134="","",'İş Planı'!$C134)</f>
        <v/>
      </c>
      <c r="B134" s="49">
        <f>IF('İş Planı'!$B134="","",'İş Planı'!$B134)</f>
        <v/>
      </c>
      <c r="C134" s="63">
        <f>IF('İş Planı'!$H134="","",'İş Planı'!$H134)</f>
        <v/>
      </c>
      <c r="D134" s="63">
        <f>IF('İş Planı'!$L134="","",'İş Planı'!$L134)</f>
        <v/>
      </c>
      <c r="E134" s="62">
        <f>IF('İş Planı'!$N134="","",'İş Planı'!$N134)</f>
        <v/>
      </c>
      <c r="F134" s="75" t="n"/>
      <c r="G134" s="75" t="n"/>
      <c r="H134" s="75" t="n"/>
      <c r="I134" s="75" t="n"/>
      <c r="J134" s="75" t="n"/>
      <c r="K134" s="75" t="n"/>
      <c r="L134" s="75" t="n"/>
      <c r="M134" s="75" t="n"/>
      <c r="N134" s="75" t="n"/>
      <c r="O134" s="75" t="n"/>
      <c r="P134" s="75" t="n"/>
      <c r="Q134" s="75" t="n"/>
    </row>
    <row r="135" ht="18" customHeight="1">
      <c r="A135" s="49">
        <f>IF('İş Planı'!$C135="","",'İş Planı'!$C135)</f>
        <v/>
      </c>
      <c r="B135" s="49">
        <f>IF('İş Planı'!$B135="","",'İş Planı'!$B135)</f>
        <v/>
      </c>
      <c r="C135" s="63">
        <f>IF('İş Planı'!$H135="","",'İş Planı'!$H135)</f>
        <v/>
      </c>
      <c r="D135" s="63">
        <f>IF('İş Planı'!$L135="","",'İş Planı'!$L135)</f>
        <v/>
      </c>
      <c r="E135" s="62">
        <f>IF('İş Planı'!$N135="","",'İş Planı'!$N135)</f>
        <v/>
      </c>
      <c r="F135" s="75" t="n"/>
      <c r="G135" s="75" t="n"/>
      <c r="H135" s="75" t="n"/>
      <c r="I135" s="75" t="n"/>
      <c r="J135" s="75" t="n"/>
      <c r="K135" s="75" t="n"/>
      <c r="L135" s="75" t="n"/>
      <c r="M135" s="75" t="n"/>
      <c r="N135" s="75" t="n"/>
      <c r="O135" s="75" t="n"/>
      <c r="P135" s="75" t="n"/>
      <c r="Q135" s="75" t="n"/>
    </row>
    <row r="136" ht="18" customHeight="1">
      <c r="A136" s="49">
        <f>IF('İş Planı'!$C136="","",'İş Planı'!$C136)</f>
        <v/>
      </c>
      <c r="B136" s="49">
        <f>IF('İş Planı'!$B136="","",'İş Planı'!$B136)</f>
        <v/>
      </c>
      <c r="C136" s="63">
        <f>IF('İş Planı'!$H136="","",'İş Planı'!$H136)</f>
        <v/>
      </c>
      <c r="D136" s="63">
        <f>IF('İş Planı'!$L136="","",'İş Planı'!$L136)</f>
        <v/>
      </c>
      <c r="E136" s="62">
        <f>IF('İş Planı'!$N136="","",'İş Planı'!$N136)</f>
        <v/>
      </c>
      <c r="F136" s="75" t="n"/>
      <c r="G136" s="75" t="n"/>
      <c r="H136" s="75" t="n"/>
      <c r="I136" s="75" t="n"/>
      <c r="J136" s="75" t="n"/>
      <c r="K136" s="75" t="n"/>
      <c r="L136" s="75" t="n"/>
      <c r="M136" s="75" t="n"/>
      <c r="N136" s="75" t="n"/>
      <c r="O136" s="75" t="n"/>
      <c r="P136" s="75" t="n"/>
      <c r="Q136" s="75" t="n"/>
    </row>
    <row r="137" ht="18" customHeight="1">
      <c r="A137" s="49">
        <f>IF('İş Planı'!$C137="","",'İş Planı'!$C137)</f>
        <v/>
      </c>
      <c r="B137" s="49">
        <f>IF('İş Planı'!$B137="","",'İş Planı'!$B137)</f>
        <v/>
      </c>
      <c r="C137" s="63">
        <f>IF('İş Planı'!$H137="","",'İş Planı'!$H137)</f>
        <v/>
      </c>
      <c r="D137" s="63">
        <f>IF('İş Planı'!$L137="","",'İş Planı'!$L137)</f>
        <v/>
      </c>
      <c r="E137" s="62">
        <f>IF('İş Planı'!$N137="","",'İş Planı'!$N137)</f>
        <v/>
      </c>
      <c r="F137" s="75" t="n"/>
      <c r="G137" s="75" t="n"/>
      <c r="H137" s="75" t="n"/>
      <c r="I137" s="75" t="n"/>
      <c r="J137" s="75" t="n"/>
      <c r="K137" s="75" t="n"/>
      <c r="L137" s="75" t="n"/>
      <c r="M137" s="75" t="n"/>
      <c r="N137" s="75" t="n"/>
      <c r="O137" s="75" t="n"/>
      <c r="P137" s="75" t="n"/>
      <c r="Q137" s="75" t="n"/>
    </row>
    <row r="138" ht="18" customHeight="1">
      <c r="A138" s="49">
        <f>IF('İş Planı'!$C138="","",'İş Planı'!$C138)</f>
        <v/>
      </c>
      <c r="B138" s="49">
        <f>IF('İş Planı'!$B138="","",'İş Planı'!$B138)</f>
        <v/>
      </c>
      <c r="C138" s="63">
        <f>IF('İş Planı'!$H138="","",'İş Planı'!$H138)</f>
        <v/>
      </c>
      <c r="D138" s="63">
        <f>IF('İş Planı'!$L138="","",'İş Planı'!$L138)</f>
        <v/>
      </c>
      <c r="E138" s="62">
        <f>IF('İş Planı'!$N138="","",'İş Planı'!$N138)</f>
        <v/>
      </c>
      <c r="F138" s="75" t="n"/>
      <c r="G138" s="75" t="n"/>
      <c r="H138" s="75" t="n"/>
      <c r="I138" s="75" t="n"/>
      <c r="J138" s="75" t="n"/>
      <c r="K138" s="75" t="n"/>
      <c r="L138" s="75" t="n"/>
      <c r="M138" s="75" t="n"/>
      <c r="N138" s="75" t="n"/>
      <c r="O138" s="75" t="n"/>
      <c r="P138" s="75" t="n"/>
      <c r="Q138" s="75" t="n"/>
    </row>
    <row r="139" ht="18" customHeight="1">
      <c r="A139" s="49">
        <f>IF('İş Planı'!$C139="","",'İş Planı'!$C139)</f>
        <v/>
      </c>
      <c r="B139" s="49">
        <f>IF('İş Planı'!$B139="","",'İş Planı'!$B139)</f>
        <v/>
      </c>
      <c r="C139" s="63">
        <f>IF('İş Planı'!$H139="","",'İş Planı'!$H139)</f>
        <v/>
      </c>
      <c r="D139" s="63">
        <f>IF('İş Planı'!$L139="","",'İş Planı'!$L139)</f>
        <v/>
      </c>
      <c r="E139" s="62">
        <f>IF('İş Planı'!$N139="","",'İş Planı'!$N139)</f>
        <v/>
      </c>
      <c r="F139" s="75" t="n"/>
      <c r="G139" s="75" t="n"/>
      <c r="H139" s="75" t="n"/>
      <c r="I139" s="75" t="n"/>
      <c r="J139" s="75" t="n"/>
      <c r="K139" s="75" t="n"/>
      <c r="L139" s="75" t="n"/>
      <c r="M139" s="75" t="n"/>
      <c r="N139" s="75" t="n"/>
      <c r="O139" s="75" t="n"/>
      <c r="P139" s="75" t="n"/>
      <c r="Q139" s="75" t="n"/>
    </row>
    <row r="140" ht="18" customHeight="1">
      <c r="A140" s="49">
        <f>IF('İş Planı'!$C140="","",'İş Planı'!$C140)</f>
        <v/>
      </c>
      <c r="B140" s="49">
        <f>IF('İş Planı'!$B140="","",'İş Planı'!$B140)</f>
        <v/>
      </c>
      <c r="C140" s="63">
        <f>IF('İş Planı'!$H140="","",'İş Planı'!$H140)</f>
        <v/>
      </c>
      <c r="D140" s="63">
        <f>IF('İş Planı'!$L140="","",'İş Planı'!$L140)</f>
        <v/>
      </c>
      <c r="E140" s="62">
        <f>IF('İş Planı'!$N140="","",'İş Planı'!$N140)</f>
        <v/>
      </c>
      <c r="F140" s="75" t="n"/>
      <c r="G140" s="75" t="n"/>
      <c r="H140" s="75" t="n"/>
      <c r="I140" s="75" t="n"/>
      <c r="J140" s="75" t="n"/>
      <c r="K140" s="75" t="n"/>
      <c r="L140" s="75" t="n"/>
      <c r="M140" s="75" t="n"/>
      <c r="N140" s="75" t="n"/>
      <c r="O140" s="75" t="n"/>
      <c r="P140" s="75" t="n"/>
      <c r="Q140" s="75" t="n"/>
    </row>
    <row r="141" ht="18" customHeight="1">
      <c r="A141" s="49">
        <f>IF('İş Planı'!$C141="","",'İş Planı'!$C141)</f>
        <v/>
      </c>
      <c r="B141" s="49">
        <f>IF('İş Planı'!$B141="","",'İş Planı'!$B141)</f>
        <v/>
      </c>
      <c r="C141" s="63">
        <f>IF('İş Planı'!$H141="","",'İş Planı'!$H141)</f>
        <v/>
      </c>
      <c r="D141" s="63">
        <f>IF('İş Planı'!$L141="","",'İş Planı'!$L141)</f>
        <v/>
      </c>
      <c r="E141" s="62">
        <f>IF('İş Planı'!$N141="","",'İş Planı'!$N141)</f>
        <v/>
      </c>
      <c r="F141" s="75" t="n"/>
      <c r="G141" s="75" t="n"/>
      <c r="H141" s="75" t="n"/>
      <c r="I141" s="75" t="n"/>
      <c r="J141" s="75" t="n"/>
      <c r="K141" s="75" t="n"/>
      <c r="L141" s="75" t="n"/>
      <c r="M141" s="75" t="n"/>
      <c r="N141" s="75" t="n"/>
      <c r="O141" s="75" t="n"/>
      <c r="P141" s="75" t="n"/>
      <c r="Q141" s="75" t="n"/>
    </row>
    <row r="142" ht="18" customHeight="1">
      <c r="A142" s="49">
        <f>IF('İş Planı'!$C142="","",'İş Planı'!$C142)</f>
        <v/>
      </c>
      <c r="B142" s="49">
        <f>IF('İş Planı'!$B142="","",'İş Planı'!$B142)</f>
        <v/>
      </c>
      <c r="C142" s="63">
        <f>IF('İş Planı'!$H142="","",'İş Planı'!$H142)</f>
        <v/>
      </c>
      <c r="D142" s="63">
        <f>IF('İş Planı'!$L142="","",'İş Planı'!$L142)</f>
        <v/>
      </c>
      <c r="E142" s="62">
        <f>IF('İş Planı'!$N142="","",'İş Planı'!$N142)</f>
        <v/>
      </c>
      <c r="F142" s="75" t="n"/>
      <c r="G142" s="75" t="n"/>
      <c r="H142" s="75" t="n"/>
      <c r="I142" s="75" t="n"/>
      <c r="J142" s="75" t="n"/>
      <c r="K142" s="75" t="n"/>
      <c r="L142" s="75" t="n"/>
      <c r="M142" s="75" t="n"/>
      <c r="N142" s="75" t="n"/>
      <c r="O142" s="75" t="n"/>
      <c r="P142" s="75" t="n"/>
      <c r="Q142" s="75" t="n"/>
    </row>
    <row r="143" ht="18" customHeight="1">
      <c r="A143" s="49">
        <f>IF('İş Planı'!$C143="","",'İş Planı'!$C143)</f>
        <v/>
      </c>
      <c r="B143" s="49">
        <f>IF('İş Planı'!$B143="","",'İş Planı'!$B143)</f>
        <v/>
      </c>
      <c r="C143" s="63">
        <f>IF('İş Planı'!$H143="","",'İş Planı'!$H143)</f>
        <v/>
      </c>
      <c r="D143" s="63">
        <f>IF('İş Planı'!$L143="","",'İş Planı'!$L143)</f>
        <v/>
      </c>
      <c r="E143" s="62">
        <f>IF('İş Planı'!$N143="","",'İş Planı'!$N143)</f>
        <v/>
      </c>
      <c r="F143" s="75" t="n"/>
      <c r="G143" s="75" t="n"/>
      <c r="H143" s="75" t="n"/>
      <c r="I143" s="75" t="n"/>
      <c r="J143" s="75" t="n"/>
      <c r="K143" s="75" t="n"/>
      <c r="L143" s="75" t="n"/>
      <c r="M143" s="75" t="n"/>
      <c r="N143" s="75" t="n"/>
      <c r="O143" s="75" t="n"/>
      <c r="P143" s="75" t="n"/>
      <c r="Q143" s="75" t="n"/>
    </row>
    <row r="144" ht="18" customHeight="1">
      <c r="A144" s="49">
        <f>IF('İş Planı'!$C144="","",'İş Planı'!$C144)</f>
        <v/>
      </c>
      <c r="B144" s="49">
        <f>IF('İş Planı'!$B144="","",'İş Planı'!$B144)</f>
        <v/>
      </c>
      <c r="C144" s="63">
        <f>IF('İş Planı'!$H144="","",'İş Planı'!$H144)</f>
        <v/>
      </c>
      <c r="D144" s="63">
        <f>IF('İş Planı'!$L144="","",'İş Planı'!$L144)</f>
        <v/>
      </c>
      <c r="E144" s="62">
        <f>IF('İş Planı'!$N144="","",'İş Planı'!$N144)</f>
        <v/>
      </c>
      <c r="F144" s="75" t="n"/>
      <c r="G144" s="75" t="n"/>
      <c r="H144" s="75" t="n"/>
      <c r="I144" s="75" t="n"/>
      <c r="J144" s="75" t="n"/>
      <c r="K144" s="75" t="n"/>
      <c r="L144" s="75" t="n"/>
      <c r="M144" s="75" t="n"/>
      <c r="N144" s="75" t="n"/>
      <c r="O144" s="75" t="n"/>
      <c r="P144" s="75" t="n"/>
      <c r="Q144" s="75" t="n"/>
    </row>
    <row r="145" ht="18" customHeight="1">
      <c r="A145" s="49">
        <f>IF('İş Planı'!$C145="","",'İş Planı'!$C145)</f>
        <v/>
      </c>
      <c r="B145" s="49">
        <f>IF('İş Planı'!$B145="","",'İş Planı'!$B145)</f>
        <v/>
      </c>
      <c r="C145" s="63">
        <f>IF('İş Planı'!$H145="","",'İş Planı'!$H145)</f>
        <v/>
      </c>
      <c r="D145" s="63">
        <f>IF('İş Planı'!$L145="","",'İş Planı'!$L145)</f>
        <v/>
      </c>
      <c r="E145" s="62">
        <f>IF('İş Planı'!$N145="","",'İş Planı'!$N145)</f>
        <v/>
      </c>
      <c r="F145" s="75" t="n"/>
      <c r="G145" s="75" t="n"/>
      <c r="H145" s="75" t="n"/>
      <c r="I145" s="75" t="n"/>
      <c r="J145" s="75" t="n"/>
      <c r="K145" s="75" t="n"/>
      <c r="L145" s="75" t="n"/>
      <c r="M145" s="75" t="n"/>
      <c r="N145" s="75" t="n"/>
      <c r="O145" s="75" t="n"/>
      <c r="P145" s="75" t="n"/>
      <c r="Q145" s="75" t="n"/>
    </row>
    <row r="146" ht="18" customHeight="1">
      <c r="A146" s="49">
        <f>IF('İş Planı'!$C146="","",'İş Planı'!$C146)</f>
        <v/>
      </c>
      <c r="B146" s="49">
        <f>IF('İş Planı'!$B146="","",'İş Planı'!$B146)</f>
        <v/>
      </c>
      <c r="C146" s="63">
        <f>IF('İş Planı'!$H146="","",'İş Planı'!$H146)</f>
        <v/>
      </c>
      <c r="D146" s="63">
        <f>IF('İş Planı'!$L146="","",'İş Planı'!$L146)</f>
        <v/>
      </c>
      <c r="E146" s="62">
        <f>IF('İş Planı'!$N146="","",'İş Planı'!$N146)</f>
        <v/>
      </c>
      <c r="F146" s="75" t="n"/>
      <c r="G146" s="75" t="n"/>
      <c r="H146" s="75" t="n"/>
      <c r="I146" s="75" t="n"/>
      <c r="J146" s="75" t="n"/>
      <c r="K146" s="75" t="n"/>
      <c r="L146" s="75" t="n"/>
      <c r="M146" s="75" t="n"/>
      <c r="N146" s="75" t="n"/>
      <c r="O146" s="75" t="n"/>
      <c r="P146" s="75" t="n"/>
      <c r="Q146" s="75" t="n"/>
    </row>
    <row r="147" ht="18" customHeight="1">
      <c r="A147" s="49">
        <f>IF('İş Planı'!$C147="","",'İş Planı'!$C147)</f>
        <v/>
      </c>
      <c r="B147" s="49">
        <f>IF('İş Planı'!$B147="","",'İş Planı'!$B147)</f>
        <v/>
      </c>
      <c r="C147" s="63">
        <f>IF('İş Planı'!$H147="","",'İş Planı'!$H147)</f>
        <v/>
      </c>
      <c r="D147" s="63">
        <f>IF('İş Planı'!$L147="","",'İş Planı'!$L147)</f>
        <v/>
      </c>
      <c r="E147" s="62">
        <f>IF('İş Planı'!$N147="","",'İş Planı'!$N147)</f>
        <v/>
      </c>
      <c r="F147" s="75" t="n"/>
      <c r="G147" s="75" t="n"/>
      <c r="H147" s="75" t="n"/>
      <c r="I147" s="75" t="n"/>
      <c r="J147" s="75" t="n"/>
      <c r="K147" s="75" t="n"/>
      <c r="L147" s="75" t="n"/>
      <c r="M147" s="75" t="n"/>
      <c r="N147" s="75" t="n"/>
      <c r="O147" s="75" t="n"/>
      <c r="P147" s="75" t="n"/>
      <c r="Q147" s="75" t="n"/>
    </row>
    <row r="148" ht="18" customHeight="1">
      <c r="A148" s="49">
        <f>IF('İş Planı'!$C148="","",'İş Planı'!$C148)</f>
        <v/>
      </c>
      <c r="B148" s="49">
        <f>IF('İş Planı'!$B148="","",'İş Planı'!$B148)</f>
        <v/>
      </c>
      <c r="C148" s="63">
        <f>IF('İş Planı'!$H148="","",'İş Planı'!$H148)</f>
        <v/>
      </c>
      <c r="D148" s="63">
        <f>IF('İş Planı'!$L148="","",'İş Planı'!$L148)</f>
        <v/>
      </c>
      <c r="E148" s="62">
        <f>IF('İş Planı'!$N148="","",'İş Planı'!$N148)</f>
        <v/>
      </c>
      <c r="F148" s="75" t="n"/>
      <c r="G148" s="75" t="n"/>
      <c r="H148" s="75" t="n"/>
      <c r="I148" s="75" t="n"/>
      <c r="J148" s="75" t="n"/>
      <c r="K148" s="75" t="n"/>
      <c r="L148" s="75" t="n"/>
      <c r="M148" s="75" t="n"/>
      <c r="N148" s="75" t="n"/>
      <c r="O148" s="75" t="n"/>
      <c r="P148" s="75" t="n"/>
      <c r="Q148" s="75" t="n"/>
    </row>
    <row r="149" ht="18" customHeight="1">
      <c r="A149" s="49">
        <f>IF('İş Planı'!$C149="","",'İş Planı'!$C149)</f>
        <v/>
      </c>
      <c r="B149" s="49">
        <f>IF('İş Planı'!$B149="","",'İş Planı'!$B149)</f>
        <v/>
      </c>
      <c r="C149" s="63">
        <f>IF('İş Planı'!$H149="","",'İş Planı'!$H149)</f>
        <v/>
      </c>
      <c r="D149" s="63">
        <f>IF('İş Planı'!$L149="","",'İş Planı'!$L149)</f>
        <v/>
      </c>
      <c r="E149" s="62">
        <f>IF('İş Planı'!$N149="","",'İş Planı'!$N149)</f>
        <v/>
      </c>
      <c r="F149" s="75" t="n"/>
      <c r="G149" s="75" t="n"/>
      <c r="H149" s="75" t="n"/>
      <c r="I149" s="75" t="n"/>
      <c r="J149" s="75" t="n"/>
      <c r="K149" s="75" t="n"/>
      <c r="L149" s="75" t="n"/>
      <c r="M149" s="75" t="n"/>
      <c r="N149" s="75" t="n"/>
      <c r="O149" s="75" t="n"/>
      <c r="P149" s="75" t="n"/>
      <c r="Q149" s="75" t="n"/>
    </row>
    <row r="150" ht="18" customHeight="1">
      <c r="A150" s="49">
        <f>IF('İş Planı'!$C150="","",'İş Planı'!$C150)</f>
        <v/>
      </c>
      <c r="B150" s="49">
        <f>IF('İş Planı'!$B150="","",'İş Planı'!$B150)</f>
        <v/>
      </c>
      <c r="C150" s="63">
        <f>IF('İş Planı'!$H150="","",'İş Planı'!$H150)</f>
        <v/>
      </c>
      <c r="D150" s="63">
        <f>IF('İş Planı'!$L150="","",'İş Planı'!$L150)</f>
        <v/>
      </c>
      <c r="E150" s="62">
        <f>IF('İş Planı'!$N150="","",'İş Planı'!$N150)</f>
        <v/>
      </c>
      <c r="F150" s="75" t="n"/>
      <c r="G150" s="75" t="n"/>
      <c r="H150" s="75" t="n"/>
      <c r="I150" s="75" t="n"/>
      <c r="J150" s="75" t="n"/>
      <c r="K150" s="75" t="n"/>
      <c r="L150" s="75" t="n"/>
      <c r="M150" s="75" t="n"/>
      <c r="N150" s="75" t="n"/>
      <c r="O150" s="75" t="n"/>
      <c r="P150" s="75" t="n"/>
      <c r="Q150" s="75" t="n"/>
    </row>
    <row r="151" ht="18" customHeight="1">
      <c r="A151" s="49">
        <f>IF('İş Planı'!$C151="","",'İş Planı'!$C151)</f>
        <v/>
      </c>
      <c r="B151" s="49">
        <f>IF('İş Planı'!$B151="","",'İş Planı'!$B151)</f>
        <v/>
      </c>
      <c r="C151" s="63">
        <f>IF('İş Planı'!$H151="","",'İş Planı'!$H151)</f>
        <v/>
      </c>
      <c r="D151" s="63">
        <f>IF('İş Planı'!$L151="","",'İş Planı'!$L151)</f>
        <v/>
      </c>
      <c r="E151" s="62">
        <f>IF('İş Planı'!$N151="","",'İş Planı'!$N151)</f>
        <v/>
      </c>
      <c r="F151" s="75" t="n"/>
      <c r="G151" s="75" t="n"/>
      <c r="H151" s="75" t="n"/>
      <c r="I151" s="75" t="n"/>
      <c r="J151" s="75" t="n"/>
      <c r="K151" s="75" t="n"/>
      <c r="L151" s="75" t="n"/>
      <c r="M151" s="75" t="n"/>
      <c r="N151" s="75" t="n"/>
      <c r="O151" s="75" t="n"/>
      <c r="P151" s="75" t="n"/>
      <c r="Q151" s="75" t="n"/>
    </row>
    <row r="152" ht="18" customHeight="1">
      <c r="A152" s="49">
        <f>IF('İş Planı'!$C152="","",'İş Planı'!$C152)</f>
        <v/>
      </c>
      <c r="B152" s="49">
        <f>IF('İş Planı'!$B152="","",'İş Planı'!$B152)</f>
        <v/>
      </c>
      <c r="C152" s="63">
        <f>IF('İş Planı'!$H152="","",'İş Planı'!$H152)</f>
        <v/>
      </c>
      <c r="D152" s="63">
        <f>IF('İş Planı'!$L152="","",'İş Planı'!$L152)</f>
        <v/>
      </c>
      <c r="E152" s="62">
        <f>IF('İş Planı'!$N152="","",'İş Planı'!$N152)</f>
        <v/>
      </c>
      <c r="F152" s="75" t="n"/>
      <c r="G152" s="75" t="n"/>
      <c r="H152" s="75" t="n"/>
      <c r="I152" s="75" t="n"/>
      <c r="J152" s="75" t="n"/>
      <c r="K152" s="75" t="n"/>
      <c r="L152" s="75" t="n"/>
      <c r="M152" s="75" t="n"/>
      <c r="N152" s="75" t="n"/>
      <c r="O152" s="75" t="n"/>
      <c r="P152" s="75" t="n"/>
      <c r="Q152" s="75" t="n"/>
    </row>
    <row r="153" ht="18" customHeight="1">
      <c r="A153" s="49">
        <f>IF('İş Planı'!$C153="","",'İş Planı'!$C153)</f>
        <v/>
      </c>
      <c r="B153" s="49">
        <f>IF('İş Planı'!$B153="","",'İş Planı'!$B153)</f>
        <v/>
      </c>
      <c r="C153" s="63">
        <f>IF('İş Planı'!$H153="","",'İş Planı'!$H153)</f>
        <v/>
      </c>
      <c r="D153" s="63">
        <f>IF('İş Planı'!$L153="","",'İş Planı'!$L153)</f>
        <v/>
      </c>
      <c r="E153" s="62">
        <f>IF('İş Planı'!$N153="","",'İş Planı'!$N153)</f>
        <v/>
      </c>
      <c r="F153" s="75" t="n"/>
      <c r="G153" s="75" t="n"/>
      <c r="H153" s="75" t="n"/>
      <c r="I153" s="75" t="n"/>
      <c r="J153" s="75" t="n"/>
      <c r="K153" s="75" t="n"/>
      <c r="L153" s="75" t="n"/>
      <c r="M153" s="75" t="n"/>
      <c r="N153" s="75" t="n"/>
      <c r="O153" s="75" t="n"/>
      <c r="P153" s="75" t="n"/>
      <c r="Q153" s="75" t="n"/>
    </row>
    <row r="154" ht="18" customHeight="1">
      <c r="A154" s="49">
        <f>IF('İş Planı'!$C154="","",'İş Planı'!$C154)</f>
        <v/>
      </c>
      <c r="B154" s="49">
        <f>IF('İş Planı'!$B154="","",'İş Planı'!$B154)</f>
        <v/>
      </c>
      <c r="C154" s="63">
        <f>IF('İş Planı'!$H154="","",'İş Planı'!$H154)</f>
        <v/>
      </c>
      <c r="D154" s="63">
        <f>IF('İş Planı'!$L154="","",'İş Planı'!$L154)</f>
        <v/>
      </c>
      <c r="E154" s="62">
        <f>IF('İş Planı'!$N154="","",'İş Planı'!$N154)</f>
        <v/>
      </c>
      <c r="F154" s="75" t="n"/>
      <c r="G154" s="75" t="n"/>
      <c r="H154" s="75" t="n"/>
      <c r="I154" s="75" t="n"/>
      <c r="J154" s="75" t="n"/>
      <c r="K154" s="75" t="n"/>
      <c r="L154" s="75" t="n"/>
      <c r="M154" s="75" t="n"/>
      <c r="N154" s="75" t="n"/>
      <c r="O154" s="75" t="n"/>
      <c r="P154" s="75" t="n"/>
      <c r="Q154" s="75" t="n"/>
    </row>
    <row r="155" ht="18" customHeight="1">
      <c r="A155" s="49">
        <f>IF('İş Planı'!$C155="","",'İş Planı'!$C155)</f>
        <v/>
      </c>
      <c r="B155" s="49">
        <f>IF('İş Planı'!$B155="","",'İş Planı'!$B155)</f>
        <v/>
      </c>
      <c r="C155" s="63">
        <f>IF('İş Planı'!$H155="","",'İş Planı'!$H155)</f>
        <v/>
      </c>
      <c r="D155" s="63">
        <f>IF('İş Planı'!$L155="","",'İş Planı'!$L155)</f>
        <v/>
      </c>
      <c r="E155" s="62">
        <f>IF('İş Planı'!$N155="","",'İş Planı'!$N155)</f>
        <v/>
      </c>
      <c r="F155" s="75" t="n"/>
      <c r="G155" s="75" t="n"/>
      <c r="H155" s="75" t="n"/>
      <c r="I155" s="75" t="n"/>
      <c r="J155" s="75" t="n"/>
      <c r="K155" s="75" t="n"/>
      <c r="L155" s="75" t="n"/>
      <c r="M155" s="75" t="n"/>
      <c r="N155" s="75" t="n"/>
      <c r="O155" s="75" t="n"/>
      <c r="P155" s="75" t="n"/>
      <c r="Q155" s="75" t="n"/>
    </row>
    <row r="156" ht="18" customHeight="1">
      <c r="A156" s="49">
        <f>IF('İş Planı'!$C156="","",'İş Planı'!$C156)</f>
        <v/>
      </c>
      <c r="B156" s="49">
        <f>IF('İş Planı'!$B156="","",'İş Planı'!$B156)</f>
        <v/>
      </c>
      <c r="C156" s="63">
        <f>IF('İş Planı'!$H156="","",'İş Planı'!$H156)</f>
        <v/>
      </c>
      <c r="D156" s="63">
        <f>IF('İş Planı'!$L156="","",'İş Planı'!$L156)</f>
        <v/>
      </c>
      <c r="E156" s="62">
        <f>IF('İş Planı'!$N156="","",'İş Planı'!$N156)</f>
        <v/>
      </c>
      <c r="F156" s="75" t="n"/>
      <c r="G156" s="75" t="n"/>
      <c r="H156" s="75" t="n"/>
      <c r="I156" s="75" t="n"/>
      <c r="J156" s="75" t="n"/>
      <c r="K156" s="75" t="n"/>
      <c r="L156" s="75" t="n"/>
      <c r="M156" s="75" t="n"/>
      <c r="N156" s="75" t="n"/>
      <c r="O156" s="75" t="n"/>
      <c r="P156" s="75" t="n"/>
      <c r="Q156" s="75" t="n"/>
    </row>
    <row r="157" ht="18" customHeight="1">
      <c r="A157" s="49">
        <f>IF('İş Planı'!$C157="","",'İş Planı'!$C157)</f>
        <v/>
      </c>
      <c r="B157" s="49">
        <f>IF('İş Planı'!$B157="","",'İş Planı'!$B157)</f>
        <v/>
      </c>
      <c r="C157" s="63">
        <f>IF('İş Planı'!$H157="","",'İş Planı'!$H157)</f>
        <v/>
      </c>
      <c r="D157" s="63">
        <f>IF('İş Planı'!$L157="","",'İş Planı'!$L157)</f>
        <v/>
      </c>
      <c r="E157" s="62">
        <f>IF('İş Planı'!$N157="","",'İş Planı'!$N157)</f>
        <v/>
      </c>
      <c r="F157" s="75" t="n"/>
      <c r="G157" s="75" t="n"/>
      <c r="H157" s="75" t="n"/>
      <c r="I157" s="75" t="n"/>
      <c r="J157" s="75" t="n"/>
      <c r="K157" s="75" t="n"/>
      <c r="L157" s="75" t="n"/>
      <c r="M157" s="75" t="n"/>
      <c r="N157" s="75" t="n"/>
      <c r="O157" s="75" t="n"/>
      <c r="P157" s="75" t="n"/>
      <c r="Q157" s="75" t="n"/>
    </row>
    <row r="158" ht="18" customHeight="1">
      <c r="A158" s="49">
        <f>IF('İş Planı'!$C158="","",'İş Planı'!$C158)</f>
        <v/>
      </c>
      <c r="B158" s="49">
        <f>IF('İş Planı'!$B158="","",'İş Planı'!$B158)</f>
        <v/>
      </c>
      <c r="C158" s="63">
        <f>IF('İş Planı'!$H158="","",'İş Planı'!$H158)</f>
        <v/>
      </c>
      <c r="D158" s="63">
        <f>IF('İş Planı'!$L158="","",'İş Planı'!$L158)</f>
        <v/>
      </c>
      <c r="E158" s="62">
        <f>IF('İş Planı'!$N158="","",'İş Planı'!$N158)</f>
        <v/>
      </c>
      <c r="F158" s="75" t="n"/>
      <c r="G158" s="75" t="n"/>
      <c r="H158" s="75" t="n"/>
      <c r="I158" s="75" t="n"/>
      <c r="J158" s="75" t="n"/>
      <c r="K158" s="75" t="n"/>
      <c r="L158" s="75" t="n"/>
      <c r="M158" s="75" t="n"/>
      <c r="N158" s="75" t="n"/>
      <c r="O158" s="75" t="n"/>
      <c r="P158" s="75" t="n"/>
      <c r="Q158" s="75" t="n"/>
    </row>
    <row r="159" ht="18" customHeight="1">
      <c r="A159" s="49">
        <f>IF('İş Planı'!$C159="","",'İş Planı'!$C159)</f>
        <v/>
      </c>
      <c r="B159" s="49">
        <f>IF('İş Planı'!$B159="","",'İş Planı'!$B159)</f>
        <v/>
      </c>
      <c r="C159" s="63">
        <f>IF('İş Planı'!$H159="","",'İş Planı'!$H159)</f>
        <v/>
      </c>
      <c r="D159" s="63">
        <f>IF('İş Planı'!$L159="","",'İş Planı'!$L159)</f>
        <v/>
      </c>
      <c r="E159" s="62">
        <f>IF('İş Planı'!$N159="","",'İş Planı'!$N159)</f>
        <v/>
      </c>
      <c r="F159" s="75" t="n"/>
      <c r="G159" s="75" t="n"/>
      <c r="H159" s="75" t="n"/>
      <c r="I159" s="75" t="n"/>
      <c r="J159" s="75" t="n"/>
      <c r="K159" s="75" t="n"/>
      <c r="L159" s="75" t="n"/>
      <c r="M159" s="75" t="n"/>
      <c r="N159" s="75" t="n"/>
      <c r="O159" s="75" t="n"/>
      <c r="P159" s="75" t="n"/>
      <c r="Q159" s="75" t="n"/>
    </row>
    <row r="160" ht="18" customHeight="1">
      <c r="A160" s="49">
        <f>IF('İş Planı'!$C160="","",'İş Planı'!$C160)</f>
        <v/>
      </c>
      <c r="B160" s="49">
        <f>IF('İş Planı'!$B160="","",'İş Planı'!$B160)</f>
        <v/>
      </c>
      <c r="C160" s="63">
        <f>IF('İş Planı'!$H160="","",'İş Planı'!$H160)</f>
        <v/>
      </c>
      <c r="D160" s="63">
        <f>IF('İş Planı'!$L160="","",'İş Planı'!$L160)</f>
        <v/>
      </c>
      <c r="E160" s="62">
        <f>IF('İş Planı'!$N160="","",'İş Planı'!$N160)</f>
        <v/>
      </c>
      <c r="F160" s="75" t="n"/>
      <c r="G160" s="75" t="n"/>
      <c r="H160" s="75" t="n"/>
      <c r="I160" s="75" t="n"/>
      <c r="J160" s="75" t="n"/>
      <c r="K160" s="75" t="n"/>
      <c r="L160" s="75" t="n"/>
      <c r="M160" s="75" t="n"/>
      <c r="N160" s="75" t="n"/>
      <c r="O160" s="75" t="n"/>
      <c r="P160" s="75" t="n"/>
      <c r="Q160" s="75" t="n"/>
    </row>
    <row r="161" ht="18" customHeight="1">
      <c r="A161" s="49">
        <f>IF('İş Planı'!$C161="","",'İş Planı'!$C161)</f>
        <v/>
      </c>
      <c r="B161" s="49">
        <f>IF('İş Planı'!$B161="","",'İş Planı'!$B161)</f>
        <v/>
      </c>
      <c r="C161" s="63">
        <f>IF('İş Planı'!$H161="","",'İş Planı'!$H161)</f>
        <v/>
      </c>
      <c r="D161" s="63">
        <f>IF('İş Planı'!$L161="","",'İş Planı'!$L161)</f>
        <v/>
      </c>
      <c r="E161" s="62">
        <f>IF('İş Planı'!$N161="","",'İş Planı'!$N161)</f>
        <v/>
      </c>
      <c r="F161" s="75" t="n"/>
      <c r="G161" s="75" t="n"/>
      <c r="H161" s="75" t="n"/>
      <c r="I161" s="75" t="n"/>
      <c r="J161" s="75" t="n"/>
      <c r="K161" s="75" t="n"/>
      <c r="L161" s="75" t="n"/>
      <c r="M161" s="75" t="n"/>
      <c r="N161" s="75" t="n"/>
      <c r="O161" s="75" t="n"/>
      <c r="P161" s="75" t="n"/>
      <c r="Q161" s="75" t="n"/>
    </row>
    <row r="162" ht="18" customHeight="1">
      <c r="A162" s="49">
        <f>IF('İş Planı'!$C162="","",'İş Planı'!$C162)</f>
        <v/>
      </c>
      <c r="B162" s="49">
        <f>IF('İş Planı'!$B162="","",'İş Planı'!$B162)</f>
        <v/>
      </c>
      <c r="C162" s="63">
        <f>IF('İş Planı'!$H162="","",'İş Planı'!$H162)</f>
        <v/>
      </c>
      <c r="D162" s="63">
        <f>IF('İş Planı'!$L162="","",'İş Planı'!$L162)</f>
        <v/>
      </c>
      <c r="E162" s="62">
        <f>IF('İş Planı'!$N162="","",'İş Planı'!$N162)</f>
        <v/>
      </c>
      <c r="F162" s="75" t="n"/>
      <c r="G162" s="75" t="n"/>
      <c r="H162" s="75" t="n"/>
      <c r="I162" s="75" t="n"/>
      <c r="J162" s="75" t="n"/>
      <c r="K162" s="75" t="n"/>
      <c r="L162" s="75" t="n"/>
      <c r="M162" s="75" t="n"/>
      <c r="N162" s="75" t="n"/>
      <c r="O162" s="75" t="n"/>
      <c r="P162" s="75" t="n"/>
      <c r="Q162" s="75" t="n"/>
    </row>
    <row r="163" ht="18" customHeight="1">
      <c r="A163" s="49">
        <f>IF('İş Planı'!$C163="","",'İş Planı'!$C163)</f>
        <v/>
      </c>
      <c r="B163" s="49">
        <f>IF('İş Planı'!$B163="","",'İş Planı'!$B163)</f>
        <v/>
      </c>
      <c r="C163" s="63">
        <f>IF('İş Planı'!$H163="","",'İş Planı'!$H163)</f>
        <v/>
      </c>
      <c r="D163" s="63">
        <f>IF('İş Planı'!$L163="","",'İş Planı'!$L163)</f>
        <v/>
      </c>
      <c r="E163" s="62">
        <f>IF('İş Planı'!$N163="","",'İş Planı'!$N163)</f>
        <v/>
      </c>
      <c r="F163" s="75" t="n"/>
      <c r="G163" s="75" t="n"/>
      <c r="H163" s="75" t="n"/>
      <c r="I163" s="75" t="n"/>
      <c r="J163" s="75" t="n"/>
      <c r="K163" s="75" t="n"/>
      <c r="L163" s="75" t="n"/>
      <c r="M163" s="75" t="n"/>
      <c r="N163" s="75" t="n"/>
      <c r="O163" s="75" t="n"/>
      <c r="P163" s="75" t="n"/>
      <c r="Q163" s="75" t="n"/>
    </row>
    <row r="164" ht="18" customHeight="1">
      <c r="A164" s="49">
        <f>IF('İş Planı'!$C164="","",'İş Planı'!$C164)</f>
        <v/>
      </c>
      <c r="B164" s="49">
        <f>IF('İş Planı'!$B164="","",'İş Planı'!$B164)</f>
        <v/>
      </c>
      <c r="C164" s="63">
        <f>IF('İş Planı'!$H164="","",'İş Planı'!$H164)</f>
        <v/>
      </c>
      <c r="D164" s="63">
        <f>IF('İş Planı'!$L164="","",'İş Planı'!$L164)</f>
        <v/>
      </c>
      <c r="E164" s="62">
        <f>IF('İş Planı'!$N164="","",'İş Planı'!$N164)</f>
        <v/>
      </c>
      <c r="F164" s="75" t="n"/>
      <c r="G164" s="75" t="n"/>
      <c r="H164" s="75" t="n"/>
      <c r="I164" s="75" t="n"/>
      <c r="J164" s="75" t="n"/>
      <c r="K164" s="75" t="n"/>
      <c r="L164" s="75" t="n"/>
      <c r="M164" s="75" t="n"/>
      <c r="N164" s="75" t="n"/>
      <c r="O164" s="75" t="n"/>
      <c r="P164" s="75" t="n"/>
      <c r="Q164" s="75" t="n"/>
    </row>
    <row r="165" ht="18" customHeight="1">
      <c r="A165" s="49">
        <f>IF('İş Planı'!$C165="","",'İş Planı'!$C165)</f>
        <v/>
      </c>
      <c r="B165" s="49">
        <f>IF('İş Planı'!$B165="","",'İş Planı'!$B165)</f>
        <v/>
      </c>
      <c r="C165" s="63">
        <f>IF('İş Planı'!$H165="","",'İş Planı'!$H165)</f>
        <v/>
      </c>
      <c r="D165" s="63">
        <f>IF('İş Planı'!$L165="","",'İş Planı'!$L165)</f>
        <v/>
      </c>
      <c r="E165" s="62">
        <f>IF('İş Planı'!$N165="","",'İş Planı'!$N165)</f>
        <v/>
      </c>
      <c r="F165" s="75" t="n"/>
      <c r="G165" s="75" t="n"/>
      <c r="H165" s="75" t="n"/>
      <c r="I165" s="75" t="n"/>
      <c r="J165" s="75" t="n"/>
      <c r="K165" s="75" t="n"/>
      <c r="L165" s="75" t="n"/>
      <c r="M165" s="75" t="n"/>
      <c r="N165" s="75" t="n"/>
      <c r="O165" s="75" t="n"/>
      <c r="P165" s="75" t="n"/>
      <c r="Q165" s="75" t="n"/>
    </row>
    <row r="166" ht="18" customHeight="1">
      <c r="A166" s="49">
        <f>IF('İş Planı'!$C166="","",'İş Planı'!$C166)</f>
        <v/>
      </c>
      <c r="B166" s="49">
        <f>IF('İş Planı'!$B166="","",'İş Planı'!$B166)</f>
        <v/>
      </c>
      <c r="C166" s="63">
        <f>IF('İş Planı'!$H166="","",'İş Planı'!$H166)</f>
        <v/>
      </c>
      <c r="D166" s="63">
        <f>IF('İş Planı'!$L166="","",'İş Planı'!$L166)</f>
        <v/>
      </c>
      <c r="E166" s="62">
        <f>IF('İş Planı'!$N166="","",'İş Planı'!$N166)</f>
        <v/>
      </c>
      <c r="F166" s="75" t="n"/>
      <c r="G166" s="75" t="n"/>
      <c r="H166" s="75" t="n"/>
      <c r="I166" s="75" t="n"/>
      <c r="J166" s="75" t="n"/>
      <c r="K166" s="75" t="n"/>
      <c r="L166" s="75" t="n"/>
      <c r="M166" s="75" t="n"/>
      <c r="N166" s="75" t="n"/>
      <c r="O166" s="75" t="n"/>
      <c r="P166" s="75" t="n"/>
      <c r="Q166" s="75" t="n"/>
    </row>
    <row r="167" ht="18" customHeight="1">
      <c r="A167" s="49">
        <f>IF('İş Planı'!$C167="","",'İş Planı'!$C167)</f>
        <v/>
      </c>
      <c r="B167" s="49">
        <f>IF('İş Planı'!$B167="","",'İş Planı'!$B167)</f>
        <v/>
      </c>
      <c r="C167" s="63">
        <f>IF('İş Planı'!$H167="","",'İş Planı'!$H167)</f>
        <v/>
      </c>
      <c r="D167" s="63">
        <f>IF('İş Planı'!$L167="","",'İş Planı'!$L167)</f>
        <v/>
      </c>
      <c r="E167" s="62">
        <f>IF('İş Planı'!$N167="","",'İş Planı'!$N167)</f>
        <v/>
      </c>
      <c r="F167" s="75" t="n"/>
      <c r="G167" s="75" t="n"/>
      <c r="H167" s="75" t="n"/>
      <c r="I167" s="75" t="n"/>
      <c r="J167" s="75" t="n"/>
      <c r="K167" s="75" t="n"/>
      <c r="L167" s="75" t="n"/>
      <c r="M167" s="75" t="n"/>
      <c r="N167" s="75" t="n"/>
      <c r="O167" s="75" t="n"/>
      <c r="P167" s="75" t="n"/>
      <c r="Q167" s="75" t="n"/>
    </row>
    <row r="168" ht="18" customHeight="1">
      <c r="A168" s="49">
        <f>IF('İş Planı'!$C168="","",'İş Planı'!$C168)</f>
        <v/>
      </c>
      <c r="B168" s="49">
        <f>IF('İş Planı'!$B168="","",'İş Planı'!$B168)</f>
        <v/>
      </c>
      <c r="C168" s="63">
        <f>IF('İş Planı'!$H168="","",'İş Planı'!$H168)</f>
        <v/>
      </c>
      <c r="D168" s="63">
        <f>IF('İş Planı'!$L168="","",'İş Planı'!$L168)</f>
        <v/>
      </c>
      <c r="E168" s="62">
        <f>IF('İş Planı'!$N168="","",'İş Planı'!$N168)</f>
        <v/>
      </c>
      <c r="F168" s="75" t="n"/>
      <c r="G168" s="75" t="n"/>
      <c r="H168" s="75" t="n"/>
      <c r="I168" s="75" t="n"/>
      <c r="J168" s="75" t="n"/>
      <c r="K168" s="75" t="n"/>
      <c r="L168" s="75" t="n"/>
      <c r="M168" s="75" t="n"/>
      <c r="N168" s="75" t="n"/>
      <c r="O168" s="75" t="n"/>
      <c r="P168" s="75" t="n"/>
      <c r="Q168" s="75" t="n"/>
    </row>
    <row r="169" ht="18" customHeight="1">
      <c r="A169" s="49">
        <f>IF('İş Planı'!$C169="","",'İş Planı'!$C169)</f>
        <v/>
      </c>
      <c r="B169" s="49">
        <f>IF('İş Planı'!$B169="","",'İş Planı'!$B169)</f>
        <v/>
      </c>
      <c r="C169" s="63">
        <f>IF('İş Planı'!$H169="","",'İş Planı'!$H169)</f>
        <v/>
      </c>
      <c r="D169" s="63">
        <f>IF('İş Planı'!$L169="","",'İş Planı'!$L169)</f>
        <v/>
      </c>
      <c r="E169" s="62">
        <f>IF('İş Planı'!$N169="","",'İş Planı'!$N169)</f>
        <v/>
      </c>
      <c r="F169" s="75" t="n"/>
      <c r="G169" s="75" t="n"/>
      <c r="H169" s="75" t="n"/>
      <c r="I169" s="75" t="n"/>
      <c r="J169" s="75" t="n"/>
      <c r="K169" s="75" t="n"/>
      <c r="L169" s="75" t="n"/>
      <c r="M169" s="75" t="n"/>
      <c r="N169" s="75" t="n"/>
      <c r="O169" s="75" t="n"/>
      <c r="P169" s="75" t="n"/>
      <c r="Q169" s="75" t="n"/>
    </row>
    <row r="170" ht="18" customHeight="1">
      <c r="A170" s="49">
        <f>IF('İş Planı'!$C170="","",'İş Planı'!$C170)</f>
        <v/>
      </c>
      <c r="B170" s="49">
        <f>IF('İş Planı'!$B170="","",'İş Planı'!$B170)</f>
        <v/>
      </c>
      <c r="C170" s="63">
        <f>IF('İş Planı'!$H170="","",'İş Planı'!$H170)</f>
        <v/>
      </c>
      <c r="D170" s="63">
        <f>IF('İş Planı'!$L170="","",'İş Planı'!$L170)</f>
        <v/>
      </c>
      <c r="E170" s="62">
        <f>IF('İş Planı'!$N170="","",'İş Planı'!$N170)</f>
        <v/>
      </c>
      <c r="F170" s="75" t="n"/>
      <c r="G170" s="75" t="n"/>
      <c r="H170" s="75" t="n"/>
      <c r="I170" s="75" t="n"/>
      <c r="J170" s="75" t="n"/>
      <c r="K170" s="75" t="n"/>
      <c r="L170" s="75" t="n"/>
      <c r="M170" s="75" t="n"/>
      <c r="N170" s="75" t="n"/>
      <c r="O170" s="75" t="n"/>
      <c r="P170" s="75" t="n"/>
      <c r="Q170" s="75" t="n"/>
    </row>
    <row r="171" ht="18" customHeight="1">
      <c r="A171" s="49">
        <f>IF('İş Planı'!$C171="","",'İş Planı'!$C171)</f>
        <v/>
      </c>
      <c r="B171" s="49">
        <f>IF('İş Planı'!$B171="","",'İş Planı'!$B171)</f>
        <v/>
      </c>
      <c r="C171" s="63">
        <f>IF('İş Planı'!$H171="","",'İş Planı'!$H171)</f>
        <v/>
      </c>
      <c r="D171" s="63">
        <f>IF('İş Planı'!$L171="","",'İş Planı'!$L171)</f>
        <v/>
      </c>
      <c r="E171" s="62">
        <f>IF('İş Planı'!$N171="","",'İş Planı'!$N171)</f>
        <v/>
      </c>
      <c r="F171" s="75" t="n"/>
      <c r="G171" s="75" t="n"/>
      <c r="H171" s="75" t="n"/>
      <c r="I171" s="75" t="n"/>
      <c r="J171" s="75" t="n"/>
      <c r="K171" s="75" t="n"/>
      <c r="L171" s="75" t="n"/>
      <c r="M171" s="75" t="n"/>
      <c r="N171" s="75" t="n"/>
      <c r="O171" s="75" t="n"/>
      <c r="P171" s="75" t="n"/>
      <c r="Q171" s="75" t="n"/>
    </row>
    <row r="172" ht="18" customHeight="1">
      <c r="A172" s="49">
        <f>IF('İş Planı'!$C172="","",'İş Planı'!$C172)</f>
        <v/>
      </c>
      <c r="B172" s="49">
        <f>IF('İş Planı'!$B172="","",'İş Planı'!$B172)</f>
        <v/>
      </c>
      <c r="C172" s="63">
        <f>IF('İş Planı'!$H172="","",'İş Planı'!$H172)</f>
        <v/>
      </c>
      <c r="D172" s="63">
        <f>IF('İş Planı'!$L172="","",'İş Planı'!$L172)</f>
        <v/>
      </c>
      <c r="E172" s="62">
        <f>IF('İş Planı'!$N172="","",'İş Planı'!$N172)</f>
        <v/>
      </c>
      <c r="F172" s="75" t="n"/>
      <c r="G172" s="75" t="n"/>
      <c r="H172" s="75" t="n"/>
      <c r="I172" s="75" t="n"/>
      <c r="J172" s="75" t="n"/>
      <c r="K172" s="75" t="n"/>
      <c r="L172" s="75" t="n"/>
      <c r="M172" s="75" t="n"/>
      <c r="N172" s="75" t="n"/>
      <c r="O172" s="75" t="n"/>
      <c r="P172" s="75" t="n"/>
      <c r="Q172" s="75" t="n"/>
    </row>
    <row r="173" ht="18" customHeight="1">
      <c r="A173" s="49">
        <f>IF('İş Planı'!$C173="","",'İş Planı'!$C173)</f>
        <v/>
      </c>
      <c r="B173" s="49">
        <f>IF('İş Planı'!$B173="","",'İş Planı'!$B173)</f>
        <v/>
      </c>
      <c r="C173" s="63">
        <f>IF('İş Planı'!$H173="","",'İş Planı'!$H173)</f>
        <v/>
      </c>
      <c r="D173" s="63">
        <f>IF('İş Planı'!$L173="","",'İş Planı'!$L173)</f>
        <v/>
      </c>
      <c r="E173" s="62">
        <f>IF('İş Planı'!$N173="","",'İş Planı'!$N173)</f>
        <v/>
      </c>
      <c r="F173" s="75" t="n"/>
      <c r="G173" s="75" t="n"/>
      <c r="H173" s="75" t="n"/>
      <c r="I173" s="75" t="n"/>
      <c r="J173" s="75" t="n"/>
      <c r="K173" s="75" t="n"/>
      <c r="L173" s="75" t="n"/>
      <c r="M173" s="75" t="n"/>
      <c r="N173" s="75" t="n"/>
      <c r="O173" s="75" t="n"/>
      <c r="P173" s="75" t="n"/>
      <c r="Q173" s="75" t="n"/>
    </row>
    <row r="174" ht="18" customHeight="1">
      <c r="A174" s="49">
        <f>IF('İş Planı'!$C174="","",'İş Planı'!$C174)</f>
        <v/>
      </c>
      <c r="B174" s="49">
        <f>IF('İş Planı'!$B174="","",'İş Planı'!$B174)</f>
        <v/>
      </c>
      <c r="C174" s="63">
        <f>IF('İş Planı'!$H174="","",'İş Planı'!$H174)</f>
        <v/>
      </c>
      <c r="D174" s="63">
        <f>IF('İş Planı'!$L174="","",'İş Planı'!$L174)</f>
        <v/>
      </c>
      <c r="E174" s="62">
        <f>IF('İş Planı'!$N174="","",'İş Planı'!$N174)</f>
        <v/>
      </c>
      <c r="F174" s="75" t="n"/>
      <c r="G174" s="75" t="n"/>
      <c r="H174" s="75" t="n"/>
      <c r="I174" s="75" t="n"/>
      <c r="J174" s="75" t="n"/>
      <c r="K174" s="75" t="n"/>
      <c r="L174" s="75" t="n"/>
      <c r="M174" s="75" t="n"/>
      <c r="N174" s="75" t="n"/>
      <c r="O174" s="75" t="n"/>
      <c r="P174" s="75" t="n"/>
      <c r="Q174" s="75" t="n"/>
    </row>
    <row r="175" ht="18" customHeight="1">
      <c r="A175" s="49">
        <f>IF('İş Planı'!$C175="","",'İş Planı'!$C175)</f>
        <v/>
      </c>
      <c r="B175" s="49">
        <f>IF('İş Planı'!$B175="","",'İş Planı'!$B175)</f>
        <v/>
      </c>
      <c r="C175" s="63">
        <f>IF('İş Planı'!$H175="","",'İş Planı'!$H175)</f>
        <v/>
      </c>
      <c r="D175" s="63">
        <f>IF('İş Planı'!$L175="","",'İş Planı'!$L175)</f>
        <v/>
      </c>
      <c r="E175" s="62">
        <f>IF('İş Planı'!$N175="","",'İş Planı'!$N175)</f>
        <v/>
      </c>
      <c r="F175" s="75" t="n"/>
      <c r="G175" s="75" t="n"/>
      <c r="H175" s="75" t="n"/>
      <c r="I175" s="75" t="n"/>
      <c r="J175" s="75" t="n"/>
      <c r="K175" s="75" t="n"/>
      <c r="L175" s="75" t="n"/>
      <c r="M175" s="75" t="n"/>
      <c r="N175" s="75" t="n"/>
      <c r="O175" s="75" t="n"/>
      <c r="P175" s="75" t="n"/>
      <c r="Q175" s="75" t="n"/>
    </row>
    <row r="176" ht="18" customHeight="1">
      <c r="A176" s="49">
        <f>IF('İş Planı'!$C176="","",'İş Planı'!$C176)</f>
        <v/>
      </c>
      <c r="B176" s="49">
        <f>IF('İş Planı'!$B176="","",'İş Planı'!$B176)</f>
        <v/>
      </c>
      <c r="C176" s="63">
        <f>IF('İş Planı'!$H176="","",'İş Planı'!$H176)</f>
        <v/>
      </c>
      <c r="D176" s="63">
        <f>IF('İş Planı'!$L176="","",'İş Planı'!$L176)</f>
        <v/>
      </c>
      <c r="E176" s="62">
        <f>IF('İş Planı'!$N176="","",'İş Planı'!$N176)</f>
        <v/>
      </c>
      <c r="F176" s="75" t="n"/>
      <c r="G176" s="75" t="n"/>
      <c r="H176" s="75" t="n"/>
      <c r="I176" s="75" t="n"/>
      <c r="J176" s="75" t="n"/>
      <c r="K176" s="75" t="n"/>
      <c r="L176" s="75" t="n"/>
      <c r="M176" s="75" t="n"/>
      <c r="N176" s="75" t="n"/>
      <c r="O176" s="75" t="n"/>
      <c r="P176" s="75" t="n"/>
      <c r="Q176" s="75" t="n"/>
    </row>
    <row r="177" ht="18" customHeight="1">
      <c r="A177" s="49">
        <f>IF('İş Planı'!$C177="","",'İş Planı'!$C177)</f>
        <v/>
      </c>
      <c r="B177" s="49">
        <f>IF('İş Planı'!$B177="","",'İş Planı'!$B177)</f>
        <v/>
      </c>
      <c r="C177" s="63">
        <f>IF('İş Planı'!$H177="","",'İş Planı'!$H177)</f>
        <v/>
      </c>
      <c r="D177" s="63">
        <f>IF('İş Planı'!$L177="","",'İş Planı'!$L177)</f>
        <v/>
      </c>
      <c r="E177" s="62">
        <f>IF('İş Planı'!$N177="","",'İş Planı'!$N177)</f>
        <v/>
      </c>
      <c r="F177" s="75" t="n"/>
      <c r="G177" s="75" t="n"/>
      <c r="H177" s="75" t="n"/>
      <c r="I177" s="75" t="n"/>
      <c r="J177" s="75" t="n"/>
      <c r="K177" s="75" t="n"/>
      <c r="L177" s="75" t="n"/>
      <c r="M177" s="75" t="n"/>
      <c r="N177" s="75" t="n"/>
      <c r="O177" s="75" t="n"/>
      <c r="P177" s="75" t="n"/>
      <c r="Q177" s="75" t="n"/>
    </row>
    <row r="178" ht="18" customHeight="1">
      <c r="A178" s="49">
        <f>IF('İş Planı'!$C178="","",'İş Planı'!$C178)</f>
        <v/>
      </c>
      <c r="B178" s="49">
        <f>IF('İş Planı'!$B178="","",'İş Planı'!$B178)</f>
        <v/>
      </c>
      <c r="C178" s="63">
        <f>IF('İş Planı'!$H178="","",'İş Planı'!$H178)</f>
        <v/>
      </c>
      <c r="D178" s="63">
        <f>IF('İş Planı'!$L178="","",'İş Planı'!$L178)</f>
        <v/>
      </c>
      <c r="E178" s="62">
        <f>IF('İş Planı'!$N178="","",'İş Planı'!$N178)</f>
        <v/>
      </c>
      <c r="F178" s="75" t="n"/>
      <c r="G178" s="75" t="n"/>
      <c r="H178" s="75" t="n"/>
      <c r="I178" s="75" t="n"/>
      <c r="J178" s="75" t="n"/>
      <c r="K178" s="75" t="n"/>
      <c r="L178" s="75" t="n"/>
      <c r="M178" s="75" t="n"/>
      <c r="N178" s="75" t="n"/>
      <c r="O178" s="75" t="n"/>
      <c r="P178" s="75" t="n"/>
      <c r="Q178" s="75" t="n"/>
    </row>
    <row r="179" ht="18" customHeight="1">
      <c r="A179" s="49">
        <f>IF('İş Planı'!$C179="","",'İş Planı'!$C179)</f>
        <v/>
      </c>
      <c r="B179" s="49">
        <f>IF('İş Planı'!$B179="","",'İş Planı'!$B179)</f>
        <v/>
      </c>
      <c r="C179" s="63">
        <f>IF('İş Planı'!$H179="","",'İş Planı'!$H179)</f>
        <v/>
      </c>
      <c r="D179" s="63">
        <f>IF('İş Planı'!$L179="","",'İş Planı'!$L179)</f>
        <v/>
      </c>
      <c r="E179" s="62">
        <f>IF('İş Planı'!$N179="","",'İş Planı'!$N179)</f>
        <v/>
      </c>
      <c r="F179" s="75" t="n"/>
      <c r="G179" s="75" t="n"/>
      <c r="H179" s="75" t="n"/>
      <c r="I179" s="75" t="n"/>
      <c r="J179" s="75" t="n"/>
      <c r="K179" s="75" t="n"/>
      <c r="L179" s="75" t="n"/>
      <c r="M179" s="75" t="n"/>
      <c r="N179" s="75" t="n"/>
      <c r="O179" s="75" t="n"/>
      <c r="P179" s="75" t="n"/>
      <c r="Q179" s="75" t="n"/>
    </row>
    <row r="180" ht="18" customHeight="1">
      <c r="A180" s="49">
        <f>IF('İş Planı'!$C180="","",'İş Planı'!$C180)</f>
        <v/>
      </c>
      <c r="B180" s="49">
        <f>IF('İş Planı'!$B180="","",'İş Planı'!$B180)</f>
        <v/>
      </c>
      <c r="C180" s="63">
        <f>IF('İş Planı'!$H180="","",'İş Planı'!$H180)</f>
        <v/>
      </c>
      <c r="D180" s="63">
        <f>IF('İş Planı'!$L180="","",'İş Planı'!$L180)</f>
        <v/>
      </c>
      <c r="E180" s="62">
        <f>IF('İş Planı'!$N180="","",'İş Planı'!$N180)</f>
        <v/>
      </c>
      <c r="F180" s="75" t="n"/>
      <c r="G180" s="75" t="n"/>
      <c r="H180" s="75" t="n"/>
      <c r="I180" s="75" t="n"/>
      <c r="J180" s="75" t="n"/>
      <c r="K180" s="75" t="n"/>
      <c r="L180" s="75" t="n"/>
      <c r="M180" s="75" t="n"/>
      <c r="N180" s="75" t="n"/>
      <c r="O180" s="75" t="n"/>
      <c r="P180" s="75" t="n"/>
      <c r="Q180" s="75" t="n"/>
    </row>
    <row r="181" ht="18" customHeight="1">
      <c r="A181" s="49">
        <f>IF('İş Planı'!$C181="","",'İş Planı'!$C181)</f>
        <v/>
      </c>
      <c r="B181" s="49">
        <f>IF('İş Planı'!$B181="","",'İş Planı'!$B181)</f>
        <v/>
      </c>
      <c r="C181" s="63">
        <f>IF('İş Planı'!$H181="","",'İş Planı'!$H181)</f>
        <v/>
      </c>
      <c r="D181" s="63">
        <f>IF('İş Planı'!$L181="","",'İş Planı'!$L181)</f>
        <v/>
      </c>
      <c r="E181" s="62">
        <f>IF('İş Planı'!$N181="","",'İş Planı'!$N181)</f>
        <v/>
      </c>
      <c r="F181" s="75" t="n"/>
      <c r="G181" s="75" t="n"/>
      <c r="H181" s="75" t="n"/>
      <c r="I181" s="75" t="n"/>
      <c r="J181" s="75" t="n"/>
      <c r="K181" s="75" t="n"/>
      <c r="L181" s="75" t="n"/>
      <c r="M181" s="75" t="n"/>
      <c r="N181" s="75" t="n"/>
      <c r="O181" s="75" t="n"/>
      <c r="P181" s="75" t="n"/>
      <c r="Q181" s="75" t="n"/>
    </row>
    <row r="182" ht="18" customHeight="1">
      <c r="A182" s="49">
        <f>IF('İş Planı'!$C182="","",'İş Planı'!$C182)</f>
        <v/>
      </c>
      <c r="B182" s="49">
        <f>IF('İş Planı'!$B182="","",'İş Planı'!$B182)</f>
        <v/>
      </c>
      <c r="C182" s="63">
        <f>IF('İş Planı'!$H182="","",'İş Planı'!$H182)</f>
        <v/>
      </c>
      <c r="D182" s="63">
        <f>IF('İş Planı'!$L182="","",'İş Planı'!$L182)</f>
        <v/>
      </c>
      <c r="E182" s="62">
        <f>IF('İş Planı'!$N182="","",'İş Planı'!$N182)</f>
        <v/>
      </c>
      <c r="F182" s="75" t="n"/>
      <c r="G182" s="75" t="n"/>
      <c r="H182" s="75" t="n"/>
      <c r="I182" s="75" t="n"/>
      <c r="J182" s="75" t="n"/>
      <c r="K182" s="75" t="n"/>
      <c r="L182" s="75" t="n"/>
      <c r="M182" s="75" t="n"/>
      <c r="N182" s="75" t="n"/>
      <c r="O182" s="75" t="n"/>
      <c r="P182" s="75" t="n"/>
      <c r="Q182" s="75" t="n"/>
    </row>
    <row r="183" ht="18" customHeight="1">
      <c r="A183" s="49">
        <f>IF('İş Planı'!$C183="","",'İş Planı'!$C183)</f>
        <v/>
      </c>
      <c r="B183" s="49">
        <f>IF('İş Planı'!$B183="","",'İş Planı'!$B183)</f>
        <v/>
      </c>
      <c r="C183" s="63">
        <f>IF('İş Planı'!$H183="","",'İş Planı'!$H183)</f>
        <v/>
      </c>
      <c r="D183" s="63">
        <f>IF('İş Planı'!$L183="","",'İş Planı'!$L183)</f>
        <v/>
      </c>
      <c r="E183" s="62">
        <f>IF('İş Planı'!$N183="","",'İş Planı'!$N183)</f>
        <v/>
      </c>
      <c r="F183" s="75" t="n"/>
      <c r="G183" s="75" t="n"/>
      <c r="H183" s="75" t="n"/>
      <c r="I183" s="75" t="n"/>
      <c r="J183" s="75" t="n"/>
      <c r="K183" s="75" t="n"/>
      <c r="L183" s="75" t="n"/>
      <c r="M183" s="75" t="n"/>
      <c r="N183" s="75" t="n"/>
      <c r="O183" s="75" t="n"/>
      <c r="P183" s="75" t="n"/>
      <c r="Q183" s="75" t="n"/>
    </row>
    <row r="184" ht="18" customHeight="1">
      <c r="A184" s="49">
        <f>IF('İş Planı'!$C184="","",'İş Planı'!$C184)</f>
        <v/>
      </c>
      <c r="B184" s="49">
        <f>IF('İş Planı'!$B184="","",'İş Planı'!$B184)</f>
        <v/>
      </c>
      <c r="C184" s="63">
        <f>IF('İş Planı'!$H184="","",'İş Planı'!$H184)</f>
        <v/>
      </c>
      <c r="D184" s="63">
        <f>IF('İş Planı'!$L184="","",'İş Planı'!$L184)</f>
        <v/>
      </c>
      <c r="E184" s="62">
        <f>IF('İş Planı'!$N184="","",'İş Planı'!$N184)</f>
        <v/>
      </c>
      <c r="F184" s="75" t="n"/>
      <c r="G184" s="75" t="n"/>
      <c r="H184" s="75" t="n"/>
      <c r="I184" s="75" t="n"/>
      <c r="J184" s="75" t="n"/>
      <c r="K184" s="75" t="n"/>
      <c r="L184" s="75" t="n"/>
      <c r="M184" s="75" t="n"/>
      <c r="N184" s="75" t="n"/>
      <c r="O184" s="75" t="n"/>
      <c r="P184" s="75" t="n"/>
      <c r="Q184" s="75" t="n"/>
    </row>
    <row r="185" ht="18" customHeight="1">
      <c r="A185" s="49">
        <f>IF('İş Planı'!$C185="","",'İş Planı'!$C185)</f>
        <v/>
      </c>
      <c r="B185" s="49">
        <f>IF('İş Planı'!$B185="","",'İş Planı'!$B185)</f>
        <v/>
      </c>
      <c r="C185" s="63">
        <f>IF('İş Planı'!$H185="","",'İş Planı'!$H185)</f>
        <v/>
      </c>
      <c r="D185" s="63">
        <f>IF('İş Planı'!$L185="","",'İş Planı'!$L185)</f>
        <v/>
      </c>
      <c r="E185" s="62">
        <f>IF('İş Planı'!$N185="","",'İş Planı'!$N185)</f>
        <v/>
      </c>
      <c r="F185" s="75" t="n"/>
      <c r="G185" s="75" t="n"/>
      <c r="H185" s="75" t="n"/>
      <c r="I185" s="75" t="n"/>
      <c r="J185" s="75" t="n"/>
      <c r="K185" s="75" t="n"/>
      <c r="L185" s="75" t="n"/>
      <c r="M185" s="75" t="n"/>
      <c r="N185" s="75" t="n"/>
      <c r="O185" s="75" t="n"/>
      <c r="P185" s="75" t="n"/>
      <c r="Q185" s="75" t="n"/>
    </row>
    <row r="186" ht="18" customHeight="1">
      <c r="A186" s="49">
        <f>IF('İş Planı'!$C186="","",'İş Planı'!$C186)</f>
        <v/>
      </c>
      <c r="B186" s="49">
        <f>IF('İş Planı'!$B186="","",'İş Planı'!$B186)</f>
        <v/>
      </c>
      <c r="C186" s="63">
        <f>IF('İş Planı'!$H186="","",'İş Planı'!$H186)</f>
        <v/>
      </c>
      <c r="D186" s="63">
        <f>IF('İş Planı'!$L186="","",'İş Planı'!$L186)</f>
        <v/>
      </c>
      <c r="E186" s="62">
        <f>IF('İş Planı'!$N186="","",'İş Planı'!$N186)</f>
        <v/>
      </c>
      <c r="F186" s="75" t="n"/>
      <c r="G186" s="75" t="n"/>
      <c r="H186" s="75" t="n"/>
      <c r="I186" s="75" t="n"/>
      <c r="J186" s="75" t="n"/>
      <c r="K186" s="75" t="n"/>
      <c r="L186" s="75" t="n"/>
      <c r="M186" s="75" t="n"/>
      <c r="N186" s="75" t="n"/>
      <c r="O186" s="75" t="n"/>
      <c r="P186" s="75" t="n"/>
      <c r="Q186" s="75" t="n"/>
    </row>
    <row r="187" ht="18" customHeight="1">
      <c r="A187" s="49">
        <f>IF('İş Planı'!$C187="","",'İş Planı'!$C187)</f>
        <v/>
      </c>
      <c r="B187" s="49">
        <f>IF('İş Planı'!$B187="","",'İş Planı'!$B187)</f>
        <v/>
      </c>
      <c r="C187" s="63">
        <f>IF('İş Planı'!$H187="","",'İş Planı'!$H187)</f>
        <v/>
      </c>
      <c r="D187" s="63">
        <f>IF('İş Planı'!$L187="","",'İş Planı'!$L187)</f>
        <v/>
      </c>
      <c r="E187" s="62">
        <f>IF('İş Planı'!$N187="","",'İş Planı'!$N187)</f>
        <v/>
      </c>
      <c r="F187" s="75" t="n"/>
      <c r="G187" s="75" t="n"/>
      <c r="H187" s="75" t="n"/>
      <c r="I187" s="75" t="n"/>
      <c r="J187" s="75" t="n"/>
      <c r="K187" s="75" t="n"/>
      <c r="L187" s="75" t="n"/>
      <c r="M187" s="75" t="n"/>
      <c r="N187" s="75" t="n"/>
      <c r="O187" s="75" t="n"/>
      <c r="P187" s="75" t="n"/>
      <c r="Q187" s="75" t="n"/>
    </row>
    <row r="188" ht="18" customHeight="1">
      <c r="A188" s="49">
        <f>IF('İş Planı'!$C188="","",'İş Planı'!$C188)</f>
        <v/>
      </c>
      <c r="B188" s="49">
        <f>IF('İş Planı'!$B188="","",'İş Planı'!$B188)</f>
        <v/>
      </c>
      <c r="C188" s="63">
        <f>IF('İş Planı'!$H188="","",'İş Planı'!$H188)</f>
        <v/>
      </c>
      <c r="D188" s="63">
        <f>IF('İş Planı'!$L188="","",'İş Planı'!$L188)</f>
        <v/>
      </c>
      <c r="E188" s="62">
        <f>IF('İş Planı'!$N188="","",'İş Planı'!$N188)</f>
        <v/>
      </c>
      <c r="F188" s="75" t="n"/>
      <c r="G188" s="75" t="n"/>
      <c r="H188" s="75" t="n"/>
      <c r="I188" s="75" t="n"/>
      <c r="J188" s="75" t="n"/>
      <c r="K188" s="75" t="n"/>
      <c r="L188" s="75" t="n"/>
      <c r="M188" s="75" t="n"/>
      <c r="N188" s="75" t="n"/>
      <c r="O188" s="75" t="n"/>
      <c r="P188" s="75" t="n"/>
      <c r="Q188" s="75" t="n"/>
    </row>
    <row r="189" ht="18" customHeight="1">
      <c r="A189" s="49">
        <f>IF('İş Planı'!$C189="","",'İş Planı'!$C189)</f>
        <v/>
      </c>
      <c r="B189" s="49">
        <f>IF('İş Planı'!$B189="","",'İş Planı'!$B189)</f>
        <v/>
      </c>
      <c r="C189" s="63">
        <f>IF('İş Planı'!$H189="","",'İş Planı'!$H189)</f>
        <v/>
      </c>
      <c r="D189" s="63">
        <f>IF('İş Planı'!$L189="","",'İş Planı'!$L189)</f>
        <v/>
      </c>
      <c r="E189" s="62">
        <f>IF('İş Planı'!$N189="","",'İş Planı'!$N189)</f>
        <v/>
      </c>
      <c r="F189" s="75" t="n"/>
      <c r="G189" s="75" t="n"/>
      <c r="H189" s="75" t="n"/>
      <c r="I189" s="75" t="n"/>
      <c r="J189" s="75" t="n"/>
      <c r="K189" s="75" t="n"/>
      <c r="L189" s="75" t="n"/>
      <c r="M189" s="75" t="n"/>
      <c r="N189" s="75" t="n"/>
      <c r="O189" s="75" t="n"/>
      <c r="P189" s="75" t="n"/>
      <c r="Q189" s="75" t="n"/>
    </row>
    <row r="190" ht="18" customHeight="1">
      <c r="A190" s="49">
        <f>IF('İş Planı'!$C190="","",'İş Planı'!$C190)</f>
        <v/>
      </c>
      <c r="B190" s="49">
        <f>IF('İş Planı'!$B190="","",'İş Planı'!$B190)</f>
        <v/>
      </c>
      <c r="C190" s="63">
        <f>IF('İş Planı'!$H190="","",'İş Planı'!$H190)</f>
        <v/>
      </c>
      <c r="D190" s="63">
        <f>IF('İş Planı'!$L190="","",'İş Planı'!$L190)</f>
        <v/>
      </c>
      <c r="E190" s="62">
        <f>IF('İş Planı'!$N190="","",'İş Planı'!$N190)</f>
        <v/>
      </c>
      <c r="F190" s="75" t="n"/>
      <c r="G190" s="75" t="n"/>
      <c r="H190" s="75" t="n"/>
      <c r="I190" s="75" t="n"/>
      <c r="J190" s="75" t="n"/>
      <c r="K190" s="75" t="n"/>
      <c r="L190" s="75" t="n"/>
      <c r="M190" s="75" t="n"/>
      <c r="N190" s="75" t="n"/>
      <c r="O190" s="75" t="n"/>
      <c r="P190" s="75" t="n"/>
      <c r="Q190" s="75" t="n"/>
    </row>
    <row r="191" ht="18" customHeight="1">
      <c r="A191" s="49">
        <f>IF('İş Planı'!$C191="","",'İş Planı'!$C191)</f>
        <v/>
      </c>
      <c r="B191" s="49">
        <f>IF('İş Planı'!$B191="","",'İş Planı'!$B191)</f>
        <v/>
      </c>
      <c r="C191" s="63">
        <f>IF('İş Planı'!$H191="","",'İş Planı'!$H191)</f>
        <v/>
      </c>
      <c r="D191" s="63">
        <f>IF('İş Planı'!$L191="","",'İş Planı'!$L191)</f>
        <v/>
      </c>
      <c r="E191" s="62">
        <f>IF('İş Planı'!$N191="","",'İş Planı'!$N191)</f>
        <v/>
      </c>
      <c r="F191" s="75" t="n"/>
      <c r="G191" s="75" t="n"/>
      <c r="H191" s="75" t="n"/>
      <c r="I191" s="75" t="n"/>
      <c r="J191" s="75" t="n"/>
      <c r="K191" s="75" t="n"/>
      <c r="L191" s="75" t="n"/>
      <c r="M191" s="75" t="n"/>
      <c r="N191" s="75" t="n"/>
      <c r="O191" s="75" t="n"/>
      <c r="P191" s="75" t="n"/>
      <c r="Q191" s="75" t="n"/>
    </row>
    <row r="192" ht="18" customHeight="1">
      <c r="A192" s="49">
        <f>IF('İş Planı'!$C192="","",'İş Planı'!$C192)</f>
        <v/>
      </c>
      <c r="B192" s="49">
        <f>IF('İş Planı'!$B192="","",'İş Planı'!$B192)</f>
        <v/>
      </c>
      <c r="C192" s="63">
        <f>IF('İş Planı'!$H192="","",'İş Planı'!$H192)</f>
        <v/>
      </c>
      <c r="D192" s="63">
        <f>IF('İş Planı'!$L192="","",'İş Planı'!$L192)</f>
        <v/>
      </c>
      <c r="E192" s="62">
        <f>IF('İş Planı'!$N192="","",'İş Planı'!$N192)</f>
        <v/>
      </c>
      <c r="F192" s="75" t="n"/>
      <c r="G192" s="75" t="n"/>
      <c r="H192" s="75" t="n"/>
      <c r="I192" s="75" t="n"/>
      <c r="J192" s="75" t="n"/>
      <c r="K192" s="75" t="n"/>
      <c r="L192" s="75" t="n"/>
      <c r="M192" s="75" t="n"/>
      <c r="N192" s="75" t="n"/>
      <c r="O192" s="75" t="n"/>
      <c r="P192" s="75" t="n"/>
      <c r="Q192" s="75" t="n"/>
    </row>
    <row r="193" ht="18" customHeight="1">
      <c r="A193" s="49">
        <f>IF('İş Planı'!$C193="","",'İş Planı'!$C193)</f>
        <v/>
      </c>
      <c r="B193" s="49">
        <f>IF('İş Planı'!$B193="","",'İş Planı'!$B193)</f>
        <v/>
      </c>
      <c r="C193" s="63">
        <f>IF('İş Planı'!$H193="","",'İş Planı'!$H193)</f>
        <v/>
      </c>
      <c r="D193" s="63">
        <f>IF('İş Planı'!$L193="","",'İş Planı'!$L193)</f>
        <v/>
      </c>
      <c r="E193" s="62">
        <f>IF('İş Planı'!$N193="","",'İş Planı'!$N193)</f>
        <v/>
      </c>
      <c r="F193" s="75" t="n"/>
      <c r="G193" s="75" t="n"/>
      <c r="H193" s="75" t="n"/>
      <c r="I193" s="75" t="n"/>
      <c r="J193" s="75" t="n"/>
      <c r="K193" s="75" t="n"/>
      <c r="L193" s="75" t="n"/>
      <c r="M193" s="75" t="n"/>
      <c r="N193" s="75" t="n"/>
      <c r="O193" s="75" t="n"/>
      <c r="P193" s="75" t="n"/>
      <c r="Q193" s="75" t="n"/>
    </row>
    <row r="194" ht="18" customHeight="1">
      <c r="A194" s="49">
        <f>IF('İş Planı'!$C194="","",'İş Planı'!$C194)</f>
        <v/>
      </c>
      <c r="B194" s="49">
        <f>IF('İş Planı'!$B194="","",'İş Planı'!$B194)</f>
        <v/>
      </c>
      <c r="C194" s="63">
        <f>IF('İş Planı'!$H194="","",'İş Planı'!$H194)</f>
        <v/>
      </c>
      <c r="D194" s="63">
        <f>IF('İş Planı'!$L194="","",'İş Planı'!$L194)</f>
        <v/>
      </c>
      <c r="E194" s="62">
        <f>IF('İş Planı'!$N194="","",'İş Planı'!$N194)</f>
        <v/>
      </c>
      <c r="F194" s="75" t="n"/>
      <c r="G194" s="75" t="n"/>
      <c r="H194" s="75" t="n"/>
      <c r="I194" s="75" t="n"/>
      <c r="J194" s="75" t="n"/>
      <c r="K194" s="75" t="n"/>
      <c r="L194" s="75" t="n"/>
      <c r="M194" s="75" t="n"/>
      <c r="N194" s="75" t="n"/>
      <c r="O194" s="75" t="n"/>
      <c r="P194" s="75" t="n"/>
      <c r="Q194" s="75" t="n"/>
    </row>
    <row r="195" ht="18" customHeight="1">
      <c r="A195" s="49">
        <f>IF('İş Planı'!$C195="","",'İş Planı'!$C195)</f>
        <v/>
      </c>
      <c r="B195" s="49">
        <f>IF('İş Planı'!$B195="","",'İş Planı'!$B195)</f>
        <v/>
      </c>
      <c r="C195" s="63">
        <f>IF('İş Planı'!$H195="","",'İş Planı'!$H195)</f>
        <v/>
      </c>
      <c r="D195" s="63">
        <f>IF('İş Planı'!$L195="","",'İş Planı'!$L195)</f>
        <v/>
      </c>
      <c r="E195" s="62">
        <f>IF('İş Planı'!$N195="","",'İş Planı'!$N195)</f>
        <v/>
      </c>
      <c r="F195" s="75" t="n"/>
      <c r="G195" s="75" t="n"/>
      <c r="H195" s="75" t="n"/>
      <c r="I195" s="75" t="n"/>
      <c r="J195" s="75" t="n"/>
      <c r="K195" s="75" t="n"/>
      <c r="L195" s="75" t="n"/>
      <c r="M195" s="75" t="n"/>
      <c r="N195" s="75" t="n"/>
      <c r="O195" s="75" t="n"/>
      <c r="P195" s="75" t="n"/>
      <c r="Q195" s="75" t="n"/>
    </row>
    <row r="196" ht="18" customHeight="1">
      <c r="A196" s="49">
        <f>IF('İş Planı'!$C196="","",'İş Planı'!$C196)</f>
        <v/>
      </c>
      <c r="B196" s="49">
        <f>IF('İş Planı'!$B196="","",'İş Planı'!$B196)</f>
        <v/>
      </c>
      <c r="C196" s="63">
        <f>IF('İş Planı'!$H196="","",'İş Planı'!$H196)</f>
        <v/>
      </c>
      <c r="D196" s="63">
        <f>IF('İş Planı'!$L196="","",'İş Planı'!$L196)</f>
        <v/>
      </c>
      <c r="E196" s="62">
        <f>IF('İş Planı'!$N196="","",'İş Planı'!$N196)</f>
        <v/>
      </c>
      <c r="F196" s="75" t="n"/>
      <c r="G196" s="75" t="n"/>
      <c r="H196" s="75" t="n"/>
      <c r="I196" s="75" t="n"/>
      <c r="J196" s="75" t="n"/>
      <c r="K196" s="75" t="n"/>
      <c r="L196" s="75" t="n"/>
      <c r="M196" s="75" t="n"/>
      <c r="N196" s="75" t="n"/>
      <c r="O196" s="75" t="n"/>
      <c r="P196" s="75" t="n"/>
      <c r="Q196" s="75" t="n"/>
    </row>
    <row r="197" ht="18" customHeight="1">
      <c r="A197" s="49">
        <f>IF('İş Planı'!$C197="","",'İş Planı'!$C197)</f>
        <v/>
      </c>
      <c r="B197" s="49">
        <f>IF('İş Planı'!$B197="","",'İş Planı'!$B197)</f>
        <v/>
      </c>
      <c r="C197" s="63">
        <f>IF('İş Planı'!$H197="","",'İş Planı'!$H197)</f>
        <v/>
      </c>
      <c r="D197" s="63">
        <f>IF('İş Planı'!$L197="","",'İş Planı'!$L197)</f>
        <v/>
      </c>
      <c r="E197" s="62">
        <f>IF('İş Planı'!$N197="","",'İş Planı'!$N197)</f>
        <v/>
      </c>
      <c r="F197" s="75" t="n"/>
      <c r="G197" s="75" t="n"/>
      <c r="H197" s="75" t="n"/>
      <c r="I197" s="75" t="n"/>
      <c r="J197" s="75" t="n"/>
      <c r="K197" s="75" t="n"/>
      <c r="L197" s="75" t="n"/>
      <c r="M197" s="75" t="n"/>
      <c r="N197" s="75" t="n"/>
      <c r="O197" s="75" t="n"/>
      <c r="P197" s="75" t="n"/>
      <c r="Q197" s="75" t="n"/>
    </row>
    <row r="198" ht="18" customHeight="1">
      <c r="A198" s="49">
        <f>IF('İş Planı'!$C198="","",'İş Planı'!$C198)</f>
        <v/>
      </c>
      <c r="B198" s="49">
        <f>IF('İş Planı'!$B198="","",'İş Planı'!$B198)</f>
        <v/>
      </c>
      <c r="C198" s="63">
        <f>IF('İş Planı'!$H198="","",'İş Planı'!$H198)</f>
        <v/>
      </c>
      <c r="D198" s="63">
        <f>IF('İş Planı'!$L198="","",'İş Planı'!$L198)</f>
        <v/>
      </c>
      <c r="E198" s="62">
        <f>IF('İş Planı'!$N198="","",'İş Planı'!$N198)</f>
        <v/>
      </c>
      <c r="F198" s="75" t="n"/>
      <c r="G198" s="75" t="n"/>
      <c r="H198" s="75" t="n"/>
      <c r="I198" s="75" t="n"/>
      <c r="J198" s="75" t="n"/>
      <c r="K198" s="75" t="n"/>
      <c r="L198" s="75" t="n"/>
      <c r="M198" s="75" t="n"/>
      <c r="N198" s="75" t="n"/>
      <c r="O198" s="75" t="n"/>
      <c r="P198" s="75" t="n"/>
      <c r="Q198" s="75" t="n"/>
    </row>
    <row r="199" ht="18" customHeight="1">
      <c r="A199" s="49">
        <f>IF('İş Planı'!$C199="","",'İş Planı'!$C199)</f>
        <v/>
      </c>
      <c r="B199" s="49">
        <f>IF('İş Planı'!$B199="","",'İş Planı'!$B199)</f>
        <v/>
      </c>
      <c r="C199" s="63">
        <f>IF('İş Planı'!$H199="","",'İş Planı'!$H199)</f>
        <v/>
      </c>
      <c r="D199" s="63">
        <f>IF('İş Planı'!$L199="","",'İş Planı'!$L199)</f>
        <v/>
      </c>
      <c r="E199" s="62">
        <f>IF('İş Planı'!$N199="","",'İş Planı'!$N199)</f>
        <v/>
      </c>
      <c r="F199" s="75" t="n"/>
      <c r="G199" s="75" t="n"/>
      <c r="H199" s="75" t="n"/>
      <c r="I199" s="75" t="n"/>
      <c r="J199" s="75" t="n"/>
      <c r="K199" s="75" t="n"/>
      <c r="L199" s="75" t="n"/>
      <c r="M199" s="75" t="n"/>
      <c r="N199" s="75" t="n"/>
      <c r="O199" s="75" t="n"/>
      <c r="P199" s="75" t="n"/>
      <c r="Q199" s="75" t="n"/>
    </row>
    <row r="200" ht="18" customHeight="1">
      <c r="A200" s="49">
        <f>IF('İş Planı'!$C200="","",'İş Planı'!$C200)</f>
        <v/>
      </c>
      <c r="B200" s="49">
        <f>IF('İş Planı'!$B200="","",'İş Planı'!$B200)</f>
        <v/>
      </c>
      <c r="C200" s="63">
        <f>IF('İş Planı'!$H200="","",'İş Planı'!$H200)</f>
        <v/>
      </c>
      <c r="D200" s="63">
        <f>IF('İş Planı'!$L200="","",'İş Planı'!$L200)</f>
        <v/>
      </c>
      <c r="E200" s="62">
        <f>IF('İş Planı'!$N200="","",'İş Planı'!$N200)</f>
        <v/>
      </c>
      <c r="F200" s="75" t="n"/>
      <c r="G200" s="75" t="n"/>
      <c r="H200" s="75" t="n"/>
      <c r="I200" s="75" t="n"/>
      <c r="J200" s="75" t="n"/>
      <c r="K200" s="75" t="n"/>
      <c r="L200" s="75" t="n"/>
      <c r="M200" s="75" t="n"/>
      <c r="N200" s="75" t="n"/>
      <c r="O200" s="75" t="n"/>
      <c r="P200" s="75" t="n"/>
      <c r="Q200" s="75" t="n"/>
    </row>
    <row r="201" ht="18" customHeight="1">
      <c r="A201" s="49">
        <f>IF('İş Planı'!$C201="","",'İş Planı'!$C201)</f>
        <v/>
      </c>
      <c r="B201" s="49">
        <f>IF('İş Planı'!$B201="","",'İş Planı'!$B201)</f>
        <v/>
      </c>
      <c r="C201" s="63">
        <f>IF('İş Planı'!$H201="","",'İş Planı'!$H201)</f>
        <v/>
      </c>
      <c r="D201" s="63">
        <f>IF('İş Planı'!$L201="","",'İş Planı'!$L201)</f>
        <v/>
      </c>
      <c r="E201" s="62">
        <f>IF('İş Planı'!$N201="","",'İş Planı'!$N201)</f>
        <v/>
      </c>
      <c r="F201" s="75" t="n"/>
      <c r="G201" s="75" t="n"/>
      <c r="H201" s="75" t="n"/>
      <c r="I201" s="75" t="n"/>
      <c r="J201" s="75" t="n"/>
      <c r="K201" s="75" t="n"/>
      <c r="L201" s="75" t="n"/>
      <c r="M201" s="75" t="n"/>
      <c r="N201" s="75" t="n"/>
      <c r="O201" s="75" t="n"/>
      <c r="P201" s="75" t="n"/>
      <c r="Q201" s="75" t="n"/>
    </row>
    <row r="202" ht="18" customHeight="1">
      <c r="A202" s="49">
        <f>IF('İş Planı'!$C202="","",'İş Planı'!$C202)</f>
        <v/>
      </c>
      <c r="B202" s="49">
        <f>IF('İş Planı'!$B202="","",'İş Planı'!$B202)</f>
        <v/>
      </c>
      <c r="C202" s="63">
        <f>IF('İş Planı'!$H202="","",'İş Planı'!$H202)</f>
        <v/>
      </c>
      <c r="D202" s="63">
        <f>IF('İş Planı'!$L202="","",'İş Planı'!$L202)</f>
        <v/>
      </c>
      <c r="E202" s="62">
        <f>IF('İş Planı'!$N202="","",'İş Planı'!$N202)</f>
        <v/>
      </c>
      <c r="F202" s="75" t="n"/>
      <c r="G202" s="75" t="n"/>
      <c r="H202" s="75" t="n"/>
      <c r="I202" s="75" t="n"/>
      <c r="J202" s="75" t="n"/>
      <c r="K202" s="75" t="n"/>
      <c r="L202" s="75" t="n"/>
      <c r="M202" s="75" t="n"/>
      <c r="N202" s="75" t="n"/>
      <c r="O202" s="75" t="n"/>
      <c r="P202" s="75" t="n"/>
      <c r="Q202" s="75" t="n"/>
    </row>
    <row r="203" ht="18" customHeight="1">
      <c r="A203" s="49">
        <f>IF('İş Planı'!$C203="","",'İş Planı'!$C203)</f>
        <v/>
      </c>
      <c r="B203" s="49">
        <f>IF('İş Planı'!$B203="","",'İş Planı'!$B203)</f>
        <v/>
      </c>
      <c r="C203" s="63">
        <f>IF('İş Planı'!$H203="","",'İş Planı'!$H203)</f>
        <v/>
      </c>
      <c r="D203" s="63">
        <f>IF('İş Planı'!$L203="","",'İş Planı'!$L203)</f>
        <v/>
      </c>
      <c r="E203" s="62">
        <f>IF('İş Planı'!$N203="","",'İş Planı'!$N203)</f>
        <v/>
      </c>
      <c r="F203" s="75" t="n"/>
      <c r="G203" s="75" t="n"/>
      <c r="H203" s="75" t="n"/>
      <c r="I203" s="75" t="n"/>
      <c r="J203" s="75" t="n"/>
      <c r="K203" s="75" t="n"/>
      <c r="L203" s="75" t="n"/>
      <c r="M203" s="75" t="n"/>
      <c r="N203" s="75" t="n"/>
      <c r="O203" s="75" t="n"/>
      <c r="P203" s="75" t="n"/>
      <c r="Q203" s="75" t="n"/>
    </row>
    <row r="204" ht="18" customHeight="1">
      <c r="A204" s="49">
        <f>IF('İş Planı'!$C204="","",'İş Planı'!$C204)</f>
        <v/>
      </c>
      <c r="B204" s="49">
        <f>IF('İş Planı'!$B204="","",'İş Planı'!$B204)</f>
        <v/>
      </c>
      <c r="C204" s="63">
        <f>IF('İş Planı'!$H204="","",'İş Planı'!$H204)</f>
        <v/>
      </c>
      <c r="D204" s="63">
        <f>IF('İş Planı'!$L204="","",'İş Planı'!$L204)</f>
        <v/>
      </c>
      <c r="E204" s="62">
        <f>IF('İş Planı'!$N204="","",'İş Planı'!$N204)</f>
        <v/>
      </c>
      <c r="F204" s="75" t="n"/>
      <c r="G204" s="75" t="n"/>
      <c r="H204" s="75" t="n"/>
      <c r="I204" s="75" t="n"/>
      <c r="J204" s="75" t="n"/>
      <c r="K204" s="75" t="n"/>
      <c r="L204" s="75" t="n"/>
      <c r="M204" s="75" t="n"/>
      <c r="N204" s="75" t="n"/>
      <c r="O204" s="75" t="n"/>
      <c r="P204" s="75" t="n"/>
      <c r="Q204" s="75" t="n"/>
    </row>
  </sheetData>
  <mergeCells count="6">
    <mergeCell ref="C3:C4"/>
    <mergeCell ref="B3:B4"/>
    <mergeCell ref="A3:A4"/>
    <mergeCell ref="E3:E4"/>
    <mergeCell ref="D3:D4"/>
    <mergeCell ref="A1:Q2"/>
  </mergeCells>
  <conditionalFormatting sqref="F5:Q204">
    <cfRule type="expression" priority="1" dxfId="8">
      <formula>AND($E5="Planlanan",$C5&lt;&gt;"",$D5&lt;&gt;"",F$4&lt;=$D5,EOMONTH(F$4,0)&gt;=$C5)</formula>
    </cfRule>
    <cfRule type="expression" priority="2" dxfId="9">
      <formula>AND($E5="Devam Ediyor",$C5&lt;&gt;"",$D5&lt;&gt;"",F$4&lt;=$D5,EOMONTH(F$4,0)&gt;=$C5)</formula>
    </cfRule>
    <cfRule type="expression" priority="3" dxfId="10">
      <formula>AND($E5="Tamamlandı",$C5&lt;&gt;"",$D5&lt;&gt;"",F$4&lt;=$D5,EOMONTH(F$4,0)&gt;=$C5)</formula>
    </cfRule>
    <cfRule type="expression" priority="4" dxfId="11">
      <formula>AND($E5="Gecikmiş",$C5&lt;&gt;"",$D5&lt;&gt;"",F$4&lt;=$D5,EOMONTH(F$4,0)&gt;=$C5)</formula>
    </cfRule>
    <cfRule type="expression" priority="5" dxfId="8">
      <formula>AND($E5="",$C5&lt;&gt;"",$D5&lt;&gt;"",F$4&lt;=$D5,EOMONTH(F$4,0)&gt;=$C5)</formula>
    </cfRule>
  </conditionalFormatting>
  <conditionalFormatting sqref="F4:Q204">
    <cfRule type="expression" priority="6" dxfId="12">
      <formula>AND(TODAY()&gt;=F$4,TODAY()&lt;=EOMONTH(F$4,0))</formula>
    </cfRule>
  </conditionalFormatting>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sheetPr>
  <dimension ref="B2:K63"/>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2">
      <c r="B2" s="57" t="inlineStr">
        <is>
          <t>KULLANIM KILAVUZU</t>
        </is>
      </c>
      <c r="C2" s="2" t="n"/>
      <c r="D2" s="2" t="n"/>
      <c r="E2" s="2" t="n"/>
      <c r="F2" s="2" t="n"/>
      <c r="G2" s="2" t="n"/>
      <c r="H2" s="2" t="n"/>
      <c r="I2" s="2" t="n"/>
      <c r="J2" s="2" t="n"/>
      <c r="K2" s="2" t="n"/>
    </row>
    <row r="3">
      <c r="B3" s="2" t="n"/>
      <c r="C3" s="2" t="n"/>
      <c r="D3" s="2" t="n"/>
      <c r="E3" s="2" t="n"/>
      <c r="F3" s="2" t="n"/>
      <c r="G3" s="2" t="n"/>
      <c r="H3" s="2" t="n"/>
      <c r="I3" s="2" t="n"/>
      <c r="J3" s="2" t="n"/>
      <c r="K3" s="2" t="n"/>
    </row>
    <row r="5">
      <c r="B5" s="76" t="inlineStr">
        <is>
          <t>1. Veri girişi</t>
        </is>
      </c>
      <c r="C5" s="77" t="inlineStr">
        <is>
          <t>'İş Planı' sayfasında yalnızca beyaz hücrelere yazın: Grup, İş Kalemi, Sorumlu 1-3, Öncelik, Başlangıç, Bitiş, Gecikme (Gün), İlerleme %, Gecikme Sebebi ve Karar / Not. Durum sütunu artık elle doldurulmaz - aşağıdaki 4. maddeye bakın.</t>
        </is>
      </c>
    </row>
    <row r="6"/>
    <row r="7"/>
    <row r="9">
      <c r="B9" s="76" t="inlineStr">
        <is>
          <t>2. Karar / Not sütunu</t>
        </is>
      </c>
      <c r="C9" s="77" t="inlineStr">
        <is>
          <t>Toplantı kararları, mutabakat notları, referans verilen rapor adları gibi serbest metinler için ayrılmıştır. Metin kaydırmalı olduğundan uzun notlarda satır yüksekliğini artırmanız yeterlidir. Hesaplamalara ve grafiklere dahil edilmez.</t>
        </is>
      </c>
    </row>
    <row r="10"/>
    <row r="11"/>
    <row r="13">
      <c r="B13" s="76" t="inlineStr">
        <is>
          <t>3. Otomatik alanlar</t>
        </is>
      </c>
      <c r="C13" s="77" t="inlineStr">
        <is>
          <t>Gri hücreler (No, Süre, Revize Bitiş, Durum, Uyarı) formüllüdür; elle değiştirmeyin. Revize Bitiş = Bitiş + Gecikme. Uyarı sütunu geciken işlerde kaç gün geçtiğini, yaklaşan işlerde kaç gün kaldığını yazar.</t>
        </is>
      </c>
    </row>
    <row r="14"/>
    <row r="15"/>
    <row r="17">
      <c r="B17" s="76" t="inlineStr">
        <is>
          <t>4. Durum nasıl belirlenir?</t>
        </is>
      </c>
      <c r="C17" s="77" t="inlineStr">
        <is>
          <t>Durum sütunu elle doldurulmaz; her satır için şu sıra ile hesaplanır: (1) İlerleme % = 100 ise TAMAMLANDI - tarihi geçmiş olsa bile. (2) Değilse ve Revize Bitiş tarihi bugünü geçmişse GECİKMİŞ. (3) Değilse ve ilerleme başlamışsa veya Başlangıç tarihi gelmişse DEVAM EDİYOR. (4) Hiçbiri değilse PLANLANAN. Bir işi kapatmak için tek yapmanız gereken İlerleme % hücresine 100% yazmaktır. Gecikme (Gün) girdiğinizde Revize Bitiş ileri kayacağı için iş otomatik olarak gecikmiş sayılmaktan çıkar. Gantt renkleri ve Yönetici Özeti'ndeki tüm grafikler bu sütunu kullanır.</t>
        </is>
      </c>
    </row>
    <row r="18"/>
    <row r="19"/>
    <row r="21">
      <c r="B21" s="76" t="inlineStr">
        <is>
          <t>5. Açılır listeler</t>
        </is>
      </c>
      <c r="C21" s="77" t="inlineStr">
        <is>
          <t>Grup, Sorumlu 1-3, Öncelik ve Durum listeleri 'Listeler' sayfasından gelir. Yeni bir denetim başlığı veya kişi eklemek için o sütundaki ilk boş hücreye yazın; liste tüm satırlarda anında güncellenir. Denetim başlıkları için B4:B43 aralığı (40 başlık) tanımlıdır ve Yönetici Özeti'ndeki üç kırılım grafiği doğrudan bu aralığı okur. Durum sütunu artık açılır liste değildir; Listeler'deki dört durum adı yalnızca referans olarak durur.</t>
        </is>
      </c>
    </row>
    <row r="22"/>
    <row r="23"/>
    <row r="25">
      <c r="B25" s="76" t="inlineStr">
        <is>
          <t>6. Gantt sayfaları</t>
        </is>
      </c>
      <c r="C25" s="77" t="inlineStr">
        <is>
          <t>Haftalık (52 sütun) ve Aylık (12 sütun) Gantt, 'İş Planı' verisinden otomatik boyanır. Renk, satırın Durum değerine göre seçilir. Kırmızı dikey çizgi bugünü gösterir.</t>
        </is>
      </c>
    </row>
    <row r="26"/>
    <row r="27"/>
    <row r="29">
      <c r="B29" s="76" t="inlineStr">
        <is>
          <t>7. İlerleme eğrileri</t>
        </is>
      </c>
      <c r="C29" s="77" t="inlineStr">
        <is>
          <t>Planlanan eğrisi, Revize Bitiş tarihi o hafta/ay sonuna kadar olan iş sayısının kümülatif toplamıdır. Gerçekleşen eğrisi ise bunlardan Durum'u 'Tamamlandı' olanları sayar. VARSAYIM: ayrı bir fiili tamamlanma tarihi sütunu tutulmadığından, tamamlanan işler Revize Bitiş tarihinde bitmiş kabul edilir. Fiili tarih takibi isterseniz bir sütun daha eklenmelidir.</t>
        </is>
      </c>
    </row>
    <row r="30"/>
    <row r="31"/>
    <row r="33">
      <c r="B33" s="76" t="inlineStr">
        <is>
          <t>8. Denetim başlığı grafikleri</t>
        </is>
      </c>
      <c r="C33" s="77" t="inlineStr">
        <is>
          <t>Üç grafik de 'Listeler' sayfasındaki denetim başlıklarından, yalnızca İş Planı'nda fiilen kullanılanları, liste sırasıyla ve en fazla 20 tanesini gösterir. Listeler sayfasında bir başlık eklediğinizde, sildiğinizde veya adını değiştirdiğinizde üç grafik de kendiliğinden yeniden dizilir - grafik veya formül düzenlemeniz gerekmez. Bir başlığı Listeler'den silerseniz ama İş Planı'nda o başlıkla kayıtlı işler kalırsa, o işler bu üç grafikte görünmez; KPI kartlarındaki toplamlarda ise sayılmaya devam eder.</t>
        </is>
      </c>
    </row>
    <row r="34"/>
    <row r="35"/>
    <row r="37">
      <c r="B37" s="76" t="inlineStr">
        <is>
          <t>9. Kişi bazlı iş yükü</t>
        </is>
      </c>
      <c r="C37" s="77" t="inlineStr">
        <is>
          <t>Sorumlu 1, 2 ve 3 sütunlarının üçü birden sayılır: bir işte üç kişi varsa yük üçüne de yazılır. Mavi bölüm açık işleri (Planlanan + Devam Ediyor), kırmızı bölüm süresi geçmiş işleri gösterir; tamamlanan işler yüke dahil edilmez. Grafik yalnızca kendisine iş atanmış kişileri listeler ve Listeler sayfasındaki kişi listesini değiştirdiğinizde kendiliğinden güncellenir.</t>
        </is>
      </c>
    </row>
    <row r="38"/>
    <row r="39"/>
    <row r="41">
      <c r="B41" s="76" t="inlineStr">
        <is>
          <t>10. Gecikme analizi</t>
        </is>
      </c>
      <c r="C41" s="77" t="inlineStr">
        <is>
          <t>Bir işin gecikmesi, elle girdiğiniz Gecikme (Gün) ile orijinal Bitiş tarihinin bugüne göre aşımından hangisi büyükse odur. Yani gecikme günü yazmasanız da süresi geçen işler bu grafikte görünür.</t>
        </is>
      </c>
    </row>
    <row r="42"/>
    <row r="43"/>
    <row r="45">
      <c r="B45" s="76" t="inlineStr">
        <is>
          <t>11. Satır eklemek</t>
        </is>
      </c>
      <c r="C45" s="77" t="inlineStr">
        <is>
          <t>Satır 204'e kadar (toplam 200 iş kalemi) hazır boş satır vardır. Daha fazlası için son veri satırını kopyalayıp aşağı yapıştırın, ardından gizli 'Hesap' sayfasındaki formüllerde geçen 204 satır numarasını büyütün.</t>
        </is>
      </c>
    </row>
    <row r="46"/>
    <row r="47"/>
    <row r="49">
      <c r="B49" s="76" t="inlineStr">
        <is>
          <t>12. Filtreleme ve yazdırma</t>
        </is>
      </c>
      <c r="C49" s="77" t="inlineStr">
        <is>
          <t>'İş Planı' başlıklarındaki filtre oklarıyla gruba, sorumluya, önceliğe veya duruma göre süzebilirsiniz. Yönetici Özeti ve Gantt sayfaları yatay ve tek sayfaya sığdırılmış olarak yazdırmaya hazırdır.</t>
        </is>
      </c>
    </row>
    <row r="50"/>
    <row r="51"/>
    <row r="54">
      <c r="B54" s="41" t="inlineStr">
        <is>
          <t>RENK LEJANDI</t>
        </is>
      </c>
    </row>
    <row r="55">
      <c r="B55" s="78" t="n"/>
      <c r="C55" s="79" t="inlineStr">
        <is>
          <t>Planlanan</t>
        </is>
      </c>
    </row>
    <row r="56">
      <c r="B56" s="80" t="n"/>
      <c r="C56" s="79" t="inlineStr">
        <is>
          <t>Devam Ediyor</t>
        </is>
      </c>
    </row>
    <row r="57">
      <c r="B57" s="81" t="n"/>
      <c r="C57" s="79" t="inlineStr">
        <is>
          <t>Tamamlandı</t>
        </is>
      </c>
    </row>
    <row r="58">
      <c r="B58" s="82" t="n"/>
      <c r="C58" s="79" t="inlineStr">
        <is>
          <t>Gecikmiş</t>
        </is>
      </c>
    </row>
    <row r="59">
      <c r="B59" s="83" t="n"/>
      <c r="C59" s="84" t="inlineStr">
        <is>
          <t>Otomatik hesaplanan hücre</t>
        </is>
      </c>
    </row>
    <row r="60">
      <c r="B60" s="85" t="n"/>
      <c r="C60" s="84" t="inlineStr">
        <is>
          <t>Veri girişi yapılacak hücre</t>
        </is>
      </c>
    </row>
    <row r="62">
      <c r="B62" s="86" t="inlineStr">
        <is>
          <t>Kaynak: denetim başlıkları, kişi ve öncelik listeleri ile mevcut iş kalemleri kullanıcının 2026_Yillik_taslak.xlsx dosyasından alınmıştır; boş 36. satır kaldırılmış, 24. satırın silinmiş formülleri geri yüklenmiştir.</t>
        </is>
      </c>
    </row>
    <row r="63"/>
  </sheetData>
  <mergeCells count="14">
    <mergeCell ref="C29:K31"/>
    <mergeCell ref="C37:K39"/>
    <mergeCell ref="C9:K11"/>
    <mergeCell ref="C33:K35"/>
    <mergeCell ref="B62:K63"/>
    <mergeCell ref="C41:K43"/>
    <mergeCell ref="C49:K51"/>
    <mergeCell ref="C45:K47"/>
    <mergeCell ref="C13:K15"/>
    <mergeCell ref="C21:K23"/>
    <mergeCell ref="C17:K19"/>
    <mergeCell ref="B2:K3"/>
    <mergeCell ref="C25:K27"/>
    <mergeCell ref="C5: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2026-09-07T06:16:30Z</dcterms:created>
  <dcterms:modified xmlns:dcterms="http://purl.org/dc/terms/" xmlns:xsi="http://www.w3.org/2001/XMLSchema-instance" xsi:type="dcterms:W3CDTF">2026-09-07T06:16:31Z</dcterms:modified>
</cp:coreProperties>
</file>