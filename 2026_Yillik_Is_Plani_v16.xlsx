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önetici Özeti" sheetId="1" state="visible" r:id="rId1"/>
    <sheet xmlns:r="http://schemas.openxmlformats.org/officeDocument/2006/relationships" name="Listeler" sheetId="2" state="visible" r:id="rId2"/>
    <sheet xmlns:r="http://schemas.openxmlformats.org/officeDocument/2006/relationships" name="Hesap" sheetId="3" state="visible" r:id="rId3"/>
    <sheet xmlns:r="http://schemas.openxmlformats.org/officeDocument/2006/relationships" name="İş Planı" sheetId="4" state="visible" r:id="rId4"/>
    <sheet xmlns:r="http://schemas.openxmlformats.org/officeDocument/2006/relationships" name="Gantt Haftalık" sheetId="5" state="visible" r:id="rId5"/>
    <sheet xmlns:r="http://schemas.openxmlformats.org/officeDocument/2006/relationships" name="Gantt Aylık" sheetId="6" state="visible" r:id="rId6"/>
    <sheet xmlns:r="http://schemas.openxmlformats.org/officeDocument/2006/relationships" name="Kılavuz" sheetId="7" state="visible" r:id="rId7"/>
  </sheets>
  <definedNames>
    <definedName name="_xlnm.Print_Area" localSheetId="0">'Yönetici Özeti'!$A$1:$BN$188</definedName>
    <definedName name="_xlnm._FilterDatabase" localSheetId="3" hidden="1">'İş Planı'!$A$4:$V$204</definedName>
    <definedName name="_xlnm.Print_Titles" localSheetId="3">'İş Planı'!$4:$4</definedName>
    <definedName name="_xlnm.Print_Titles" localSheetId="4">'Gantt Haftalık'!$3:$4</definedName>
    <definedName name="_xlnm.Print_Titles" localSheetId="5">'Gantt Aylık'!$3:$4</definedName>
  </definedNames>
  <calcPr calcId="124519" fullCalcOnLoad="1"/>
</workbook>
</file>

<file path=xl/styles.xml><?xml version="1.0" encoding="utf-8"?>
<styleSheet xmlns="http://schemas.openxmlformats.org/spreadsheetml/2006/main">
  <numFmts count="3">
    <numFmt numFmtId="164" formatCode="DD.MM.YYYY"/>
    <numFmt numFmtId="165" formatCode="yyyy-mm-dd"/>
    <numFmt numFmtId="166" formatCode="DD.MM"/>
  </numFmts>
  <fonts count="26">
    <font>
      <name val="Calibri"/>
      <family val="2"/>
      <color theme="1"/>
      <sz val="11"/>
      <scheme val="minor"/>
    </font>
    <font>
      <name val="Arial"/>
      <b val="1"/>
      <color rgb="FFFFFFFF"/>
      <sz val="14"/>
    </font>
    <font>
      <name val="Arial"/>
      <b val="1"/>
      <color rgb="FFFFFFFF"/>
      <sz val="10"/>
    </font>
    <font>
      <name val="Arial"/>
      <color rgb="FF1F2933"/>
      <sz val="10"/>
    </font>
    <font>
      <name val="Arial"/>
      <b val="1"/>
      <color rgb="FFFFFFFF"/>
      <sz val="12"/>
    </font>
    <font>
      <name val="Arial"/>
      <b val="1"/>
      <color rgb="FF1E5A8A"/>
      <sz val="10"/>
    </font>
    <font>
      <name val="Arial"/>
      <i val="1"/>
      <color rgb="FF5B6B7C"/>
      <sz val="9"/>
    </font>
    <font>
      <name val="Arial"/>
      <i val="1"/>
      <color rgb="FF5B6B7C"/>
      <sz val="8"/>
    </font>
    <font>
      <name val="Arial"/>
      <b val="1"/>
      <color rgb="FFFFFFFF"/>
      <sz val="15"/>
    </font>
    <font>
      <name val="Arial"/>
      <color rgb="FF5B6B7C"/>
      <sz val="10"/>
    </font>
    <font>
      <name val="Arial"/>
      <color rgb="FF5B6B7C"/>
      <sz val="8"/>
    </font>
    <font>
      <name val="Arial"/>
      <b val="1"/>
      <color rgb="FFFFFFFF"/>
      <sz val="9"/>
    </font>
    <font>
      <name val="Arial"/>
      <b val="1"/>
      <color rgb="FF1F2933"/>
      <sz val="8"/>
    </font>
    <font>
      <name val="Arial"/>
      <color rgb="FF5B6B7C"/>
      <sz val="9"/>
    </font>
    <font>
      <name val="Arial"/>
      <b val="1"/>
      <color rgb="FFFFFFFF"/>
      <sz val="18"/>
    </font>
    <font>
      <name val="Arial"/>
      <color rgb="FFFFFFFF"/>
      <sz val="9"/>
    </font>
    <font>
      <name val="Arial"/>
      <b val="1"/>
      <color rgb="FF5B6B7C"/>
      <sz val="7"/>
    </font>
    <font>
      <name val="Arial"/>
      <b val="1"/>
      <color rgb="FF2E75B6"/>
      <sz val="20"/>
    </font>
    <font>
      <name val="Arial"/>
      <color rgb="FF5B6B7C"/>
      <sz val="7"/>
    </font>
    <font>
      <name val="Arial"/>
      <b val="1"/>
      <color rgb="FF5B6B7C"/>
      <sz val="20"/>
    </font>
    <font>
      <name val="Arial"/>
      <b val="1"/>
      <color rgb="FFE8A33D"/>
      <sz val="20"/>
    </font>
    <font>
      <name val="Arial"/>
      <b val="1"/>
      <color rgb="FF0E7A50"/>
      <sz val="20"/>
    </font>
    <font>
      <name val="Arial"/>
      <b val="1"/>
      <color rgb="FFF0736B"/>
      <sz val="20"/>
    </font>
    <font>
      <name val="Arial"/>
      <b val="1"/>
      <color rgb="FF1E5A8A"/>
      <sz val="20"/>
    </font>
    <font>
      <name val="Arial"/>
      <b val="1"/>
      <color rgb="FFB3261E"/>
      <sz val="20"/>
    </font>
    <font>
      <name val="Arial"/>
      <b val="1"/>
      <color rgb="FF1E5A8A"/>
      <sz val="11"/>
    </font>
  </fonts>
  <fills count="12">
    <fill>
      <patternFill/>
    </fill>
    <fill>
      <patternFill patternType="gray125"/>
    </fill>
    <fill>
      <patternFill patternType="solid">
        <fgColor rgb="FF1E5A8A"/>
      </patternFill>
    </fill>
    <fill>
      <patternFill patternType="solid">
        <fgColor rgb="FF2E75B6"/>
      </patternFill>
    </fill>
    <fill>
      <patternFill patternType="solid">
        <fgColor rgb="FFFFFFFF"/>
      </patternFill>
    </fill>
    <fill>
      <patternFill patternType="solid">
        <fgColor rgb="FFF2F4F7"/>
      </patternFill>
    </fill>
    <fill>
      <patternFill patternType="solid">
        <fgColor rgb="FFEEF4FA"/>
      </patternFill>
    </fill>
    <fill>
      <patternFill patternType="solid">
        <fgColor rgb="FFFCFCFB"/>
      </patternFill>
    </fill>
    <fill>
      <patternFill patternType="solid">
        <fgColor rgb="FF8A94A6"/>
      </patternFill>
    </fill>
    <fill>
      <patternFill patternType="solid">
        <fgColor rgb="FFE8A33D"/>
      </patternFill>
    </fill>
    <fill>
      <patternFill patternType="solid">
        <fgColor rgb="FF0E7A50"/>
      </patternFill>
    </fill>
    <fill>
      <patternFill patternType="solid">
        <fgColor rgb="FFF0736B"/>
      </patternFill>
    </fill>
  </fills>
  <borders count="36">
    <border>
      <left/>
      <right/>
      <top/>
      <bottom/>
      <diagonal/>
    </border>
    <border>
      <left style="thin">
        <color rgb="FFD9DEE5"/>
      </left>
      <right style="thin">
        <color rgb="FFD9DEE5"/>
      </right>
      <top style="thin">
        <color rgb="FFD9DEE5"/>
      </top>
      <bottom style="thin">
        <color rgb="FFD9DEE5"/>
      </bottom>
    </border>
    <border>
      <top style="medium">
        <color rgb="FF2E75B6"/>
      </top>
    </border>
    <border>
      <left style="thin">
        <color rgb="FFD9DEE5"/>
      </left>
      <right/>
      <top/>
      <bottom/>
      <diagonal/>
    </border>
    <border>
      <left style="thin">
        <color rgb="FFD9DEE5"/>
      </left>
      <right style="thin">
        <color rgb="FFD9DEE5"/>
      </right>
      <top/>
      <bottom/>
      <diagonal/>
    </border>
    <border>
      <left style="thin">
        <color rgb="FFD9DEE5"/>
      </left>
      <right style="thin">
        <color rgb="FFD9DEE5"/>
      </right>
      <top/>
      <bottom style="thin">
        <color rgb="FFD9DEE5"/>
      </bottom>
      <diagonal/>
    </border>
    <border>
      <left style="thin">
        <color rgb="FFD9DEE5"/>
      </left>
      <top style="thick">
        <color rgb="FF2E75B6"/>
      </top>
    </border>
    <border>
      <left style="thin">
        <color rgb="FFD9DEE5"/>
      </left>
    </border>
    <border>
      <left style="thin">
        <color rgb="FFD9DEE5"/>
      </left>
      <bottom style="thin">
        <color rgb="FFD9DEE5"/>
      </bottom>
    </border>
    <border>
      <top style="thick">
        <color rgb="FF2E75B6"/>
      </top>
    </border>
    <border/>
    <border>
      <bottom style="thin">
        <color rgb="FFD9DEE5"/>
      </bottom>
    </border>
    <border>
      <right style="thin">
        <color rgb="FFD9DEE5"/>
      </right>
      <top style="thick">
        <color rgb="FF2E75B6"/>
      </top>
    </border>
    <border>
      <right style="thin">
        <color rgb="FFD9DEE5"/>
      </right>
    </border>
    <border>
      <right style="thin">
        <color rgb="FFD9DEE5"/>
      </right>
      <bottom style="thin">
        <color rgb="FFD9DEE5"/>
      </bottom>
    </border>
    <border>
      <left style="thin">
        <color rgb="FFD9DEE5"/>
      </left>
      <right style="thin">
        <color rgb="FFD9DEE5"/>
      </right>
    </border>
    <border>
      <left/>
      <right style="thin">
        <color rgb="FFD9DEE5"/>
      </right>
      <top/>
      <bottom/>
      <diagonal/>
    </border>
    <border>
      <left style="thin">
        <color rgb="FFD9DEE5"/>
      </left>
      <top style="thick">
        <color rgb="FF5B6B7C"/>
      </top>
    </border>
    <border>
      <top style="thick">
        <color rgb="FF5B6B7C"/>
      </top>
    </border>
    <border>
      <right style="thin">
        <color rgb="FFD9DEE5"/>
      </right>
      <top style="thick">
        <color rgb="FF5B6B7C"/>
      </top>
    </border>
    <border>
      <left style="thin">
        <color rgb="FFD9DEE5"/>
      </left>
      <top style="thick">
        <color rgb="FFE8A33D"/>
      </top>
    </border>
    <border>
      <top style="thick">
        <color rgb="FFE8A33D"/>
      </top>
    </border>
    <border>
      <right style="thin">
        <color rgb="FFD9DEE5"/>
      </right>
      <top style="thick">
        <color rgb="FFE8A33D"/>
      </top>
    </border>
    <border>
      <left style="thin">
        <color rgb="FFD9DEE5"/>
      </left>
      <top style="thick">
        <color rgb="FF0E7A50"/>
      </top>
    </border>
    <border>
      <top style="thick">
        <color rgb="FF0E7A50"/>
      </top>
    </border>
    <border>
      <right style="thin">
        <color rgb="FFD9DEE5"/>
      </right>
      <top style="thick">
        <color rgb="FF0E7A50"/>
      </top>
    </border>
    <border>
      <left style="thin">
        <color rgb="FFD9DEE5"/>
      </left>
      <top style="thick">
        <color rgb="FFF0736B"/>
      </top>
    </border>
    <border>
      <top style="thick">
        <color rgb="FFF0736B"/>
      </top>
    </border>
    <border>
      <right style="thin">
        <color rgb="FFD9DEE5"/>
      </right>
      <top style="thick">
        <color rgb="FFF0736B"/>
      </top>
    </border>
    <border>
      <left style="thin">
        <color rgb="FFD9DEE5"/>
      </left>
      <top style="thick">
        <color rgb="FF1E5A8A"/>
      </top>
    </border>
    <border>
      <top style="thick">
        <color rgb="FF1E5A8A"/>
      </top>
    </border>
    <border>
      <right style="thin">
        <color rgb="FFD9DEE5"/>
      </right>
      <top style="thick">
        <color rgb="FF1E5A8A"/>
      </top>
    </border>
    <border>
      <left style="thin">
        <color rgb="FFD9DEE5"/>
      </left>
      <top style="thick">
        <color rgb="FFB3261E"/>
      </top>
    </border>
    <border>
      <top style="thick">
        <color rgb="FFB3261E"/>
      </top>
    </border>
    <border>
      <right style="thin">
        <color rgb="FFD9DEE5"/>
      </right>
      <top style="thick">
        <color rgb="FFB3261E"/>
      </top>
    </border>
    <border>
      <bottom style="medium">
        <color rgb="FF2E75B6"/>
      </bottom>
    </border>
  </borders>
  <cellStyleXfs count="1">
    <xf numFmtId="0" fontId="0" fillId="0" borderId="0"/>
  </cellStyleXfs>
  <cellXfs count="87">
    <xf numFmtId="0" fontId="0" fillId="0" borderId="0" pivotButton="0" quotePrefix="0" xfId="0"/>
    <xf numFmtId="0" fontId="14" fillId="2" borderId="0" applyAlignment="1" pivotButton="0" quotePrefix="0" xfId="0">
      <alignment horizontal="left" vertical="center" indent="2"/>
    </xf>
    <xf numFmtId="0" fontId="0" fillId="2" borderId="0" pivotButton="0" quotePrefix="0" xfId="0"/>
    <xf numFmtId="0" fontId="15" fillId="3" borderId="0" applyAlignment="1" pivotButton="0" quotePrefix="0" xfId="0">
      <alignment horizontal="left" vertical="center" indent="2"/>
    </xf>
    <xf numFmtId="0" fontId="0" fillId="3" borderId="0" pivotButton="0" quotePrefix="0" xfId="0"/>
    <xf numFmtId="0" fontId="0" fillId="4" borderId="6" pivotButton="0" quotePrefix="0" xfId="0"/>
    <xf numFmtId="0" fontId="0" fillId="4" borderId="9" pivotButton="0" quotePrefix="0" xfId="0"/>
    <xf numFmtId="0" fontId="0" fillId="4" borderId="12" pivotButton="0" quotePrefix="0" xfId="0"/>
    <xf numFmtId="0" fontId="0" fillId="4" borderId="17" pivotButton="0" quotePrefix="0" xfId="0"/>
    <xf numFmtId="0" fontId="0" fillId="4" borderId="18" pivotButton="0" quotePrefix="0" xfId="0"/>
    <xf numFmtId="0" fontId="0" fillId="4" borderId="19" pivotButton="0" quotePrefix="0" xfId="0"/>
    <xf numFmtId="0" fontId="0" fillId="4" borderId="20" pivotButton="0" quotePrefix="0" xfId="0"/>
    <xf numFmtId="0" fontId="0" fillId="4" borderId="21" pivotButton="0" quotePrefix="0" xfId="0"/>
    <xf numFmtId="0" fontId="0" fillId="4" borderId="22" pivotButton="0" quotePrefix="0" xfId="0"/>
    <xf numFmtId="0" fontId="0" fillId="4" borderId="23" pivotButton="0" quotePrefix="0" xfId="0"/>
    <xf numFmtId="0" fontId="0" fillId="4" borderId="24" pivotButton="0" quotePrefix="0" xfId="0"/>
    <xf numFmtId="0" fontId="0" fillId="4" borderId="25" pivotButton="0" quotePrefix="0" xfId="0"/>
    <xf numFmtId="0" fontId="0" fillId="4" borderId="26" pivotButton="0" quotePrefix="0" xfId="0"/>
    <xf numFmtId="0" fontId="0" fillId="4" borderId="27" pivotButton="0" quotePrefix="0" xfId="0"/>
    <xf numFmtId="0" fontId="0" fillId="4" borderId="28" pivotButton="0" quotePrefix="0" xfId="0"/>
    <xf numFmtId="0" fontId="0" fillId="4" borderId="29" pivotButton="0" quotePrefix="0" xfId="0"/>
    <xf numFmtId="0" fontId="0" fillId="4" borderId="30" pivotButton="0" quotePrefix="0" xfId="0"/>
    <xf numFmtId="0" fontId="0" fillId="4" borderId="31" pivotButton="0" quotePrefix="0" xfId="0"/>
    <xf numFmtId="0" fontId="0" fillId="4" borderId="32" pivotButton="0" quotePrefix="0" xfId="0"/>
    <xf numFmtId="0" fontId="0" fillId="4" borderId="33" pivotButton="0" quotePrefix="0" xfId="0"/>
    <xf numFmtId="0" fontId="0" fillId="4" borderId="34" pivotButton="0" quotePrefix="0" xfId="0"/>
    <xf numFmtId="0" fontId="16" fillId="4" borderId="15" applyAlignment="1" pivotButton="0" quotePrefix="0" xfId="0">
      <alignment horizontal="center" vertical="center"/>
    </xf>
    <xf numFmtId="0" fontId="0" fillId="0" borderId="16" pivotButton="0" quotePrefix="0" xfId="0"/>
    <xf numFmtId="1" fontId="17" fillId="4" borderId="15" applyAlignment="1" pivotButton="0" quotePrefix="0" xfId="0">
      <alignment horizontal="center" vertical="center"/>
    </xf>
    <xf numFmtId="1" fontId="19" fillId="4" borderId="15" applyAlignment="1" pivotButton="0" quotePrefix="0" xfId="0">
      <alignment horizontal="center" vertical="center"/>
    </xf>
    <xf numFmtId="1" fontId="20" fillId="4" borderId="15" applyAlignment="1" pivotButton="0" quotePrefix="0" xfId="0">
      <alignment horizontal="center" vertical="center"/>
    </xf>
    <xf numFmtId="1" fontId="21" fillId="4" borderId="15" applyAlignment="1" pivotButton="0" quotePrefix="0" xfId="0">
      <alignment horizontal="center" vertical="center"/>
    </xf>
    <xf numFmtId="1" fontId="22" fillId="4" borderId="15" applyAlignment="1" pivotButton="0" quotePrefix="0" xfId="0">
      <alignment horizontal="center" vertical="center"/>
    </xf>
    <xf numFmtId="9" fontId="23" fillId="4" borderId="15" applyAlignment="1" pivotButton="0" quotePrefix="0" xfId="0">
      <alignment horizontal="center" vertical="center"/>
    </xf>
    <xf numFmtId="1" fontId="24" fillId="4" borderId="15" applyAlignment="1" pivotButton="0" quotePrefix="0" xfId="0">
      <alignment horizontal="center" vertical="center"/>
    </xf>
    <xf numFmtId="0" fontId="0" fillId="0" borderId="3" pivotButton="0" quotePrefix="0" xfId="0"/>
    <xf numFmtId="0" fontId="18" fillId="4" borderId="15" applyAlignment="1" pivotButton="0" quotePrefix="0" xfId="0">
      <alignment horizontal="center" vertical="center"/>
    </xf>
    <xf numFmtId="0" fontId="0" fillId="4" borderId="8" pivotButton="0" quotePrefix="0" xfId="0"/>
    <xf numFmtId="0" fontId="0" fillId="4" borderId="11" pivotButton="0" quotePrefix="0" xfId="0"/>
    <xf numFmtId="0" fontId="0" fillId="4" borderId="14" pivotButton="0" quotePrefix="0" xfId="0"/>
    <xf numFmtId="0" fontId="25" fillId="0" borderId="35" applyAlignment="1" pivotButton="0" quotePrefix="0" xfId="0">
      <alignment horizontal="left" vertical="center" indent="1"/>
    </xf>
    <xf numFmtId="0" fontId="0" fillId="0" borderId="35" pivotButton="0" quotePrefix="0" xfId="0"/>
    <xf numFmtId="0" fontId="7" fillId="4" borderId="0" applyAlignment="1" pivotButton="0" quotePrefix="0" xfId="0">
      <alignment horizontal="left" vertical="center" indent="1"/>
    </xf>
    <xf numFmtId="0" fontId="0" fillId="4" borderId="0" pivotButton="0" quotePrefix="0" xfId="0"/>
    <xf numFmtId="0" fontId="7" fillId="0" borderId="0" applyAlignment="1" pivotButton="0" quotePrefix="0" xfId="0">
      <alignment horizontal="left" vertical="center" indent="1"/>
    </xf>
    <xf numFmtId="0" fontId="5" fillId="0" borderId="0" pivotButton="0" quotePrefix="0" xfId="0"/>
    <xf numFmtId="0" fontId="0" fillId="8" borderId="0" pivotButton="0" quotePrefix="0" xfId="0"/>
    <xf numFmtId="0" fontId="3" fillId="0" borderId="0" applyAlignment="1" pivotButton="0" quotePrefix="0" xfId="0">
      <alignment horizontal="left" vertical="center"/>
    </xf>
    <xf numFmtId="0" fontId="0" fillId="9" borderId="0" pivotButton="0" quotePrefix="0" xfId="0"/>
    <xf numFmtId="0" fontId="0" fillId="10" borderId="0" pivotButton="0" quotePrefix="0" xfId="0"/>
    <xf numFmtId="0" fontId="0" fillId="11" borderId="0" pivotButton="0" quotePrefix="0" xfId="0"/>
    <xf numFmtId="0" fontId="1" fillId="2" borderId="0" applyAlignment="1" pivotButton="0" quotePrefix="0" xfId="0">
      <alignment horizontal="left" vertical="center" indent="1"/>
    </xf>
    <xf numFmtId="0" fontId="4" fillId="2" borderId="0" applyAlignment="1" pivotButton="0" quotePrefix="0" xfId="0">
      <alignment horizontal="left" vertical="center" indent="1"/>
    </xf>
    <xf numFmtId="0" fontId="2" fillId="3" borderId="1"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xf>
    <xf numFmtId="1" fontId="3" fillId="4" borderId="1" applyAlignment="1" pivotButton="0" quotePrefix="0" xfId="0">
      <alignment horizontal="center" vertical="center"/>
    </xf>
    <xf numFmtId="0" fontId="5" fillId="0" borderId="2" applyAlignment="1" pivotButton="0" quotePrefix="0" xfId="0">
      <alignment horizontal="center" vertical="center"/>
    </xf>
    <xf numFmtId="0" fontId="6" fillId="0" borderId="0" applyAlignment="1" pivotButton="0" quotePrefix="0" xfId="0">
      <alignment horizontal="left" vertical="top" wrapText="1"/>
    </xf>
    <xf numFmtId="0" fontId="6" fillId="0" borderId="0" pivotButton="0" quotePrefix="0" xfId="0"/>
    <xf numFmtId="0" fontId="2" fillId="2" borderId="0" pivotButton="0" quotePrefix="0" xfId="0"/>
    <xf numFmtId="164" fontId="0" fillId="0" borderId="0" pivotButton="0" quotePrefix="0" xfId="0"/>
    <xf numFmtId="1" fontId="0" fillId="0" borderId="0" pivotButton="0" quotePrefix="0" xfId="0"/>
    <xf numFmtId="166" fontId="0" fillId="0" borderId="0" pivotButton="0" quotePrefix="0" xfId="0"/>
    <xf numFmtId="0" fontId="7" fillId="0" borderId="0" pivotButton="0" quotePrefix="0" xfId="0"/>
    <xf numFmtId="9" fontId="0" fillId="0" borderId="0" pivotButton="0" quotePrefix="0" xfId="0"/>
    <xf numFmtId="0" fontId="8" fillId="2" borderId="0" applyAlignment="1" pivotButton="0" quotePrefix="0" xfId="0">
      <alignment horizontal="left" vertical="center" indent="1"/>
    </xf>
    <xf numFmtId="0" fontId="6" fillId="0" borderId="0" applyAlignment="1" pivotButton="0" quotePrefix="0" xfId="0">
      <alignment horizontal="left" vertical="center" indent="1"/>
    </xf>
    <xf numFmtId="0" fontId="10" fillId="0" borderId="0" pivotButton="0" quotePrefix="0" xfId="0"/>
    <xf numFmtId="0" fontId="9" fillId="5" borderId="1" applyAlignment="1" pivotButton="0" quotePrefix="0" xfId="0">
      <alignment horizontal="center" vertical="center"/>
    </xf>
    <xf numFmtId="0" fontId="3" fillId="4" borderId="1" applyAlignment="1" pivotButton="0" quotePrefix="0" xfId="0">
      <alignment horizontal="left" vertical="top" wrapText="1"/>
    </xf>
    <xf numFmtId="0" fontId="3" fillId="4" borderId="1" applyAlignment="1" pivotButton="0" quotePrefix="0" xfId="0">
      <alignment horizontal="center" vertical="center"/>
    </xf>
    <xf numFmtId="164" fontId="3" fillId="4" borderId="1" applyAlignment="1" pivotButton="0" quotePrefix="0" xfId="0">
      <alignment horizontal="center" vertical="center"/>
    </xf>
    <xf numFmtId="1" fontId="9" fillId="5" borderId="1" applyAlignment="1" pivotButton="0" quotePrefix="0" xfId="0">
      <alignment horizontal="center" vertical="center"/>
    </xf>
    <xf numFmtId="164" fontId="9" fillId="5" borderId="1" applyAlignment="1" pivotButton="0" quotePrefix="0" xfId="0">
      <alignment horizontal="center" vertical="center"/>
    </xf>
    <xf numFmtId="9" fontId="3" fillId="4" borderId="1" applyAlignment="1" pivotButton="0" quotePrefix="0" xfId="0">
      <alignment horizontal="center" vertical="center"/>
    </xf>
    <xf numFmtId="0" fontId="9" fillId="5" borderId="1" applyAlignment="1" pivotButton="0" quotePrefix="0" xfId="0">
      <alignment horizontal="left" vertical="center"/>
    </xf>
    <xf numFmtId="0" fontId="11" fillId="3" borderId="1" applyAlignment="1" pivotButton="0" quotePrefix="0" xfId="0">
      <alignment horizontal="center" vertical="center"/>
    </xf>
    <xf numFmtId="0" fontId="0" fillId="3" borderId="1" pivotButton="0" quotePrefix="0" xfId="0"/>
    <xf numFmtId="0" fontId="11" fillId="2" borderId="1" applyAlignment="1" pivotButton="0" quotePrefix="0" xfId="0">
      <alignment horizontal="center" vertical="center"/>
    </xf>
    <xf numFmtId="0" fontId="0" fillId="2" borderId="1" pivotButton="0" quotePrefix="0" xfId="0"/>
    <xf numFmtId="0" fontId="0" fillId="0" borderId="5" pivotButton="0" quotePrefix="0" xfId="0"/>
    <xf numFmtId="166" fontId="12" fillId="6" borderId="1" applyAlignment="1" pivotButton="0" quotePrefix="0" xfId="0">
      <alignment horizontal="center" vertical="center"/>
    </xf>
    <xf numFmtId="0" fontId="0" fillId="7" borderId="1" pivotButton="0" quotePrefix="0" xfId="0"/>
    <xf numFmtId="164" fontId="13" fillId="0" borderId="0" pivotButton="0" quotePrefix="0" xfId="0"/>
    <xf numFmtId="0" fontId="5" fillId="0" borderId="0" applyAlignment="1" pivotButton="0" quotePrefix="0" xfId="0">
      <alignment horizontal="left" vertical="top" wrapText="1"/>
    </xf>
    <xf numFmtId="0" fontId="3" fillId="0" borderId="0" applyAlignment="1" pivotButton="0" quotePrefix="0" xfId="0">
      <alignment horizontal="left" vertical="top" wrapText="1"/>
    </xf>
  </cellXfs>
  <cellStyles count="1">
    <cellStyle name="Normal" xfId="0" builtinId="0" hidden="0"/>
  </cellStyles>
  <dxfs count="11">
    <dxf>
      <font>
        <name val="Arial"/>
        <b val="1"/>
        <color rgb="FF8A94A6"/>
        <sz val="10"/>
      </font>
      <fill>
        <patternFill>
          <bgColor rgb="FFE7EAEF"/>
        </patternFill>
      </fill>
    </dxf>
    <dxf>
      <font>
        <name val="Arial"/>
        <b val="1"/>
        <color rgb="FFE8A33D"/>
        <sz val="10"/>
      </font>
      <fill>
        <patternFill>
          <bgColor rgb="FFFBEBCF"/>
        </patternFill>
      </fill>
    </dxf>
    <dxf>
      <font>
        <name val="Arial"/>
        <b val="1"/>
        <color rgb="FF0E7A50"/>
        <sz val="10"/>
      </font>
      <fill>
        <patternFill>
          <bgColor rgb="FFCFE6DB"/>
        </patternFill>
      </fill>
    </dxf>
    <dxf>
      <font>
        <name val="Arial"/>
        <b val="1"/>
        <color rgb="FFF0736B"/>
        <sz val="10"/>
      </font>
      <fill>
        <patternFill>
          <bgColor rgb="FFFBDBD9"/>
        </patternFill>
      </fill>
    </dxf>
    <dxf>
      <font>
        <name val="Arial"/>
        <b val="1"/>
        <color rgb="FFB3261E"/>
        <sz val="10"/>
      </font>
      <fill>
        <patternFill>
          <bgColor rgb="FFFBDBD9"/>
        </patternFill>
      </fill>
    </dxf>
    <dxf>
      <font>
        <name val="Arial"/>
        <b val="1"/>
        <color rgb="FF9A6512"/>
        <sz val="10"/>
      </font>
      <fill>
        <patternFill>
          <bgColor rgb="FFFBEBCF"/>
        </patternFill>
      </fill>
    </dxf>
    <dxf>
      <fill>
        <patternFill>
          <bgColor rgb="FF8A94A6"/>
        </patternFill>
      </fill>
    </dxf>
    <dxf>
      <fill>
        <patternFill>
          <bgColor rgb="FFE8A33D"/>
        </patternFill>
      </fill>
    </dxf>
    <dxf>
      <fill>
        <patternFill>
          <bgColor rgb="FF0E7A50"/>
        </patternFill>
      </fill>
    </dxf>
    <dxf>
      <fill>
        <patternFill>
          <bgColor rgb="FFF0736B"/>
        </patternFill>
      </fill>
    </dxf>
    <dxf>
      <border>
        <left style="medium">
          <color rgb="FFB3261E"/>
        </left>
        <right style="medium">
          <color rgb="FFB3261E"/>
        </right>
      </border>
    </dxf>
  </dxf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roundedCorners val="0"/>
  <chart>
    <plotArea>
      <doughnutChart>
        <varyColors val="1"/>
        <ser>
          <idx val="0"/>
          <order val="0"/>
          <tx>
            <strRef>
              <f>'Hesap'!F1</f>
            </strRef>
          </tx>
          <spPr>
            <a:ln xmlns:a="http://schemas.openxmlformats.org/drawingml/2006/main">
              <a:prstDash val="solid"/>
            </a:ln>
          </spPr>
          <dPt>
            <idx val="0"/>
            <spPr>
              <a:solidFill xmlns:a="http://schemas.openxmlformats.org/drawingml/2006/main">
                <a:srgbClr val="8A94A6"/>
              </a:solidFill>
              <a:ln xmlns:a="http://schemas.openxmlformats.org/drawingml/2006/main" w="19050">
                <a:solidFill>
                  <a:srgbClr val="FFFFFF"/>
                </a:solidFill>
                <a:prstDash val="solid"/>
              </a:ln>
            </spPr>
          </dPt>
          <dPt>
            <idx val="1"/>
            <spPr>
              <a:solidFill xmlns:a="http://schemas.openxmlformats.org/drawingml/2006/main">
                <a:srgbClr val="E8A33D"/>
              </a:solidFill>
              <a:ln xmlns:a="http://schemas.openxmlformats.org/drawingml/2006/main" w="19050">
                <a:solidFill>
                  <a:srgbClr val="FFFFFF"/>
                </a:solidFill>
                <a:prstDash val="solid"/>
              </a:ln>
            </spPr>
          </dPt>
          <dPt>
            <idx val="2"/>
            <spPr>
              <a:solidFill xmlns:a="http://schemas.openxmlformats.org/drawingml/2006/main">
                <a:srgbClr val="0E7A50"/>
              </a:solidFill>
              <a:ln xmlns:a="http://schemas.openxmlformats.org/drawingml/2006/main" w="19050">
                <a:solidFill>
                  <a:srgbClr val="FFFFFF"/>
                </a:solidFill>
                <a:prstDash val="solid"/>
              </a:ln>
            </spPr>
          </dPt>
          <dPt>
            <idx val="3"/>
            <spPr>
              <a:solidFill xmlns:a="http://schemas.openxmlformats.org/drawingml/2006/main">
                <a:srgbClr val="F0736B"/>
              </a:solidFill>
              <a:ln xmlns:a="http://schemas.openxmlformats.org/drawingml/2006/main" w="19050">
                <a:solidFill>
                  <a:srgbClr val="FFFFFF"/>
                </a:solidFill>
                <a:prstDash val="solid"/>
              </a:ln>
            </spPr>
          </dPt>
          <cat>
            <numRef>
              <f>'Hesap'!$E$2:$E$5</f>
            </numRef>
          </cat>
          <val>
            <numRef>
              <f>'Hesap'!$F$2:$F$5</f>
            </numRef>
          </val>
        </ser>
        <dLbls>
          <txPr>
            <a:bodyPr xmlns:a="http://schemas.openxmlformats.org/drawingml/2006/main"/>
            <a:p xmlns:a="http://schemas.openxmlformats.org/drawingml/2006/main">
              <a:pPr>
                <a:defRPr sz="900" b="1">
                  <a:solidFill>
                    <a:srgbClr val="1F2933"/>
                  </a:solidFill>
                  <a:latin typeface="Arial"/>
                </a:defRPr>
              </a:pPr>
              <a:r>
                <a:t/>
              </a:r>
              <a:endParaRPr sz="900" b="1">
                <a:solidFill>
                  <a:srgbClr val="1F2933"/>
                </a:solidFill>
                <a:latin typeface="Arial"/>
              </a:endParaRPr>
            </a:p>
          </txPr>
          <showLegendKey val="0"/>
          <showVal val="1"/>
          <showCatName val="0"/>
          <showSerName val="0"/>
          <showPercent val="0"/>
          <showBubbleSize val="0"/>
        </dLbls>
        <firstSliceAng val="0"/>
        <holeSize val="58"/>
      </doughnutChart>
    </plotArea>
    <legend>
      <legendPos val="b"/>
      <overlay val="0"/>
      <txPr>
        <a:bodyPr xmlns:a="http://schemas.openxmlformats.org/drawingml/2006/main"/>
        <a:p xmlns:a="http://schemas.openxmlformats.org/drawingml/2006/main">
          <a:pPr>
            <a:defRPr sz="900" b="0">
              <a:solidFill>
                <a:srgbClr val="5B6B7C"/>
              </a:solidFill>
              <a:latin typeface="Arial"/>
            </a:defRPr>
          </a:pPr>
          <a:r>
            <a:t/>
          </a:r>
          <a:endParaRPr sz="900" b="0">
            <a:solidFill>
              <a:srgbClr val="5B6B7C"/>
            </a:solidFill>
            <a:latin typeface="Arial"/>
          </a:endParaRPr>
        </a:p>
      </txPr>
    </legend>
    <plotVisOnly val="0"/>
    <dispBlanksAs val="gap"/>
  </chart>
  <spPr>
    <a:solidFill xmlns:a="http://schemas.openxmlformats.org/drawingml/2006/main">
      <a:srgbClr val="FFFFFF"/>
    </a:solidFill>
    <a:ln xmlns:a="http://schemas.openxmlformats.org/drawingml/2006/main">
      <a:noFill/>
      <a:prstDash val="solid"/>
    </a:ln>
  </spPr>
</chartSpace>
</file>

<file path=xl/charts/chart2.xml><?xml version="1.0" encoding="utf-8"?>
<chartSpace xmlns="http://schemas.openxmlformats.org/drawingml/2006/chart">
  <roundedCorners val="0"/>
  <chart>
    <plotArea>
      <barChart>
        <barDir val="col"/>
        <grouping val="clustered"/>
        <varyColors val="0"/>
        <ser>
          <idx val="0"/>
          <order val="0"/>
          <tx>
            <strRef>
              <f>'Hesap'!J1</f>
            </strRef>
          </tx>
          <spPr>
            <a:solidFill xmlns:a="http://schemas.openxmlformats.org/drawingml/2006/main">
              <a:srgbClr val="2E75B6"/>
            </a:solidFill>
            <a:ln xmlns:a="http://schemas.openxmlformats.org/drawingml/2006/main">
              <a:prstDash val="solid"/>
            </a:ln>
          </spPr>
          <cat>
            <numRef>
              <f>'Hesap'!$H$2:$H$13</f>
            </numRef>
          </cat>
          <val>
            <numRef>
              <f>'Hesap'!$J$2:$J$13</f>
            </numRef>
          </val>
        </ser>
        <dLbls>
          <txPr>
            <a:bodyPr xmlns:a="http://schemas.openxmlformats.org/drawingml/2006/main"/>
            <a:p xmlns:a="http://schemas.openxmlformats.org/drawingml/2006/main">
              <a:pPr>
                <a:defRPr sz="900" b="1">
                  <a:solidFill>
                    <a:srgbClr val="1F2933"/>
                  </a:solidFill>
                  <a:latin typeface="Arial"/>
                </a:defRPr>
              </a:pPr>
              <a:r>
                <a:t/>
              </a:r>
              <a:endParaRPr sz="900" b="1">
                <a:solidFill>
                  <a:srgbClr val="1F2933"/>
                </a:solidFill>
                <a:latin typeface="Arial"/>
              </a:endParaRPr>
            </a:p>
          </txPr>
          <showLegendKey val="0"/>
          <showVal val="1"/>
          <showCatName val="0"/>
          <showSerName val="0"/>
          <showPercent val="0"/>
          <showBubbleSize val="0"/>
        </dLbls>
        <gapWidth val="45"/>
        <axId val="10"/>
        <axId val="100"/>
      </barChart>
      <catAx>
        <axId val="10"/>
        <scaling>
          <orientation val="minMax"/>
        </scaling>
        <axPos val="l"/>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0"/>
        <lblOffset val="100"/>
      </catAx>
      <valAx>
        <axId val="100"/>
        <scaling>
          <orientation val="minMax"/>
          <min val="0"/>
        </scaling>
        <axPos val="l"/>
        <majorGridlines>
          <spPr>
            <a:ln xmlns:a="http://schemas.openxmlformats.org/drawingml/2006/main" w="9525">
              <a:solidFill>
                <a:srgbClr val="EEF0F3"/>
              </a:solidFill>
              <a:prstDash val="solid"/>
            </a:ln>
          </spPr>
        </majorGridlines>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
      </valAx>
    </plotArea>
    <plotVisOnly val="0"/>
    <dispBlanksAs val="gap"/>
  </chart>
  <spPr>
    <a:solidFill xmlns:a="http://schemas.openxmlformats.org/drawingml/2006/main">
      <a:srgbClr val="FFFFFF"/>
    </a:solidFill>
    <a:ln xmlns:a="http://schemas.openxmlformats.org/drawingml/2006/main">
      <a:noFill/>
      <a:prstDash val="solid"/>
    </a:ln>
  </spPr>
</chartSpace>
</file>

<file path=xl/charts/chart3.xml><?xml version="1.0" encoding="utf-8"?>
<chartSpace xmlns="http://schemas.openxmlformats.org/drawingml/2006/chart">
  <roundedCorners val="0"/>
  <chart>
    <plotArea>
      <lineChart>
        <grouping val="standard"/>
        <ser>
          <idx val="0"/>
          <order val="0"/>
          <tx>
            <strRef>
              <f>'Hesap'!AC1</f>
            </strRef>
          </tx>
          <spPr>
            <a:ln xmlns:a="http://schemas.openxmlformats.org/drawingml/2006/main" w="22225">
              <a:solidFill>
                <a:srgbClr val="5B8FC7"/>
              </a:solidFill>
              <a:prstDash val="dash"/>
            </a:ln>
          </spPr>
          <marker>
            <symbol val="none"/>
            <spPr>
              <a:ln xmlns:a="http://schemas.openxmlformats.org/drawingml/2006/main">
                <a:prstDash val="solid"/>
              </a:ln>
            </spPr>
          </marker>
          <cat>
            <numRef>
              <f>'Hesap'!$AB$2:$AB$53</f>
            </numRef>
          </cat>
          <val>
            <numRef>
              <f>'Hesap'!$AC$2:$AC$53</f>
            </numRef>
          </val>
          <smooth val="0"/>
        </ser>
        <ser>
          <idx val="1"/>
          <order val="1"/>
          <tx>
            <strRef>
              <f>'Hesap'!AD1</f>
            </strRef>
          </tx>
          <spPr>
            <a:ln xmlns:a="http://schemas.openxmlformats.org/drawingml/2006/main" w="28575">
              <a:solidFill>
                <a:srgbClr val="0E7A50"/>
              </a:solidFill>
              <a:prstDash val="solid"/>
            </a:ln>
          </spPr>
          <marker>
            <symbol val="none"/>
            <spPr>
              <a:ln xmlns:a="http://schemas.openxmlformats.org/drawingml/2006/main">
                <a:prstDash val="solid"/>
              </a:ln>
            </spPr>
          </marker>
          <cat>
            <numRef>
              <f>'Hesap'!$AB$2:$AB$53</f>
            </numRef>
          </cat>
          <val>
            <numRef>
              <f>'Hesap'!$AD$2:$AD$53</f>
            </numRef>
          </val>
          <smooth val="0"/>
        </ser>
        <axId val="10"/>
        <axId val="100"/>
      </lineChart>
      <catAx>
        <axId val="10"/>
        <scaling>
          <orientation val="minMax"/>
        </scaling>
        <axPos val="l"/>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0"/>
        <lblOffset val="100"/>
        <tickLblSkip val="4"/>
        <tickMarkSkip val="4"/>
      </catAx>
      <valAx>
        <axId val="100"/>
        <scaling>
          <orientation val="minMax"/>
          <min val="0"/>
        </scaling>
        <axPos val="l"/>
        <majorGridlines>
          <spPr>
            <a:ln xmlns:a="http://schemas.openxmlformats.org/drawingml/2006/main" w="9525">
              <a:solidFill>
                <a:srgbClr val="EEF0F3"/>
              </a:solidFill>
              <a:prstDash val="solid"/>
            </a:ln>
          </spPr>
        </majorGridlines>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5B6B7C"/>
              </a:solidFill>
              <a:latin typeface="Arial"/>
            </a:defRPr>
          </a:pPr>
          <a:r>
            <a:t/>
          </a:r>
          <a:endParaRPr sz="900" b="0">
            <a:solidFill>
              <a:srgbClr val="5B6B7C"/>
            </a:solidFill>
            <a:latin typeface="Arial"/>
          </a:endParaRPr>
        </a:p>
      </txPr>
    </legend>
    <plotVisOnly val="0"/>
    <dispBlanksAs val="gap"/>
  </chart>
  <spPr>
    <a:solidFill xmlns:a="http://schemas.openxmlformats.org/drawingml/2006/main">
      <a:srgbClr val="FFFFFF"/>
    </a:solidFill>
    <a:ln xmlns:a="http://schemas.openxmlformats.org/drawingml/2006/main">
      <a:noFill/>
      <a:prstDash val="solid"/>
    </a:ln>
  </spPr>
</chartSpace>
</file>

<file path=xl/charts/chart4.xml><?xml version="1.0" encoding="utf-8"?>
<chartSpace xmlns="http://schemas.openxmlformats.org/drawingml/2006/chart">
  <roundedCorners val="0"/>
  <chart>
    <plotArea>
      <lineChart>
        <grouping val="standard"/>
        <ser>
          <idx val="0"/>
          <order val="0"/>
          <tx>
            <strRef>
              <f>'Hesap'!AH1</f>
            </strRef>
          </tx>
          <spPr>
            <a:ln xmlns:a="http://schemas.openxmlformats.org/drawingml/2006/main" w="22225">
              <a:solidFill>
                <a:srgbClr val="5B8FC7"/>
              </a:solidFill>
              <a:prstDash val="dash"/>
            </a:ln>
          </spPr>
          <marker>
            <symbol val="none"/>
            <spPr>
              <a:ln xmlns:a="http://schemas.openxmlformats.org/drawingml/2006/main">
                <a:prstDash val="solid"/>
              </a:ln>
            </spPr>
          </marker>
          <cat>
            <numRef>
              <f>'Hesap'!$AF$2:$AF$13</f>
            </numRef>
          </cat>
          <val>
            <numRef>
              <f>'Hesap'!$AH$2:$AH$13</f>
            </numRef>
          </val>
          <smooth val="0"/>
        </ser>
        <ser>
          <idx val="1"/>
          <order val="1"/>
          <tx>
            <strRef>
              <f>'Hesap'!AI1</f>
            </strRef>
          </tx>
          <spPr>
            <a:ln xmlns:a="http://schemas.openxmlformats.org/drawingml/2006/main" w="28575">
              <a:solidFill>
                <a:srgbClr val="0E7A50"/>
              </a:solidFill>
              <a:prstDash val="solid"/>
            </a:ln>
          </spPr>
          <marker>
            <symbol val="none"/>
            <spPr>
              <a:ln xmlns:a="http://schemas.openxmlformats.org/drawingml/2006/main">
                <a:prstDash val="solid"/>
              </a:ln>
            </spPr>
          </marker>
          <cat>
            <numRef>
              <f>'Hesap'!$AF$2:$AF$13</f>
            </numRef>
          </cat>
          <val>
            <numRef>
              <f>'Hesap'!$AI$2:$AI$13</f>
            </numRef>
          </val>
          <smooth val="0"/>
        </ser>
        <axId val="10"/>
        <axId val="100"/>
      </lineChart>
      <catAx>
        <axId val="10"/>
        <scaling>
          <orientation val="minMax"/>
        </scaling>
        <axPos val="l"/>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0"/>
        <lblOffset val="100"/>
      </catAx>
      <valAx>
        <axId val="100"/>
        <scaling>
          <orientation val="minMax"/>
          <min val="0"/>
        </scaling>
        <axPos val="l"/>
        <majorGridlines>
          <spPr>
            <a:ln xmlns:a="http://schemas.openxmlformats.org/drawingml/2006/main" w="9525">
              <a:solidFill>
                <a:srgbClr val="EEF0F3"/>
              </a:solidFill>
              <a:prstDash val="solid"/>
            </a:ln>
          </spPr>
        </majorGridlines>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5B6B7C"/>
              </a:solidFill>
              <a:latin typeface="Arial"/>
            </a:defRPr>
          </a:pPr>
          <a:r>
            <a:t/>
          </a:r>
          <a:endParaRPr sz="900" b="0">
            <a:solidFill>
              <a:srgbClr val="5B6B7C"/>
            </a:solidFill>
            <a:latin typeface="Arial"/>
          </a:endParaRPr>
        </a:p>
      </txPr>
    </legend>
    <plotVisOnly val="0"/>
    <dispBlanksAs val="gap"/>
  </chart>
  <spPr>
    <a:solidFill xmlns:a="http://schemas.openxmlformats.org/drawingml/2006/main">
      <a:srgbClr val="FFFFFF"/>
    </a:solidFill>
    <a:ln xmlns:a="http://schemas.openxmlformats.org/drawingml/2006/main">
      <a:noFill/>
      <a:prstDash val="solid"/>
    </a:ln>
  </spPr>
</chartSpace>
</file>

<file path=xl/charts/chart5.xml><?xml version="1.0" encoding="utf-8"?>
<chartSpace xmlns="http://schemas.openxmlformats.org/drawingml/2006/chart">
  <roundedCorners val="0"/>
  <chart>
    <title>
      <tx>
        <rich>
          <a:bodyPr xmlns:a="http://schemas.openxmlformats.org/drawingml/2006/main"/>
          <a:p xmlns:a="http://schemas.openxmlformats.org/drawingml/2006/main">
            <a:pPr>
              <a:defRPr sz="1100" b="1">
                <a:solidFill>
                  <a:srgbClr val="1E5A8A"/>
                </a:solidFill>
                <a:latin typeface="Arial"/>
              </a:defRPr>
            </a:pPr>
            <a:r>
              <a:rPr sz="1100" b="1">
                <a:solidFill>
                  <a:srgbClr val="1E5A8A"/>
                </a:solidFill>
                <a:latin typeface="Arial"/>
              </a:rPr>
              <a:t>Tamamlanan İşler</a:t>
            </a:r>
          </a:p>
        </rich>
      </tx>
      <overlay val="0"/>
    </title>
    <plotArea>
      <barChart>
        <barDir val="bar"/>
        <grouping val="clustered"/>
        <varyColors val="0"/>
        <ser>
          <idx val="0"/>
          <order val="0"/>
          <tx>
            <strRef>
              <f>'Hesap'!X1</f>
            </strRef>
          </tx>
          <spPr>
            <a:solidFill xmlns:a="http://schemas.openxmlformats.org/drawingml/2006/main">
              <a:srgbClr val="0E7A50"/>
            </a:solidFill>
            <a:ln xmlns:a="http://schemas.openxmlformats.org/drawingml/2006/main">
              <a:prstDash val="solid"/>
            </a:ln>
          </spPr>
          <cat>
            <numRef>
              <f>'Hesap'!$W$2:$W$21</f>
            </numRef>
          </cat>
          <val>
            <numRef>
              <f>'Hesap'!$X$2:$X$21</f>
            </numRef>
          </val>
        </ser>
        <dLbls>
          <txPr>
            <a:bodyPr xmlns:a="http://schemas.openxmlformats.org/drawingml/2006/main"/>
            <a:p xmlns:a="http://schemas.openxmlformats.org/drawingml/2006/main">
              <a:pPr>
                <a:defRPr sz="900" b="1">
                  <a:solidFill>
                    <a:srgbClr val="1F2933"/>
                  </a:solidFill>
                  <a:latin typeface="Arial"/>
                </a:defRPr>
              </a:pPr>
              <a:r>
                <a:t/>
              </a:r>
              <a:endParaRPr sz="900" b="1">
                <a:solidFill>
                  <a:srgbClr val="1F2933"/>
                </a:solidFill>
                <a:latin typeface="Arial"/>
              </a:endParaRPr>
            </a:p>
          </txPr>
          <showLegendKey val="0"/>
          <showVal val="1"/>
          <showCatName val="0"/>
          <showSerName val="0"/>
          <showPercent val="0"/>
          <showBubbleSize val="0"/>
        </dLbls>
        <gapWidth val="40"/>
        <axId val="10"/>
        <axId val="100"/>
      </barChart>
      <catAx>
        <axId val="10"/>
        <scaling>
          <orientation val="minMax"/>
          <min val="0"/>
        </scaling>
        <axPos val="l"/>
        <majorGridlines>
          <spPr>
            <a:ln xmlns:a="http://schemas.openxmlformats.org/drawingml/2006/main" w="9525">
              <a:solidFill>
                <a:srgbClr val="EEF0F3"/>
              </a:solidFill>
              <a:prstDash val="solid"/>
            </a:ln>
          </spPr>
        </majorGridlines>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0"/>
        <lblOffset val="100"/>
      </catAx>
      <valAx>
        <axId val="100"/>
        <scaling>
          <orientation val="minMax"/>
        </scaling>
        <axPos val="l"/>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
      </valAx>
    </plotArea>
    <plotVisOnly val="0"/>
    <dispBlanksAs val="gap"/>
  </chart>
  <spPr>
    <a:solidFill xmlns:a="http://schemas.openxmlformats.org/drawingml/2006/main">
      <a:srgbClr val="FFFFFF"/>
    </a:solidFill>
    <a:ln xmlns:a="http://schemas.openxmlformats.org/drawingml/2006/main">
      <a:noFill/>
      <a:prstDash val="solid"/>
    </a:ln>
  </spPr>
</chartSpace>
</file>

<file path=xl/charts/chart6.xml><?xml version="1.0" encoding="utf-8"?>
<chartSpace xmlns="http://schemas.openxmlformats.org/drawingml/2006/chart">
  <roundedCorners val="0"/>
  <chart>
    <title>
      <tx>
        <rich>
          <a:bodyPr xmlns:a="http://schemas.openxmlformats.org/drawingml/2006/main"/>
          <a:p xmlns:a="http://schemas.openxmlformats.org/drawingml/2006/main">
            <a:pPr>
              <a:defRPr sz="1100" b="1">
                <a:solidFill>
                  <a:srgbClr val="1E5A8A"/>
                </a:solidFill>
                <a:latin typeface="Arial"/>
              </a:defRPr>
            </a:pPr>
            <a:r>
              <a:rPr sz="1100" b="1">
                <a:solidFill>
                  <a:srgbClr val="1E5A8A"/>
                </a:solidFill>
                <a:latin typeface="Arial"/>
              </a:rPr>
              <a:t>Devam Eden İşler</a:t>
            </a:r>
          </a:p>
        </rich>
      </tx>
      <overlay val="0"/>
    </title>
    <plotArea>
      <barChart>
        <barDir val="bar"/>
        <grouping val="clustered"/>
        <varyColors val="0"/>
        <ser>
          <idx val="0"/>
          <order val="0"/>
          <tx>
            <strRef>
              <f>'Hesap'!Y1</f>
            </strRef>
          </tx>
          <spPr>
            <a:solidFill xmlns:a="http://schemas.openxmlformats.org/drawingml/2006/main">
              <a:srgbClr val="E8A33D"/>
            </a:solidFill>
            <a:ln xmlns:a="http://schemas.openxmlformats.org/drawingml/2006/main">
              <a:prstDash val="solid"/>
            </a:ln>
          </spPr>
          <cat>
            <numRef>
              <f>'Hesap'!$W$2:$W$21</f>
            </numRef>
          </cat>
          <val>
            <numRef>
              <f>'Hesap'!$Y$2:$Y$21</f>
            </numRef>
          </val>
        </ser>
        <dLbls>
          <txPr>
            <a:bodyPr xmlns:a="http://schemas.openxmlformats.org/drawingml/2006/main"/>
            <a:p xmlns:a="http://schemas.openxmlformats.org/drawingml/2006/main">
              <a:pPr>
                <a:defRPr sz="900" b="1">
                  <a:solidFill>
                    <a:srgbClr val="1F2933"/>
                  </a:solidFill>
                  <a:latin typeface="Arial"/>
                </a:defRPr>
              </a:pPr>
              <a:r>
                <a:t/>
              </a:r>
              <a:endParaRPr sz="900" b="1">
                <a:solidFill>
                  <a:srgbClr val="1F2933"/>
                </a:solidFill>
                <a:latin typeface="Arial"/>
              </a:endParaRPr>
            </a:p>
          </txPr>
          <showLegendKey val="0"/>
          <showVal val="1"/>
          <showCatName val="0"/>
          <showSerName val="0"/>
          <showPercent val="0"/>
          <showBubbleSize val="0"/>
        </dLbls>
        <gapWidth val="40"/>
        <axId val="10"/>
        <axId val="100"/>
      </barChart>
      <catAx>
        <axId val="10"/>
        <scaling>
          <orientation val="minMax"/>
          <min val="0"/>
        </scaling>
        <axPos val="l"/>
        <majorGridlines>
          <spPr>
            <a:ln xmlns:a="http://schemas.openxmlformats.org/drawingml/2006/main" w="9525">
              <a:solidFill>
                <a:srgbClr val="EEF0F3"/>
              </a:solidFill>
              <a:prstDash val="solid"/>
            </a:ln>
          </spPr>
        </majorGridlines>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0"/>
        <lblOffset val="100"/>
      </catAx>
      <valAx>
        <axId val="100"/>
        <scaling>
          <orientation val="minMax"/>
        </scaling>
        <axPos val="l"/>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
      </valAx>
    </plotArea>
    <plotVisOnly val="0"/>
    <dispBlanksAs val="gap"/>
  </chart>
  <spPr>
    <a:solidFill xmlns:a="http://schemas.openxmlformats.org/drawingml/2006/main">
      <a:srgbClr val="FFFFFF"/>
    </a:solidFill>
    <a:ln xmlns:a="http://schemas.openxmlformats.org/drawingml/2006/main">
      <a:noFill/>
      <a:prstDash val="solid"/>
    </a:ln>
  </spPr>
</chartSpace>
</file>

<file path=xl/charts/chart7.xml><?xml version="1.0" encoding="utf-8"?>
<chartSpace xmlns="http://schemas.openxmlformats.org/drawingml/2006/chart">
  <roundedCorners val="0"/>
  <chart>
    <title>
      <tx>
        <rich>
          <a:bodyPr xmlns:a="http://schemas.openxmlformats.org/drawingml/2006/main"/>
          <a:p xmlns:a="http://schemas.openxmlformats.org/drawingml/2006/main">
            <a:pPr>
              <a:defRPr sz="1100" b="1">
                <a:solidFill>
                  <a:srgbClr val="1E5A8A"/>
                </a:solidFill>
                <a:latin typeface="Arial"/>
              </a:defRPr>
            </a:pPr>
            <a:r>
              <a:rPr sz="1100" b="1">
                <a:solidFill>
                  <a:srgbClr val="1E5A8A"/>
                </a:solidFill>
                <a:latin typeface="Arial"/>
              </a:rPr>
              <a:t>Süresi Geçen İşler</a:t>
            </a:r>
          </a:p>
        </rich>
      </tx>
      <overlay val="0"/>
    </title>
    <plotArea>
      <barChart>
        <barDir val="bar"/>
        <grouping val="clustered"/>
        <varyColors val="0"/>
        <ser>
          <idx val="0"/>
          <order val="0"/>
          <tx>
            <strRef>
              <f>'Hesap'!Z1</f>
            </strRef>
          </tx>
          <spPr>
            <a:solidFill xmlns:a="http://schemas.openxmlformats.org/drawingml/2006/main">
              <a:srgbClr val="F0736B"/>
            </a:solidFill>
            <a:ln xmlns:a="http://schemas.openxmlformats.org/drawingml/2006/main">
              <a:prstDash val="solid"/>
            </a:ln>
          </spPr>
          <cat>
            <numRef>
              <f>'Hesap'!$W$2:$W$21</f>
            </numRef>
          </cat>
          <val>
            <numRef>
              <f>'Hesap'!$Z$2:$Z$21</f>
            </numRef>
          </val>
        </ser>
        <dLbls>
          <txPr>
            <a:bodyPr xmlns:a="http://schemas.openxmlformats.org/drawingml/2006/main"/>
            <a:p xmlns:a="http://schemas.openxmlformats.org/drawingml/2006/main">
              <a:pPr>
                <a:defRPr sz="900" b="1">
                  <a:solidFill>
                    <a:srgbClr val="1F2933"/>
                  </a:solidFill>
                  <a:latin typeface="Arial"/>
                </a:defRPr>
              </a:pPr>
              <a:r>
                <a:t/>
              </a:r>
              <a:endParaRPr sz="900" b="1">
                <a:solidFill>
                  <a:srgbClr val="1F2933"/>
                </a:solidFill>
                <a:latin typeface="Arial"/>
              </a:endParaRPr>
            </a:p>
          </txPr>
          <showLegendKey val="0"/>
          <showVal val="1"/>
          <showCatName val="0"/>
          <showSerName val="0"/>
          <showPercent val="0"/>
          <showBubbleSize val="0"/>
        </dLbls>
        <gapWidth val="40"/>
        <axId val="10"/>
        <axId val="100"/>
      </barChart>
      <catAx>
        <axId val="10"/>
        <scaling>
          <orientation val="minMax"/>
          <min val="0"/>
        </scaling>
        <axPos val="l"/>
        <majorGridlines>
          <spPr>
            <a:ln xmlns:a="http://schemas.openxmlformats.org/drawingml/2006/main" w="9525">
              <a:solidFill>
                <a:srgbClr val="EEF0F3"/>
              </a:solidFill>
              <a:prstDash val="solid"/>
            </a:ln>
          </spPr>
        </majorGridlines>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0"/>
        <lblOffset val="100"/>
      </catAx>
      <valAx>
        <axId val="100"/>
        <scaling>
          <orientation val="minMax"/>
        </scaling>
        <axPos val="l"/>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
      </valAx>
    </plotArea>
    <plotVisOnly val="0"/>
    <dispBlanksAs val="gap"/>
  </chart>
  <spPr>
    <a:solidFill xmlns:a="http://schemas.openxmlformats.org/drawingml/2006/main">
      <a:srgbClr val="FFFFFF"/>
    </a:solidFill>
    <a:ln xmlns:a="http://schemas.openxmlformats.org/drawingml/2006/main">
      <a:noFill/>
      <a:prstDash val="solid"/>
    </a:ln>
  </spPr>
</chartSpace>
</file>

<file path=xl/charts/chart8.xml><?xml version="1.0" encoding="utf-8"?>
<chartSpace xmlns="http://schemas.openxmlformats.org/drawingml/2006/chart">
  <roundedCorners val="0"/>
  <chart>
    <plotArea>
      <barChart>
        <barDir val="bar"/>
        <grouping val="stacked"/>
        <varyColors val="0"/>
        <ser>
          <idx val="0"/>
          <order val="0"/>
          <tx>
            <strRef>
              <f>'Hesap'!AL1</f>
            </strRef>
          </tx>
          <spPr>
            <a:solidFill xmlns:a="http://schemas.openxmlformats.org/drawingml/2006/main">
              <a:srgbClr val="5B8FC7"/>
            </a:solidFill>
            <a:ln xmlns:a="http://schemas.openxmlformats.org/drawingml/2006/main">
              <a:prstDash val="solid"/>
            </a:ln>
          </spPr>
          <cat>
            <numRef>
              <f>'Hesap'!$AK$2:$AK$21</f>
            </numRef>
          </cat>
          <val>
            <numRef>
              <f>'Hesap'!$AL$2:$AL$21</f>
            </numRef>
          </val>
        </ser>
        <ser>
          <idx val="1"/>
          <order val="1"/>
          <tx>
            <strRef>
              <f>'Hesap'!AM1</f>
            </strRef>
          </tx>
          <spPr>
            <a:solidFill xmlns:a="http://schemas.openxmlformats.org/drawingml/2006/main">
              <a:srgbClr val="F0736B"/>
            </a:solidFill>
            <a:ln xmlns:a="http://schemas.openxmlformats.org/drawingml/2006/main">
              <a:prstDash val="solid"/>
            </a:ln>
          </spPr>
          <cat>
            <numRef>
              <f>'Hesap'!$AK$2:$AK$21</f>
            </numRef>
          </cat>
          <val>
            <numRef>
              <f>'Hesap'!$AM$2:$AM$21</f>
            </numRef>
          </val>
        </ser>
        <dLbls>
          <txPr>
            <a:bodyPr xmlns:a="http://schemas.openxmlformats.org/drawingml/2006/main"/>
            <a:p xmlns:a="http://schemas.openxmlformats.org/drawingml/2006/main">
              <a:pPr>
                <a:defRPr sz="900" b="1">
                  <a:solidFill>
                    <a:srgbClr val="1F2933"/>
                  </a:solidFill>
                  <a:latin typeface="Arial"/>
                </a:defRPr>
              </a:pPr>
              <a:r>
                <a:t/>
              </a:r>
              <a:endParaRPr sz="900" b="1">
                <a:solidFill>
                  <a:srgbClr val="1F2933"/>
                </a:solidFill>
                <a:latin typeface="Arial"/>
              </a:endParaRPr>
            </a:p>
          </txPr>
          <showLegendKey val="0"/>
          <showVal val="1"/>
          <showCatName val="0"/>
          <showSerName val="0"/>
          <showPercent val="0"/>
          <showBubbleSize val="0"/>
        </dLbls>
        <gapWidth val="40"/>
        <overlap val="100"/>
        <axId val="10"/>
        <axId val="100"/>
      </barChart>
      <catAx>
        <axId val="10"/>
        <scaling>
          <orientation val="minMax"/>
          <min val="0"/>
        </scaling>
        <axPos val="l"/>
        <majorGridlines>
          <spPr>
            <a:ln xmlns:a="http://schemas.openxmlformats.org/drawingml/2006/main" w="9525">
              <a:solidFill>
                <a:srgbClr val="EEF0F3"/>
              </a:solidFill>
              <a:prstDash val="solid"/>
            </a:ln>
          </spPr>
        </majorGridlines>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0"/>
        <lblOffset val="100"/>
      </catAx>
      <valAx>
        <axId val="100"/>
        <scaling>
          <orientation val="minMax"/>
        </scaling>
        <axPos val="l"/>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5B6B7C"/>
              </a:solidFill>
              <a:latin typeface="Arial"/>
            </a:defRPr>
          </a:pPr>
          <a:r>
            <a:t/>
          </a:r>
          <a:endParaRPr sz="900" b="0">
            <a:solidFill>
              <a:srgbClr val="5B6B7C"/>
            </a:solidFill>
            <a:latin typeface="Arial"/>
          </a:endParaRPr>
        </a:p>
      </txPr>
    </legend>
    <plotVisOnly val="0"/>
    <dispBlanksAs val="gap"/>
  </chart>
  <spPr>
    <a:solidFill xmlns:a="http://schemas.openxmlformats.org/drawingml/2006/main">
      <a:srgbClr val="FFFFFF"/>
    </a:solidFill>
    <a:ln xmlns:a="http://schemas.openxmlformats.org/drawingml/2006/main">
      <a:noFill/>
      <a:prstDash val="solid"/>
    </a:ln>
  </spPr>
</chartSpace>
</file>

<file path=xl/charts/chart9.xml><?xml version="1.0" encoding="utf-8"?>
<chartSpace xmlns="http://schemas.openxmlformats.org/drawingml/2006/chart">
  <roundedCorners val="0"/>
  <chart>
    <plotArea>
      <barChart>
        <barDir val="col"/>
        <grouping val="stacked"/>
        <varyColors val="0"/>
        <ser>
          <idx val="0"/>
          <order val="0"/>
          <tx>
            <strRef>
              <f>'Hesap'!AP1</f>
            </strRef>
          </tx>
          <spPr>
            <a:solidFill xmlns:a="http://schemas.openxmlformats.org/drawingml/2006/main">
              <a:srgbClr val="9B2C22"/>
            </a:solidFill>
            <a:ln xmlns:a="http://schemas.openxmlformats.org/drawingml/2006/main" w="12700">
              <a:solidFill>
                <a:srgbClr val="FFFFFF"/>
              </a:solidFill>
              <a:prstDash val="solid"/>
            </a:ln>
          </spPr>
          <dLbls>
            <txPr>
              <a:bodyPr xmlns:a="http://schemas.openxmlformats.org/drawingml/2006/main"/>
              <a:p xmlns:a="http://schemas.openxmlformats.org/drawingml/2006/main">
                <a:pPr>
                  <a:defRPr sz="1000" b="1">
                    <a:solidFill>
                      <a:srgbClr val="FFFFFF"/>
                    </a:solidFill>
                    <a:latin typeface="Arial"/>
                  </a:defRPr>
                </a:pPr>
                <a:r>
                  <a:t/>
                </a:r>
                <a:endParaRPr sz="1000" b="1">
                  <a:solidFill>
                    <a:srgbClr val="FFFFFF"/>
                  </a:solidFill>
                  <a:latin typeface="Arial"/>
                </a:endParaRPr>
              </a:p>
            </txPr>
            <showLegendKey val="0"/>
            <showVal val="1"/>
            <showCatName val="0"/>
            <showSerName val="0"/>
            <showPercent val="0"/>
            <showBubbleSize val="0"/>
          </dLbls>
          <cat>
            <numRef>
              <f>'Hesap'!$AO$2:$AO$5</f>
            </numRef>
          </cat>
          <val>
            <numRef>
              <f>'Hesap'!$AP$2:$AP$5</f>
            </numRef>
          </val>
        </ser>
        <ser>
          <idx val="1"/>
          <order val="1"/>
          <tx>
            <strRef>
              <f>'Hesap'!AQ1</f>
            </strRef>
          </tx>
          <spPr>
            <a:solidFill xmlns:a="http://schemas.openxmlformats.org/drawingml/2006/main">
              <a:srgbClr val="D4713C"/>
            </a:solidFill>
            <a:ln xmlns:a="http://schemas.openxmlformats.org/drawingml/2006/main" w="12700">
              <a:solidFill>
                <a:srgbClr val="FFFFFF"/>
              </a:solidFill>
              <a:prstDash val="solid"/>
            </a:ln>
          </spPr>
          <dLbls>
            <txPr>
              <a:bodyPr xmlns:a="http://schemas.openxmlformats.org/drawingml/2006/main"/>
              <a:p xmlns:a="http://schemas.openxmlformats.org/drawingml/2006/main">
                <a:pPr>
                  <a:defRPr sz="1000" b="1">
                    <a:solidFill>
                      <a:srgbClr val="1F2933"/>
                    </a:solidFill>
                    <a:latin typeface="Arial"/>
                  </a:defRPr>
                </a:pPr>
                <a:r>
                  <a:t/>
                </a:r>
                <a:endParaRPr sz="1000" b="1">
                  <a:solidFill>
                    <a:srgbClr val="1F2933"/>
                  </a:solidFill>
                  <a:latin typeface="Arial"/>
                </a:endParaRPr>
              </a:p>
            </txPr>
            <showLegendKey val="0"/>
            <showVal val="1"/>
            <showCatName val="0"/>
            <showSerName val="0"/>
            <showPercent val="0"/>
            <showBubbleSize val="0"/>
          </dLbls>
          <cat>
            <numRef>
              <f>'Hesap'!$AO$2:$AO$5</f>
            </numRef>
          </cat>
          <val>
            <numRef>
              <f>'Hesap'!$AQ$2:$AQ$5</f>
            </numRef>
          </val>
        </ser>
        <ser>
          <idx val="2"/>
          <order val="2"/>
          <tx>
            <strRef>
              <f>'Hesap'!AR1</f>
            </strRef>
          </tx>
          <spPr>
            <a:solidFill xmlns:a="http://schemas.openxmlformats.org/drawingml/2006/main">
              <a:srgbClr val="F0B27A"/>
            </a:solidFill>
            <a:ln xmlns:a="http://schemas.openxmlformats.org/drawingml/2006/main" w="12700">
              <a:solidFill>
                <a:srgbClr val="FFFFFF"/>
              </a:solidFill>
              <a:prstDash val="solid"/>
            </a:ln>
          </spPr>
          <dLbls>
            <txPr>
              <a:bodyPr xmlns:a="http://schemas.openxmlformats.org/drawingml/2006/main"/>
              <a:p xmlns:a="http://schemas.openxmlformats.org/drawingml/2006/main">
                <a:pPr>
                  <a:defRPr sz="1000" b="1">
                    <a:solidFill>
                      <a:srgbClr val="1F2933"/>
                    </a:solidFill>
                    <a:latin typeface="Arial"/>
                  </a:defRPr>
                </a:pPr>
                <a:r>
                  <a:t/>
                </a:r>
                <a:endParaRPr sz="1000" b="1">
                  <a:solidFill>
                    <a:srgbClr val="1F2933"/>
                  </a:solidFill>
                  <a:latin typeface="Arial"/>
                </a:endParaRPr>
              </a:p>
            </txPr>
            <showLegendKey val="0"/>
            <showVal val="1"/>
            <showCatName val="0"/>
            <showSerName val="0"/>
            <showPercent val="0"/>
            <showBubbleSize val="0"/>
          </dLbls>
          <cat>
            <numRef>
              <f>'Hesap'!$AO$2:$AO$5</f>
            </numRef>
          </cat>
          <val>
            <numRef>
              <f>'Hesap'!$AR$2:$AR$5</f>
            </numRef>
          </val>
        </ser>
        <ser>
          <idx val="3"/>
          <order val="3"/>
          <tx>
            <strRef>
              <f>'Hesap'!AS1</f>
            </strRef>
          </tx>
          <spPr>
            <a:solidFill xmlns:a="http://schemas.openxmlformats.org/drawingml/2006/main">
              <a:srgbClr val="C8CDD4"/>
            </a:solidFill>
            <a:ln xmlns:a="http://schemas.openxmlformats.org/drawingml/2006/main" w="12700">
              <a:solidFill>
                <a:srgbClr val="FFFFFF"/>
              </a:solidFill>
              <a:prstDash val="solid"/>
            </a:ln>
          </spPr>
          <dLbls>
            <txPr>
              <a:bodyPr xmlns:a="http://schemas.openxmlformats.org/drawingml/2006/main"/>
              <a:p xmlns:a="http://schemas.openxmlformats.org/drawingml/2006/main">
                <a:pPr>
                  <a:defRPr sz="1000" b="1">
                    <a:solidFill>
                      <a:srgbClr val="1F2933"/>
                    </a:solidFill>
                    <a:latin typeface="Arial"/>
                  </a:defRPr>
                </a:pPr>
                <a:r>
                  <a:t/>
                </a:r>
                <a:endParaRPr sz="1000" b="1">
                  <a:solidFill>
                    <a:srgbClr val="1F2933"/>
                  </a:solidFill>
                  <a:latin typeface="Arial"/>
                </a:endParaRPr>
              </a:p>
            </txPr>
            <showLegendKey val="0"/>
            <showVal val="1"/>
            <showCatName val="0"/>
            <showSerName val="0"/>
            <showPercent val="0"/>
            <showBubbleSize val="0"/>
          </dLbls>
          <cat>
            <numRef>
              <f>'Hesap'!$AO$2:$AO$5</f>
            </numRef>
          </cat>
          <val>
            <numRef>
              <f>'Hesap'!$AS$2:$AS$5</f>
            </numRef>
          </val>
        </ser>
        <gapWidth val="140"/>
        <overlap val="100"/>
        <axId val="10"/>
        <axId val="100"/>
      </barChart>
      <catAx>
        <axId val="10"/>
        <scaling>
          <orientation val="minMax"/>
        </scaling>
        <axPos val="l"/>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0"/>
        <lblOffset val="100"/>
      </catAx>
      <valAx>
        <axId val="100"/>
        <scaling>
          <orientation val="minMax"/>
          <min val="0"/>
        </scaling>
        <axPos val="l"/>
        <majorGridlines>
          <spPr>
            <a:ln xmlns:a="http://schemas.openxmlformats.org/drawingml/2006/main" w="9525">
              <a:solidFill>
                <a:srgbClr val="EEF0F3"/>
              </a:solidFill>
              <a:prstDash val="solid"/>
            </a:ln>
          </spPr>
        </majorGridlines>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
      </valAx>
    </plotArea>
    <legend>
      <legendPos val="b"/>
      <overlay val="0"/>
      <txPr>
        <a:bodyPr xmlns:a="http://schemas.openxmlformats.org/drawingml/2006/main"/>
        <a:p xmlns:a="http://schemas.openxmlformats.org/drawingml/2006/main">
          <a:pPr>
            <a:defRPr sz="900" b="0">
              <a:solidFill>
                <a:srgbClr val="5B6B7C"/>
              </a:solidFill>
              <a:latin typeface="Arial"/>
            </a:defRPr>
          </a:pPr>
          <a:r>
            <a:t/>
          </a:r>
          <a:endParaRPr sz="900" b="0">
            <a:solidFill>
              <a:srgbClr val="5B6B7C"/>
            </a:solidFill>
            <a:latin typeface="Arial"/>
          </a:endParaRPr>
        </a:p>
      </txPr>
    </legend>
    <plotVisOnly val="0"/>
    <dispBlanksAs val="gap"/>
  </chart>
  <spPr>
    <a:solidFill xmlns:a="http://schemas.openxmlformats.org/drawingml/2006/main">
      <a:srgbClr val="FFFFFF"/>
    </a:solidFill>
    <a:ln xmlns:a="http://schemas.openxmlformats.org/drawingml/2006/main">
      <a:noFill/>
      <a:prstDash val="solid"/>
    </a:ln>
  </spPr>
</chartSpace>
</file>

<file path=xl/charts/chart10.xml><?xml version="1.0" encoding="utf-8"?>
<chartSpace xmlns="http://schemas.openxmlformats.org/drawingml/2006/chart">
  <roundedCorners val="0"/>
  <chart>
    <plotArea>
      <doughnutChart>
        <varyColors val="1"/>
        <ser>
          <idx val="0"/>
          <order val="0"/>
          <tx>
            <strRef>
              <f>'Hesap'!AV1</f>
            </strRef>
          </tx>
          <spPr>
            <a:ln xmlns:a="http://schemas.openxmlformats.org/drawingml/2006/main">
              <a:prstDash val="solid"/>
            </a:ln>
          </spPr>
          <dPt>
            <idx val="0"/>
            <spPr>
              <a:solidFill xmlns:a="http://schemas.openxmlformats.org/drawingml/2006/main">
                <a:srgbClr val="0E7A50"/>
              </a:solidFill>
              <a:ln xmlns:a="http://schemas.openxmlformats.org/drawingml/2006/main" w="19050">
                <a:solidFill>
                  <a:srgbClr val="FFFFFF"/>
                </a:solidFill>
                <a:prstDash val="solid"/>
              </a:ln>
            </spPr>
          </dPt>
          <dPt>
            <idx val="1"/>
            <spPr>
              <a:solidFill xmlns:a="http://schemas.openxmlformats.org/drawingml/2006/main">
                <a:srgbClr val="E8A33D"/>
              </a:solidFill>
              <a:ln xmlns:a="http://schemas.openxmlformats.org/drawingml/2006/main" w="19050">
                <a:solidFill>
                  <a:srgbClr val="FFFFFF"/>
                </a:solidFill>
                <a:prstDash val="solid"/>
              </a:ln>
            </spPr>
          </dPt>
          <dPt>
            <idx val="2"/>
            <spPr>
              <a:solidFill xmlns:a="http://schemas.openxmlformats.org/drawingml/2006/main">
                <a:srgbClr val="F0736B"/>
              </a:solidFill>
              <a:ln xmlns:a="http://schemas.openxmlformats.org/drawingml/2006/main" w="19050">
                <a:solidFill>
                  <a:srgbClr val="FFFFFF"/>
                </a:solidFill>
                <a:prstDash val="solid"/>
              </a:ln>
            </spPr>
          </dPt>
          <cat>
            <numRef>
              <f>'Hesap'!$AU$2:$AU$4</f>
            </numRef>
          </cat>
          <val>
            <numRef>
              <f>'Hesap'!$AV$2:$AV$4</f>
            </numRef>
          </val>
        </ser>
        <dLbls>
          <txPr>
            <a:bodyPr xmlns:a="http://schemas.openxmlformats.org/drawingml/2006/main"/>
            <a:p xmlns:a="http://schemas.openxmlformats.org/drawingml/2006/main">
              <a:pPr>
                <a:defRPr sz="900" b="1">
                  <a:solidFill>
                    <a:srgbClr val="1F2933"/>
                  </a:solidFill>
                  <a:latin typeface="Arial"/>
                </a:defRPr>
              </a:pPr>
              <a:r>
                <a:t/>
              </a:r>
              <a:endParaRPr sz="900" b="1">
                <a:solidFill>
                  <a:srgbClr val="1F2933"/>
                </a:solidFill>
                <a:latin typeface="Arial"/>
              </a:endParaRPr>
            </a:p>
          </txPr>
          <showLegendKey val="0"/>
          <showVal val="1"/>
          <showCatName val="0"/>
          <showSerName val="0"/>
          <showPercent val="0"/>
          <showBubbleSize val="0"/>
        </dLbls>
        <firstSliceAng val="0"/>
        <holeSize val="58"/>
      </doughnutChart>
    </plotArea>
    <legend>
      <legendPos val="b"/>
      <overlay val="0"/>
      <txPr>
        <a:bodyPr xmlns:a="http://schemas.openxmlformats.org/drawingml/2006/main"/>
        <a:p xmlns:a="http://schemas.openxmlformats.org/drawingml/2006/main">
          <a:pPr>
            <a:defRPr sz="900" b="0">
              <a:solidFill>
                <a:srgbClr val="5B6B7C"/>
              </a:solidFill>
              <a:latin typeface="Arial"/>
            </a:defRPr>
          </a:pPr>
          <a:r>
            <a:t/>
          </a:r>
          <a:endParaRPr sz="900" b="0">
            <a:solidFill>
              <a:srgbClr val="5B6B7C"/>
            </a:solidFill>
            <a:latin typeface="Arial"/>
          </a:endParaRPr>
        </a:p>
      </txPr>
    </legend>
    <plotVisOnly val="0"/>
    <dispBlanksAs val="gap"/>
  </chart>
  <spPr>
    <a:solidFill xmlns:a="http://schemas.openxmlformats.org/drawingml/2006/main">
      <a:srgbClr val="FFFFFF"/>
    </a:solidFill>
    <a:ln xmlns:a="http://schemas.openxmlformats.org/drawingml/2006/main">
      <a:noFill/>
      <a:prstDash val="solid"/>
    </a:ln>
  </spPr>
</chartSpace>
</file>

<file path=xl/charts/chart11.xml><?xml version="1.0" encoding="utf-8"?>
<chartSpace xmlns="http://schemas.openxmlformats.org/drawingml/2006/chart">
  <roundedCorners val="0"/>
  <chart>
    <plotArea>
      <barChart>
        <barDir val="col"/>
        <grouping val="clustered"/>
        <varyColors val="0"/>
        <ser>
          <idx val="0"/>
          <order val="0"/>
          <tx>
            <strRef>
              <f>'Hesap'!AY1</f>
            </strRef>
          </tx>
          <spPr>
            <a:solidFill xmlns:a="http://schemas.openxmlformats.org/drawingml/2006/main">
              <a:srgbClr val="B3261E"/>
            </a:solidFill>
            <a:ln xmlns:a="http://schemas.openxmlformats.org/drawingml/2006/main">
              <a:prstDash val="solid"/>
            </a:ln>
          </spPr>
          <cat>
            <numRef>
              <f>'Hesap'!$AX$2:$AX$4</f>
            </numRef>
          </cat>
          <val>
            <numRef>
              <f>'Hesap'!$AY$2:$AY$4</f>
            </numRef>
          </val>
        </ser>
        <dLbls>
          <txPr>
            <a:bodyPr xmlns:a="http://schemas.openxmlformats.org/drawingml/2006/main"/>
            <a:p xmlns:a="http://schemas.openxmlformats.org/drawingml/2006/main">
              <a:pPr>
                <a:defRPr sz="900" b="1">
                  <a:solidFill>
                    <a:srgbClr val="1F2933"/>
                  </a:solidFill>
                  <a:latin typeface="Arial"/>
                </a:defRPr>
              </a:pPr>
              <a:r>
                <a:t/>
              </a:r>
              <a:endParaRPr sz="900" b="1">
                <a:solidFill>
                  <a:srgbClr val="1F2933"/>
                </a:solidFill>
                <a:latin typeface="Arial"/>
              </a:endParaRPr>
            </a:p>
          </txPr>
          <showLegendKey val="0"/>
          <showVal val="1"/>
          <showCatName val="0"/>
          <showSerName val="0"/>
          <showPercent val="0"/>
          <showBubbleSize val="0"/>
        </dLbls>
        <gapWidth val="120"/>
        <axId val="10"/>
        <axId val="100"/>
      </barChart>
      <catAx>
        <axId val="10"/>
        <scaling>
          <orientation val="minMax"/>
        </scaling>
        <axPos val="l"/>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0"/>
        <lblOffset val="100"/>
      </catAx>
      <valAx>
        <axId val="100"/>
        <scaling>
          <orientation val="minMax"/>
          <min val="0"/>
        </scaling>
        <axPos val="l"/>
        <majorGridlines>
          <spPr>
            <a:ln xmlns:a="http://schemas.openxmlformats.org/drawingml/2006/main" w="9525">
              <a:solidFill>
                <a:srgbClr val="EEF0F3"/>
              </a:solidFill>
              <a:prstDash val="solid"/>
            </a:ln>
          </spPr>
        </majorGridlines>
        <majorTickMark val="none"/>
        <minorTickMark val="none"/>
        <spPr>
          <a:ln xmlns:a="http://schemas.openxmlformats.org/drawingml/2006/main" w="9525">
            <a:solidFill>
              <a:srgbClr val="D9DEE5"/>
            </a:solidFill>
            <a:prstDash val="solid"/>
          </a:ln>
        </spPr>
        <txPr>
          <a:bodyPr xmlns:a="http://schemas.openxmlformats.org/drawingml/2006/main"/>
          <a:p xmlns:a="http://schemas.openxmlformats.org/drawingml/2006/main">
            <a:pPr>
              <a:defRPr sz="850" b="0">
                <a:solidFill>
                  <a:srgbClr val="5B6B7C"/>
                </a:solidFill>
                <a:latin typeface="Arial"/>
              </a:defRPr>
            </a:pPr>
            <a:r>
              <a:t/>
            </a:r>
            <a:endParaRPr sz="850" b="0">
              <a:solidFill>
                <a:srgbClr val="5B6B7C"/>
              </a:solidFill>
              <a:latin typeface="Arial"/>
            </a:endParaRPr>
          </a:p>
        </txPr>
        <crossAx val="10"/>
      </valAx>
    </plotArea>
    <plotVisOnly val="0"/>
    <dispBlanksAs val="gap"/>
  </chart>
  <spPr>
    <a:solidFill xmlns:a="http://schemas.openxmlformats.org/drawingml/2006/main">
      <a:srgbClr val="FFFFFF"/>
    </a:solidFill>
    <a:ln xmlns:a="http://schemas.openxmlformats.org/drawingml/2006/main">
      <a:noFill/>
      <a:prstDash val="solid"/>
    </a:ln>
  </spPr>
</chartSpace>
</file>

<file path=xl/comments/comment1.xml><?xml version="1.0" encoding="utf-8"?>
<comments xmlns="http://schemas.openxmlformats.org/spreadsheetml/2006/main">
  <authors>
    <author>Şablon</author>
  </authors>
  <commentList>
    <comment ref="R4" authorId="0" shapeId="0">
      <text>
        <t>Mutabakatın FİİLEN yapıldığı tarihi girin. Bitiş tarihinden sonraki 7 gün içinde yapılması beklenir. Boş bırakırsanız Mutabakat Uyarı sütunu kalan süreyi, süre dolmuşsa gecikmeyi yazar.</t>
      </text>
    </comment>
    <comment ref="S4" authorId="0" shapeId="0">
      <text>
        <t>Formüllü: Mutabakat - Bitiş. Kaç günde yapıldığını gösterir.</t>
      </text>
    </comment>
    <comment ref="U4" authorId="0" shapeId="0">
      <text>
        <t>Formüllü. Geçen sürenin oranı ile İlerleme % arasındaki fark 30 puandan fazlaysa uyarır. Örnek: 30 günlük işin 20. gününde ilerleme %20 ise geçen oran %67, fark %47 - iş gecikebilir.</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s>
</file>

<file path=xl/drawings/drawing1.xml><?xml version="1.0" encoding="utf-8"?>
<xdr:wsDr xmlns:xdr="http://schemas.openxmlformats.org/drawingml/2006/spreadsheetDrawing" xmlns:a="http://schemas.openxmlformats.org/drawingml/2006/main">
  <xdr:twoCellAnchor editAs="twoCell">
    <xdr:from>
      <xdr:col>1</xdr:col>
      <xdr:colOff>0</xdr:colOff>
      <xdr:row>17</xdr:row>
      <xdr:rowOff>0</xdr:rowOff>
    </xdr:from>
    <xdr:to>
      <xdr:col>17</xdr:col>
      <xdr:colOff>0</xdr:colOff>
      <xdr:row>33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18</xdr:col>
      <xdr:colOff>0</xdr:colOff>
      <xdr:row>17</xdr:row>
      <xdr:rowOff>0</xdr:rowOff>
    </xdr:from>
    <xdr:to>
      <xdr:col>60</xdr:col>
      <xdr:colOff>0</xdr:colOff>
      <xdr:row>33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1</xdr:col>
      <xdr:colOff>0</xdr:colOff>
      <xdr:row>37</xdr:row>
      <xdr:rowOff>0</xdr:rowOff>
    </xdr:from>
    <xdr:to>
      <xdr:col>60</xdr:col>
      <xdr:colOff>0</xdr:colOff>
      <xdr:row>55</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twoCell">
    <xdr:from>
      <xdr:col>1</xdr:col>
      <xdr:colOff>0</xdr:colOff>
      <xdr:row>59</xdr:row>
      <xdr:rowOff>0</xdr:rowOff>
    </xdr:from>
    <xdr:to>
      <xdr:col>60</xdr:col>
      <xdr:colOff>0</xdr:colOff>
      <xdr:row>77</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twoCell">
    <xdr:from>
      <xdr:col>1</xdr:col>
      <xdr:colOff>0</xdr:colOff>
      <xdr:row>81</xdr:row>
      <xdr:rowOff>0</xdr:rowOff>
    </xdr:from>
    <xdr:to>
      <xdr:col>19</xdr:col>
      <xdr:colOff>0</xdr:colOff>
      <xdr:row>103</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twoCell">
    <xdr:from>
      <xdr:col>20</xdr:col>
      <xdr:colOff>0</xdr:colOff>
      <xdr:row>81</xdr:row>
      <xdr:rowOff>0</xdr:rowOff>
    </xdr:from>
    <xdr:to>
      <xdr:col>38</xdr:col>
      <xdr:colOff>0</xdr:colOff>
      <xdr:row>103</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twoCell">
    <xdr:from>
      <xdr:col>39</xdr:col>
      <xdr:colOff>0</xdr:colOff>
      <xdr:row>81</xdr:row>
      <xdr:rowOff>0</xdr:rowOff>
    </xdr:from>
    <xdr:to>
      <xdr:col>57</xdr:col>
      <xdr:colOff>0</xdr:colOff>
      <xdr:row>103</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twoCell">
    <xdr:from>
      <xdr:col>1</xdr:col>
      <xdr:colOff>0</xdr:colOff>
      <xdr:row>107</xdr:row>
      <xdr:rowOff>0</xdr:rowOff>
    </xdr:from>
    <xdr:to>
      <xdr:col>60</xdr:col>
      <xdr:colOff>0</xdr:colOff>
      <xdr:row>129</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twoCell">
    <xdr:from>
      <xdr:col>1</xdr:col>
      <xdr:colOff>0</xdr:colOff>
      <xdr:row>133</xdr:row>
      <xdr:rowOff>0</xdr:rowOff>
    </xdr:from>
    <xdr:to>
      <xdr:col>60</xdr:col>
      <xdr:colOff>0</xdr:colOff>
      <xdr:row>153</xdr:row>
      <xdr:rowOff>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twoCell">
    <xdr:from>
      <xdr:col>1</xdr:col>
      <xdr:colOff>0</xdr:colOff>
      <xdr:row>158</xdr:row>
      <xdr:rowOff>0</xdr:rowOff>
    </xdr:from>
    <xdr:to>
      <xdr:col>19</xdr:col>
      <xdr:colOff>0</xdr:colOff>
      <xdr:row>178</xdr:row>
      <xdr:rowOff>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twoCell">
    <xdr:from>
      <xdr:col>20</xdr:col>
      <xdr:colOff>0</xdr:colOff>
      <xdr:row>158</xdr:row>
      <xdr:rowOff>0</xdr:rowOff>
    </xdr:from>
    <xdr:to>
      <xdr:col>60</xdr:col>
      <xdr:colOff>0</xdr:colOff>
      <xdr:row>178</xdr:row>
      <xdr:rowOff>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H185"/>
  <sheetViews>
    <sheetView showGridLines="0" workbookViewId="0">
      <selection activeCell="A1" sqref="A1"/>
    </sheetView>
  </sheetViews>
  <sheetFormatPr baseColWidth="8" defaultRowHeight="15"/>
  <cols>
    <col width="2.9" customWidth="1" min="1" max="1"/>
    <col width="2.9" customWidth="1" min="2" max="2"/>
    <col width="2.9" customWidth="1" min="3" max="3"/>
    <col width="2.9" customWidth="1" min="4" max="4"/>
    <col width="2.9" customWidth="1" min="5" max="5"/>
    <col width="2.9" customWidth="1" min="6" max="6"/>
    <col width="2.9" customWidth="1" min="7" max="7"/>
    <col width="2.9" customWidth="1" min="8" max="8"/>
    <col width="2.9" customWidth="1" min="9" max="9"/>
    <col width="2.9" customWidth="1" min="10" max="10"/>
    <col width="2.9" customWidth="1" min="11" max="11"/>
    <col width="2.9" customWidth="1" min="12" max="12"/>
    <col width="2.9" customWidth="1" min="13" max="13"/>
    <col width="2.9" customWidth="1" min="14" max="14"/>
    <col width="2.9" customWidth="1" min="15" max="15"/>
    <col width="2.9" customWidth="1" min="16" max="16"/>
    <col width="2.9" customWidth="1" min="17" max="17"/>
    <col width="2.9" customWidth="1" min="18" max="18"/>
    <col width="2.9" customWidth="1" min="19" max="19"/>
    <col width="2.9" customWidth="1" min="20" max="20"/>
    <col width="2.9" customWidth="1" min="21" max="21"/>
    <col width="2.9" customWidth="1" min="22" max="22"/>
    <col width="2.9" customWidth="1" min="23" max="23"/>
    <col width="2.9" customWidth="1" min="24" max="24"/>
    <col width="2.9" customWidth="1" min="25" max="25"/>
    <col width="2.9" customWidth="1" min="26" max="26"/>
    <col width="2.9" customWidth="1" min="27" max="27"/>
    <col width="2.9" customWidth="1" min="28" max="28"/>
    <col width="2.9" customWidth="1" min="29" max="29"/>
    <col width="2.9" customWidth="1" min="30" max="30"/>
    <col width="2.9" customWidth="1" min="31" max="31"/>
    <col width="2.9" customWidth="1" min="32" max="32"/>
    <col width="2.9" customWidth="1" min="33" max="33"/>
    <col width="2.9" customWidth="1" min="34" max="34"/>
    <col width="2.9" customWidth="1" min="35" max="35"/>
    <col width="2.9" customWidth="1" min="36" max="36"/>
    <col width="2.9" customWidth="1" min="37" max="37"/>
    <col width="2.9" customWidth="1" min="38" max="38"/>
    <col width="2.9" customWidth="1" min="39" max="39"/>
    <col width="2.9" customWidth="1" min="40" max="40"/>
    <col width="2.9" customWidth="1" min="41" max="41"/>
    <col width="2.9" customWidth="1" min="42" max="42"/>
    <col width="2.9" customWidth="1" min="43" max="43"/>
    <col width="2.9" customWidth="1" min="44" max="44"/>
    <col width="2.9" customWidth="1" min="45" max="45"/>
    <col width="2.9" customWidth="1" min="46" max="46"/>
    <col width="2.9" customWidth="1" min="47" max="47"/>
    <col width="2.9" customWidth="1" min="48" max="48"/>
    <col width="2.9" customWidth="1" min="49" max="49"/>
    <col width="2.9" customWidth="1" min="50" max="50"/>
    <col width="2.9" customWidth="1" min="51" max="51"/>
    <col width="2.9" customWidth="1" min="52" max="52"/>
    <col width="2.9" customWidth="1" min="53" max="53"/>
    <col width="2.9" customWidth="1" min="54" max="54"/>
    <col width="2.9" customWidth="1" min="55" max="55"/>
    <col width="2.9" customWidth="1" min="56" max="56"/>
    <col width="2.9" customWidth="1" min="57" max="57"/>
    <col width="2.9" customWidth="1" min="58" max="58"/>
    <col width="2.9" customWidth="1" min="59" max="59"/>
    <col width="2.9" customWidth="1" min="60" max="60"/>
  </cols>
  <sheetData>
    <row r="1" ht="15" customHeight="1">
      <c r="A1" s="1" t="inlineStr">
        <is>
          <t>2026 YILLIK İŞ PLANI  -  YÖNETİCİ ÖZETİ</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row>
    <row r="2" ht="15" customHeight="1">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row>
    <row r="3" ht="15" customHeight="1">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row>
    <row r="4" ht="15" customHeight="1">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row>
    <row r="5" ht="18" customHeight="1">
      <c r="A5" s="3" t="inlineStr">
        <is>
          <t>Tüm değerler 'İş Planı' sayfasından otomatik hesaplanır.</t>
        </is>
      </c>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c r="AU5" s="4" t="n"/>
      <c r="AV5" s="4" t="n"/>
      <c r="AW5" s="4" t="n"/>
      <c r="AX5" s="4" t="n"/>
      <c r="AY5" s="4" t="n"/>
      <c r="AZ5" s="4" t="n"/>
      <c r="BA5" s="4" t="n"/>
      <c r="BB5" s="4" t="n"/>
      <c r="BC5" s="4" t="n"/>
      <c r="BD5" s="4" t="n"/>
      <c r="BE5" s="4" t="n"/>
      <c r="BF5" s="4" t="n"/>
      <c r="BG5" s="4" t="n"/>
      <c r="BH5" s="4" t="n"/>
    </row>
    <row r="6" ht="15" customHeight="1"/>
    <row r="7" ht="15" customHeight="1">
      <c r="B7" s="5" t="n"/>
      <c r="C7" s="6" t="n"/>
      <c r="D7" s="6" t="n"/>
      <c r="E7" s="6" t="n"/>
      <c r="F7" s="6" t="n"/>
      <c r="G7" s="7" t="n"/>
      <c r="I7" s="8" t="n"/>
      <c r="J7" s="9" t="n"/>
      <c r="K7" s="9" t="n"/>
      <c r="L7" s="9" t="n"/>
      <c r="M7" s="9" t="n"/>
      <c r="N7" s="10" t="n"/>
      <c r="P7" s="11" t="n"/>
      <c r="Q7" s="12" t="n"/>
      <c r="R7" s="12" t="n"/>
      <c r="S7" s="12" t="n"/>
      <c r="T7" s="12" t="n"/>
      <c r="U7" s="13" t="n"/>
      <c r="W7" s="14" t="n"/>
      <c r="X7" s="15" t="n"/>
      <c r="Y7" s="15" t="n"/>
      <c r="Z7" s="15" t="n"/>
      <c r="AA7" s="15" t="n"/>
      <c r="AB7" s="16" t="n"/>
      <c r="AD7" s="17" t="n"/>
      <c r="AE7" s="18" t="n"/>
      <c r="AF7" s="18" t="n"/>
      <c r="AG7" s="18" t="n"/>
      <c r="AH7" s="18" t="n"/>
      <c r="AI7" s="19" t="n"/>
      <c r="AK7" s="20" t="n"/>
      <c r="AL7" s="21" t="n"/>
      <c r="AM7" s="21" t="n"/>
      <c r="AN7" s="21" t="n"/>
      <c r="AO7" s="21" t="n"/>
      <c r="AP7" s="22" t="n"/>
      <c r="AR7" s="14" t="n"/>
      <c r="AS7" s="15" t="n"/>
      <c r="AT7" s="15" t="n"/>
      <c r="AU7" s="15" t="n"/>
      <c r="AV7" s="15" t="n"/>
      <c r="AW7" s="16" t="n"/>
      <c r="AY7" s="23" t="n"/>
      <c r="AZ7" s="24" t="n"/>
      <c r="BA7" s="24" t="n"/>
      <c r="BB7" s="24" t="n"/>
      <c r="BC7" s="24" t="n"/>
      <c r="BD7" s="25" t="n"/>
    </row>
    <row r="8" ht="15" customHeight="1">
      <c r="B8" s="26" t="inlineStr">
        <is>
          <t>TOPLAM İŞ</t>
        </is>
      </c>
      <c r="G8" s="27" t="n"/>
      <c r="I8" s="26" t="inlineStr">
        <is>
          <t>PLANLANAN</t>
        </is>
      </c>
      <c r="N8" s="27" t="n"/>
      <c r="P8" s="26" t="inlineStr">
        <is>
          <t>DEVAM EDİYOR</t>
        </is>
      </c>
      <c r="U8" s="27" t="n"/>
      <c r="W8" s="26" t="inlineStr">
        <is>
          <t>TAMAMLANDI</t>
        </is>
      </c>
      <c r="AB8" s="27" t="n"/>
      <c r="AD8" s="26" t="inlineStr">
        <is>
          <t>GECİKMİŞ</t>
        </is>
      </c>
      <c r="AI8" s="27" t="n"/>
      <c r="AK8" s="26" t="inlineStr">
        <is>
          <t>GENEL İLERLEME</t>
        </is>
      </c>
      <c r="AP8" s="27" t="n"/>
      <c r="AR8" s="26" t="inlineStr">
        <is>
          <t>MUTABAKAT TAMAM</t>
        </is>
      </c>
      <c r="AW8" s="27" t="n"/>
      <c r="AY8" s="26" t="inlineStr">
        <is>
          <t>PROJEKSİYON RİSKİ</t>
        </is>
      </c>
      <c r="BD8" s="27" t="n"/>
    </row>
    <row r="9" ht="20" customHeight="1">
      <c r="B9" s="28">
        <f>Hesap!$U$2</f>
        <v>95</v>
      </c>
      <c r="G9" s="27" t="n"/>
      <c r="I9" s="29">
        <f>Hesap!$U$6</f>
        <v>62</v>
      </c>
      <c r="N9" s="27" t="n"/>
      <c r="P9" s="30">
        <f>Hesap!$U$4</f>
        <v>12</v>
      </c>
      <c r="U9" s="27" t="n"/>
      <c r="W9" s="31">
        <f>Hesap!$U$3</f>
        <v>6</v>
      </c>
      <c r="AB9" s="27" t="n"/>
      <c r="AD9" s="32">
        <f>Hesap!$U$5</f>
        <v>15</v>
      </c>
      <c r="AI9" s="27" t="n"/>
      <c r="AK9" s="33">
        <f>Hesap!$U$7</f>
        <v>0.1678947368</v>
      </c>
      <c r="AP9" s="27" t="n"/>
      <c r="AR9" s="31">
        <f>Hesap!$U$8</f>
        <v>0</v>
      </c>
      <c r="AW9" s="27" t="n"/>
      <c r="AY9" s="34">
        <f>Hesap!$U$9</f>
        <v>17</v>
      </c>
      <c r="BD9" s="27" t="n"/>
    </row>
    <row r="10" ht="14" customHeight="1">
      <c r="B10" s="35" t="n"/>
      <c r="G10" s="27" t="n"/>
      <c r="I10" s="35" t="n"/>
      <c r="N10" s="27" t="n"/>
      <c r="P10" s="35" t="n"/>
      <c r="U10" s="27" t="n"/>
      <c r="W10" s="35" t="n"/>
      <c r="AB10" s="27" t="n"/>
      <c r="AD10" s="35" t="n"/>
      <c r="AI10" s="27" t="n"/>
      <c r="AK10" s="35" t="n"/>
      <c r="AP10" s="27" t="n"/>
      <c r="AR10" s="35" t="n"/>
      <c r="AW10" s="27" t="n"/>
      <c r="AY10" s="35" t="n"/>
      <c r="BD10" s="27" t="n"/>
    </row>
    <row r="11" ht="15" customHeight="1">
      <c r="B11" s="36" t="inlineStr">
        <is>
          <t>Plandaki satır</t>
        </is>
      </c>
      <c r="G11" s="27" t="n"/>
      <c r="I11" s="36" t="inlineStr">
        <is>
          <t>Başlamamış</t>
        </is>
      </c>
      <c r="N11" s="27" t="n"/>
      <c r="P11" s="36" t="inlineStr">
        <is>
          <t>Açık çalışma</t>
        </is>
      </c>
      <c r="U11" s="27" t="n"/>
      <c r="W11" s="36" t="inlineStr">
        <is>
          <t>Kapanan iş</t>
        </is>
      </c>
      <c r="AB11" s="27" t="n"/>
      <c r="AD11" s="36" t="inlineStr">
        <is>
          <t>Süresi geçmiş</t>
        </is>
      </c>
      <c r="AI11" s="27" t="n"/>
      <c r="AK11" s="36" t="inlineStr">
        <is>
          <t>Ortalama</t>
        </is>
      </c>
      <c r="AP11" s="27" t="n"/>
      <c r="AR11" s="36" t="inlineStr">
        <is>
          <t>Tarihi girilmiş</t>
        </is>
      </c>
      <c r="AW11" s="27" t="n"/>
      <c r="AY11" s="36" t="inlineStr">
        <is>
          <t>Gecikebilir</t>
        </is>
      </c>
      <c r="BD11" s="27" t="n"/>
    </row>
    <row r="12" ht="15" customHeight="1">
      <c r="B12" s="37" t="n"/>
      <c r="C12" s="38" t="n"/>
      <c r="D12" s="38" t="n"/>
      <c r="E12" s="38" t="n"/>
      <c r="F12" s="38" t="n"/>
      <c r="G12" s="39" t="n"/>
      <c r="I12" s="37" t="n"/>
      <c r="J12" s="38" t="n"/>
      <c r="K12" s="38" t="n"/>
      <c r="L12" s="38" t="n"/>
      <c r="M12" s="38" t="n"/>
      <c r="N12" s="39" t="n"/>
      <c r="P12" s="37" t="n"/>
      <c r="Q12" s="38" t="n"/>
      <c r="R12" s="38" t="n"/>
      <c r="S12" s="38" t="n"/>
      <c r="T12" s="38" t="n"/>
      <c r="U12" s="39" t="n"/>
      <c r="W12" s="37" t="n"/>
      <c r="X12" s="38" t="n"/>
      <c r="Y12" s="38" t="n"/>
      <c r="Z12" s="38" t="n"/>
      <c r="AA12" s="38" t="n"/>
      <c r="AB12" s="39" t="n"/>
      <c r="AD12" s="37" t="n"/>
      <c r="AE12" s="38" t="n"/>
      <c r="AF12" s="38" t="n"/>
      <c r="AG12" s="38" t="n"/>
      <c r="AH12" s="38" t="n"/>
      <c r="AI12" s="39" t="n"/>
      <c r="AK12" s="37" t="n"/>
      <c r="AL12" s="38" t="n"/>
      <c r="AM12" s="38" t="n"/>
      <c r="AN12" s="38" t="n"/>
      <c r="AO12" s="38" t="n"/>
      <c r="AP12" s="39" t="n"/>
      <c r="AR12" s="37" t="n"/>
      <c r="AS12" s="38" t="n"/>
      <c r="AT12" s="38" t="n"/>
      <c r="AU12" s="38" t="n"/>
      <c r="AV12" s="38" t="n"/>
      <c r="AW12" s="39" t="n"/>
      <c r="AY12" s="37" t="n"/>
      <c r="AZ12" s="38" t="n"/>
      <c r="BA12" s="38" t="n"/>
      <c r="BB12" s="38" t="n"/>
      <c r="BC12" s="38" t="n"/>
      <c r="BD12" s="39" t="n"/>
    </row>
    <row r="13" ht="15" customHeight="1"/>
    <row r="14" ht="15" customHeight="1"/>
    <row r="15" ht="15" customHeight="1">
      <c r="B15" s="40" t="inlineStr">
        <is>
          <t>DURUM DAĞILIMI</t>
        </is>
      </c>
      <c r="C15" s="41" t="n"/>
      <c r="D15" s="41" t="n"/>
      <c r="E15" s="41" t="n"/>
      <c r="F15" s="41" t="n"/>
      <c r="G15" s="41" t="n"/>
      <c r="H15" s="41" t="n"/>
      <c r="I15" s="41" t="n"/>
      <c r="J15" s="41" t="n"/>
      <c r="K15" s="41" t="n"/>
      <c r="L15" s="41" t="n"/>
      <c r="M15" s="41" t="n"/>
      <c r="N15" s="41" t="n"/>
      <c r="O15" s="41" t="n"/>
      <c r="P15" s="41" t="n"/>
      <c r="Q15" s="41" t="n"/>
      <c r="S15" s="40" t="inlineStr">
        <is>
          <t>AYLIK İŞ YÜKÜ</t>
        </is>
      </c>
      <c r="T15" s="41" t="n"/>
      <c r="U15" s="41" t="n"/>
      <c r="V15" s="41" t="n"/>
      <c r="W15" s="41" t="n"/>
      <c r="X15" s="41" t="n"/>
      <c r="Y15" s="41" t="n"/>
      <c r="Z15" s="41" t="n"/>
      <c r="AA15" s="41" t="n"/>
      <c r="AB15" s="41" t="n"/>
      <c r="AC15" s="41" t="n"/>
      <c r="AD15" s="41" t="n"/>
      <c r="AE15" s="41" t="n"/>
      <c r="AF15" s="41" t="n"/>
      <c r="AG15" s="41" t="n"/>
      <c r="AH15" s="41" t="n"/>
      <c r="AI15" s="41" t="n"/>
      <c r="AJ15" s="41" t="n"/>
      <c r="AK15" s="41" t="n"/>
      <c r="AL15" s="41" t="n"/>
      <c r="AM15" s="41" t="n"/>
      <c r="AN15" s="41" t="n"/>
      <c r="AO15" s="41" t="n"/>
      <c r="AP15" s="41" t="n"/>
      <c r="AQ15" s="41" t="n"/>
      <c r="AR15" s="41" t="n"/>
      <c r="AS15" s="41" t="n"/>
      <c r="AT15" s="41" t="n"/>
      <c r="AU15" s="41" t="n"/>
      <c r="AV15" s="41" t="n"/>
      <c r="AW15" s="41" t="n"/>
      <c r="AX15" s="41" t="n"/>
      <c r="AY15" s="41" t="n"/>
      <c r="AZ15" s="41" t="n"/>
      <c r="BA15" s="41" t="n"/>
      <c r="BB15" s="41" t="n"/>
      <c r="BC15" s="41" t="n"/>
      <c r="BD15" s="41" t="n"/>
      <c r="BE15" s="41" t="n"/>
      <c r="BF15" s="41" t="n"/>
      <c r="BG15" s="41" t="n"/>
      <c r="BH15" s="41" t="n"/>
    </row>
    <row r="16" ht="15" customHeight="1">
      <c r="B16" s="42" t="inlineStr">
        <is>
          <t>Durum sütununa göre</t>
        </is>
      </c>
      <c r="C16" s="43" t="n"/>
      <c r="D16" s="43" t="n"/>
      <c r="E16" s="43" t="n"/>
      <c r="F16" s="43" t="n"/>
      <c r="G16" s="43" t="n"/>
      <c r="H16" s="43" t="n"/>
      <c r="I16" s="43" t="n"/>
      <c r="J16" s="43" t="n"/>
      <c r="K16" s="43" t="n"/>
      <c r="L16" s="43" t="n"/>
      <c r="M16" s="43" t="n"/>
      <c r="N16" s="43" t="n"/>
      <c r="O16" s="43" t="n"/>
      <c r="P16" s="43" t="n"/>
      <c r="Q16" s="43" t="n"/>
      <c r="S16" s="42" t="inlineStr">
        <is>
          <t>Her ayda aktif iş kalemi sayısı</t>
        </is>
      </c>
      <c r="T16" s="43" t="n"/>
      <c r="U16" s="43" t="n"/>
      <c r="V16" s="43" t="n"/>
      <c r="W16" s="43" t="n"/>
      <c r="X16" s="43" t="n"/>
      <c r="Y16" s="43" t="n"/>
      <c r="Z16" s="43" t="n"/>
      <c r="AA16" s="43" t="n"/>
      <c r="AB16" s="43" t="n"/>
      <c r="AC16" s="43" t="n"/>
      <c r="AD16" s="43" t="n"/>
      <c r="AE16" s="43" t="n"/>
      <c r="AF16" s="43" t="n"/>
      <c r="AG16" s="43" t="n"/>
      <c r="AH16" s="43" t="n"/>
      <c r="AI16" s="43" t="n"/>
      <c r="AJ16" s="43" t="n"/>
      <c r="AK16" s="43" t="n"/>
      <c r="AL16" s="43" t="n"/>
      <c r="AM16" s="43" t="n"/>
      <c r="AN16" s="43" t="n"/>
      <c r="AO16" s="43" t="n"/>
      <c r="AP16" s="43" t="n"/>
      <c r="AQ16" s="43" t="n"/>
      <c r="AR16" s="43" t="n"/>
      <c r="AS16" s="43" t="n"/>
      <c r="AT16" s="43" t="n"/>
      <c r="AU16" s="43" t="n"/>
      <c r="AV16" s="43" t="n"/>
      <c r="AW16" s="43" t="n"/>
      <c r="AX16" s="43" t="n"/>
      <c r="AY16" s="43" t="n"/>
      <c r="AZ16" s="43" t="n"/>
      <c r="BA16" s="43" t="n"/>
      <c r="BB16" s="43" t="n"/>
      <c r="BC16" s="43" t="n"/>
      <c r="BD16" s="43" t="n"/>
      <c r="BE16" s="43" t="n"/>
      <c r="BF16" s="43" t="n"/>
      <c r="BG16" s="43" t="n"/>
      <c r="BH16" s="43" t="n"/>
    </row>
    <row r="17" ht="15" customHeight="1">
      <c r="B17" s="43" t="n"/>
      <c r="C17" s="43" t="n"/>
      <c r="D17" s="43" t="n"/>
      <c r="E17" s="43" t="n"/>
      <c r="F17" s="43" t="n"/>
      <c r="G17" s="43" t="n"/>
      <c r="H17" s="43" t="n"/>
      <c r="I17" s="43" t="n"/>
      <c r="J17" s="43" t="n"/>
      <c r="K17" s="43" t="n"/>
      <c r="L17" s="43" t="n"/>
      <c r="M17" s="43" t="n"/>
      <c r="N17" s="43" t="n"/>
      <c r="O17" s="43" t="n"/>
      <c r="P17" s="43" t="n"/>
      <c r="Q17" s="43" t="n"/>
      <c r="S17" s="43" t="n"/>
      <c r="T17" s="43" t="n"/>
      <c r="U17" s="43" t="n"/>
      <c r="V17" s="43" t="n"/>
      <c r="W17" s="43" t="n"/>
      <c r="X17" s="43" t="n"/>
      <c r="Y17" s="43" t="n"/>
      <c r="Z17" s="43" t="n"/>
      <c r="AA17" s="43" t="n"/>
      <c r="AB17" s="43" t="n"/>
      <c r="AC17" s="43" t="n"/>
      <c r="AD17" s="43" t="n"/>
      <c r="AE17" s="43" t="n"/>
      <c r="AF17" s="43" t="n"/>
      <c r="AG17" s="43" t="n"/>
      <c r="AH17" s="43" t="n"/>
      <c r="AI17" s="43" t="n"/>
      <c r="AJ17" s="43" t="n"/>
      <c r="AK17" s="43" t="n"/>
      <c r="AL17" s="43" t="n"/>
      <c r="AM17" s="43" t="n"/>
      <c r="AN17" s="43" t="n"/>
      <c r="AO17" s="43" t="n"/>
      <c r="AP17" s="43" t="n"/>
      <c r="AQ17" s="43" t="n"/>
      <c r="AR17" s="43" t="n"/>
      <c r="AS17" s="43" t="n"/>
      <c r="AT17" s="43" t="n"/>
      <c r="AU17" s="43" t="n"/>
      <c r="AV17" s="43" t="n"/>
      <c r="AW17" s="43" t="n"/>
      <c r="AX17" s="43" t="n"/>
      <c r="AY17" s="43" t="n"/>
      <c r="AZ17" s="43" t="n"/>
      <c r="BA17" s="43" t="n"/>
      <c r="BB17" s="43" t="n"/>
      <c r="BC17" s="43" t="n"/>
      <c r="BD17" s="43" t="n"/>
      <c r="BE17" s="43" t="n"/>
      <c r="BF17" s="43" t="n"/>
      <c r="BG17" s="43" t="n"/>
      <c r="BH17" s="43" t="n"/>
    </row>
    <row r="18" ht="15" customHeight="1">
      <c r="B18" s="43" t="n"/>
      <c r="C18" s="43" t="n"/>
      <c r="D18" s="43" t="n"/>
      <c r="E18" s="43" t="n"/>
      <c r="F18" s="43" t="n"/>
      <c r="G18" s="43" t="n"/>
      <c r="H18" s="43" t="n"/>
      <c r="I18" s="43" t="n"/>
      <c r="J18" s="43" t="n"/>
      <c r="K18" s="43" t="n"/>
      <c r="L18" s="43" t="n"/>
      <c r="M18" s="43" t="n"/>
      <c r="N18" s="43" t="n"/>
      <c r="O18" s="43" t="n"/>
      <c r="P18" s="43" t="n"/>
      <c r="Q18" s="43" t="n"/>
      <c r="S18" s="43" t="n"/>
      <c r="T18" s="43" t="n"/>
      <c r="U18" s="43" t="n"/>
      <c r="V18" s="43" t="n"/>
      <c r="W18" s="43" t="n"/>
      <c r="X18" s="43" t="n"/>
      <c r="Y18" s="43" t="n"/>
      <c r="Z18" s="43" t="n"/>
      <c r="AA18" s="43" t="n"/>
      <c r="AB18" s="43" t="n"/>
      <c r="AC18" s="43" t="n"/>
      <c r="AD18" s="43" t="n"/>
      <c r="AE18" s="43" t="n"/>
      <c r="AF18" s="43" t="n"/>
      <c r="AG18" s="43" t="n"/>
      <c r="AH18" s="43" t="n"/>
      <c r="AI18" s="43" t="n"/>
      <c r="AJ18" s="43" t="n"/>
      <c r="AK18" s="43" t="n"/>
      <c r="AL18" s="43" t="n"/>
      <c r="AM18" s="43" t="n"/>
      <c r="AN18" s="43" t="n"/>
      <c r="AO18" s="43" t="n"/>
      <c r="AP18" s="43" t="n"/>
      <c r="AQ18" s="43" t="n"/>
      <c r="AR18" s="43" t="n"/>
      <c r="AS18" s="43" t="n"/>
      <c r="AT18" s="43" t="n"/>
      <c r="AU18" s="43" t="n"/>
      <c r="AV18" s="43" t="n"/>
      <c r="AW18" s="43" t="n"/>
      <c r="AX18" s="43" t="n"/>
      <c r="AY18" s="43" t="n"/>
      <c r="AZ18" s="43" t="n"/>
      <c r="BA18" s="43" t="n"/>
      <c r="BB18" s="43" t="n"/>
      <c r="BC18" s="43" t="n"/>
      <c r="BD18" s="43" t="n"/>
      <c r="BE18" s="43" t="n"/>
      <c r="BF18" s="43" t="n"/>
      <c r="BG18" s="43" t="n"/>
      <c r="BH18" s="43" t="n"/>
    </row>
    <row r="19" ht="15" customHeight="1">
      <c r="B19" s="43" t="n"/>
      <c r="C19" s="43" t="n"/>
      <c r="D19" s="43" t="n"/>
      <c r="E19" s="43" t="n"/>
      <c r="F19" s="43" t="n"/>
      <c r="G19" s="43" t="n"/>
      <c r="H19" s="43" t="n"/>
      <c r="I19" s="43" t="n"/>
      <c r="J19" s="43" t="n"/>
      <c r="K19" s="43" t="n"/>
      <c r="L19" s="43" t="n"/>
      <c r="M19" s="43" t="n"/>
      <c r="N19" s="43" t="n"/>
      <c r="O19" s="43" t="n"/>
      <c r="P19" s="43" t="n"/>
      <c r="Q19" s="43" t="n"/>
      <c r="S19" s="43" t="n"/>
      <c r="T19" s="43" t="n"/>
      <c r="U19" s="43" t="n"/>
      <c r="V19" s="43" t="n"/>
      <c r="W19" s="43" t="n"/>
      <c r="X19" s="43" t="n"/>
      <c r="Y19" s="43" t="n"/>
      <c r="Z19" s="43" t="n"/>
      <c r="AA19" s="43" t="n"/>
      <c r="AB19" s="43" t="n"/>
      <c r="AC19" s="43" t="n"/>
      <c r="AD19" s="43" t="n"/>
      <c r="AE19" s="43" t="n"/>
      <c r="AF19" s="43" t="n"/>
      <c r="AG19" s="43" t="n"/>
      <c r="AH19" s="43" t="n"/>
      <c r="AI19" s="43" t="n"/>
      <c r="AJ19" s="43" t="n"/>
      <c r="AK19" s="43" t="n"/>
      <c r="AL19" s="43" t="n"/>
      <c r="AM19" s="43" t="n"/>
      <c r="AN19" s="43" t="n"/>
      <c r="AO19" s="43" t="n"/>
      <c r="AP19" s="43" t="n"/>
      <c r="AQ19" s="43" t="n"/>
      <c r="AR19" s="43" t="n"/>
      <c r="AS19" s="43" t="n"/>
      <c r="AT19" s="43" t="n"/>
      <c r="AU19" s="43" t="n"/>
      <c r="AV19" s="43" t="n"/>
      <c r="AW19" s="43" t="n"/>
      <c r="AX19" s="43" t="n"/>
      <c r="AY19" s="43" t="n"/>
      <c r="AZ19" s="43" t="n"/>
      <c r="BA19" s="43" t="n"/>
      <c r="BB19" s="43" t="n"/>
      <c r="BC19" s="43" t="n"/>
      <c r="BD19" s="43" t="n"/>
      <c r="BE19" s="43" t="n"/>
      <c r="BF19" s="43" t="n"/>
      <c r="BG19" s="43" t="n"/>
      <c r="BH19" s="43" t="n"/>
    </row>
    <row r="20" ht="15" customHeight="1">
      <c r="B20" s="43" t="n"/>
      <c r="C20" s="43" t="n"/>
      <c r="D20" s="43" t="n"/>
      <c r="E20" s="43" t="n"/>
      <c r="F20" s="43" t="n"/>
      <c r="G20" s="43" t="n"/>
      <c r="H20" s="43" t="n"/>
      <c r="I20" s="43" t="n"/>
      <c r="J20" s="43" t="n"/>
      <c r="K20" s="43" t="n"/>
      <c r="L20" s="43" t="n"/>
      <c r="M20" s="43" t="n"/>
      <c r="N20" s="43" t="n"/>
      <c r="O20" s="43" t="n"/>
      <c r="P20" s="43" t="n"/>
      <c r="Q20" s="43" t="n"/>
      <c r="S20" s="43" t="n"/>
      <c r="T20" s="43" t="n"/>
      <c r="U20" s="43" t="n"/>
      <c r="V20" s="43" t="n"/>
      <c r="W20" s="43" t="n"/>
      <c r="X20" s="43" t="n"/>
      <c r="Y20" s="43" t="n"/>
      <c r="Z20" s="43" t="n"/>
      <c r="AA20" s="43" t="n"/>
      <c r="AB20" s="43" t="n"/>
      <c r="AC20" s="43" t="n"/>
      <c r="AD20" s="43" t="n"/>
      <c r="AE20" s="43" t="n"/>
      <c r="AF20" s="43" t="n"/>
      <c r="AG20" s="43" t="n"/>
      <c r="AH20" s="43" t="n"/>
      <c r="AI20" s="43" t="n"/>
      <c r="AJ20" s="43" t="n"/>
      <c r="AK20" s="43" t="n"/>
      <c r="AL20" s="43" t="n"/>
      <c r="AM20" s="43" t="n"/>
      <c r="AN20" s="43" t="n"/>
      <c r="AO20" s="43" t="n"/>
      <c r="AP20" s="43" t="n"/>
      <c r="AQ20" s="43" t="n"/>
      <c r="AR20" s="43" t="n"/>
      <c r="AS20" s="43" t="n"/>
      <c r="AT20" s="43" t="n"/>
      <c r="AU20" s="43" t="n"/>
      <c r="AV20" s="43" t="n"/>
      <c r="AW20" s="43" t="n"/>
      <c r="AX20" s="43" t="n"/>
      <c r="AY20" s="43" t="n"/>
      <c r="AZ20" s="43" t="n"/>
      <c r="BA20" s="43" t="n"/>
      <c r="BB20" s="43" t="n"/>
      <c r="BC20" s="43" t="n"/>
      <c r="BD20" s="43" t="n"/>
      <c r="BE20" s="43" t="n"/>
      <c r="BF20" s="43" t="n"/>
      <c r="BG20" s="43" t="n"/>
      <c r="BH20" s="43" t="n"/>
    </row>
    <row r="21" ht="15" customHeight="1">
      <c r="B21" s="43" t="n"/>
      <c r="C21" s="43" t="n"/>
      <c r="D21" s="43" t="n"/>
      <c r="E21" s="43" t="n"/>
      <c r="F21" s="43" t="n"/>
      <c r="G21" s="43" t="n"/>
      <c r="H21" s="43" t="n"/>
      <c r="I21" s="43" t="n"/>
      <c r="J21" s="43" t="n"/>
      <c r="K21" s="43" t="n"/>
      <c r="L21" s="43" t="n"/>
      <c r="M21" s="43" t="n"/>
      <c r="N21" s="43" t="n"/>
      <c r="O21" s="43" t="n"/>
      <c r="P21" s="43" t="n"/>
      <c r="Q21" s="43" t="n"/>
      <c r="S21" s="43" t="n"/>
      <c r="T21" s="43" t="n"/>
      <c r="U21" s="43" t="n"/>
      <c r="V21" s="43" t="n"/>
      <c r="W21" s="43" t="n"/>
      <c r="X21" s="43" t="n"/>
      <c r="Y21" s="43" t="n"/>
      <c r="Z21" s="43" t="n"/>
      <c r="AA21" s="43" t="n"/>
      <c r="AB21" s="43" t="n"/>
      <c r="AC21" s="43" t="n"/>
      <c r="AD21" s="43" t="n"/>
      <c r="AE21" s="43" t="n"/>
      <c r="AF21" s="43" t="n"/>
      <c r="AG21" s="43" t="n"/>
      <c r="AH21" s="43" t="n"/>
      <c r="AI21" s="43" t="n"/>
      <c r="AJ21" s="43" t="n"/>
      <c r="AK21" s="43" t="n"/>
      <c r="AL21" s="43" t="n"/>
      <c r="AM21" s="43" t="n"/>
      <c r="AN21" s="43" t="n"/>
      <c r="AO21" s="43" t="n"/>
      <c r="AP21" s="43" t="n"/>
      <c r="AQ21" s="43" t="n"/>
      <c r="AR21" s="43" t="n"/>
      <c r="AS21" s="43" t="n"/>
      <c r="AT21" s="43" t="n"/>
      <c r="AU21" s="43" t="n"/>
      <c r="AV21" s="43" t="n"/>
      <c r="AW21" s="43" t="n"/>
      <c r="AX21" s="43" t="n"/>
      <c r="AY21" s="43" t="n"/>
      <c r="AZ21" s="43" t="n"/>
      <c r="BA21" s="43" t="n"/>
      <c r="BB21" s="43" t="n"/>
      <c r="BC21" s="43" t="n"/>
      <c r="BD21" s="43" t="n"/>
      <c r="BE21" s="43" t="n"/>
      <c r="BF21" s="43" t="n"/>
      <c r="BG21" s="43" t="n"/>
      <c r="BH21" s="43" t="n"/>
    </row>
    <row r="22" ht="15" customHeight="1">
      <c r="B22" s="43" t="n"/>
      <c r="C22" s="43" t="n"/>
      <c r="D22" s="43" t="n"/>
      <c r="E22" s="43" t="n"/>
      <c r="F22" s="43" t="n"/>
      <c r="G22" s="43" t="n"/>
      <c r="H22" s="43" t="n"/>
      <c r="I22" s="43" t="n"/>
      <c r="J22" s="43" t="n"/>
      <c r="K22" s="43" t="n"/>
      <c r="L22" s="43" t="n"/>
      <c r="M22" s="43" t="n"/>
      <c r="N22" s="43" t="n"/>
      <c r="O22" s="43" t="n"/>
      <c r="P22" s="43" t="n"/>
      <c r="Q22" s="43" t="n"/>
      <c r="S22" s="43" t="n"/>
      <c r="T22" s="43" t="n"/>
      <c r="U22" s="43" t="n"/>
      <c r="V22" s="43" t="n"/>
      <c r="W22" s="43" t="n"/>
      <c r="X22" s="43" t="n"/>
      <c r="Y22" s="43" t="n"/>
      <c r="Z22" s="43" t="n"/>
      <c r="AA22" s="43" t="n"/>
      <c r="AB22" s="43" t="n"/>
      <c r="AC22" s="43" t="n"/>
      <c r="AD22" s="43" t="n"/>
      <c r="AE22" s="43" t="n"/>
      <c r="AF22" s="43" t="n"/>
      <c r="AG22" s="43" t="n"/>
      <c r="AH22" s="43" t="n"/>
      <c r="AI22" s="43" t="n"/>
      <c r="AJ22" s="43" t="n"/>
      <c r="AK22" s="43" t="n"/>
      <c r="AL22" s="43" t="n"/>
      <c r="AM22" s="43" t="n"/>
      <c r="AN22" s="43" t="n"/>
      <c r="AO22" s="43" t="n"/>
      <c r="AP22" s="43" t="n"/>
      <c r="AQ22" s="43" t="n"/>
      <c r="AR22" s="43" t="n"/>
      <c r="AS22" s="43" t="n"/>
      <c r="AT22" s="43" t="n"/>
      <c r="AU22" s="43" t="n"/>
      <c r="AV22" s="43" t="n"/>
      <c r="AW22" s="43" t="n"/>
      <c r="AX22" s="43" t="n"/>
      <c r="AY22" s="43" t="n"/>
      <c r="AZ22" s="43" t="n"/>
      <c r="BA22" s="43" t="n"/>
      <c r="BB22" s="43" t="n"/>
      <c r="BC22" s="43" t="n"/>
      <c r="BD22" s="43" t="n"/>
      <c r="BE22" s="43" t="n"/>
      <c r="BF22" s="43" t="n"/>
      <c r="BG22" s="43" t="n"/>
      <c r="BH22" s="43" t="n"/>
    </row>
    <row r="23" ht="15" customHeight="1">
      <c r="B23" s="43" t="n"/>
      <c r="C23" s="43" t="n"/>
      <c r="D23" s="43" t="n"/>
      <c r="E23" s="43" t="n"/>
      <c r="F23" s="43" t="n"/>
      <c r="G23" s="43" t="n"/>
      <c r="H23" s="43" t="n"/>
      <c r="I23" s="43" t="n"/>
      <c r="J23" s="43" t="n"/>
      <c r="K23" s="43" t="n"/>
      <c r="L23" s="43" t="n"/>
      <c r="M23" s="43" t="n"/>
      <c r="N23" s="43" t="n"/>
      <c r="O23" s="43" t="n"/>
      <c r="P23" s="43" t="n"/>
      <c r="Q23" s="43" t="n"/>
      <c r="S23" s="43" t="n"/>
      <c r="T23" s="43" t="n"/>
      <c r="U23" s="43" t="n"/>
      <c r="V23" s="43" t="n"/>
      <c r="W23" s="43" t="n"/>
      <c r="X23" s="43" t="n"/>
      <c r="Y23" s="43" t="n"/>
      <c r="Z23" s="43" t="n"/>
      <c r="AA23" s="43" t="n"/>
      <c r="AB23" s="43" t="n"/>
      <c r="AC23" s="43" t="n"/>
      <c r="AD23" s="43" t="n"/>
      <c r="AE23" s="43" t="n"/>
      <c r="AF23" s="43" t="n"/>
      <c r="AG23" s="43" t="n"/>
      <c r="AH23" s="43" t="n"/>
      <c r="AI23" s="43" t="n"/>
      <c r="AJ23" s="43" t="n"/>
      <c r="AK23" s="43" t="n"/>
      <c r="AL23" s="43" t="n"/>
      <c r="AM23" s="43" t="n"/>
      <c r="AN23" s="43" t="n"/>
      <c r="AO23" s="43" t="n"/>
      <c r="AP23" s="43" t="n"/>
      <c r="AQ23" s="43" t="n"/>
      <c r="AR23" s="43" t="n"/>
      <c r="AS23" s="43" t="n"/>
      <c r="AT23" s="43" t="n"/>
      <c r="AU23" s="43" t="n"/>
      <c r="AV23" s="43" t="n"/>
      <c r="AW23" s="43" t="n"/>
      <c r="AX23" s="43" t="n"/>
      <c r="AY23" s="43" t="n"/>
      <c r="AZ23" s="43" t="n"/>
      <c r="BA23" s="43" t="n"/>
      <c r="BB23" s="43" t="n"/>
      <c r="BC23" s="43" t="n"/>
      <c r="BD23" s="43" t="n"/>
      <c r="BE23" s="43" t="n"/>
      <c r="BF23" s="43" t="n"/>
      <c r="BG23" s="43" t="n"/>
      <c r="BH23" s="43" t="n"/>
    </row>
    <row r="24" ht="15" customHeight="1">
      <c r="B24" s="43" t="n"/>
      <c r="C24" s="43" t="n"/>
      <c r="D24" s="43" t="n"/>
      <c r="E24" s="43" t="n"/>
      <c r="F24" s="43" t="n"/>
      <c r="G24" s="43" t="n"/>
      <c r="H24" s="43" t="n"/>
      <c r="I24" s="43" t="n"/>
      <c r="J24" s="43" t="n"/>
      <c r="K24" s="43" t="n"/>
      <c r="L24" s="43" t="n"/>
      <c r="M24" s="43" t="n"/>
      <c r="N24" s="43" t="n"/>
      <c r="O24" s="43" t="n"/>
      <c r="P24" s="43" t="n"/>
      <c r="Q24" s="43" t="n"/>
      <c r="S24" s="43" t="n"/>
      <c r="T24" s="43" t="n"/>
      <c r="U24" s="43" t="n"/>
      <c r="V24" s="43" t="n"/>
      <c r="W24" s="43" t="n"/>
      <c r="X24" s="43" t="n"/>
      <c r="Y24" s="43" t="n"/>
      <c r="Z24" s="43" t="n"/>
      <c r="AA24" s="43" t="n"/>
      <c r="AB24" s="43" t="n"/>
      <c r="AC24" s="43" t="n"/>
      <c r="AD24" s="43" t="n"/>
      <c r="AE24" s="43" t="n"/>
      <c r="AF24" s="43" t="n"/>
      <c r="AG24" s="43" t="n"/>
      <c r="AH24" s="43" t="n"/>
      <c r="AI24" s="43" t="n"/>
      <c r="AJ24" s="43" t="n"/>
      <c r="AK24" s="43" t="n"/>
      <c r="AL24" s="43" t="n"/>
      <c r="AM24" s="43" t="n"/>
      <c r="AN24" s="43" t="n"/>
      <c r="AO24" s="43" t="n"/>
      <c r="AP24" s="43" t="n"/>
      <c r="AQ24" s="43" t="n"/>
      <c r="AR24" s="43" t="n"/>
      <c r="AS24" s="43" t="n"/>
      <c r="AT24" s="43" t="n"/>
      <c r="AU24" s="43" t="n"/>
      <c r="AV24" s="43" t="n"/>
      <c r="AW24" s="43" t="n"/>
      <c r="AX24" s="43" t="n"/>
      <c r="AY24" s="43" t="n"/>
      <c r="AZ24" s="43" t="n"/>
      <c r="BA24" s="43" t="n"/>
      <c r="BB24" s="43" t="n"/>
      <c r="BC24" s="43" t="n"/>
      <c r="BD24" s="43" t="n"/>
      <c r="BE24" s="43" t="n"/>
      <c r="BF24" s="43" t="n"/>
      <c r="BG24" s="43" t="n"/>
      <c r="BH24" s="43" t="n"/>
    </row>
    <row r="25" ht="15" customHeight="1">
      <c r="B25" s="43" t="n"/>
      <c r="C25" s="43" t="n"/>
      <c r="D25" s="43" t="n"/>
      <c r="E25" s="43" t="n"/>
      <c r="F25" s="43" t="n"/>
      <c r="G25" s="43" t="n"/>
      <c r="H25" s="43" t="n"/>
      <c r="I25" s="43" t="n"/>
      <c r="J25" s="43" t="n"/>
      <c r="K25" s="43" t="n"/>
      <c r="L25" s="43" t="n"/>
      <c r="M25" s="43" t="n"/>
      <c r="N25" s="43" t="n"/>
      <c r="O25" s="43" t="n"/>
      <c r="P25" s="43" t="n"/>
      <c r="Q25" s="43" t="n"/>
      <c r="S25" s="43" t="n"/>
      <c r="T25" s="43" t="n"/>
      <c r="U25" s="43" t="n"/>
      <c r="V25" s="43" t="n"/>
      <c r="W25" s="43" t="n"/>
      <c r="X25" s="43" t="n"/>
      <c r="Y25" s="43" t="n"/>
      <c r="Z25" s="43" t="n"/>
      <c r="AA25" s="43" t="n"/>
      <c r="AB25" s="43" t="n"/>
      <c r="AC25" s="43" t="n"/>
      <c r="AD25" s="43" t="n"/>
      <c r="AE25" s="43" t="n"/>
      <c r="AF25" s="43" t="n"/>
      <c r="AG25" s="43" t="n"/>
      <c r="AH25" s="43" t="n"/>
      <c r="AI25" s="43" t="n"/>
      <c r="AJ25" s="43" t="n"/>
      <c r="AK25" s="43" t="n"/>
      <c r="AL25" s="43" t="n"/>
      <c r="AM25" s="43" t="n"/>
      <c r="AN25" s="43" t="n"/>
      <c r="AO25" s="43" t="n"/>
      <c r="AP25" s="43" t="n"/>
      <c r="AQ25" s="43" t="n"/>
      <c r="AR25" s="43" t="n"/>
      <c r="AS25" s="43" t="n"/>
      <c r="AT25" s="43" t="n"/>
      <c r="AU25" s="43" t="n"/>
      <c r="AV25" s="43" t="n"/>
      <c r="AW25" s="43" t="n"/>
      <c r="AX25" s="43" t="n"/>
      <c r="AY25" s="43" t="n"/>
      <c r="AZ25" s="43" t="n"/>
      <c r="BA25" s="43" t="n"/>
      <c r="BB25" s="43" t="n"/>
      <c r="BC25" s="43" t="n"/>
      <c r="BD25" s="43" t="n"/>
      <c r="BE25" s="43" t="n"/>
      <c r="BF25" s="43" t="n"/>
      <c r="BG25" s="43" t="n"/>
      <c r="BH25" s="43" t="n"/>
    </row>
    <row r="26" ht="15" customHeight="1">
      <c r="B26" s="43" t="n"/>
      <c r="C26" s="43" t="n"/>
      <c r="D26" s="43" t="n"/>
      <c r="E26" s="43" t="n"/>
      <c r="F26" s="43" t="n"/>
      <c r="G26" s="43" t="n"/>
      <c r="H26" s="43" t="n"/>
      <c r="I26" s="43" t="n"/>
      <c r="J26" s="43" t="n"/>
      <c r="K26" s="43" t="n"/>
      <c r="L26" s="43" t="n"/>
      <c r="M26" s="43" t="n"/>
      <c r="N26" s="43" t="n"/>
      <c r="O26" s="43" t="n"/>
      <c r="P26" s="43" t="n"/>
      <c r="Q26" s="43" t="n"/>
      <c r="S26" s="43" t="n"/>
      <c r="T26" s="43" t="n"/>
      <c r="U26" s="43" t="n"/>
      <c r="V26" s="43" t="n"/>
      <c r="W26" s="43" t="n"/>
      <c r="X26" s="43" t="n"/>
      <c r="Y26" s="43" t="n"/>
      <c r="Z26" s="43" t="n"/>
      <c r="AA26" s="43" t="n"/>
      <c r="AB26" s="43" t="n"/>
      <c r="AC26" s="43" t="n"/>
      <c r="AD26" s="43" t="n"/>
      <c r="AE26" s="43" t="n"/>
      <c r="AF26" s="43" t="n"/>
      <c r="AG26" s="43" t="n"/>
      <c r="AH26" s="43" t="n"/>
      <c r="AI26" s="43" t="n"/>
      <c r="AJ26" s="43" t="n"/>
      <c r="AK26" s="43" t="n"/>
      <c r="AL26" s="43" t="n"/>
      <c r="AM26" s="43" t="n"/>
      <c r="AN26" s="43" t="n"/>
      <c r="AO26" s="43" t="n"/>
      <c r="AP26" s="43" t="n"/>
      <c r="AQ26" s="43" t="n"/>
      <c r="AR26" s="43" t="n"/>
      <c r="AS26" s="43" t="n"/>
      <c r="AT26" s="43" t="n"/>
      <c r="AU26" s="43" t="n"/>
      <c r="AV26" s="43" t="n"/>
      <c r="AW26" s="43" t="n"/>
      <c r="AX26" s="43" t="n"/>
      <c r="AY26" s="43" t="n"/>
      <c r="AZ26" s="43" t="n"/>
      <c r="BA26" s="43" t="n"/>
      <c r="BB26" s="43" t="n"/>
      <c r="BC26" s="43" t="n"/>
      <c r="BD26" s="43" t="n"/>
      <c r="BE26" s="43" t="n"/>
      <c r="BF26" s="43" t="n"/>
      <c r="BG26" s="43" t="n"/>
      <c r="BH26" s="43" t="n"/>
    </row>
    <row r="27" ht="15" customHeight="1">
      <c r="B27" s="43" t="n"/>
      <c r="C27" s="43" t="n"/>
      <c r="D27" s="43" t="n"/>
      <c r="E27" s="43" t="n"/>
      <c r="F27" s="43" t="n"/>
      <c r="G27" s="43" t="n"/>
      <c r="H27" s="43" t="n"/>
      <c r="I27" s="43" t="n"/>
      <c r="J27" s="43" t="n"/>
      <c r="K27" s="43" t="n"/>
      <c r="L27" s="43" t="n"/>
      <c r="M27" s="43" t="n"/>
      <c r="N27" s="43" t="n"/>
      <c r="O27" s="43" t="n"/>
      <c r="P27" s="43" t="n"/>
      <c r="Q27" s="43" t="n"/>
      <c r="S27" s="43" t="n"/>
      <c r="T27" s="43" t="n"/>
      <c r="U27" s="43" t="n"/>
      <c r="V27" s="43" t="n"/>
      <c r="W27" s="43" t="n"/>
      <c r="X27" s="43" t="n"/>
      <c r="Y27" s="43" t="n"/>
      <c r="Z27" s="43" t="n"/>
      <c r="AA27" s="43" t="n"/>
      <c r="AB27" s="43" t="n"/>
      <c r="AC27" s="43" t="n"/>
      <c r="AD27" s="43" t="n"/>
      <c r="AE27" s="43" t="n"/>
      <c r="AF27" s="43" t="n"/>
      <c r="AG27" s="43" t="n"/>
      <c r="AH27" s="43" t="n"/>
      <c r="AI27" s="43" t="n"/>
      <c r="AJ27" s="43" t="n"/>
      <c r="AK27" s="43" t="n"/>
      <c r="AL27" s="43" t="n"/>
      <c r="AM27" s="43" t="n"/>
      <c r="AN27" s="43" t="n"/>
      <c r="AO27" s="43" t="n"/>
      <c r="AP27" s="43" t="n"/>
      <c r="AQ27" s="43" t="n"/>
      <c r="AR27" s="43" t="n"/>
      <c r="AS27" s="43" t="n"/>
      <c r="AT27" s="43" t="n"/>
      <c r="AU27" s="43" t="n"/>
      <c r="AV27" s="43" t="n"/>
      <c r="AW27" s="43" t="n"/>
      <c r="AX27" s="43" t="n"/>
      <c r="AY27" s="43" t="n"/>
      <c r="AZ27" s="43" t="n"/>
      <c r="BA27" s="43" t="n"/>
      <c r="BB27" s="43" t="n"/>
      <c r="BC27" s="43" t="n"/>
      <c r="BD27" s="43" t="n"/>
      <c r="BE27" s="43" t="n"/>
      <c r="BF27" s="43" t="n"/>
      <c r="BG27" s="43" t="n"/>
      <c r="BH27" s="43" t="n"/>
    </row>
    <row r="28" ht="15" customHeight="1">
      <c r="B28" s="43" t="n"/>
      <c r="C28" s="43" t="n"/>
      <c r="D28" s="43" t="n"/>
      <c r="E28" s="43" t="n"/>
      <c r="F28" s="43" t="n"/>
      <c r="G28" s="43" t="n"/>
      <c r="H28" s="43" t="n"/>
      <c r="I28" s="43" t="n"/>
      <c r="J28" s="43" t="n"/>
      <c r="K28" s="43" t="n"/>
      <c r="L28" s="43" t="n"/>
      <c r="M28" s="43" t="n"/>
      <c r="N28" s="43" t="n"/>
      <c r="O28" s="43" t="n"/>
      <c r="P28" s="43" t="n"/>
      <c r="Q28" s="43" t="n"/>
      <c r="S28" s="43" t="n"/>
      <c r="T28" s="43" t="n"/>
      <c r="U28" s="43" t="n"/>
      <c r="V28" s="43" t="n"/>
      <c r="W28" s="43" t="n"/>
      <c r="X28" s="43" t="n"/>
      <c r="Y28" s="43" t="n"/>
      <c r="Z28" s="43" t="n"/>
      <c r="AA28" s="43" t="n"/>
      <c r="AB28" s="43" t="n"/>
      <c r="AC28" s="43" t="n"/>
      <c r="AD28" s="43" t="n"/>
      <c r="AE28" s="43" t="n"/>
      <c r="AF28" s="43" t="n"/>
      <c r="AG28" s="43" t="n"/>
      <c r="AH28" s="43" t="n"/>
      <c r="AI28" s="43" t="n"/>
      <c r="AJ28" s="43" t="n"/>
      <c r="AK28" s="43" t="n"/>
      <c r="AL28" s="43" t="n"/>
      <c r="AM28" s="43" t="n"/>
      <c r="AN28" s="43" t="n"/>
      <c r="AO28" s="43" t="n"/>
      <c r="AP28" s="43" t="n"/>
      <c r="AQ28" s="43" t="n"/>
      <c r="AR28" s="43" t="n"/>
      <c r="AS28" s="43" t="n"/>
      <c r="AT28" s="43" t="n"/>
      <c r="AU28" s="43" t="n"/>
      <c r="AV28" s="43" t="n"/>
      <c r="AW28" s="43" t="n"/>
      <c r="AX28" s="43" t="n"/>
      <c r="AY28" s="43" t="n"/>
      <c r="AZ28" s="43" t="n"/>
      <c r="BA28" s="43" t="n"/>
      <c r="BB28" s="43" t="n"/>
      <c r="BC28" s="43" t="n"/>
      <c r="BD28" s="43" t="n"/>
      <c r="BE28" s="43" t="n"/>
      <c r="BF28" s="43" t="n"/>
      <c r="BG28" s="43" t="n"/>
      <c r="BH28" s="43" t="n"/>
    </row>
    <row r="29" ht="15" customHeight="1">
      <c r="B29" s="43" t="n"/>
      <c r="C29" s="43" t="n"/>
      <c r="D29" s="43" t="n"/>
      <c r="E29" s="43" t="n"/>
      <c r="F29" s="43" t="n"/>
      <c r="G29" s="43" t="n"/>
      <c r="H29" s="43" t="n"/>
      <c r="I29" s="43" t="n"/>
      <c r="J29" s="43" t="n"/>
      <c r="K29" s="43" t="n"/>
      <c r="L29" s="43" t="n"/>
      <c r="M29" s="43" t="n"/>
      <c r="N29" s="43" t="n"/>
      <c r="O29" s="43" t="n"/>
      <c r="P29" s="43" t="n"/>
      <c r="Q29" s="43" t="n"/>
      <c r="S29" s="43" t="n"/>
      <c r="T29" s="43" t="n"/>
      <c r="U29" s="43" t="n"/>
      <c r="V29" s="43" t="n"/>
      <c r="W29" s="43" t="n"/>
      <c r="X29" s="43" t="n"/>
      <c r="Y29" s="43" t="n"/>
      <c r="Z29" s="43" t="n"/>
      <c r="AA29" s="43" t="n"/>
      <c r="AB29" s="43" t="n"/>
      <c r="AC29" s="43" t="n"/>
      <c r="AD29" s="43" t="n"/>
      <c r="AE29" s="43" t="n"/>
      <c r="AF29" s="43" t="n"/>
      <c r="AG29" s="43" t="n"/>
      <c r="AH29" s="43" t="n"/>
      <c r="AI29" s="43" t="n"/>
      <c r="AJ29" s="43" t="n"/>
      <c r="AK29" s="43" t="n"/>
      <c r="AL29" s="43" t="n"/>
      <c r="AM29" s="43" t="n"/>
      <c r="AN29" s="43" t="n"/>
      <c r="AO29" s="43" t="n"/>
      <c r="AP29" s="43" t="n"/>
      <c r="AQ29" s="43" t="n"/>
      <c r="AR29" s="43" t="n"/>
      <c r="AS29" s="43" t="n"/>
      <c r="AT29" s="43" t="n"/>
      <c r="AU29" s="43" t="n"/>
      <c r="AV29" s="43" t="n"/>
      <c r="AW29" s="43" t="n"/>
      <c r="AX29" s="43" t="n"/>
      <c r="AY29" s="43" t="n"/>
      <c r="AZ29" s="43" t="n"/>
      <c r="BA29" s="43" t="n"/>
      <c r="BB29" s="43" t="n"/>
      <c r="BC29" s="43" t="n"/>
      <c r="BD29" s="43" t="n"/>
      <c r="BE29" s="43" t="n"/>
      <c r="BF29" s="43" t="n"/>
      <c r="BG29" s="43" t="n"/>
      <c r="BH29" s="43" t="n"/>
    </row>
    <row r="30" ht="15" customHeight="1">
      <c r="B30" s="43" t="n"/>
      <c r="C30" s="43" t="n"/>
      <c r="D30" s="43" t="n"/>
      <c r="E30" s="43" t="n"/>
      <c r="F30" s="43" t="n"/>
      <c r="G30" s="43" t="n"/>
      <c r="H30" s="43" t="n"/>
      <c r="I30" s="43" t="n"/>
      <c r="J30" s="43" t="n"/>
      <c r="K30" s="43" t="n"/>
      <c r="L30" s="43" t="n"/>
      <c r="M30" s="43" t="n"/>
      <c r="N30" s="43" t="n"/>
      <c r="O30" s="43" t="n"/>
      <c r="P30" s="43" t="n"/>
      <c r="Q30" s="43" t="n"/>
      <c r="S30" s="43" t="n"/>
      <c r="T30" s="43" t="n"/>
      <c r="U30" s="43" t="n"/>
      <c r="V30" s="43" t="n"/>
      <c r="W30" s="43" t="n"/>
      <c r="X30" s="43" t="n"/>
      <c r="Y30" s="43" t="n"/>
      <c r="Z30" s="43" t="n"/>
      <c r="AA30" s="43" t="n"/>
      <c r="AB30" s="43" t="n"/>
      <c r="AC30" s="43" t="n"/>
      <c r="AD30" s="43" t="n"/>
      <c r="AE30" s="43" t="n"/>
      <c r="AF30" s="43" t="n"/>
      <c r="AG30" s="43" t="n"/>
      <c r="AH30" s="43" t="n"/>
      <c r="AI30" s="43" t="n"/>
      <c r="AJ30" s="43" t="n"/>
      <c r="AK30" s="43" t="n"/>
      <c r="AL30" s="43" t="n"/>
      <c r="AM30" s="43" t="n"/>
      <c r="AN30" s="43" t="n"/>
      <c r="AO30" s="43" t="n"/>
      <c r="AP30" s="43" t="n"/>
      <c r="AQ30" s="43" t="n"/>
      <c r="AR30" s="43" t="n"/>
      <c r="AS30" s="43" t="n"/>
      <c r="AT30" s="43" t="n"/>
      <c r="AU30" s="43" t="n"/>
      <c r="AV30" s="43" t="n"/>
      <c r="AW30" s="43" t="n"/>
      <c r="AX30" s="43" t="n"/>
      <c r="AY30" s="43" t="n"/>
      <c r="AZ30" s="43" t="n"/>
      <c r="BA30" s="43" t="n"/>
      <c r="BB30" s="43" t="n"/>
      <c r="BC30" s="43" t="n"/>
      <c r="BD30" s="43" t="n"/>
      <c r="BE30" s="43" t="n"/>
      <c r="BF30" s="43" t="n"/>
      <c r="BG30" s="43" t="n"/>
      <c r="BH30" s="43" t="n"/>
    </row>
    <row r="31" ht="15" customHeight="1">
      <c r="B31" s="43" t="n"/>
      <c r="C31" s="43" t="n"/>
      <c r="D31" s="43" t="n"/>
      <c r="E31" s="43" t="n"/>
      <c r="F31" s="43" t="n"/>
      <c r="G31" s="43" t="n"/>
      <c r="H31" s="43" t="n"/>
      <c r="I31" s="43" t="n"/>
      <c r="J31" s="43" t="n"/>
      <c r="K31" s="43" t="n"/>
      <c r="L31" s="43" t="n"/>
      <c r="M31" s="43" t="n"/>
      <c r="N31" s="43" t="n"/>
      <c r="O31" s="43" t="n"/>
      <c r="P31" s="43" t="n"/>
      <c r="Q31" s="43" t="n"/>
      <c r="S31" s="43" t="n"/>
      <c r="T31" s="43" t="n"/>
      <c r="U31" s="43" t="n"/>
      <c r="V31" s="43" t="n"/>
      <c r="W31" s="43" t="n"/>
      <c r="X31" s="43" t="n"/>
      <c r="Y31" s="43" t="n"/>
      <c r="Z31" s="43" t="n"/>
      <c r="AA31" s="43" t="n"/>
      <c r="AB31" s="43" t="n"/>
      <c r="AC31" s="43" t="n"/>
      <c r="AD31" s="43" t="n"/>
      <c r="AE31" s="43" t="n"/>
      <c r="AF31" s="43" t="n"/>
      <c r="AG31" s="43" t="n"/>
      <c r="AH31" s="43" t="n"/>
      <c r="AI31" s="43" t="n"/>
      <c r="AJ31" s="43" t="n"/>
      <c r="AK31" s="43" t="n"/>
      <c r="AL31" s="43" t="n"/>
      <c r="AM31" s="43" t="n"/>
      <c r="AN31" s="43" t="n"/>
      <c r="AO31" s="43" t="n"/>
      <c r="AP31" s="43" t="n"/>
      <c r="AQ31" s="43" t="n"/>
      <c r="AR31" s="43" t="n"/>
      <c r="AS31" s="43" t="n"/>
      <c r="AT31" s="43" t="n"/>
      <c r="AU31" s="43" t="n"/>
      <c r="AV31" s="43" t="n"/>
      <c r="AW31" s="43" t="n"/>
      <c r="AX31" s="43" t="n"/>
      <c r="AY31" s="43" t="n"/>
      <c r="AZ31" s="43" t="n"/>
      <c r="BA31" s="43" t="n"/>
      <c r="BB31" s="43" t="n"/>
      <c r="BC31" s="43" t="n"/>
      <c r="BD31" s="43" t="n"/>
      <c r="BE31" s="43" t="n"/>
      <c r="BF31" s="43" t="n"/>
      <c r="BG31" s="43" t="n"/>
      <c r="BH31" s="43" t="n"/>
    </row>
    <row r="32" ht="15" customHeight="1">
      <c r="B32" s="43" t="n"/>
      <c r="C32" s="43" t="n"/>
      <c r="D32" s="43" t="n"/>
      <c r="E32" s="43" t="n"/>
      <c r="F32" s="43" t="n"/>
      <c r="G32" s="43" t="n"/>
      <c r="H32" s="43" t="n"/>
      <c r="I32" s="43" t="n"/>
      <c r="J32" s="43" t="n"/>
      <c r="K32" s="43" t="n"/>
      <c r="L32" s="43" t="n"/>
      <c r="M32" s="43" t="n"/>
      <c r="N32" s="43" t="n"/>
      <c r="O32" s="43" t="n"/>
      <c r="P32" s="43" t="n"/>
      <c r="Q32" s="43" t="n"/>
      <c r="S32" s="43" t="n"/>
      <c r="T32" s="43" t="n"/>
      <c r="U32" s="43" t="n"/>
      <c r="V32" s="43" t="n"/>
      <c r="W32" s="43" t="n"/>
      <c r="X32" s="43" t="n"/>
      <c r="Y32" s="43" t="n"/>
      <c r="Z32" s="43" t="n"/>
      <c r="AA32" s="43" t="n"/>
      <c r="AB32" s="43" t="n"/>
      <c r="AC32" s="43" t="n"/>
      <c r="AD32" s="43" t="n"/>
      <c r="AE32" s="43" t="n"/>
      <c r="AF32" s="43" t="n"/>
      <c r="AG32" s="43" t="n"/>
      <c r="AH32" s="43" t="n"/>
      <c r="AI32" s="43" t="n"/>
      <c r="AJ32" s="43" t="n"/>
      <c r="AK32" s="43" t="n"/>
      <c r="AL32" s="43" t="n"/>
      <c r="AM32" s="43" t="n"/>
      <c r="AN32" s="43" t="n"/>
      <c r="AO32" s="43" t="n"/>
      <c r="AP32" s="43" t="n"/>
      <c r="AQ32" s="43" t="n"/>
      <c r="AR32" s="43" t="n"/>
      <c r="AS32" s="43" t="n"/>
      <c r="AT32" s="43" t="n"/>
      <c r="AU32" s="43" t="n"/>
      <c r="AV32" s="43" t="n"/>
      <c r="AW32" s="43" t="n"/>
      <c r="AX32" s="43" t="n"/>
      <c r="AY32" s="43" t="n"/>
      <c r="AZ32" s="43" t="n"/>
      <c r="BA32" s="43" t="n"/>
      <c r="BB32" s="43" t="n"/>
      <c r="BC32" s="43" t="n"/>
      <c r="BD32" s="43" t="n"/>
      <c r="BE32" s="43" t="n"/>
      <c r="BF32" s="43" t="n"/>
      <c r="BG32" s="43" t="n"/>
      <c r="BH32" s="43" t="n"/>
    </row>
    <row r="33" ht="15" customHeight="1">
      <c r="B33" s="43" t="n"/>
      <c r="C33" s="43" t="n"/>
      <c r="D33" s="43" t="n"/>
      <c r="E33" s="43" t="n"/>
      <c r="F33" s="43" t="n"/>
      <c r="G33" s="43" t="n"/>
      <c r="H33" s="43" t="n"/>
      <c r="I33" s="43" t="n"/>
      <c r="J33" s="43" t="n"/>
      <c r="K33" s="43" t="n"/>
      <c r="L33" s="43" t="n"/>
      <c r="M33" s="43" t="n"/>
      <c r="N33" s="43" t="n"/>
      <c r="O33" s="43" t="n"/>
      <c r="P33" s="43" t="n"/>
      <c r="Q33" s="43" t="n"/>
      <c r="S33" s="43" t="n"/>
      <c r="T33" s="43" t="n"/>
      <c r="U33" s="43" t="n"/>
      <c r="V33" s="43" t="n"/>
      <c r="W33" s="43" t="n"/>
      <c r="X33" s="43" t="n"/>
      <c r="Y33" s="43" t="n"/>
      <c r="Z33" s="43" t="n"/>
      <c r="AA33" s="43" t="n"/>
      <c r="AB33" s="43" t="n"/>
      <c r="AC33" s="43" t="n"/>
      <c r="AD33" s="43" t="n"/>
      <c r="AE33" s="43" t="n"/>
      <c r="AF33" s="43" t="n"/>
      <c r="AG33" s="43" t="n"/>
      <c r="AH33" s="43" t="n"/>
      <c r="AI33" s="43" t="n"/>
      <c r="AJ33" s="43" t="n"/>
      <c r="AK33" s="43" t="n"/>
      <c r="AL33" s="43" t="n"/>
      <c r="AM33" s="43" t="n"/>
      <c r="AN33" s="43" t="n"/>
      <c r="AO33" s="43" t="n"/>
      <c r="AP33" s="43" t="n"/>
      <c r="AQ33" s="43" t="n"/>
      <c r="AR33" s="43" t="n"/>
      <c r="AS33" s="43" t="n"/>
      <c r="AT33" s="43" t="n"/>
      <c r="AU33" s="43" t="n"/>
      <c r="AV33" s="43" t="n"/>
      <c r="AW33" s="43" t="n"/>
      <c r="AX33" s="43" t="n"/>
      <c r="AY33" s="43" t="n"/>
      <c r="AZ33" s="43" t="n"/>
      <c r="BA33" s="43" t="n"/>
      <c r="BB33" s="43" t="n"/>
      <c r="BC33" s="43" t="n"/>
      <c r="BD33" s="43" t="n"/>
      <c r="BE33" s="43" t="n"/>
      <c r="BF33" s="43" t="n"/>
      <c r="BG33" s="43" t="n"/>
      <c r="BH33" s="43" t="n"/>
    </row>
    <row r="34" ht="15" customHeight="1"/>
    <row r="35" ht="15" customHeight="1">
      <c r="B35" s="40" t="inlineStr">
        <is>
          <t>HAFTALIK İLERLEME EĞRİSİ</t>
        </is>
      </c>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c r="AA35" s="41" t="n"/>
      <c r="AB35" s="41" t="n"/>
      <c r="AC35" s="41" t="n"/>
      <c r="AD35" s="41" t="n"/>
      <c r="AE35" s="41" t="n"/>
      <c r="AF35" s="41" t="n"/>
      <c r="AG35" s="41" t="n"/>
      <c r="AH35" s="41" t="n"/>
      <c r="AI35" s="41" t="n"/>
      <c r="AJ35" s="41" t="n"/>
      <c r="AK35" s="41" t="n"/>
      <c r="AL35" s="41" t="n"/>
      <c r="AM35" s="41" t="n"/>
      <c r="AN35" s="41" t="n"/>
      <c r="AO35" s="41" t="n"/>
      <c r="AP35" s="41" t="n"/>
      <c r="AQ35" s="41" t="n"/>
      <c r="AR35" s="41" t="n"/>
      <c r="AS35" s="41" t="n"/>
      <c r="AT35" s="41" t="n"/>
      <c r="AU35" s="41" t="n"/>
      <c r="AV35" s="41" t="n"/>
      <c r="AW35" s="41" t="n"/>
      <c r="AX35" s="41" t="n"/>
      <c r="AY35" s="41" t="n"/>
      <c r="AZ35" s="41" t="n"/>
      <c r="BA35" s="41" t="n"/>
      <c r="BB35" s="41" t="n"/>
      <c r="BC35" s="41" t="n"/>
      <c r="BD35" s="41" t="n"/>
      <c r="BE35" s="41" t="n"/>
      <c r="BF35" s="41" t="n"/>
      <c r="BG35" s="41" t="n"/>
      <c r="BH35" s="41" t="n"/>
    </row>
    <row r="36" ht="15" customHeight="1">
      <c r="B36" s="44" t="inlineStr">
        <is>
          <t>Kümülatif: o haftaya kadar bitmesi planlanan iş ile bunlardan tamamlananlar</t>
        </is>
      </c>
    </row>
    <row r="37" ht="15" customHeight="1">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c r="AB37" s="43" t="n"/>
      <c r="AC37" s="43" t="n"/>
      <c r="AD37" s="43" t="n"/>
      <c r="AE37" s="43" t="n"/>
      <c r="AF37" s="43" t="n"/>
      <c r="AG37" s="43" t="n"/>
      <c r="AH37" s="43" t="n"/>
      <c r="AI37" s="43" t="n"/>
      <c r="AJ37" s="43" t="n"/>
      <c r="AK37" s="43" t="n"/>
      <c r="AL37" s="43" t="n"/>
      <c r="AM37" s="43" t="n"/>
      <c r="AN37" s="43" t="n"/>
      <c r="AO37" s="43" t="n"/>
      <c r="AP37" s="43" t="n"/>
      <c r="AQ37" s="43" t="n"/>
      <c r="AR37" s="43" t="n"/>
      <c r="AS37" s="43" t="n"/>
      <c r="AT37" s="43" t="n"/>
      <c r="AU37" s="43" t="n"/>
      <c r="AV37" s="43" t="n"/>
      <c r="AW37" s="43" t="n"/>
      <c r="AX37" s="43" t="n"/>
      <c r="AY37" s="43" t="n"/>
      <c r="AZ37" s="43" t="n"/>
      <c r="BA37" s="43" t="n"/>
      <c r="BB37" s="43" t="n"/>
      <c r="BC37" s="43" t="n"/>
      <c r="BD37" s="43" t="n"/>
      <c r="BE37" s="43" t="n"/>
      <c r="BF37" s="43" t="n"/>
      <c r="BG37" s="43" t="n"/>
      <c r="BH37" s="43" t="n"/>
    </row>
    <row r="38" ht="15" customHeight="1">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c r="AB38" s="43" t="n"/>
      <c r="AC38" s="43" t="n"/>
      <c r="AD38" s="43" t="n"/>
      <c r="AE38" s="43" t="n"/>
      <c r="AF38" s="43" t="n"/>
      <c r="AG38" s="43" t="n"/>
      <c r="AH38" s="43" t="n"/>
      <c r="AI38" s="43" t="n"/>
      <c r="AJ38" s="43" t="n"/>
      <c r="AK38" s="43" t="n"/>
      <c r="AL38" s="43" t="n"/>
      <c r="AM38" s="43" t="n"/>
      <c r="AN38" s="43" t="n"/>
      <c r="AO38" s="43" t="n"/>
      <c r="AP38" s="43" t="n"/>
      <c r="AQ38" s="43" t="n"/>
      <c r="AR38" s="43" t="n"/>
      <c r="AS38" s="43" t="n"/>
      <c r="AT38" s="43" t="n"/>
      <c r="AU38" s="43" t="n"/>
      <c r="AV38" s="43" t="n"/>
      <c r="AW38" s="43" t="n"/>
      <c r="AX38" s="43" t="n"/>
      <c r="AY38" s="43" t="n"/>
      <c r="AZ38" s="43" t="n"/>
      <c r="BA38" s="43" t="n"/>
      <c r="BB38" s="43" t="n"/>
      <c r="BC38" s="43" t="n"/>
      <c r="BD38" s="43" t="n"/>
      <c r="BE38" s="43" t="n"/>
      <c r="BF38" s="43" t="n"/>
      <c r="BG38" s="43" t="n"/>
      <c r="BH38" s="43" t="n"/>
    </row>
    <row r="39" ht="15" customHeight="1">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c r="AC39" s="43" t="n"/>
      <c r="AD39" s="43" t="n"/>
      <c r="AE39" s="43" t="n"/>
      <c r="AF39" s="43" t="n"/>
      <c r="AG39" s="43" t="n"/>
      <c r="AH39" s="43" t="n"/>
      <c r="AI39" s="43" t="n"/>
      <c r="AJ39" s="43" t="n"/>
      <c r="AK39" s="43" t="n"/>
      <c r="AL39" s="43" t="n"/>
      <c r="AM39" s="43" t="n"/>
      <c r="AN39" s="43" t="n"/>
      <c r="AO39" s="43" t="n"/>
      <c r="AP39" s="43" t="n"/>
      <c r="AQ39" s="43" t="n"/>
      <c r="AR39" s="43" t="n"/>
      <c r="AS39" s="43" t="n"/>
      <c r="AT39" s="43" t="n"/>
      <c r="AU39" s="43" t="n"/>
      <c r="AV39" s="43" t="n"/>
      <c r="AW39" s="43" t="n"/>
      <c r="AX39" s="43" t="n"/>
      <c r="AY39" s="43" t="n"/>
      <c r="AZ39" s="43" t="n"/>
      <c r="BA39" s="43" t="n"/>
      <c r="BB39" s="43" t="n"/>
      <c r="BC39" s="43" t="n"/>
      <c r="BD39" s="43" t="n"/>
      <c r="BE39" s="43" t="n"/>
      <c r="BF39" s="43" t="n"/>
      <c r="BG39" s="43" t="n"/>
      <c r="BH39" s="43" t="n"/>
    </row>
    <row r="40" ht="15" customHeight="1">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c r="AC40" s="43" t="n"/>
      <c r="AD40" s="43" t="n"/>
      <c r="AE40" s="43" t="n"/>
      <c r="AF40" s="43" t="n"/>
      <c r="AG40" s="43" t="n"/>
      <c r="AH40" s="43" t="n"/>
      <c r="AI40" s="43" t="n"/>
      <c r="AJ40" s="43" t="n"/>
      <c r="AK40" s="43" t="n"/>
      <c r="AL40" s="43" t="n"/>
      <c r="AM40" s="43" t="n"/>
      <c r="AN40" s="43" t="n"/>
      <c r="AO40" s="43" t="n"/>
      <c r="AP40" s="43" t="n"/>
      <c r="AQ40" s="43" t="n"/>
      <c r="AR40" s="43" t="n"/>
      <c r="AS40" s="43" t="n"/>
      <c r="AT40" s="43" t="n"/>
      <c r="AU40" s="43" t="n"/>
      <c r="AV40" s="43" t="n"/>
      <c r="AW40" s="43" t="n"/>
      <c r="AX40" s="43" t="n"/>
      <c r="AY40" s="43" t="n"/>
      <c r="AZ40" s="43" t="n"/>
      <c r="BA40" s="43" t="n"/>
      <c r="BB40" s="43" t="n"/>
      <c r="BC40" s="43" t="n"/>
      <c r="BD40" s="43" t="n"/>
      <c r="BE40" s="43" t="n"/>
      <c r="BF40" s="43" t="n"/>
      <c r="BG40" s="43" t="n"/>
      <c r="BH40" s="43" t="n"/>
    </row>
    <row r="41" ht="15" customHeight="1">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c r="AC41" s="43" t="n"/>
      <c r="AD41" s="43" t="n"/>
      <c r="AE41" s="43" t="n"/>
      <c r="AF41" s="43" t="n"/>
      <c r="AG41" s="43" t="n"/>
      <c r="AH41" s="43" t="n"/>
      <c r="AI41" s="43" t="n"/>
      <c r="AJ41" s="43" t="n"/>
      <c r="AK41" s="43" t="n"/>
      <c r="AL41" s="43" t="n"/>
      <c r="AM41" s="43" t="n"/>
      <c r="AN41" s="43" t="n"/>
      <c r="AO41" s="43" t="n"/>
      <c r="AP41" s="43" t="n"/>
      <c r="AQ41" s="43" t="n"/>
      <c r="AR41" s="43" t="n"/>
      <c r="AS41" s="43" t="n"/>
      <c r="AT41" s="43" t="n"/>
      <c r="AU41" s="43" t="n"/>
      <c r="AV41" s="43" t="n"/>
      <c r="AW41" s="43" t="n"/>
      <c r="AX41" s="43" t="n"/>
      <c r="AY41" s="43" t="n"/>
      <c r="AZ41" s="43" t="n"/>
      <c r="BA41" s="43" t="n"/>
      <c r="BB41" s="43" t="n"/>
      <c r="BC41" s="43" t="n"/>
      <c r="BD41" s="43" t="n"/>
      <c r="BE41" s="43" t="n"/>
      <c r="BF41" s="43" t="n"/>
      <c r="BG41" s="43" t="n"/>
      <c r="BH41" s="43" t="n"/>
    </row>
    <row r="42" ht="15" customHeight="1">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c r="AC42" s="43" t="n"/>
      <c r="AD42" s="43" t="n"/>
      <c r="AE42" s="43" t="n"/>
      <c r="AF42" s="43" t="n"/>
      <c r="AG42" s="43" t="n"/>
      <c r="AH42" s="43" t="n"/>
      <c r="AI42" s="43" t="n"/>
      <c r="AJ42" s="43" t="n"/>
      <c r="AK42" s="43" t="n"/>
      <c r="AL42" s="43" t="n"/>
      <c r="AM42" s="43" t="n"/>
      <c r="AN42" s="43" t="n"/>
      <c r="AO42" s="43" t="n"/>
      <c r="AP42" s="43" t="n"/>
      <c r="AQ42" s="43" t="n"/>
      <c r="AR42" s="43" t="n"/>
      <c r="AS42" s="43" t="n"/>
      <c r="AT42" s="43" t="n"/>
      <c r="AU42" s="43" t="n"/>
      <c r="AV42" s="43" t="n"/>
      <c r="AW42" s="43" t="n"/>
      <c r="AX42" s="43" t="n"/>
      <c r="AY42" s="43" t="n"/>
      <c r="AZ42" s="43" t="n"/>
      <c r="BA42" s="43" t="n"/>
      <c r="BB42" s="43" t="n"/>
      <c r="BC42" s="43" t="n"/>
      <c r="BD42" s="43" t="n"/>
      <c r="BE42" s="43" t="n"/>
      <c r="BF42" s="43" t="n"/>
      <c r="BG42" s="43" t="n"/>
      <c r="BH42" s="43" t="n"/>
    </row>
    <row r="43" ht="15" customHeight="1">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c r="AC43" s="43" t="n"/>
      <c r="AD43" s="43" t="n"/>
      <c r="AE43" s="43" t="n"/>
      <c r="AF43" s="43" t="n"/>
      <c r="AG43" s="43" t="n"/>
      <c r="AH43" s="43" t="n"/>
      <c r="AI43" s="43" t="n"/>
      <c r="AJ43" s="43" t="n"/>
      <c r="AK43" s="43" t="n"/>
      <c r="AL43" s="43" t="n"/>
      <c r="AM43" s="43" t="n"/>
      <c r="AN43" s="43" t="n"/>
      <c r="AO43" s="43" t="n"/>
      <c r="AP43" s="43" t="n"/>
      <c r="AQ43" s="43" t="n"/>
      <c r="AR43" s="43" t="n"/>
      <c r="AS43" s="43" t="n"/>
      <c r="AT43" s="43" t="n"/>
      <c r="AU43" s="43" t="n"/>
      <c r="AV43" s="43" t="n"/>
      <c r="AW43" s="43" t="n"/>
      <c r="AX43" s="43" t="n"/>
      <c r="AY43" s="43" t="n"/>
      <c r="AZ43" s="43" t="n"/>
      <c r="BA43" s="43" t="n"/>
      <c r="BB43" s="43" t="n"/>
      <c r="BC43" s="43" t="n"/>
      <c r="BD43" s="43" t="n"/>
      <c r="BE43" s="43" t="n"/>
      <c r="BF43" s="43" t="n"/>
      <c r="BG43" s="43" t="n"/>
      <c r="BH43" s="43" t="n"/>
    </row>
    <row r="44" ht="15" customHeight="1">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c r="AB44" s="43" t="n"/>
      <c r="AC44" s="43" t="n"/>
      <c r="AD44" s="43" t="n"/>
      <c r="AE44" s="43" t="n"/>
      <c r="AF44" s="43" t="n"/>
      <c r="AG44" s="43" t="n"/>
      <c r="AH44" s="43" t="n"/>
      <c r="AI44" s="43" t="n"/>
      <c r="AJ44" s="43" t="n"/>
      <c r="AK44" s="43" t="n"/>
      <c r="AL44" s="43" t="n"/>
      <c r="AM44" s="43" t="n"/>
      <c r="AN44" s="43" t="n"/>
      <c r="AO44" s="43" t="n"/>
      <c r="AP44" s="43" t="n"/>
      <c r="AQ44" s="43" t="n"/>
      <c r="AR44" s="43" t="n"/>
      <c r="AS44" s="43" t="n"/>
      <c r="AT44" s="43" t="n"/>
      <c r="AU44" s="43" t="n"/>
      <c r="AV44" s="43" t="n"/>
      <c r="AW44" s="43" t="n"/>
      <c r="AX44" s="43" t="n"/>
      <c r="AY44" s="43" t="n"/>
      <c r="AZ44" s="43" t="n"/>
      <c r="BA44" s="43" t="n"/>
      <c r="BB44" s="43" t="n"/>
      <c r="BC44" s="43" t="n"/>
      <c r="BD44" s="43" t="n"/>
      <c r="BE44" s="43" t="n"/>
      <c r="BF44" s="43" t="n"/>
      <c r="BG44" s="43" t="n"/>
      <c r="BH44" s="43" t="n"/>
    </row>
    <row r="45" ht="15" customHeight="1">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c r="AB45" s="43" t="n"/>
      <c r="AC45" s="43" t="n"/>
      <c r="AD45" s="43" t="n"/>
      <c r="AE45" s="43" t="n"/>
      <c r="AF45" s="43" t="n"/>
      <c r="AG45" s="43" t="n"/>
      <c r="AH45" s="43" t="n"/>
      <c r="AI45" s="43" t="n"/>
      <c r="AJ45" s="43" t="n"/>
      <c r="AK45" s="43" t="n"/>
      <c r="AL45" s="43" t="n"/>
      <c r="AM45" s="43" t="n"/>
      <c r="AN45" s="43" t="n"/>
      <c r="AO45" s="43" t="n"/>
      <c r="AP45" s="43" t="n"/>
      <c r="AQ45" s="43" t="n"/>
      <c r="AR45" s="43" t="n"/>
      <c r="AS45" s="43" t="n"/>
      <c r="AT45" s="43" t="n"/>
      <c r="AU45" s="43" t="n"/>
      <c r="AV45" s="43" t="n"/>
      <c r="AW45" s="43" t="n"/>
      <c r="AX45" s="43" t="n"/>
      <c r="AY45" s="43" t="n"/>
      <c r="AZ45" s="43" t="n"/>
      <c r="BA45" s="43" t="n"/>
      <c r="BB45" s="43" t="n"/>
      <c r="BC45" s="43" t="n"/>
      <c r="BD45" s="43" t="n"/>
      <c r="BE45" s="43" t="n"/>
      <c r="BF45" s="43" t="n"/>
      <c r="BG45" s="43" t="n"/>
      <c r="BH45" s="43" t="n"/>
    </row>
    <row r="46" ht="15" customHeight="1">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c r="AC46" s="43" t="n"/>
      <c r="AD46" s="43" t="n"/>
      <c r="AE46" s="43" t="n"/>
      <c r="AF46" s="43" t="n"/>
      <c r="AG46" s="43" t="n"/>
      <c r="AH46" s="43" t="n"/>
      <c r="AI46" s="43" t="n"/>
      <c r="AJ46" s="43" t="n"/>
      <c r="AK46" s="43" t="n"/>
      <c r="AL46" s="43" t="n"/>
      <c r="AM46" s="43" t="n"/>
      <c r="AN46" s="43" t="n"/>
      <c r="AO46" s="43" t="n"/>
      <c r="AP46" s="43" t="n"/>
      <c r="AQ46" s="43" t="n"/>
      <c r="AR46" s="43" t="n"/>
      <c r="AS46" s="43" t="n"/>
      <c r="AT46" s="43" t="n"/>
      <c r="AU46" s="43" t="n"/>
      <c r="AV46" s="43" t="n"/>
      <c r="AW46" s="43" t="n"/>
      <c r="AX46" s="43" t="n"/>
      <c r="AY46" s="43" t="n"/>
      <c r="AZ46" s="43" t="n"/>
      <c r="BA46" s="43" t="n"/>
      <c r="BB46" s="43" t="n"/>
      <c r="BC46" s="43" t="n"/>
      <c r="BD46" s="43" t="n"/>
      <c r="BE46" s="43" t="n"/>
      <c r="BF46" s="43" t="n"/>
      <c r="BG46" s="43" t="n"/>
      <c r="BH46" s="43" t="n"/>
    </row>
    <row r="47" ht="15" customHeight="1">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c r="AC47" s="43" t="n"/>
      <c r="AD47" s="43" t="n"/>
      <c r="AE47" s="43" t="n"/>
      <c r="AF47" s="43" t="n"/>
      <c r="AG47" s="43" t="n"/>
      <c r="AH47" s="43" t="n"/>
      <c r="AI47" s="43" t="n"/>
      <c r="AJ47" s="43" t="n"/>
      <c r="AK47" s="43" t="n"/>
      <c r="AL47" s="43" t="n"/>
      <c r="AM47" s="43" t="n"/>
      <c r="AN47" s="43" t="n"/>
      <c r="AO47" s="43" t="n"/>
      <c r="AP47" s="43" t="n"/>
      <c r="AQ47" s="43" t="n"/>
      <c r="AR47" s="43" t="n"/>
      <c r="AS47" s="43" t="n"/>
      <c r="AT47" s="43" t="n"/>
      <c r="AU47" s="43" t="n"/>
      <c r="AV47" s="43" t="n"/>
      <c r="AW47" s="43" t="n"/>
      <c r="AX47" s="43" t="n"/>
      <c r="AY47" s="43" t="n"/>
      <c r="AZ47" s="43" t="n"/>
      <c r="BA47" s="43" t="n"/>
      <c r="BB47" s="43" t="n"/>
      <c r="BC47" s="43" t="n"/>
      <c r="BD47" s="43" t="n"/>
      <c r="BE47" s="43" t="n"/>
      <c r="BF47" s="43" t="n"/>
      <c r="BG47" s="43" t="n"/>
      <c r="BH47" s="43" t="n"/>
    </row>
    <row r="48" ht="15" customHeight="1">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c r="AC48" s="43" t="n"/>
      <c r="AD48" s="43" t="n"/>
      <c r="AE48" s="43" t="n"/>
      <c r="AF48" s="43" t="n"/>
      <c r="AG48" s="43" t="n"/>
      <c r="AH48" s="43" t="n"/>
      <c r="AI48" s="43" t="n"/>
      <c r="AJ48" s="43" t="n"/>
      <c r="AK48" s="43" t="n"/>
      <c r="AL48" s="43" t="n"/>
      <c r="AM48" s="43" t="n"/>
      <c r="AN48" s="43" t="n"/>
      <c r="AO48" s="43" t="n"/>
      <c r="AP48" s="43" t="n"/>
      <c r="AQ48" s="43" t="n"/>
      <c r="AR48" s="43" t="n"/>
      <c r="AS48" s="43" t="n"/>
      <c r="AT48" s="43" t="n"/>
      <c r="AU48" s="43" t="n"/>
      <c r="AV48" s="43" t="n"/>
      <c r="AW48" s="43" t="n"/>
      <c r="AX48" s="43" t="n"/>
      <c r="AY48" s="43" t="n"/>
      <c r="AZ48" s="43" t="n"/>
      <c r="BA48" s="43" t="n"/>
      <c r="BB48" s="43" t="n"/>
      <c r="BC48" s="43" t="n"/>
      <c r="BD48" s="43" t="n"/>
      <c r="BE48" s="43" t="n"/>
      <c r="BF48" s="43" t="n"/>
      <c r="BG48" s="43" t="n"/>
      <c r="BH48" s="43" t="n"/>
    </row>
    <row r="49" ht="15" customHeight="1">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c r="AB49" s="43" t="n"/>
      <c r="AC49" s="43" t="n"/>
      <c r="AD49" s="43" t="n"/>
      <c r="AE49" s="43" t="n"/>
      <c r="AF49" s="43" t="n"/>
      <c r="AG49" s="43" t="n"/>
      <c r="AH49" s="43" t="n"/>
      <c r="AI49" s="43" t="n"/>
      <c r="AJ49" s="43" t="n"/>
      <c r="AK49" s="43" t="n"/>
      <c r="AL49" s="43" t="n"/>
      <c r="AM49" s="43" t="n"/>
      <c r="AN49" s="43" t="n"/>
      <c r="AO49" s="43" t="n"/>
      <c r="AP49" s="43" t="n"/>
      <c r="AQ49" s="43" t="n"/>
      <c r="AR49" s="43" t="n"/>
      <c r="AS49" s="43" t="n"/>
      <c r="AT49" s="43" t="n"/>
      <c r="AU49" s="43" t="n"/>
      <c r="AV49" s="43" t="n"/>
      <c r="AW49" s="43" t="n"/>
      <c r="AX49" s="43" t="n"/>
      <c r="AY49" s="43" t="n"/>
      <c r="AZ49" s="43" t="n"/>
      <c r="BA49" s="43" t="n"/>
      <c r="BB49" s="43" t="n"/>
      <c r="BC49" s="43" t="n"/>
      <c r="BD49" s="43" t="n"/>
      <c r="BE49" s="43" t="n"/>
      <c r="BF49" s="43" t="n"/>
      <c r="BG49" s="43" t="n"/>
      <c r="BH49" s="43" t="n"/>
    </row>
    <row r="50" ht="15" customHeight="1">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c r="AC50" s="43" t="n"/>
      <c r="AD50" s="43" t="n"/>
      <c r="AE50" s="43" t="n"/>
      <c r="AF50" s="43" t="n"/>
      <c r="AG50" s="43" t="n"/>
      <c r="AH50" s="43" t="n"/>
      <c r="AI50" s="43" t="n"/>
      <c r="AJ50" s="43" t="n"/>
      <c r="AK50" s="43" t="n"/>
      <c r="AL50" s="43" t="n"/>
      <c r="AM50" s="43" t="n"/>
      <c r="AN50" s="43" t="n"/>
      <c r="AO50" s="43" t="n"/>
      <c r="AP50" s="43" t="n"/>
      <c r="AQ50" s="43" t="n"/>
      <c r="AR50" s="43" t="n"/>
      <c r="AS50" s="43" t="n"/>
      <c r="AT50" s="43" t="n"/>
      <c r="AU50" s="43" t="n"/>
      <c r="AV50" s="43" t="n"/>
      <c r="AW50" s="43" t="n"/>
      <c r="AX50" s="43" t="n"/>
      <c r="AY50" s="43" t="n"/>
      <c r="AZ50" s="43" t="n"/>
      <c r="BA50" s="43" t="n"/>
      <c r="BB50" s="43" t="n"/>
      <c r="BC50" s="43" t="n"/>
      <c r="BD50" s="43" t="n"/>
      <c r="BE50" s="43" t="n"/>
      <c r="BF50" s="43" t="n"/>
      <c r="BG50" s="43" t="n"/>
      <c r="BH50" s="43" t="n"/>
    </row>
    <row r="51" ht="15" customHeight="1">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c r="AB51" s="43" t="n"/>
      <c r="AC51" s="43" t="n"/>
      <c r="AD51" s="43" t="n"/>
      <c r="AE51" s="43" t="n"/>
      <c r="AF51" s="43" t="n"/>
      <c r="AG51" s="43" t="n"/>
      <c r="AH51" s="43" t="n"/>
      <c r="AI51" s="43" t="n"/>
      <c r="AJ51" s="43" t="n"/>
      <c r="AK51" s="43" t="n"/>
      <c r="AL51" s="43" t="n"/>
      <c r="AM51" s="43" t="n"/>
      <c r="AN51" s="43" t="n"/>
      <c r="AO51" s="43" t="n"/>
      <c r="AP51" s="43" t="n"/>
      <c r="AQ51" s="43" t="n"/>
      <c r="AR51" s="43" t="n"/>
      <c r="AS51" s="43" t="n"/>
      <c r="AT51" s="43" t="n"/>
      <c r="AU51" s="43" t="n"/>
      <c r="AV51" s="43" t="n"/>
      <c r="AW51" s="43" t="n"/>
      <c r="AX51" s="43" t="n"/>
      <c r="AY51" s="43" t="n"/>
      <c r="AZ51" s="43" t="n"/>
      <c r="BA51" s="43" t="n"/>
      <c r="BB51" s="43" t="n"/>
      <c r="BC51" s="43" t="n"/>
      <c r="BD51" s="43" t="n"/>
      <c r="BE51" s="43" t="n"/>
      <c r="BF51" s="43" t="n"/>
      <c r="BG51" s="43" t="n"/>
      <c r="BH51" s="43" t="n"/>
    </row>
    <row r="52" ht="15" customHeight="1">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c r="AC52" s="43" t="n"/>
      <c r="AD52" s="43" t="n"/>
      <c r="AE52" s="43" t="n"/>
      <c r="AF52" s="43" t="n"/>
      <c r="AG52" s="43" t="n"/>
      <c r="AH52" s="43" t="n"/>
      <c r="AI52" s="43" t="n"/>
      <c r="AJ52" s="43" t="n"/>
      <c r="AK52" s="43" t="n"/>
      <c r="AL52" s="43" t="n"/>
      <c r="AM52" s="43" t="n"/>
      <c r="AN52" s="43" t="n"/>
      <c r="AO52" s="43" t="n"/>
      <c r="AP52" s="43" t="n"/>
      <c r="AQ52" s="43" t="n"/>
      <c r="AR52" s="43" t="n"/>
      <c r="AS52" s="43" t="n"/>
      <c r="AT52" s="43" t="n"/>
      <c r="AU52" s="43" t="n"/>
      <c r="AV52" s="43" t="n"/>
      <c r="AW52" s="43" t="n"/>
      <c r="AX52" s="43" t="n"/>
      <c r="AY52" s="43" t="n"/>
      <c r="AZ52" s="43" t="n"/>
      <c r="BA52" s="43" t="n"/>
      <c r="BB52" s="43" t="n"/>
      <c r="BC52" s="43" t="n"/>
      <c r="BD52" s="43" t="n"/>
      <c r="BE52" s="43" t="n"/>
      <c r="BF52" s="43" t="n"/>
      <c r="BG52" s="43" t="n"/>
      <c r="BH52" s="43" t="n"/>
    </row>
    <row r="53" ht="15" customHeight="1">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c r="AC53" s="43" t="n"/>
      <c r="AD53" s="43" t="n"/>
      <c r="AE53" s="43" t="n"/>
      <c r="AF53" s="43" t="n"/>
      <c r="AG53" s="43" t="n"/>
      <c r="AH53" s="43" t="n"/>
      <c r="AI53" s="43" t="n"/>
      <c r="AJ53" s="43" t="n"/>
      <c r="AK53" s="43" t="n"/>
      <c r="AL53" s="43" t="n"/>
      <c r="AM53" s="43" t="n"/>
      <c r="AN53" s="43" t="n"/>
      <c r="AO53" s="43" t="n"/>
      <c r="AP53" s="43" t="n"/>
      <c r="AQ53" s="43" t="n"/>
      <c r="AR53" s="43" t="n"/>
      <c r="AS53" s="43" t="n"/>
      <c r="AT53" s="43" t="n"/>
      <c r="AU53" s="43" t="n"/>
      <c r="AV53" s="43" t="n"/>
      <c r="AW53" s="43" t="n"/>
      <c r="AX53" s="43" t="n"/>
      <c r="AY53" s="43" t="n"/>
      <c r="AZ53" s="43" t="n"/>
      <c r="BA53" s="43" t="n"/>
      <c r="BB53" s="43" t="n"/>
      <c r="BC53" s="43" t="n"/>
      <c r="BD53" s="43" t="n"/>
      <c r="BE53" s="43" t="n"/>
      <c r="BF53" s="43" t="n"/>
      <c r="BG53" s="43" t="n"/>
      <c r="BH53" s="43" t="n"/>
    </row>
    <row r="54" ht="15" customHeight="1">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c r="AB54" s="43" t="n"/>
      <c r="AC54" s="43" t="n"/>
      <c r="AD54" s="43" t="n"/>
      <c r="AE54" s="43" t="n"/>
      <c r="AF54" s="43" t="n"/>
      <c r="AG54" s="43" t="n"/>
      <c r="AH54" s="43" t="n"/>
      <c r="AI54" s="43" t="n"/>
      <c r="AJ54" s="43" t="n"/>
      <c r="AK54" s="43" t="n"/>
      <c r="AL54" s="43" t="n"/>
      <c r="AM54" s="43" t="n"/>
      <c r="AN54" s="43" t="n"/>
      <c r="AO54" s="43" t="n"/>
      <c r="AP54" s="43" t="n"/>
      <c r="AQ54" s="43" t="n"/>
      <c r="AR54" s="43" t="n"/>
      <c r="AS54" s="43" t="n"/>
      <c r="AT54" s="43" t="n"/>
      <c r="AU54" s="43" t="n"/>
      <c r="AV54" s="43" t="n"/>
      <c r="AW54" s="43" t="n"/>
      <c r="AX54" s="43" t="n"/>
      <c r="AY54" s="43" t="n"/>
      <c r="AZ54" s="43" t="n"/>
      <c r="BA54" s="43" t="n"/>
      <c r="BB54" s="43" t="n"/>
      <c r="BC54" s="43" t="n"/>
      <c r="BD54" s="43" t="n"/>
      <c r="BE54" s="43" t="n"/>
      <c r="BF54" s="43" t="n"/>
      <c r="BG54" s="43" t="n"/>
      <c r="BH54" s="43" t="n"/>
    </row>
    <row r="55" ht="15" customHeight="1">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c r="AC55" s="43" t="n"/>
      <c r="AD55" s="43" t="n"/>
      <c r="AE55" s="43" t="n"/>
      <c r="AF55" s="43" t="n"/>
      <c r="AG55" s="43" t="n"/>
      <c r="AH55" s="43" t="n"/>
      <c r="AI55" s="43" t="n"/>
      <c r="AJ55" s="43" t="n"/>
      <c r="AK55" s="43" t="n"/>
      <c r="AL55" s="43" t="n"/>
      <c r="AM55" s="43" t="n"/>
      <c r="AN55" s="43" t="n"/>
      <c r="AO55" s="43" t="n"/>
      <c r="AP55" s="43" t="n"/>
      <c r="AQ55" s="43" t="n"/>
      <c r="AR55" s="43" t="n"/>
      <c r="AS55" s="43" t="n"/>
      <c r="AT55" s="43" t="n"/>
      <c r="AU55" s="43" t="n"/>
      <c r="AV55" s="43" t="n"/>
      <c r="AW55" s="43" t="n"/>
      <c r="AX55" s="43" t="n"/>
      <c r="AY55" s="43" t="n"/>
      <c r="AZ55" s="43" t="n"/>
      <c r="BA55" s="43" t="n"/>
      <c r="BB55" s="43" t="n"/>
      <c r="BC55" s="43" t="n"/>
      <c r="BD55" s="43" t="n"/>
      <c r="BE55" s="43" t="n"/>
      <c r="BF55" s="43" t="n"/>
      <c r="BG55" s="43" t="n"/>
      <c r="BH55" s="43" t="n"/>
    </row>
    <row r="56" ht="15" customHeight="1"/>
    <row r="57" ht="15" customHeight="1">
      <c r="B57" s="40" t="inlineStr">
        <is>
          <t>AYLIK İLERLEME EĞRİSİ</t>
        </is>
      </c>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c r="AA57" s="41" t="n"/>
      <c r="AB57" s="41" t="n"/>
      <c r="AC57" s="41" t="n"/>
      <c r="AD57" s="41" t="n"/>
      <c r="AE57" s="41" t="n"/>
      <c r="AF57" s="41" t="n"/>
      <c r="AG57" s="41" t="n"/>
      <c r="AH57" s="41" t="n"/>
      <c r="AI57" s="41" t="n"/>
      <c r="AJ57" s="41" t="n"/>
      <c r="AK57" s="41" t="n"/>
      <c r="AL57" s="41" t="n"/>
      <c r="AM57" s="41" t="n"/>
      <c r="AN57" s="41" t="n"/>
      <c r="AO57" s="41" t="n"/>
      <c r="AP57" s="41" t="n"/>
      <c r="AQ57" s="41" t="n"/>
      <c r="AR57" s="41" t="n"/>
      <c r="AS57" s="41" t="n"/>
      <c r="AT57" s="41" t="n"/>
      <c r="AU57" s="41" t="n"/>
      <c r="AV57" s="41" t="n"/>
      <c r="AW57" s="41" t="n"/>
      <c r="AX57" s="41" t="n"/>
      <c r="AY57" s="41" t="n"/>
      <c r="AZ57" s="41" t="n"/>
      <c r="BA57" s="41" t="n"/>
      <c r="BB57" s="41" t="n"/>
      <c r="BC57" s="41" t="n"/>
      <c r="BD57" s="41" t="n"/>
      <c r="BE57" s="41" t="n"/>
      <c r="BF57" s="41" t="n"/>
      <c r="BG57" s="41" t="n"/>
      <c r="BH57" s="41" t="n"/>
    </row>
    <row r="58" ht="15" customHeight="1">
      <c r="B58" s="44" t="inlineStr">
        <is>
          <t>Aynı hesap ayın son gününe göre</t>
        </is>
      </c>
    </row>
    <row r="59" ht="15" customHeight="1">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c r="AC59" s="43" t="n"/>
      <c r="AD59" s="43" t="n"/>
      <c r="AE59" s="43" t="n"/>
      <c r="AF59" s="43" t="n"/>
      <c r="AG59" s="43" t="n"/>
      <c r="AH59" s="43" t="n"/>
      <c r="AI59" s="43" t="n"/>
      <c r="AJ59" s="43" t="n"/>
      <c r="AK59" s="43" t="n"/>
      <c r="AL59" s="43" t="n"/>
      <c r="AM59" s="43" t="n"/>
      <c r="AN59" s="43" t="n"/>
      <c r="AO59" s="43" t="n"/>
      <c r="AP59" s="43" t="n"/>
      <c r="AQ59" s="43" t="n"/>
      <c r="AR59" s="43" t="n"/>
      <c r="AS59" s="43" t="n"/>
      <c r="AT59" s="43" t="n"/>
      <c r="AU59" s="43" t="n"/>
      <c r="AV59" s="43" t="n"/>
      <c r="AW59" s="43" t="n"/>
      <c r="AX59" s="43" t="n"/>
      <c r="AY59" s="43" t="n"/>
      <c r="AZ59" s="43" t="n"/>
      <c r="BA59" s="43" t="n"/>
      <c r="BB59" s="43" t="n"/>
      <c r="BC59" s="43" t="n"/>
      <c r="BD59" s="43" t="n"/>
      <c r="BE59" s="43" t="n"/>
      <c r="BF59" s="43" t="n"/>
      <c r="BG59" s="43" t="n"/>
      <c r="BH59" s="43" t="n"/>
    </row>
    <row r="60" ht="15" customHeight="1">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c r="AC60" s="43" t="n"/>
      <c r="AD60" s="43" t="n"/>
      <c r="AE60" s="43" t="n"/>
      <c r="AF60" s="43" t="n"/>
      <c r="AG60" s="43" t="n"/>
      <c r="AH60" s="43" t="n"/>
      <c r="AI60" s="43" t="n"/>
      <c r="AJ60" s="43" t="n"/>
      <c r="AK60" s="43" t="n"/>
      <c r="AL60" s="43" t="n"/>
      <c r="AM60" s="43" t="n"/>
      <c r="AN60" s="43" t="n"/>
      <c r="AO60" s="43" t="n"/>
      <c r="AP60" s="43" t="n"/>
      <c r="AQ60" s="43" t="n"/>
      <c r="AR60" s="43" t="n"/>
      <c r="AS60" s="43" t="n"/>
      <c r="AT60" s="43" t="n"/>
      <c r="AU60" s="43" t="n"/>
      <c r="AV60" s="43" t="n"/>
      <c r="AW60" s="43" t="n"/>
      <c r="AX60" s="43" t="n"/>
      <c r="AY60" s="43" t="n"/>
      <c r="AZ60" s="43" t="n"/>
      <c r="BA60" s="43" t="n"/>
      <c r="BB60" s="43" t="n"/>
      <c r="BC60" s="43" t="n"/>
      <c r="BD60" s="43" t="n"/>
      <c r="BE60" s="43" t="n"/>
      <c r="BF60" s="43" t="n"/>
      <c r="BG60" s="43" t="n"/>
      <c r="BH60" s="43" t="n"/>
    </row>
    <row r="61" ht="15" customHeight="1">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c r="AC61" s="43" t="n"/>
      <c r="AD61" s="43" t="n"/>
      <c r="AE61" s="43" t="n"/>
      <c r="AF61" s="43" t="n"/>
      <c r="AG61" s="43" t="n"/>
      <c r="AH61" s="43" t="n"/>
      <c r="AI61" s="43" t="n"/>
      <c r="AJ61" s="43" t="n"/>
      <c r="AK61" s="43" t="n"/>
      <c r="AL61" s="43" t="n"/>
      <c r="AM61" s="43" t="n"/>
      <c r="AN61" s="43" t="n"/>
      <c r="AO61" s="43" t="n"/>
      <c r="AP61" s="43" t="n"/>
      <c r="AQ61" s="43" t="n"/>
      <c r="AR61" s="43" t="n"/>
      <c r="AS61" s="43" t="n"/>
      <c r="AT61" s="43" t="n"/>
      <c r="AU61" s="43" t="n"/>
      <c r="AV61" s="43" t="n"/>
      <c r="AW61" s="43" t="n"/>
      <c r="AX61" s="43" t="n"/>
      <c r="AY61" s="43" t="n"/>
      <c r="AZ61" s="43" t="n"/>
      <c r="BA61" s="43" t="n"/>
      <c r="BB61" s="43" t="n"/>
      <c r="BC61" s="43" t="n"/>
      <c r="BD61" s="43" t="n"/>
      <c r="BE61" s="43" t="n"/>
      <c r="BF61" s="43" t="n"/>
      <c r="BG61" s="43" t="n"/>
      <c r="BH61" s="43" t="n"/>
    </row>
    <row r="62" ht="15" customHeight="1">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c r="AB62" s="43" t="n"/>
      <c r="AC62" s="43" t="n"/>
      <c r="AD62" s="43" t="n"/>
      <c r="AE62" s="43" t="n"/>
      <c r="AF62" s="43" t="n"/>
      <c r="AG62" s="43" t="n"/>
      <c r="AH62" s="43" t="n"/>
      <c r="AI62" s="43" t="n"/>
      <c r="AJ62" s="43" t="n"/>
      <c r="AK62" s="43" t="n"/>
      <c r="AL62" s="43" t="n"/>
      <c r="AM62" s="43" t="n"/>
      <c r="AN62" s="43" t="n"/>
      <c r="AO62" s="43" t="n"/>
      <c r="AP62" s="43" t="n"/>
      <c r="AQ62" s="43" t="n"/>
      <c r="AR62" s="43" t="n"/>
      <c r="AS62" s="43" t="n"/>
      <c r="AT62" s="43" t="n"/>
      <c r="AU62" s="43" t="n"/>
      <c r="AV62" s="43" t="n"/>
      <c r="AW62" s="43" t="n"/>
      <c r="AX62" s="43" t="n"/>
      <c r="AY62" s="43" t="n"/>
      <c r="AZ62" s="43" t="n"/>
      <c r="BA62" s="43" t="n"/>
      <c r="BB62" s="43" t="n"/>
      <c r="BC62" s="43" t="n"/>
      <c r="BD62" s="43" t="n"/>
      <c r="BE62" s="43" t="n"/>
      <c r="BF62" s="43" t="n"/>
      <c r="BG62" s="43" t="n"/>
      <c r="BH62" s="43" t="n"/>
    </row>
    <row r="63" ht="15" customHeight="1">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c r="AC63" s="43" t="n"/>
      <c r="AD63" s="43" t="n"/>
      <c r="AE63" s="43" t="n"/>
      <c r="AF63" s="43" t="n"/>
      <c r="AG63" s="43" t="n"/>
      <c r="AH63" s="43" t="n"/>
      <c r="AI63" s="43" t="n"/>
      <c r="AJ63" s="43" t="n"/>
      <c r="AK63" s="43" t="n"/>
      <c r="AL63" s="43" t="n"/>
      <c r="AM63" s="43" t="n"/>
      <c r="AN63" s="43" t="n"/>
      <c r="AO63" s="43" t="n"/>
      <c r="AP63" s="43" t="n"/>
      <c r="AQ63" s="43" t="n"/>
      <c r="AR63" s="43" t="n"/>
      <c r="AS63" s="43" t="n"/>
      <c r="AT63" s="43" t="n"/>
      <c r="AU63" s="43" t="n"/>
      <c r="AV63" s="43" t="n"/>
      <c r="AW63" s="43" t="n"/>
      <c r="AX63" s="43" t="n"/>
      <c r="AY63" s="43" t="n"/>
      <c r="AZ63" s="43" t="n"/>
      <c r="BA63" s="43" t="n"/>
      <c r="BB63" s="43" t="n"/>
      <c r="BC63" s="43" t="n"/>
      <c r="BD63" s="43" t="n"/>
      <c r="BE63" s="43" t="n"/>
      <c r="BF63" s="43" t="n"/>
      <c r="BG63" s="43" t="n"/>
      <c r="BH63" s="43" t="n"/>
    </row>
    <row r="64" ht="15" customHeight="1">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c r="AB64" s="43" t="n"/>
      <c r="AC64" s="43" t="n"/>
      <c r="AD64" s="43" t="n"/>
      <c r="AE64" s="43" t="n"/>
      <c r="AF64" s="43" t="n"/>
      <c r="AG64" s="43" t="n"/>
      <c r="AH64" s="43" t="n"/>
      <c r="AI64" s="43" t="n"/>
      <c r="AJ64" s="43" t="n"/>
      <c r="AK64" s="43" t="n"/>
      <c r="AL64" s="43" t="n"/>
      <c r="AM64" s="43" t="n"/>
      <c r="AN64" s="43" t="n"/>
      <c r="AO64" s="43" t="n"/>
      <c r="AP64" s="43" t="n"/>
      <c r="AQ64" s="43" t="n"/>
      <c r="AR64" s="43" t="n"/>
      <c r="AS64" s="43" t="n"/>
      <c r="AT64" s="43" t="n"/>
      <c r="AU64" s="43" t="n"/>
      <c r="AV64" s="43" t="n"/>
      <c r="AW64" s="43" t="n"/>
      <c r="AX64" s="43" t="n"/>
      <c r="AY64" s="43" t="n"/>
      <c r="AZ64" s="43" t="n"/>
      <c r="BA64" s="43" t="n"/>
      <c r="BB64" s="43" t="n"/>
      <c r="BC64" s="43" t="n"/>
      <c r="BD64" s="43" t="n"/>
      <c r="BE64" s="43" t="n"/>
      <c r="BF64" s="43" t="n"/>
      <c r="BG64" s="43" t="n"/>
      <c r="BH64" s="43" t="n"/>
    </row>
    <row r="65" ht="15" customHeight="1">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c r="AC65" s="43" t="n"/>
      <c r="AD65" s="43" t="n"/>
      <c r="AE65" s="43" t="n"/>
      <c r="AF65" s="43" t="n"/>
      <c r="AG65" s="43" t="n"/>
      <c r="AH65" s="43" t="n"/>
      <c r="AI65" s="43" t="n"/>
      <c r="AJ65" s="43" t="n"/>
      <c r="AK65" s="43" t="n"/>
      <c r="AL65" s="43" t="n"/>
      <c r="AM65" s="43" t="n"/>
      <c r="AN65" s="43" t="n"/>
      <c r="AO65" s="43" t="n"/>
      <c r="AP65" s="43" t="n"/>
      <c r="AQ65" s="43" t="n"/>
      <c r="AR65" s="43" t="n"/>
      <c r="AS65" s="43" t="n"/>
      <c r="AT65" s="43" t="n"/>
      <c r="AU65" s="43" t="n"/>
      <c r="AV65" s="43" t="n"/>
      <c r="AW65" s="43" t="n"/>
      <c r="AX65" s="43" t="n"/>
      <c r="AY65" s="43" t="n"/>
      <c r="AZ65" s="43" t="n"/>
      <c r="BA65" s="43" t="n"/>
      <c r="BB65" s="43" t="n"/>
      <c r="BC65" s="43" t="n"/>
      <c r="BD65" s="43" t="n"/>
      <c r="BE65" s="43" t="n"/>
      <c r="BF65" s="43" t="n"/>
      <c r="BG65" s="43" t="n"/>
      <c r="BH65" s="43" t="n"/>
    </row>
    <row r="66" ht="15" customHeight="1">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c r="AC66" s="43" t="n"/>
      <c r="AD66" s="43" t="n"/>
      <c r="AE66" s="43" t="n"/>
      <c r="AF66" s="43" t="n"/>
      <c r="AG66" s="43" t="n"/>
      <c r="AH66" s="43" t="n"/>
      <c r="AI66" s="43" t="n"/>
      <c r="AJ66" s="43" t="n"/>
      <c r="AK66" s="43" t="n"/>
      <c r="AL66" s="43" t="n"/>
      <c r="AM66" s="43" t="n"/>
      <c r="AN66" s="43" t="n"/>
      <c r="AO66" s="43" t="n"/>
      <c r="AP66" s="43" t="n"/>
      <c r="AQ66" s="43" t="n"/>
      <c r="AR66" s="43" t="n"/>
      <c r="AS66" s="43" t="n"/>
      <c r="AT66" s="43" t="n"/>
      <c r="AU66" s="43" t="n"/>
      <c r="AV66" s="43" t="n"/>
      <c r="AW66" s="43" t="n"/>
      <c r="AX66" s="43" t="n"/>
      <c r="AY66" s="43" t="n"/>
      <c r="AZ66" s="43" t="n"/>
      <c r="BA66" s="43" t="n"/>
      <c r="BB66" s="43" t="n"/>
      <c r="BC66" s="43" t="n"/>
      <c r="BD66" s="43" t="n"/>
      <c r="BE66" s="43" t="n"/>
      <c r="BF66" s="43" t="n"/>
      <c r="BG66" s="43" t="n"/>
      <c r="BH66" s="43" t="n"/>
    </row>
    <row r="67" ht="15" customHeight="1">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c r="AC67" s="43" t="n"/>
      <c r="AD67" s="43" t="n"/>
      <c r="AE67" s="43" t="n"/>
      <c r="AF67" s="43" t="n"/>
      <c r="AG67" s="43" t="n"/>
      <c r="AH67" s="43" t="n"/>
      <c r="AI67" s="43" t="n"/>
      <c r="AJ67" s="43" t="n"/>
      <c r="AK67" s="43" t="n"/>
      <c r="AL67" s="43" t="n"/>
      <c r="AM67" s="43" t="n"/>
      <c r="AN67" s="43" t="n"/>
      <c r="AO67" s="43" t="n"/>
      <c r="AP67" s="43" t="n"/>
      <c r="AQ67" s="43" t="n"/>
      <c r="AR67" s="43" t="n"/>
      <c r="AS67" s="43" t="n"/>
      <c r="AT67" s="43" t="n"/>
      <c r="AU67" s="43" t="n"/>
      <c r="AV67" s="43" t="n"/>
      <c r="AW67" s="43" t="n"/>
      <c r="AX67" s="43" t="n"/>
      <c r="AY67" s="43" t="n"/>
      <c r="AZ67" s="43" t="n"/>
      <c r="BA67" s="43" t="n"/>
      <c r="BB67" s="43" t="n"/>
      <c r="BC67" s="43" t="n"/>
      <c r="BD67" s="43" t="n"/>
      <c r="BE67" s="43" t="n"/>
      <c r="BF67" s="43" t="n"/>
      <c r="BG67" s="43" t="n"/>
      <c r="BH67" s="43" t="n"/>
    </row>
    <row r="68" ht="15" customHeight="1">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c r="AC68" s="43" t="n"/>
      <c r="AD68" s="43" t="n"/>
      <c r="AE68" s="43" t="n"/>
      <c r="AF68" s="43" t="n"/>
      <c r="AG68" s="43" t="n"/>
      <c r="AH68" s="43" t="n"/>
      <c r="AI68" s="43" t="n"/>
      <c r="AJ68" s="43" t="n"/>
      <c r="AK68" s="43" t="n"/>
      <c r="AL68" s="43" t="n"/>
      <c r="AM68" s="43" t="n"/>
      <c r="AN68" s="43" t="n"/>
      <c r="AO68" s="43" t="n"/>
      <c r="AP68" s="43" t="n"/>
      <c r="AQ68" s="43" t="n"/>
      <c r="AR68" s="43" t="n"/>
      <c r="AS68" s="43" t="n"/>
      <c r="AT68" s="43" t="n"/>
      <c r="AU68" s="43" t="n"/>
      <c r="AV68" s="43" t="n"/>
      <c r="AW68" s="43" t="n"/>
      <c r="AX68" s="43" t="n"/>
      <c r="AY68" s="43" t="n"/>
      <c r="AZ68" s="43" t="n"/>
      <c r="BA68" s="43" t="n"/>
      <c r="BB68" s="43" t="n"/>
      <c r="BC68" s="43" t="n"/>
      <c r="BD68" s="43" t="n"/>
      <c r="BE68" s="43" t="n"/>
      <c r="BF68" s="43" t="n"/>
      <c r="BG68" s="43" t="n"/>
      <c r="BH68" s="43" t="n"/>
    </row>
    <row r="69" ht="15" customHeight="1">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c r="AC69" s="43" t="n"/>
      <c r="AD69" s="43" t="n"/>
      <c r="AE69" s="43" t="n"/>
      <c r="AF69" s="43" t="n"/>
      <c r="AG69" s="43" t="n"/>
      <c r="AH69" s="43" t="n"/>
      <c r="AI69" s="43" t="n"/>
      <c r="AJ69" s="43" t="n"/>
      <c r="AK69" s="43" t="n"/>
      <c r="AL69" s="43" t="n"/>
      <c r="AM69" s="43" t="n"/>
      <c r="AN69" s="43" t="n"/>
      <c r="AO69" s="43" t="n"/>
      <c r="AP69" s="43" t="n"/>
      <c r="AQ69" s="43" t="n"/>
      <c r="AR69" s="43" t="n"/>
      <c r="AS69" s="43" t="n"/>
      <c r="AT69" s="43" t="n"/>
      <c r="AU69" s="43" t="n"/>
      <c r="AV69" s="43" t="n"/>
      <c r="AW69" s="43" t="n"/>
      <c r="AX69" s="43" t="n"/>
      <c r="AY69" s="43" t="n"/>
      <c r="AZ69" s="43" t="n"/>
      <c r="BA69" s="43" t="n"/>
      <c r="BB69" s="43" t="n"/>
      <c r="BC69" s="43" t="n"/>
      <c r="BD69" s="43" t="n"/>
      <c r="BE69" s="43" t="n"/>
      <c r="BF69" s="43" t="n"/>
      <c r="BG69" s="43" t="n"/>
      <c r="BH69" s="43" t="n"/>
    </row>
    <row r="70" ht="15" customHeight="1">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c r="AB70" s="43" t="n"/>
      <c r="AC70" s="43" t="n"/>
      <c r="AD70" s="43" t="n"/>
      <c r="AE70" s="43" t="n"/>
      <c r="AF70" s="43" t="n"/>
      <c r="AG70" s="43" t="n"/>
      <c r="AH70" s="43" t="n"/>
      <c r="AI70" s="43" t="n"/>
      <c r="AJ70" s="43" t="n"/>
      <c r="AK70" s="43" t="n"/>
      <c r="AL70" s="43" t="n"/>
      <c r="AM70" s="43" t="n"/>
      <c r="AN70" s="43" t="n"/>
      <c r="AO70" s="43" t="n"/>
      <c r="AP70" s="43" t="n"/>
      <c r="AQ70" s="43" t="n"/>
      <c r="AR70" s="43" t="n"/>
      <c r="AS70" s="43" t="n"/>
      <c r="AT70" s="43" t="n"/>
      <c r="AU70" s="43" t="n"/>
      <c r="AV70" s="43" t="n"/>
      <c r="AW70" s="43" t="n"/>
      <c r="AX70" s="43" t="n"/>
      <c r="AY70" s="43" t="n"/>
      <c r="AZ70" s="43" t="n"/>
      <c r="BA70" s="43" t="n"/>
      <c r="BB70" s="43" t="n"/>
      <c r="BC70" s="43" t="n"/>
      <c r="BD70" s="43" t="n"/>
      <c r="BE70" s="43" t="n"/>
      <c r="BF70" s="43" t="n"/>
      <c r="BG70" s="43" t="n"/>
      <c r="BH70" s="43" t="n"/>
    </row>
    <row r="71" ht="15" customHeight="1">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c r="AC71" s="43" t="n"/>
      <c r="AD71" s="43" t="n"/>
      <c r="AE71" s="43" t="n"/>
      <c r="AF71" s="43" t="n"/>
      <c r="AG71" s="43" t="n"/>
      <c r="AH71" s="43" t="n"/>
      <c r="AI71" s="43" t="n"/>
      <c r="AJ71" s="43" t="n"/>
      <c r="AK71" s="43" t="n"/>
      <c r="AL71" s="43" t="n"/>
      <c r="AM71" s="43" t="n"/>
      <c r="AN71" s="43" t="n"/>
      <c r="AO71" s="43" t="n"/>
      <c r="AP71" s="43" t="n"/>
      <c r="AQ71" s="43" t="n"/>
      <c r="AR71" s="43" t="n"/>
      <c r="AS71" s="43" t="n"/>
      <c r="AT71" s="43" t="n"/>
      <c r="AU71" s="43" t="n"/>
      <c r="AV71" s="43" t="n"/>
      <c r="AW71" s="43" t="n"/>
      <c r="AX71" s="43" t="n"/>
      <c r="AY71" s="43" t="n"/>
      <c r="AZ71" s="43" t="n"/>
      <c r="BA71" s="43" t="n"/>
      <c r="BB71" s="43" t="n"/>
      <c r="BC71" s="43" t="n"/>
      <c r="BD71" s="43" t="n"/>
      <c r="BE71" s="43" t="n"/>
      <c r="BF71" s="43" t="n"/>
      <c r="BG71" s="43" t="n"/>
      <c r="BH71" s="43" t="n"/>
    </row>
    <row r="72" ht="15" customHeight="1">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c r="AB72" s="43" t="n"/>
      <c r="AC72" s="43" t="n"/>
      <c r="AD72" s="43" t="n"/>
      <c r="AE72" s="43" t="n"/>
      <c r="AF72" s="43" t="n"/>
      <c r="AG72" s="43" t="n"/>
      <c r="AH72" s="43" t="n"/>
      <c r="AI72" s="43" t="n"/>
      <c r="AJ72" s="43" t="n"/>
      <c r="AK72" s="43" t="n"/>
      <c r="AL72" s="43" t="n"/>
      <c r="AM72" s="43" t="n"/>
      <c r="AN72" s="43" t="n"/>
      <c r="AO72" s="43" t="n"/>
      <c r="AP72" s="43" t="n"/>
      <c r="AQ72" s="43" t="n"/>
      <c r="AR72" s="43" t="n"/>
      <c r="AS72" s="43" t="n"/>
      <c r="AT72" s="43" t="n"/>
      <c r="AU72" s="43" t="n"/>
      <c r="AV72" s="43" t="n"/>
      <c r="AW72" s="43" t="n"/>
      <c r="AX72" s="43" t="n"/>
      <c r="AY72" s="43" t="n"/>
      <c r="AZ72" s="43" t="n"/>
      <c r="BA72" s="43" t="n"/>
      <c r="BB72" s="43" t="n"/>
      <c r="BC72" s="43" t="n"/>
      <c r="BD72" s="43" t="n"/>
      <c r="BE72" s="43" t="n"/>
      <c r="BF72" s="43" t="n"/>
      <c r="BG72" s="43" t="n"/>
      <c r="BH72" s="43" t="n"/>
    </row>
    <row r="73" ht="15" customHeight="1">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c r="AC73" s="43" t="n"/>
      <c r="AD73" s="43" t="n"/>
      <c r="AE73" s="43" t="n"/>
      <c r="AF73" s="43" t="n"/>
      <c r="AG73" s="43" t="n"/>
      <c r="AH73" s="43" t="n"/>
      <c r="AI73" s="43" t="n"/>
      <c r="AJ73" s="43" t="n"/>
      <c r="AK73" s="43" t="n"/>
      <c r="AL73" s="43" t="n"/>
      <c r="AM73" s="43" t="n"/>
      <c r="AN73" s="43" t="n"/>
      <c r="AO73" s="43" t="n"/>
      <c r="AP73" s="43" t="n"/>
      <c r="AQ73" s="43" t="n"/>
      <c r="AR73" s="43" t="n"/>
      <c r="AS73" s="43" t="n"/>
      <c r="AT73" s="43" t="n"/>
      <c r="AU73" s="43" t="n"/>
      <c r="AV73" s="43" t="n"/>
      <c r="AW73" s="43" t="n"/>
      <c r="AX73" s="43" t="n"/>
      <c r="AY73" s="43" t="n"/>
      <c r="AZ73" s="43" t="n"/>
      <c r="BA73" s="43" t="n"/>
      <c r="BB73" s="43" t="n"/>
      <c r="BC73" s="43" t="n"/>
      <c r="BD73" s="43" t="n"/>
      <c r="BE73" s="43" t="n"/>
      <c r="BF73" s="43" t="n"/>
      <c r="BG73" s="43" t="n"/>
      <c r="BH73" s="43" t="n"/>
    </row>
    <row r="74" ht="15" customHeight="1">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c r="AB74" s="43" t="n"/>
      <c r="AC74" s="43" t="n"/>
      <c r="AD74" s="43" t="n"/>
      <c r="AE74" s="43" t="n"/>
      <c r="AF74" s="43" t="n"/>
      <c r="AG74" s="43" t="n"/>
      <c r="AH74" s="43" t="n"/>
      <c r="AI74" s="43" t="n"/>
      <c r="AJ74" s="43" t="n"/>
      <c r="AK74" s="43" t="n"/>
      <c r="AL74" s="43" t="n"/>
      <c r="AM74" s="43" t="n"/>
      <c r="AN74" s="43" t="n"/>
      <c r="AO74" s="43" t="n"/>
      <c r="AP74" s="43" t="n"/>
      <c r="AQ74" s="43" t="n"/>
      <c r="AR74" s="43" t="n"/>
      <c r="AS74" s="43" t="n"/>
      <c r="AT74" s="43" t="n"/>
      <c r="AU74" s="43" t="n"/>
      <c r="AV74" s="43" t="n"/>
      <c r="AW74" s="43" t="n"/>
      <c r="AX74" s="43" t="n"/>
      <c r="AY74" s="43" t="n"/>
      <c r="AZ74" s="43" t="n"/>
      <c r="BA74" s="43" t="n"/>
      <c r="BB74" s="43" t="n"/>
      <c r="BC74" s="43" t="n"/>
      <c r="BD74" s="43" t="n"/>
      <c r="BE74" s="43" t="n"/>
      <c r="BF74" s="43" t="n"/>
      <c r="BG74" s="43" t="n"/>
      <c r="BH74" s="43" t="n"/>
    </row>
    <row r="75" ht="15" customHeight="1">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c r="AB75" s="43" t="n"/>
      <c r="AC75" s="43" t="n"/>
      <c r="AD75" s="43" t="n"/>
      <c r="AE75" s="43" t="n"/>
      <c r="AF75" s="43" t="n"/>
      <c r="AG75" s="43" t="n"/>
      <c r="AH75" s="43" t="n"/>
      <c r="AI75" s="43" t="n"/>
      <c r="AJ75" s="43" t="n"/>
      <c r="AK75" s="43" t="n"/>
      <c r="AL75" s="43" t="n"/>
      <c r="AM75" s="43" t="n"/>
      <c r="AN75" s="43" t="n"/>
      <c r="AO75" s="43" t="n"/>
      <c r="AP75" s="43" t="n"/>
      <c r="AQ75" s="43" t="n"/>
      <c r="AR75" s="43" t="n"/>
      <c r="AS75" s="43" t="n"/>
      <c r="AT75" s="43" t="n"/>
      <c r="AU75" s="43" t="n"/>
      <c r="AV75" s="43" t="n"/>
      <c r="AW75" s="43" t="n"/>
      <c r="AX75" s="43" t="n"/>
      <c r="AY75" s="43" t="n"/>
      <c r="AZ75" s="43" t="n"/>
      <c r="BA75" s="43" t="n"/>
      <c r="BB75" s="43" t="n"/>
      <c r="BC75" s="43" t="n"/>
      <c r="BD75" s="43" t="n"/>
      <c r="BE75" s="43" t="n"/>
      <c r="BF75" s="43" t="n"/>
      <c r="BG75" s="43" t="n"/>
      <c r="BH75" s="43" t="n"/>
    </row>
    <row r="76" ht="15" customHeight="1">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c r="AB76" s="43" t="n"/>
      <c r="AC76" s="43" t="n"/>
      <c r="AD76" s="43" t="n"/>
      <c r="AE76" s="43" t="n"/>
      <c r="AF76" s="43" t="n"/>
      <c r="AG76" s="43" t="n"/>
      <c r="AH76" s="43" t="n"/>
      <c r="AI76" s="43" t="n"/>
      <c r="AJ76" s="43" t="n"/>
      <c r="AK76" s="43" t="n"/>
      <c r="AL76" s="43" t="n"/>
      <c r="AM76" s="43" t="n"/>
      <c r="AN76" s="43" t="n"/>
      <c r="AO76" s="43" t="n"/>
      <c r="AP76" s="43" t="n"/>
      <c r="AQ76" s="43" t="n"/>
      <c r="AR76" s="43" t="n"/>
      <c r="AS76" s="43" t="n"/>
      <c r="AT76" s="43" t="n"/>
      <c r="AU76" s="43" t="n"/>
      <c r="AV76" s="43" t="n"/>
      <c r="AW76" s="43" t="n"/>
      <c r="AX76" s="43" t="n"/>
      <c r="AY76" s="43" t="n"/>
      <c r="AZ76" s="43" t="n"/>
      <c r="BA76" s="43" t="n"/>
      <c r="BB76" s="43" t="n"/>
      <c r="BC76" s="43" t="n"/>
      <c r="BD76" s="43" t="n"/>
      <c r="BE76" s="43" t="n"/>
      <c r="BF76" s="43" t="n"/>
      <c r="BG76" s="43" t="n"/>
      <c r="BH76" s="43" t="n"/>
    </row>
    <row r="77" ht="15" customHeight="1">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c r="AB77" s="43" t="n"/>
      <c r="AC77" s="43" t="n"/>
      <c r="AD77" s="43" t="n"/>
      <c r="AE77" s="43" t="n"/>
      <c r="AF77" s="43" t="n"/>
      <c r="AG77" s="43" t="n"/>
      <c r="AH77" s="43" t="n"/>
      <c r="AI77" s="43" t="n"/>
      <c r="AJ77" s="43" t="n"/>
      <c r="AK77" s="43" t="n"/>
      <c r="AL77" s="43" t="n"/>
      <c r="AM77" s="43" t="n"/>
      <c r="AN77" s="43" t="n"/>
      <c r="AO77" s="43" t="n"/>
      <c r="AP77" s="43" t="n"/>
      <c r="AQ77" s="43" t="n"/>
      <c r="AR77" s="43" t="n"/>
      <c r="AS77" s="43" t="n"/>
      <c r="AT77" s="43" t="n"/>
      <c r="AU77" s="43" t="n"/>
      <c r="AV77" s="43" t="n"/>
      <c r="AW77" s="43" t="n"/>
      <c r="AX77" s="43" t="n"/>
      <c r="AY77" s="43" t="n"/>
      <c r="AZ77" s="43" t="n"/>
      <c r="BA77" s="43" t="n"/>
      <c r="BB77" s="43" t="n"/>
      <c r="BC77" s="43" t="n"/>
      <c r="BD77" s="43" t="n"/>
      <c r="BE77" s="43" t="n"/>
      <c r="BF77" s="43" t="n"/>
      <c r="BG77" s="43" t="n"/>
      <c r="BH77" s="43" t="n"/>
    </row>
    <row r="78" ht="15" customHeight="1"/>
    <row r="79" ht="15" customHeight="1">
      <c r="B79" s="40" t="inlineStr">
        <is>
          <t>DENETİM BAŞLIĞINA GÖRE İŞ DURUMU</t>
        </is>
      </c>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c r="AA79" s="41" t="n"/>
      <c r="AB79" s="41" t="n"/>
      <c r="AC79" s="41" t="n"/>
      <c r="AD79" s="41" t="n"/>
      <c r="AE79" s="41" t="n"/>
      <c r="AF79" s="41" t="n"/>
      <c r="AG79" s="41" t="n"/>
      <c r="AH79" s="41" t="n"/>
      <c r="AI79" s="41" t="n"/>
      <c r="AJ79" s="41" t="n"/>
      <c r="AK79" s="41" t="n"/>
      <c r="AL79" s="41" t="n"/>
      <c r="AM79" s="41" t="n"/>
      <c r="AN79" s="41" t="n"/>
      <c r="AO79" s="41" t="n"/>
      <c r="AP79" s="41" t="n"/>
      <c r="AQ79" s="41" t="n"/>
      <c r="AR79" s="41" t="n"/>
      <c r="AS79" s="41" t="n"/>
      <c r="AT79" s="41" t="n"/>
      <c r="AU79" s="41" t="n"/>
      <c r="AV79" s="41" t="n"/>
      <c r="AW79" s="41" t="n"/>
      <c r="AX79" s="41" t="n"/>
      <c r="AY79" s="41" t="n"/>
      <c r="AZ79" s="41" t="n"/>
      <c r="BA79" s="41" t="n"/>
      <c r="BB79" s="41" t="n"/>
      <c r="BC79" s="41" t="n"/>
      <c r="BD79" s="41" t="n"/>
      <c r="BE79" s="41" t="n"/>
      <c r="BF79" s="41" t="n"/>
      <c r="BG79" s="41" t="n"/>
      <c r="BH79" s="41" t="n"/>
    </row>
    <row r="80" ht="15" customHeight="1">
      <c r="B80" s="44" t="inlineStr">
        <is>
          <t>Yalnızca İş Planı'nda kullanılan başlıklar listelenir</t>
        </is>
      </c>
    </row>
    <row r="81" ht="15" customHeight="1">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c r="AB81" s="43" t="n"/>
      <c r="AC81" s="43" t="n"/>
      <c r="AD81" s="43" t="n"/>
      <c r="AE81" s="43" t="n"/>
      <c r="AF81" s="43" t="n"/>
      <c r="AG81" s="43" t="n"/>
      <c r="AH81" s="43" t="n"/>
      <c r="AI81" s="43" t="n"/>
      <c r="AJ81" s="43" t="n"/>
      <c r="AK81" s="43" t="n"/>
      <c r="AL81" s="43" t="n"/>
      <c r="AM81" s="43" t="n"/>
      <c r="AN81" s="43" t="n"/>
      <c r="AO81" s="43" t="n"/>
      <c r="AP81" s="43" t="n"/>
      <c r="AQ81" s="43" t="n"/>
      <c r="AR81" s="43" t="n"/>
      <c r="AS81" s="43" t="n"/>
      <c r="AT81" s="43" t="n"/>
      <c r="AU81" s="43" t="n"/>
      <c r="AV81" s="43" t="n"/>
      <c r="AW81" s="43" t="n"/>
      <c r="AX81" s="43" t="n"/>
      <c r="AY81" s="43" t="n"/>
      <c r="AZ81" s="43" t="n"/>
      <c r="BA81" s="43" t="n"/>
      <c r="BB81" s="43" t="n"/>
      <c r="BC81" s="43" t="n"/>
      <c r="BD81" s="43" t="n"/>
      <c r="BE81" s="43" t="n"/>
      <c r="BF81" s="43" t="n"/>
      <c r="BG81" s="43" t="n"/>
      <c r="BH81" s="43" t="n"/>
    </row>
    <row r="82" ht="15" customHeight="1">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c r="AB82" s="43" t="n"/>
      <c r="AC82" s="43" t="n"/>
      <c r="AD82" s="43" t="n"/>
      <c r="AE82" s="43" t="n"/>
      <c r="AF82" s="43" t="n"/>
      <c r="AG82" s="43" t="n"/>
      <c r="AH82" s="43" t="n"/>
      <c r="AI82" s="43" t="n"/>
      <c r="AJ82" s="43" t="n"/>
      <c r="AK82" s="43" t="n"/>
      <c r="AL82" s="43" t="n"/>
      <c r="AM82" s="43" t="n"/>
      <c r="AN82" s="43" t="n"/>
      <c r="AO82" s="43" t="n"/>
      <c r="AP82" s="43" t="n"/>
      <c r="AQ82" s="43" t="n"/>
      <c r="AR82" s="43" t="n"/>
      <c r="AS82" s="43" t="n"/>
      <c r="AT82" s="43" t="n"/>
      <c r="AU82" s="43" t="n"/>
      <c r="AV82" s="43" t="n"/>
      <c r="AW82" s="43" t="n"/>
      <c r="AX82" s="43" t="n"/>
      <c r="AY82" s="43" t="n"/>
      <c r="AZ82" s="43" t="n"/>
      <c r="BA82" s="43" t="n"/>
      <c r="BB82" s="43" t="n"/>
      <c r="BC82" s="43" t="n"/>
      <c r="BD82" s="43" t="n"/>
      <c r="BE82" s="43" t="n"/>
      <c r="BF82" s="43" t="n"/>
      <c r="BG82" s="43" t="n"/>
      <c r="BH82" s="43" t="n"/>
    </row>
    <row r="83" ht="15" customHeight="1">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c r="AB83" s="43" t="n"/>
      <c r="AC83" s="43" t="n"/>
      <c r="AD83" s="43" t="n"/>
      <c r="AE83" s="43" t="n"/>
      <c r="AF83" s="43" t="n"/>
      <c r="AG83" s="43" t="n"/>
      <c r="AH83" s="43" t="n"/>
      <c r="AI83" s="43" t="n"/>
      <c r="AJ83" s="43" t="n"/>
      <c r="AK83" s="43" t="n"/>
      <c r="AL83" s="43" t="n"/>
      <c r="AM83" s="43" t="n"/>
      <c r="AN83" s="43" t="n"/>
      <c r="AO83" s="43" t="n"/>
      <c r="AP83" s="43" t="n"/>
      <c r="AQ83" s="43" t="n"/>
      <c r="AR83" s="43" t="n"/>
      <c r="AS83" s="43" t="n"/>
      <c r="AT83" s="43" t="n"/>
      <c r="AU83" s="43" t="n"/>
      <c r="AV83" s="43" t="n"/>
      <c r="AW83" s="43" t="n"/>
      <c r="AX83" s="43" t="n"/>
      <c r="AY83" s="43" t="n"/>
      <c r="AZ83" s="43" t="n"/>
      <c r="BA83" s="43" t="n"/>
      <c r="BB83" s="43" t="n"/>
      <c r="BC83" s="43" t="n"/>
      <c r="BD83" s="43" t="n"/>
      <c r="BE83" s="43" t="n"/>
      <c r="BF83" s="43" t="n"/>
      <c r="BG83" s="43" t="n"/>
      <c r="BH83" s="43" t="n"/>
    </row>
    <row r="84" ht="15" customHeight="1">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c r="AB84" s="43" t="n"/>
      <c r="AC84" s="43" t="n"/>
      <c r="AD84" s="43" t="n"/>
      <c r="AE84" s="43" t="n"/>
      <c r="AF84" s="43" t="n"/>
      <c r="AG84" s="43" t="n"/>
      <c r="AH84" s="43" t="n"/>
      <c r="AI84" s="43" t="n"/>
      <c r="AJ84" s="43" t="n"/>
      <c r="AK84" s="43" t="n"/>
      <c r="AL84" s="43" t="n"/>
      <c r="AM84" s="43" t="n"/>
      <c r="AN84" s="43" t="n"/>
      <c r="AO84" s="43" t="n"/>
      <c r="AP84" s="43" t="n"/>
      <c r="AQ84" s="43" t="n"/>
      <c r="AR84" s="43" t="n"/>
      <c r="AS84" s="43" t="n"/>
      <c r="AT84" s="43" t="n"/>
      <c r="AU84" s="43" t="n"/>
      <c r="AV84" s="43" t="n"/>
      <c r="AW84" s="43" t="n"/>
      <c r="AX84" s="43" t="n"/>
      <c r="AY84" s="43" t="n"/>
      <c r="AZ84" s="43" t="n"/>
      <c r="BA84" s="43" t="n"/>
      <c r="BB84" s="43" t="n"/>
      <c r="BC84" s="43" t="n"/>
      <c r="BD84" s="43" t="n"/>
      <c r="BE84" s="43" t="n"/>
      <c r="BF84" s="43" t="n"/>
      <c r="BG84" s="43" t="n"/>
      <c r="BH84" s="43" t="n"/>
    </row>
    <row r="85" ht="15" customHeight="1">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c r="AB85" s="43" t="n"/>
      <c r="AC85" s="43" t="n"/>
      <c r="AD85" s="43" t="n"/>
      <c r="AE85" s="43" t="n"/>
      <c r="AF85" s="43" t="n"/>
      <c r="AG85" s="43" t="n"/>
      <c r="AH85" s="43" t="n"/>
      <c r="AI85" s="43" t="n"/>
      <c r="AJ85" s="43" t="n"/>
      <c r="AK85" s="43" t="n"/>
      <c r="AL85" s="43" t="n"/>
      <c r="AM85" s="43" t="n"/>
      <c r="AN85" s="43" t="n"/>
      <c r="AO85" s="43" t="n"/>
      <c r="AP85" s="43" t="n"/>
      <c r="AQ85" s="43" t="n"/>
      <c r="AR85" s="43" t="n"/>
      <c r="AS85" s="43" t="n"/>
      <c r="AT85" s="43" t="n"/>
      <c r="AU85" s="43" t="n"/>
      <c r="AV85" s="43" t="n"/>
      <c r="AW85" s="43" t="n"/>
      <c r="AX85" s="43" t="n"/>
      <c r="AY85" s="43" t="n"/>
      <c r="AZ85" s="43" t="n"/>
      <c r="BA85" s="43" t="n"/>
      <c r="BB85" s="43" t="n"/>
      <c r="BC85" s="43" t="n"/>
      <c r="BD85" s="43" t="n"/>
      <c r="BE85" s="43" t="n"/>
      <c r="BF85" s="43" t="n"/>
      <c r="BG85" s="43" t="n"/>
      <c r="BH85" s="43" t="n"/>
    </row>
    <row r="86" ht="15" customHeight="1">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c r="AB86" s="43" t="n"/>
      <c r="AC86" s="43" t="n"/>
      <c r="AD86" s="43" t="n"/>
      <c r="AE86" s="43" t="n"/>
      <c r="AF86" s="43" t="n"/>
      <c r="AG86" s="43" t="n"/>
      <c r="AH86" s="43" t="n"/>
      <c r="AI86" s="43" t="n"/>
      <c r="AJ86" s="43" t="n"/>
      <c r="AK86" s="43" t="n"/>
      <c r="AL86" s="43" t="n"/>
      <c r="AM86" s="43" t="n"/>
      <c r="AN86" s="43" t="n"/>
      <c r="AO86" s="43" t="n"/>
      <c r="AP86" s="43" t="n"/>
      <c r="AQ86" s="43" t="n"/>
      <c r="AR86" s="43" t="n"/>
      <c r="AS86" s="43" t="n"/>
      <c r="AT86" s="43" t="n"/>
      <c r="AU86" s="43" t="n"/>
      <c r="AV86" s="43" t="n"/>
      <c r="AW86" s="43" t="n"/>
      <c r="AX86" s="43" t="n"/>
      <c r="AY86" s="43" t="n"/>
      <c r="AZ86" s="43" t="n"/>
      <c r="BA86" s="43" t="n"/>
      <c r="BB86" s="43" t="n"/>
      <c r="BC86" s="43" t="n"/>
      <c r="BD86" s="43" t="n"/>
      <c r="BE86" s="43" t="n"/>
      <c r="BF86" s="43" t="n"/>
      <c r="BG86" s="43" t="n"/>
      <c r="BH86" s="43" t="n"/>
    </row>
    <row r="87" ht="15" customHeight="1">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c r="AB87" s="43" t="n"/>
      <c r="AC87" s="43" t="n"/>
      <c r="AD87" s="43" t="n"/>
      <c r="AE87" s="43" t="n"/>
      <c r="AF87" s="43" t="n"/>
      <c r="AG87" s="43" t="n"/>
      <c r="AH87" s="43" t="n"/>
      <c r="AI87" s="43" t="n"/>
      <c r="AJ87" s="43" t="n"/>
      <c r="AK87" s="43" t="n"/>
      <c r="AL87" s="43" t="n"/>
      <c r="AM87" s="43" t="n"/>
      <c r="AN87" s="43" t="n"/>
      <c r="AO87" s="43" t="n"/>
      <c r="AP87" s="43" t="n"/>
      <c r="AQ87" s="43" t="n"/>
      <c r="AR87" s="43" t="n"/>
      <c r="AS87" s="43" t="n"/>
      <c r="AT87" s="43" t="n"/>
      <c r="AU87" s="43" t="n"/>
      <c r="AV87" s="43" t="n"/>
      <c r="AW87" s="43" t="n"/>
      <c r="AX87" s="43" t="n"/>
      <c r="AY87" s="43" t="n"/>
      <c r="AZ87" s="43" t="n"/>
      <c r="BA87" s="43" t="n"/>
      <c r="BB87" s="43" t="n"/>
      <c r="BC87" s="43" t="n"/>
      <c r="BD87" s="43" t="n"/>
      <c r="BE87" s="43" t="n"/>
      <c r="BF87" s="43" t="n"/>
      <c r="BG87" s="43" t="n"/>
      <c r="BH87" s="43" t="n"/>
    </row>
    <row r="88" ht="15" customHeight="1">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c r="AB88" s="43" t="n"/>
      <c r="AC88" s="43" t="n"/>
      <c r="AD88" s="43" t="n"/>
      <c r="AE88" s="43" t="n"/>
      <c r="AF88" s="43" t="n"/>
      <c r="AG88" s="43" t="n"/>
      <c r="AH88" s="43" t="n"/>
      <c r="AI88" s="43" t="n"/>
      <c r="AJ88" s="43" t="n"/>
      <c r="AK88" s="43" t="n"/>
      <c r="AL88" s="43" t="n"/>
      <c r="AM88" s="43" t="n"/>
      <c r="AN88" s="43" t="n"/>
      <c r="AO88" s="43" t="n"/>
      <c r="AP88" s="43" t="n"/>
      <c r="AQ88" s="43" t="n"/>
      <c r="AR88" s="43" t="n"/>
      <c r="AS88" s="43" t="n"/>
      <c r="AT88" s="43" t="n"/>
      <c r="AU88" s="43" t="n"/>
      <c r="AV88" s="43" t="n"/>
      <c r="AW88" s="43" t="n"/>
      <c r="AX88" s="43" t="n"/>
      <c r="AY88" s="43" t="n"/>
      <c r="AZ88" s="43" t="n"/>
      <c r="BA88" s="43" t="n"/>
      <c r="BB88" s="43" t="n"/>
      <c r="BC88" s="43" t="n"/>
      <c r="BD88" s="43" t="n"/>
      <c r="BE88" s="43" t="n"/>
      <c r="BF88" s="43" t="n"/>
      <c r="BG88" s="43" t="n"/>
      <c r="BH88" s="43" t="n"/>
    </row>
    <row r="89" ht="15" customHeight="1">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c r="AB89" s="43" t="n"/>
      <c r="AC89" s="43" t="n"/>
      <c r="AD89" s="43" t="n"/>
      <c r="AE89" s="43" t="n"/>
      <c r="AF89" s="43" t="n"/>
      <c r="AG89" s="43" t="n"/>
      <c r="AH89" s="43" t="n"/>
      <c r="AI89" s="43" t="n"/>
      <c r="AJ89" s="43" t="n"/>
      <c r="AK89" s="43" t="n"/>
      <c r="AL89" s="43" t="n"/>
      <c r="AM89" s="43" t="n"/>
      <c r="AN89" s="43" t="n"/>
      <c r="AO89" s="43" t="n"/>
      <c r="AP89" s="43" t="n"/>
      <c r="AQ89" s="43" t="n"/>
      <c r="AR89" s="43" t="n"/>
      <c r="AS89" s="43" t="n"/>
      <c r="AT89" s="43" t="n"/>
      <c r="AU89" s="43" t="n"/>
      <c r="AV89" s="43" t="n"/>
      <c r="AW89" s="43" t="n"/>
      <c r="AX89" s="43" t="n"/>
      <c r="AY89" s="43" t="n"/>
      <c r="AZ89" s="43" t="n"/>
      <c r="BA89" s="43" t="n"/>
      <c r="BB89" s="43" t="n"/>
      <c r="BC89" s="43" t="n"/>
      <c r="BD89" s="43" t="n"/>
      <c r="BE89" s="43" t="n"/>
      <c r="BF89" s="43" t="n"/>
      <c r="BG89" s="43" t="n"/>
      <c r="BH89" s="43" t="n"/>
    </row>
    <row r="90" ht="15" customHeight="1">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c r="AB90" s="43" t="n"/>
      <c r="AC90" s="43" t="n"/>
      <c r="AD90" s="43" t="n"/>
      <c r="AE90" s="43" t="n"/>
      <c r="AF90" s="43" t="n"/>
      <c r="AG90" s="43" t="n"/>
      <c r="AH90" s="43" t="n"/>
      <c r="AI90" s="43" t="n"/>
      <c r="AJ90" s="43" t="n"/>
      <c r="AK90" s="43" t="n"/>
      <c r="AL90" s="43" t="n"/>
      <c r="AM90" s="43" t="n"/>
      <c r="AN90" s="43" t="n"/>
      <c r="AO90" s="43" t="n"/>
      <c r="AP90" s="43" t="n"/>
      <c r="AQ90" s="43" t="n"/>
      <c r="AR90" s="43" t="n"/>
      <c r="AS90" s="43" t="n"/>
      <c r="AT90" s="43" t="n"/>
      <c r="AU90" s="43" t="n"/>
      <c r="AV90" s="43" t="n"/>
      <c r="AW90" s="43" t="n"/>
      <c r="AX90" s="43" t="n"/>
      <c r="AY90" s="43" t="n"/>
      <c r="AZ90" s="43" t="n"/>
      <c r="BA90" s="43" t="n"/>
      <c r="BB90" s="43" t="n"/>
      <c r="BC90" s="43" t="n"/>
      <c r="BD90" s="43" t="n"/>
      <c r="BE90" s="43" t="n"/>
      <c r="BF90" s="43" t="n"/>
      <c r="BG90" s="43" t="n"/>
      <c r="BH90" s="43" t="n"/>
    </row>
    <row r="91" ht="15" customHeight="1">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c r="AB91" s="43" t="n"/>
      <c r="AC91" s="43" t="n"/>
      <c r="AD91" s="43" t="n"/>
      <c r="AE91" s="43" t="n"/>
      <c r="AF91" s="43" t="n"/>
      <c r="AG91" s="43" t="n"/>
      <c r="AH91" s="43" t="n"/>
      <c r="AI91" s="43" t="n"/>
      <c r="AJ91" s="43" t="n"/>
      <c r="AK91" s="43" t="n"/>
      <c r="AL91" s="43" t="n"/>
      <c r="AM91" s="43" t="n"/>
      <c r="AN91" s="43" t="n"/>
      <c r="AO91" s="43" t="n"/>
      <c r="AP91" s="43" t="n"/>
      <c r="AQ91" s="43" t="n"/>
      <c r="AR91" s="43" t="n"/>
      <c r="AS91" s="43" t="n"/>
      <c r="AT91" s="43" t="n"/>
      <c r="AU91" s="43" t="n"/>
      <c r="AV91" s="43" t="n"/>
      <c r="AW91" s="43" t="n"/>
      <c r="AX91" s="43" t="n"/>
      <c r="AY91" s="43" t="n"/>
      <c r="AZ91" s="43" t="n"/>
      <c r="BA91" s="43" t="n"/>
      <c r="BB91" s="43" t="n"/>
      <c r="BC91" s="43" t="n"/>
      <c r="BD91" s="43" t="n"/>
      <c r="BE91" s="43" t="n"/>
      <c r="BF91" s="43" t="n"/>
      <c r="BG91" s="43" t="n"/>
      <c r="BH91" s="43" t="n"/>
    </row>
    <row r="92" ht="15" customHeight="1">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c r="AB92" s="43" t="n"/>
      <c r="AC92" s="43" t="n"/>
      <c r="AD92" s="43" t="n"/>
      <c r="AE92" s="43" t="n"/>
      <c r="AF92" s="43" t="n"/>
      <c r="AG92" s="43" t="n"/>
      <c r="AH92" s="43" t="n"/>
      <c r="AI92" s="43" t="n"/>
      <c r="AJ92" s="43" t="n"/>
      <c r="AK92" s="43" t="n"/>
      <c r="AL92" s="43" t="n"/>
      <c r="AM92" s="43" t="n"/>
      <c r="AN92" s="43" t="n"/>
      <c r="AO92" s="43" t="n"/>
      <c r="AP92" s="43" t="n"/>
      <c r="AQ92" s="43" t="n"/>
      <c r="AR92" s="43" t="n"/>
      <c r="AS92" s="43" t="n"/>
      <c r="AT92" s="43" t="n"/>
      <c r="AU92" s="43" t="n"/>
      <c r="AV92" s="43" t="n"/>
      <c r="AW92" s="43" t="n"/>
      <c r="AX92" s="43" t="n"/>
      <c r="AY92" s="43" t="n"/>
      <c r="AZ92" s="43" t="n"/>
      <c r="BA92" s="43" t="n"/>
      <c r="BB92" s="43" t="n"/>
      <c r="BC92" s="43" t="n"/>
      <c r="BD92" s="43" t="n"/>
      <c r="BE92" s="43" t="n"/>
      <c r="BF92" s="43" t="n"/>
      <c r="BG92" s="43" t="n"/>
      <c r="BH92" s="43" t="n"/>
    </row>
    <row r="93" ht="15" customHeight="1">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c r="AB93" s="43" t="n"/>
      <c r="AC93" s="43" t="n"/>
      <c r="AD93" s="43" t="n"/>
      <c r="AE93" s="43" t="n"/>
      <c r="AF93" s="43" t="n"/>
      <c r="AG93" s="43" t="n"/>
      <c r="AH93" s="43" t="n"/>
      <c r="AI93" s="43" t="n"/>
      <c r="AJ93" s="43" t="n"/>
      <c r="AK93" s="43" t="n"/>
      <c r="AL93" s="43" t="n"/>
      <c r="AM93" s="43" t="n"/>
      <c r="AN93" s="43" t="n"/>
      <c r="AO93" s="43" t="n"/>
      <c r="AP93" s="43" t="n"/>
      <c r="AQ93" s="43" t="n"/>
      <c r="AR93" s="43" t="n"/>
      <c r="AS93" s="43" t="n"/>
      <c r="AT93" s="43" t="n"/>
      <c r="AU93" s="43" t="n"/>
      <c r="AV93" s="43" t="n"/>
      <c r="AW93" s="43" t="n"/>
      <c r="AX93" s="43" t="n"/>
      <c r="AY93" s="43" t="n"/>
      <c r="AZ93" s="43" t="n"/>
      <c r="BA93" s="43" t="n"/>
      <c r="BB93" s="43" t="n"/>
      <c r="BC93" s="43" t="n"/>
      <c r="BD93" s="43" t="n"/>
      <c r="BE93" s="43" t="n"/>
      <c r="BF93" s="43" t="n"/>
      <c r="BG93" s="43" t="n"/>
      <c r="BH93" s="43" t="n"/>
    </row>
    <row r="94" ht="15" customHeight="1">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c r="AB94" s="43" t="n"/>
      <c r="AC94" s="43" t="n"/>
      <c r="AD94" s="43" t="n"/>
      <c r="AE94" s="43" t="n"/>
      <c r="AF94" s="43" t="n"/>
      <c r="AG94" s="43" t="n"/>
      <c r="AH94" s="43" t="n"/>
      <c r="AI94" s="43" t="n"/>
      <c r="AJ94" s="43" t="n"/>
      <c r="AK94" s="43" t="n"/>
      <c r="AL94" s="43" t="n"/>
      <c r="AM94" s="43" t="n"/>
      <c r="AN94" s="43" t="n"/>
      <c r="AO94" s="43" t="n"/>
      <c r="AP94" s="43" t="n"/>
      <c r="AQ94" s="43" t="n"/>
      <c r="AR94" s="43" t="n"/>
      <c r="AS94" s="43" t="n"/>
      <c r="AT94" s="43" t="n"/>
      <c r="AU94" s="43" t="n"/>
      <c r="AV94" s="43" t="n"/>
      <c r="AW94" s="43" t="n"/>
      <c r="AX94" s="43" t="n"/>
      <c r="AY94" s="43" t="n"/>
      <c r="AZ94" s="43" t="n"/>
      <c r="BA94" s="43" t="n"/>
      <c r="BB94" s="43" t="n"/>
      <c r="BC94" s="43" t="n"/>
      <c r="BD94" s="43" t="n"/>
      <c r="BE94" s="43" t="n"/>
      <c r="BF94" s="43" t="n"/>
      <c r="BG94" s="43" t="n"/>
      <c r="BH94" s="43" t="n"/>
    </row>
    <row r="95" ht="15" customHeight="1">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c r="AB95" s="43" t="n"/>
      <c r="AC95" s="43" t="n"/>
      <c r="AD95" s="43" t="n"/>
      <c r="AE95" s="43" t="n"/>
      <c r="AF95" s="43" t="n"/>
      <c r="AG95" s="43" t="n"/>
      <c r="AH95" s="43" t="n"/>
      <c r="AI95" s="43" t="n"/>
      <c r="AJ95" s="43" t="n"/>
      <c r="AK95" s="43" t="n"/>
      <c r="AL95" s="43" t="n"/>
      <c r="AM95" s="43" t="n"/>
      <c r="AN95" s="43" t="n"/>
      <c r="AO95" s="43" t="n"/>
      <c r="AP95" s="43" t="n"/>
      <c r="AQ95" s="43" t="n"/>
      <c r="AR95" s="43" t="n"/>
      <c r="AS95" s="43" t="n"/>
      <c r="AT95" s="43" t="n"/>
      <c r="AU95" s="43" t="n"/>
      <c r="AV95" s="43" t="n"/>
      <c r="AW95" s="43" t="n"/>
      <c r="AX95" s="43" t="n"/>
      <c r="AY95" s="43" t="n"/>
      <c r="AZ95" s="43" t="n"/>
      <c r="BA95" s="43" t="n"/>
      <c r="BB95" s="43" t="n"/>
      <c r="BC95" s="43" t="n"/>
      <c r="BD95" s="43" t="n"/>
      <c r="BE95" s="43" t="n"/>
      <c r="BF95" s="43" t="n"/>
      <c r="BG95" s="43" t="n"/>
      <c r="BH95" s="43" t="n"/>
    </row>
    <row r="96" ht="15" customHeight="1">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c r="AB96" s="43" t="n"/>
      <c r="AC96" s="43" t="n"/>
      <c r="AD96" s="43" t="n"/>
      <c r="AE96" s="43" t="n"/>
      <c r="AF96" s="43" t="n"/>
      <c r="AG96" s="43" t="n"/>
      <c r="AH96" s="43" t="n"/>
      <c r="AI96" s="43" t="n"/>
      <c r="AJ96" s="43" t="n"/>
      <c r="AK96" s="43" t="n"/>
      <c r="AL96" s="43" t="n"/>
      <c r="AM96" s="43" t="n"/>
      <c r="AN96" s="43" t="n"/>
      <c r="AO96" s="43" t="n"/>
      <c r="AP96" s="43" t="n"/>
      <c r="AQ96" s="43" t="n"/>
      <c r="AR96" s="43" t="n"/>
      <c r="AS96" s="43" t="n"/>
      <c r="AT96" s="43" t="n"/>
      <c r="AU96" s="43" t="n"/>
      <c r="AV96" s="43" t="n"/>
      <c r="AW96" s="43" t="n"/>
      <c r="AX96" s="43" t="n"/>
      <c r="AY96" s="43" t="n"/>
      <c r="AZ96" s="43" t="n"/>
      <c r="BA96" s="43" t="n"/>
      <c r="BB96" s="43" t="n"/>
      <c r="BC96" s="43" t="n"/>
      <c r="BD96" s="43" t="n"/>
      <c r="BE96" s="43" t="n"/>
      <c r="BF96" s="43" t="n"/>
      <c r="BG96" s="43" t="n"/>
      <c r="BH96" s="43" t="n"/>
    </row>
    <row r="97" ht="15" customHeight="1">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c r="AB97" s="43" t="n"/>
      <c r="AC97" s="43" t="n"/>
      <c r="AD97" s="43" t="n"/>
      <c r="AE97" s="43" t="n"/>
      <c r="AF97" s="43" t="n"/>
      <c r="AG97" s="43" t="n"/>
      <c r="AH97" s="43" t="n"/>
      <c r="AI97" s="43" t="n"/>
      <c r="AJ97" s="43" t="n"/>
      <c r="AK97" s="43" t="n"/>
      <c r="AL97" s="43" t="n"/>
      <c r="AM97" s="43" t="n"/>
      <c r="AN97" s="43" t="n"/>
      <c r="AO97" s="43" t="n"/>
      <c r="AP97" s="43" t="n"/>
      <c r="AQ97" s="43" t="n"/>
      <c r="AR97" s="43" t="n"/>
      <c r="AS97" s="43" t="n"/>
      <c r="AT97" s="43" t="n"/>
      <c r="AU97" s="43" t="n"/>
      <c r="AV97" s="43" t="n"/>
      <c r="AW97" s="43" t="n"/>
      <c r="AX97" s="43" t="n"/>
      <c r="AY97" s="43" t="n"/>
      <c r="AZ97" s="43" t="n"/>
      <c r="BA97" s="43" t="n"/>
      <c r="BB97" s="43" t="n"/>
      <c r="BC97" s="43" t="n"/>
      <c r="BD97" s="43" t="n"/>
      <c r="BE97" s="43" t="n"/>
      <c r="BF97" s="43" t="n"/>
      <c r="BG97" s="43" t="n"/>
      <c r="BH97" s="43" t="n"/>
    </row>
    <row r="98" ht="15" customHeight="1">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c r="AB98" s="43" t="n"/>
      <c r="AC98" s="43" t="n"/>
      <c r="AD98" s="43" t="n"/>
      <c r="AE98" s="43" t="n"/>
      <c r="AF98" s="43" t="n"/>
      <c r="AG98" s="43" t="n"/>
      <c r="AH98" s="43" t="n"/>
      <c r="AI98" s="43" t="n"/>
      <c r="AJ98" s="43" t="n"/>
      <c r="AK98" s="43" t="n"/>
      <c r="AL98" s="43" t="n"/>
      <c r="AM98" s="43" t="n"/>
      <c r="AN98" s="43" t="n"/>
      <c r="AO98" s="43" t="n"/>
      <c r="AP98" s="43" t="n"/>
      <c r="AQ98" s="43" t="n"/>
      <c r="AR98" s="43" t="n"/>
      <c r="AS98" s="43" t="n"/>
      <c r="AT98" s="43" t="n"/>
      <c r="AU98" s="43" t="n"/>
      <c r="AV98" s="43" t="n"/>
      <c r="AW98" s="43" t="n"/>
      <c r="AX98" s="43" t="n"/>
      <c r="AY98" s="43" t="n"/>
      <c r="AZ98" s="43" t="n"/>
      <c r="BA98" s="43" t="n"/>
      <c r="BB98" s="43" t="n"/>
      <c r="BC98" s="43" t="n"/>
      <c r="BD98" s="43" t="n"/>
      <c r="BE98" s="43" t="n"/>
      <c r="BF98" s="43" t="n"/>
      <c r="BG98" s="43" t="n"/>
      <c r="BH98" s="43" t="n"/>
    </row>
    <row r="99" ht="15" customHeight="1">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c r="AB99" s="43" t="n"/>
      <c r="AC99" s="43" t="n"/>
      <c r="AD99" s="43" t="n"/>
      <c r="AE99" s="43" t="n"/>
      <c r="AF99" s="43" t="n"/>
      <c r="AG99" s="43" t="n"/>
      <c r="AH99" s="43" t="n"/>
      <c r="AI99" s="43" t="n"/>
      <c r="AJ99" s="43" t="n"/>
      <c r="AK99" s="43" t="n"/>
      <c r="AL99" s="43" t="n"/>
      <c r="AM99" s="43" t="n"/>
      <c r="AN99" s="43" t="n"/>
      <c r="AO99" s="43" t="n"/>
      <c r="AP99" s="43" t="n"/>
      <c r="AQ99" s="43" t="n"/>
      <c r="AR99" s="43" t="n"/>
      <c r="AS99" s="43" t="n"/>
      <c r="AT99" s="43" t="n"/>
      <c r="AU99" s="43" t="n"/>
      <c r="AV99" s="43" t="n"/>
      <c r="AW99" s="43" t="n"/>
      <c r="AX99" s="43" t="n"/>
      <c r="AY99" s="43" t="n"/>
      <c r="AZ99" s="43" t="n"/>
      <c r="BA99" s="43" t="n"/>
      <c r="BB99" s="43" t="n"/>
      <c r="BC99" s="43" t="n"/>
      <c r="BD99" s="43" t="n"/>
      <c r="BE99" s="43" t="n"/>
      <c r="BF99" s="43" t="n"/>
      <c r="BG99" s="43" t="n"/>
      <c r="BH99" s="43" t="n"/>
    </row>
    <row r="100" ht="15" customHeight="1">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c r="AB100" s="43" t="n"/>
      <c r="AC100" s="43" t="n"/>
      <c r="AD100" s="43" t="n"/>
      <c r="AE100" s="43" t="n"/>
      <c r="AF100" s="43" t="n"/>
      <c r="AG100" s="43" t="n"/>
      <c r="AH100" s="43" t="n"/>
      <c r="AI100" s="43" t="n"/>
      <c r="AJ100" s="43" t="n"/>
      <c r="AK100" s="43" t="n"/>
      <c r="AL100" s="43" t="n"/>
      <c r="AM100" s="43" t="n"/>
      <c r="AN100" s="43" t="n"/>
      <c r="AO100" s="43" t="n"/>
      <c r="AP100" s="43" t="n"/>
      <c r="AQ100" s="43" t="n"/>
      <c r="AR100" s="43" t="n"/>
      <c r="AS100" s="43" t="n"/>
      <c r="AT100" s="43" t="n"/>
      <c r="AU100" s="43" t="n"/>
      <c r="AV100" s="43" t="n"/>
      <c r="AW100" s="43" t="n"/>
      <c r="AX100" s="43" t="n"/>
      <c r="AY100" s="43" t="n"/>
      <c r="AZ100" s="43" t="n"/>
      <c r="BA100" s="43" t="n"/>
      <c r="BB100" s="43" t="n"/>
      <c r="BC100" s="43" t="n"/>
      <c r="BD100" s="43" t="n"/>
      <c r="BE100" s="43" t="n"/>
      <c r="BF100" s="43" t="n"/>
      <c r="BG100" s="43" t="n"/>
      <c r="BH100" s="43" t="n"/>
    </row>
    <row r="101" ht="15" customHeight="1">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c r="AB101" s="43" t="n"/>
      <c r="AC101" s="43" t="n"/>
      <c r="AD101" s="43" t="n"/>
      <c r="AE101" s="43" t="n"/>
      <c r="AF101" s="43" t="n"/>
      <c r="AG101" s="43" t="n"/>
      <c r="AH101" s="43" t="n"/>
      <c r="AI101" s="43" t="n"/>
      <c r="AJ101" s="43" t="n"/>
      <c r="AK101" s="43" t="n"/>
      <c r="AL101" s="43" t="n"/>
      <c r="AM101" s="43" t="n"/>
      <c r="AN101" s="43" t="n"/>
      <c r="AO101" s="43" t="n"/>
      <c r="AP101" s="43" t="n"/>
      <c r="AQ101" s="43" t="n"/>
      <c r="AR101" s="43" t="n"/>
      <c r="AS101" s="43" t="n"/>
      <c r="AT101" s="43" t="n"/>
      <c r="AU101" s="43" t="n"/>
      <c r="AV101" s="43" t="n"/>
      <c r="AW101" s="43" t="n"/>
      <c r="AX101" s="43" t="n"/>
      <c r="AY101" s="43" t="n"/>
      <c r="AZ101" s="43" t="n"/>
      <c r="BA101" s="43" t="n"/>
      <c r="BB101" s="43" t="n"/>
      <c r="BC101" s="43" t="n"/>
      <c r="BD101" s="43" t="n"/>
      <c r="BE101" s="43" t="n"/>
      <c r="BF101" s="43" t="n"/>
      <c r="BG101" s="43" t="n"/>
      <c r="BH101" s="43" t="n"/>
    </row>
    <row r="102" ht="15" customHeight="1">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c r="AB102" s="43" t="n"/>
      <c r="AC102" s="43" t="n"/>
      <c r="AD102" s="43" t="n"/>
      <c r="AE102" s="43" t="n"/>
      <c r="AF102" s="43" t="n"/>
      <c r="AG102" s="43" t="n"/>
      <c r="AH102" s="43" t="n"/>
      <c r="AI102" s="43" t="n"/>
      <c r="AJ102" s="43" t="n"/>
      <c r="AK102" s="43" t="n"/>
      <c r="AL102" s="43" t="n"/>
      <c r="AM102" s="43" t="n"/>
      <c r="AN102" s="43" t="n"/>
      <c r="AO102" s="43" t="n"/>
      <c r="AP102" s="43" t="n"/>
      <c r="AQ102" s="43" t="n"/>
      <c r="AR102" s="43" t="n"/>
      <c r="AS102" s="43" t="n"/>
      <c r="AT102" s="43" t="n"/>
      <c r="AU102" s="43" t="n"/>
      <c r="AV102" s="43" t="n"/>
      <c r="AW102" s="43" t="n"/>
      <c r="AX102" s="43" t="n"/>
      <c r="AY102" s="43" t="n"/>
      <c r="AZ102" s="43" t="n"/>
      <c r="BA102" s="43" t="n"/>
      <c r="BB102" s="43" t="n"/>
      <c r="BC102" s="43" t="n"/>
      <c r="BD102" s="43" t="n"/>
      <c r="BE102" s="43" t="n"/>
      <c r="BF102" s="43" t="n"/>
      <c r="BG102" s="43" t="n"/>
      <c r="BH102" s="43" t="n"/>
    </row>
    <row r="103" ht="15" customHeight="1">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c r="AB103" s="43" t="n"/>
      <c r="AC103" s="43" t="n"/>
      <c r="AD103" s="43" t="n"/>
      <c r="AE103" s="43" t="n"/>
      <c r="AF103" s="43" t="n"/>
      <c r="AG103" s="43" t="n"/>
      <c r="AH103" s="43" t="n"/>
      <c r="AI103" s="43" t="n"/>
      <c r="AJ103" s="43" t="n"/>
      <c r="AK103" s="43" t="n"/>
      <c r="AL103" s="43" t="n"/>
      <c r="AM103" s="43" t="n"/>
      <c r="AN103" s="43" t="n"/>
      <c r="AO103" s="43" t="n"/>
      <c r="AP103" s="43" t="n"/>
      <c r="AQ103" s="43" t="n"/>
      <c r="AR103" s="43" t="n"/>
      <c r="AS103" s="43" t="n"/>
      <c r="AT103" s="43" t="n"/>
      <c r="AU103" s="43" t="n"/>
      <c r="AV103" s="43" t="n"/>
      <c r="AW103" s="43" t="n"/>
      <c r="AX103" s="43" t="n"/>
      <c r="AY103" s="43" t="n"/>
      <c r="AZ103" s="43" t="n"/>
      <c r="BA103" s="43" t="n"/>
      <c r="BB103" s="43" t="n"/>
      <c r="BC103" s="43" t="n"/>
      <c r="BD103" s="43" t="n"/>
      <c r="BE103" s="43" t="n"/>
      <c r="BF103" s="43" t="n"/>
      <c r="BG103" s="43" t="n"/>
      <c r="BH103" s="43" t="n"/>
    </row>
    <row r="104" ht="15" customHeight="1"/>
    <row r="105" ht="15" customHeight="1">
      <c r="B105" s="40" t="inlineStr">
        <is>
          <t>KİŞİ BAZLI İŞ YÜKÜ</t>
        </is>
      </c>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c r="AA105" s="41" t="n"/>
      <c r="AB105" s="41" t="n"/>
      <c r="AC105" s="41" t="n"/>
      <c r="AD105" s="41" t="n"/>
      <c r="AE105" s="41" t="n"/>
      <c r="AF105" s="41" t="n"/>
      <c r="AG105" s="41" t="n"/>
      <c r="AH105" s="41" t="n"/>
      <c r="AI105" s="41" t="n"/>
      <c r="AJ105" s="41" t="n"/>
      <c r="AK105" s="41" t="n"/>
      <c r="AL105" s="41" t="n"/>
      <c r="AM105" s="41" t="n"/>
      <c r="AN105" s="41" t="n"/>
      <c r="AO105" s="41" t="n"/>
      <c r="AP105" s="41" t="n"/>
      <c r="AQ105" s="41" t="n"/>
      <c r="AR105" s="41" t="n"/>
      <c r="AS105" s="41" t="n"/>
      <c r="AT105" s="41" t="n"/>
      <c r="AU105" s="41" t="n"/>
      <c r="AV105" s="41" t="n"/>
      <c r="AW105" s="41" t="n"/>
      <c r="AX105" s="41" t="n"/>
      <c r="AY105" s="41" t="n"/>
      <c r="AZ105" s="41" t="n"/>
      <c r="BA105" s="41" t="n"/>
      <c r="BB105" s="41" t="n"/>
      <c r="BC105" s="41" t="n"/>
      <c r="BD105" s="41" t="n"/>
      <c r="BE105" s="41" t="n"/>
      <c r="BF105" s="41" t="n"/>
      <c r="BG105" s="41" t="n"/>
      <c r="BH105" s="41" t="n"/>
    </row>
    <row r="106" ht="15" customHeight="1">
      <c r="B106" s="44" t="inlineStr">
        <is>
          <t>Sorumlu 1-4 sütunlarının tamamı sayılır; tamamlanan işler hariçtir</t>
        </is>
      </c>
    </row>
    <row r="107" ht="15" customHeight="1">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c r="AB107" s="43" t="n"/>
      <c r="AC107" s="43" t="n"/>
      <c r="AD107" s="43" t="n"/>
      <c r="AE107" s="43" t="n"/>
      <c r="AF107" s="43" t="n"/>
      <c r="AG107" s="43" t="n"/>
      <c r="AH107" s="43" t="n"/>
      <c r="AI107" s="43" t="n"/>
      <c r="AJ107" s="43" t="n"/>
      <c r="AK107" s="43" t="n"/>
      <c r="AL107" s="43" t="n"/>
      <c r="AM107" s="43" t="n"/>
      <c r="AN107" s="43" t="n"/>
      <c r="AO107" s="43" t="n"/>
      <c r="AP107" s="43" t="n"/>
      <c r="AQ107" s="43" t="n"/>
      <c r="AR107" s="43" t="n"/>
      <c r="AS107" s="43" t="n"/>
      <c r="AT107" s="43" t="n"/>
      <c r="AU107" s="43" t="n"/>
      <c r="AV107" s="43" t="n"/>
      <c r="AW107" s="43" t="n"/>
      <c r="AX107" s="43" t="n"/>
      <c r="AY107" s="43" t="n"/>
      <c r="AZ107" s="43" t="n"/>
      <c r="BA107" s="43" t="n"/>
      <c r="BB107" s="43" t="n"/>
      <c r="BC107" s="43" t="n"/>
      <c r="BD107" s="43" t="n"/>
      <c r="BE107" s="43" t="n"/>
      <c r="BF107" s="43" t="n"/>
      <c r="BG107" s="43" t="n"/>
      <c r="BH107" s="43" t="n"/>
    </row>
    <row r="108" ht="15" customHeight="1">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c r="AB108" s="43" t="n"/>
      <c r="AC108" s="43" t="n"/>
      <c r="AD108" s="43" t="n"/>
      <c r="AE108" s="43" t="n"/>
      <c r="AF108" s="43" t="n"/>
      <c r="AG108" s="43" t="n"/>
      <c r="AH108" s="43" t="n"/>
      <c r="AI108" s="43" t="n"/>
      <c r="AJ108" s="43" t="n"/>
      <c r="AK108" s="43" t="n"/>
      <c r="AL108" s="43" t="n"/>
      <c r="AM108" s="43" t="n"/>
      <c r="AN108" s="43" t="n"/>
      <c r="AO108" s="43" t="n"/>
      <c r="AP108" s="43" t="n"/>
      <c r="AQ108" s="43" t="n"/>
      <c r="AR108" s="43" t="n"/>
      <c r="AS108" s="43" t="n"/>
      <c r="AT108" s="43" t="n"/>
      <c r="AU108" s="43" t="n"/>
      <c r="AV108" s="43" t="n"/>
      <c r="AW108" s="43" t="n"/>
      <c r="AX108" s="43" t="n"/>
      <c r="AY108" s="43" t="n"/>
      <c r="AZ108" s="43" t="n"/>
      <c r="BA108" s="43" t="n"/>
      <c r="BB108" s="43" t="n"/>
      <c r="BC108" s="43" t="n"/>
      <c r="BD108" s="43" t="n"/>
      <c r="BE108" s="43" t="n"/>
      <c r="BF108" s="43" t="n"/>
      <c r="BG108" s="43" t="n"/>
      <c r="BH108" s="43" t="n"/>
    </row>
    <row r="109" ht="15" customHeight="1">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c r="AB109" s="43" t="n"/>
      <c r="AC109" s="43" t="n"/>
      <c r="AD109" s="43" t="n"/>
      <c r="AE109" s="43" t="n"/>
      <c r="AF109" s="43" t="n"/>
      <c r="AG109" s="43" t="n"/>
      <c r="AH109" s="43" t="n"/>
      <c r="AI109" s="43" t="n"/>
      <c r="AJ109" s="43" t="n"/>
      <c r="AK109" s="43" t="n"/>
      <c r="AL109" s="43" t="n"/>
      <c r="AM109" s="43" t="n"/>
      <c r="AN109" s="43" t="n"/>
      <c r="AO109" s="43" t="n"/>
      <c r="AP109" s="43" t="n"/>
      <c r="AQ109" s="43" t="n"/>
      <c r="AR109" s="43" t="n"/>
      <c r="AS109" s="43" t="n"/>
      <c r="AT109" s="43" t="n"/>
      <c r="AU109" s="43" t="n"/>
      <c r="AV109" s="43" t="n"/>
      <c r="AW109" s="43" t="n"/>
      <c r="AX109" s="43" t="n"/>
      <c r="AY109" s="43" t="n"/>
      <c r="AZ109" s="43" t="n"/>
      <c r="BA109" s="43" t="n"/>
      <c r="BB109" s="43" t="n"/>
      <c r="BC109" s="43" t="n"/>
      <c r="BD109" s="43" t="n"/>
      <c r="BE109" s="43" t="n"/>
      <c r="BF109" s="43" t="n"/>
      <c r="BG109" s="43" t="n"/>
      <c r="BH109" s="43" t="n"/>
    </row>
    <row r="110" ht="15" customHeight="1">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c r="AB110" s="43" t="n"/>
      <c r="AC110" s="43" t="n"/>
      <c r="AD110" s="43" t="n"/>
      <c r="AE110" s="43" t="n"/>
      <c r="AF110" s="43" t="n"/>
      <c r="AG110" s="43" t="n"/>
      <c r="AH110" s="43" t="n"/>
      <c r="AI110" s="43" t="n"/>
      <c r="AJ110" s="43" t="n"/>
      <c r="AK110" s="43" t="n"/>
      <c r="AL110" s="43" t="n"/>
      <c r="AM110" s="43" t="n"/>
      <c r="AN110" s="43" t="n"/>
      <c r="AO110" s="43" t="n"/>
      <c r="AP110" s="43" t="n"/>
      <c r="AQ110" s="43" t="n"/>
      <c r="AR110" s="43" t="n"/>
      <c r="AS110" s="43" t="n"/>
      <c r="AT110" s="43" t="n"/>
      <c r="AU110" s="43" t="n"/>
      <c r="AV110" s="43" t="n"/>
      <c r="AW110" s="43" t="n"/>
      <c r="AX110" s="43" t="n"/>
      <c r="AY110" s="43" t="n"/>
      <c r="AZ110" s="43" t="n"/>
      <c r="BA110" s="43" t="n"/>
      <c r="BB110" s="43" t="n"/>
      <c r="BC110" s="43" t="n"/>
      <c r="BD110" s="43" t="n"/>
      <c r="BE110" s="43" t="n"/>
      <c r="BF110" s="43" t="n"/>
      <c r="BG110" s="43" t="n"/>
      <c r="BH110" s="43" t="n"/>
    </row>
    <row r="111" ht="15" customHeight="1">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c r="AB111" s="43" t="n"/>
      <c r="AC111" s="43" t="n"/>
      <c r="AD111" s="43" t="n"/>
      <c r="AE111" s="43" t="n"/>
      <c r="AF111" s="43" t="n"/>
      <c r="AG111" s="43" t="n"/>
      <c r="AH111" s="43" t="n"/>
      <c r="AI111" s="43" t="n"/>
      <c r="AJ111" s="43" t="n"/>
      <c r="AK111" s="43" t="n"/>
      <c r="AL111" s="43" t="n"/>
      <c r="AM111" s="43" t="n"/>
      <c r="AN111" s="43" t="n"/>
      <c r="AO111" s="43" t="n"/>
      <c r="AP111" s="43" t="n"/>
      <c r="AQ111" s="43" t="n"/>
      <c r="AR111" s="43" t="n"/>
      <c r="AS111" s="43" t="n"/>
      <c r="AT111" s="43" t="n"/>
      <c r="AU111" s="43" t="n"/>
      <c r="AV111" s="43" t="n"/>
      <c r="AW111" s="43" t="n"/>
      <c r="AX111" s="43" t="n"/>
      <c r="AY111" s="43" t="n"/>
      <c r="AZ111" s="43" t="n"/>
      <c r="BA111" s="43" t="n"/>
      <c r="BB111" s="43" t="n"/>
      <c r="BC111" s="43" t="n"/>
      <c r="BD111" s="43" t="n"/>
      <c r="BE111" s="43" t="n"/>
      <c r="BF111" s="43" t="n"/>
      <c r="BG111" s="43" t="n"/>
      <c r="BH111" s="43" t="n"/>
    </row>
    <row r="112" ht="15" customHeight="1">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c r="AB112" s="43" t="n"/>
      <c r="AC112" s="43" t="n"/>
      <c r="AD112" s="43" t="n"/>
      <c r="AE112" s="43" t="n"/>
      <c r="AF112" s="43" t="n"/>
      <c r="AG112" s="43" t="n"/>
      <c r="AH112" s="43" t="n"/>
      <c r="AI112" s="43" t="n"/>
      <c r="AJ112" s="43" t="n"/>
      <c r="AK112" s="43" t="n"/>
      <c r="AL112" s="43" t="n"/>
      <c r="AM112" s="43" t="n"/>
      <c r="AN112" s="43" t="n"/>
      <c r="AO112" s="43" t="n"/>
      <c r="AP112" s="43" t="n"/>
      <c r="AQ112" s="43" t="n"/>
      <c r="AR112" s="43" t="n"/>
      <c r="AS112" s="43" t="n"/>
      <c r="AT112" s="43" t="n"/>
      <c r="AU112" s="43" t="n"/>
      <c r="AV112" s="43" t="n"/>
      <c r="AW112" s="43" t="n"/>
      <c r="AX112" s="43" t="n"/>
      <c r="AY112" s="43" t="n"/>
      <c r="AZ112" s="43" t="n"/>
      <c r="BA112" s="43" t="n"/>
      <c r="BB112" s="43" t="n"/>
      <c r="BC112" s="43" t="n"/>
      <c r="BD112" s="43" t="n"/>
      <c r="BE112" s="43" t="n"/>
      <c r="BF112" s="43" t="n"/>
      <c r="BG112" s="43" t="n"/>
      <c r="BH112" s="43" t="n"/>
    </row>
    <row r="113" ht="15" customHeight="1">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c r="AB113" s="43" t="n"/>
      <c r="AC113" s="43" t="n"/>
      <c r="AD113" s="43" t="n"/>
      <c r="AE113" s="43" t="n"/>
      <c r="AF113" s="43" t="n"/>
      <c r="AG113" s="43" t="n"/>
      <c r="AH113" s="43" t="n"/>
      <c r="AI113" s="43" t="n"/>
      <c r="AJ113" s="43" t="n"/>
      <c r="AK113" s="43" t="n"/>
      <c r="AL113" s="43" t="n"/>
      <c r="AM113" s="43" t="n"/>
      <c r="AN113" s="43" t="n"/>
      <c r="AO113" s="43" t="n"/>
      <c r="AP113" s="43" t="n"/>
      <c r="AQ113" s="43" t="n"/>
      <c r="AR113" s="43" t="n"/>
      <c r="AS113" s="43" t="n"/>
      <c r="AT113" s="43" t="n"/>
      <c r="AU113" s="43" t="n"/>
      <c r="AV113" s="43" t="n"/>
      <c r="AW113" s="43" t="n"/>
      <c r="AX113" s="43" t="n"/>
      <c r="AY113" s="43" t="n"/>
      <c r="AZ113" s="43" t="n"/>
      <c r="BA113" s="43" t="n"/>
      <c r="BB113" s="43" t="n"/>
      <c r="BC113" s="43" t="n"/>
      <c r="BD113" s="43" t="n"/>
      <c r="BE113" s="43" t="n"/>
      <c r="BF113" s="43" t="n"/>
      <c r="BG113" s="43" t="n"/>
      <c r="BH113" s="43" t="n"/>
    </row>
    <row r="114" ht="15" customHeight="1">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c r="AB114" s="43" t="n"/>
      <c r="AC114" s="43" t="n"/>
      <c r="AD114" s="43" t="n"/>
      <c r="AE114" s="43" t="n"/>
      <c r="AF114" s="43" t="n"/>
      <c r="AG114" s="43" t="n"/>
      <c r="AH114" s="43" t="n"/>
      <c r="AI114" s="43" t="n"/>
      <c r="AJ114" s="43" t="n"/>
      <c r="AK114" s="43" t="n"/>
      <c r="AL114" s="43" t="n"/>
      <c r="AM114" s="43" t="n"/>
      <c r="AN114" s="43" t="n"/>
      <c r="AO114" s="43" t="n"/>
      <c r="AP114" s="43" t="n"/>
      <c r="AQ114" s="43" t="n"/>
      <c r="AR114" s="43" t="n"/>
      <c r="AS114" s="43" t="n"/>
      <c r="AT114" s="43" t="n"/>
      <c r="AU114" s="43" t="n"/>
      <c r="AV114" s="43" t="n"/>
      <c r="AW114" s="43" t="n"/>
      <c r="AX114" s="43" t="n"/>
      <c r="AY114" s="43" t="n"/>
      <c r="AZ114" s="43" t="n"/>
      <c r="BA114" s="43" t="n"/>
      <c r="BB114" s="43" t="n"/>
      <c r="BC114" s="43" t="n"/>
      <c r="BD114" s="43" t="n"/>
      <c r="BE114" s="43" t="n"/>
      <c r="BF114" s="43" t="n"/>
      <c r="BG114" s="43" t="n"/>
      <c r="BH114" s="43" t="n"/>
    </row>
    <row r="115" ht="15" customHeight="1">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c r="AB115" s="43" t="n"/>
      <c r="AC115" s="43" t="n"/>
      <c r="AD115" s="43" t="n"/>
      <c r="AE115" s="43" t="n"/>
      <c r="AF115" s="43" t="n"/>
      <c r="AG115" s="43" t="n"/>
      <c r="AH115" s="43" t="n"/>
      <c r="AI115" s="43" t="n"/>
      <c r="AJ115" s="43" t="n"/>
      <c r="AK115" s="43" t="n"/>
      <c r="AL115" s="43" t="n"/>
      <c r="AM115" s="43" t="n"/>
      <c r="AN115" s="43" t="n"/>
      <c r="AO115" s="43" t="n"/>
      <c r="AP115" s="43" t="n"/>
      <c r="AQ115" s="43" t="n"/>
      <c r="AR115" s="43" t="n"/>
      <c r="AS115" s="43" t="n"/>
      <c r="AT115" s="43" t="n"/>
      <c r="AU115" s="43" t="n"/>
      <c r="AV115" s="43" t="n"/>
      <c r="AW115" s="43" t="n"/>
      <c r="AX115" s="43" t="n"/>
      <c r="AY115" s="43" t="n"/>
      <c r="AZ115" s="43" t="n"/>
      <c r="BA115" s="43" t="n"/>
      <c r="BB115" s="43" t="n"/>
      <c r="BC115" s="43" t="n"/>
      <c r="BD115" s="43" t="n"/>
      <c r="BE115" s="43" t="n"/>
      <c r="BF115" s="43" t="n"/>
      <c r="BG115" s="43" t="n"/>
      <c r="BH115" s="43" t="n"/>
    </row>
    <row r="116" ht="15" customHeight="1">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c r="AB116" s="43" t="n"/>
      <c r="AC116" s="43" t="n"/>
      <c r="AD116" s="43" t="n"/>
      <c r="AE116" s="43" t="n"/>
      <c r="AF116" s="43" t="n"/>
      <c r="AG116" s="43" t="n"/>
      <c r="AH116" s="43" t="n"/>
      <c r="AI116" s="43" t="n"/>
      <c r="AJ116" s="43" t="n"/>
      <c r="AK116" s="43" t="n"/>
      <c r="AL116" s="43" t="n"/>
      <c r="AM116" s="43" t="n"/>
      <c r="AN116" s="43" t="n"/>
      <c r="AO116" s="43" t="n"/>
      <c r="AP116" s="43" t="n"/>
      <c r="AQ116" s="43" t="n"/>
      <c r="AR116" s="43" t="n"/>
      <c r="AS116" s="43" t="n"/>
      <c r="AT116" s="43" t="n"/>
      <c r="AU116" s="43" t="n"/>
      <c r="AV116" s="43" t="n"/>
      <c r="AW116" s="43" t="n"/>
      <c r="AX116" s="43" t="n"/>
      <c r="AY116" s="43" t="n"/>
      <c r="AZ116" s="43" t="n"/>
      <c r="BA116" s="43" t="n"/>
      <c r="BB116" s="43" t="n"/>
      <c r="BC116" s="43" t="n"/>
      <c r="BD116" s="43" t="n"/>
      <c r="BE116" s="43" t="n"/>
      <c r="BF116" s="43" t="n"/>
      <c r="BG116" s="43" t="n"/>
      <c r="BH116" s="43" t="n"/>
    </row>
    <row r="117" ht="15" customHeight="1">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c r="AB117" s="43" t="n"/>
      <c r="AC117" s="43" t="n"/>
      <c r="AD117" s="43" t="n"/>
      <c r="AE117" s="43" t="n"/>
      <c r="AF117" s="43" t="n"/>
      <c r="AG117" s="43" t="n"/>
      <c r="AH117" s="43" t="n"/>
      <c r="AI117" s="43" t="n"/>
      <c r="AJ117" s="43" t="n"/>
      <c r="AK117" s="43" t="n"/>
      <c r="AL117" s="43" t="n"/>
      <c r="AM117" s="43" t="n"/>
      <c r="AN117" s="43" t="n"/>
      <c r="AO117" s="43" t="n"/>
      <c r="AP117" s="43" t="n"/>
      <c r="AQ117" s="43" t="n"/>
      <c r="AR117" s="43" t="n"/>
      <c r="AS117" s="43" t="n"/>
      <c r="AT117" s="43" t="n"/>
      <c r="AU117" s="43" t="n"/>
      <c r="AV117" s="43" t="n"/>
      <c r="AW117" s="43" t="n"/>
      <c r="AX117" s="43" t="n"/>
      <c r="AY117" s="43" t="n"/>
      <c r="AZ117" s="43" t="n"/>
      <c r="BA117" s="43" t="n"/>
      <c r="BB117" s="43" t="n"/>
      <c r="BC117" s="43" t="n"/>
      <c r="BD117" s="43" t="n"/>
      <c r="BE117" s="43" t="n"/>
      <c r="BF117" s="43" t="n"/>
      <c r="BG117" s="43" t="n"/>
      <c r="BH117" s="43" t="n"/>
    </row>
    <row r="118" ht="15" customHeight="1">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c r="AB118" s="43" t="n"/>
      <c r="AC118" s="43" t="n"/>
      <c r="AD118" s="43" t="n"/>
      <c r="AE118" s="43" t="n"/>
      <c r="AF118" s="43" t="n"/>
      <c r="AG118" s="43" t="n"/>
      <c r="AH118" s="43" t="n"/>
      <c r="AI118" s="43" t="n"/>
      <c r="AJ118" s="43" t="n"/>
      <c r="AK118" s="43" t="n"/>
      <c r="AL118" s="43" t="n"/>
      <c r="AM118" s="43" t="n"/>
      <c r="AN118" s="43" t="n"/>
      <c r="AO118" s="43" t="n"/>
      <c r="AP118" s="43" t="n"/>
      <c r="AQ118" s="43" t="n"/>
      <c r="AR118" s="43" t="n"/>
      <c r="AS118" s="43" t="n"/>
      <c r="AT118" s="43" t="n"/>
      <c r="AU118" s="43" t="n"/>
      <c r="AV118" s="43" t="n"/>
      <c r="AW118" s="43" t="n"/>
      <c r="AX118" s="43" t="n"/>
      <c r="AY118" s="43" t="n"/>
      <c r="AZ118" s="43" t="n"/>
      <c r="BA118" s="43" t="n"/>
      <c r="BB118" s="43" t="n"/>
      <c r="BC118" s="43" t="n"/>
      <c r="BD118" s="43" t="n"/>
      <c r="BE118" s="43" t="n"/>
      <c r="BF118" s="43" t="n"/>
      <c r="BG118" s="43" t="n"/>
      <c r="BH118" s="43" t="n"/>
    </row>
    <row r="119" ht="15" customHeight="1">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c r="AB119" s="43" t="n"/>
      <c r="AC119" s="43" t="n"/>
      <c r="AD119" s="43" t="n"/>
      <c r="AE119" s="43" t="n"/>
      <c r="AF119" s="43" t="n"/>
      <c r="AG119" s="43" t="n"/>
      <c r="AH119" s="43" t="n"/>
      <c r="AI119" s="43" t="n"/>
      <c r="AJ119" s="43" t="n"/>
      <c r="AK119" s="43" t="n"/>
      <c r="AL119" s="43" t="n"/>
      <c r="AM119" s="43" t="n"/>
      <c r="AN119" s="43" t="n"/>
      <c r="AO119" s="43" t="n"/>
      <c r="AP119" s="43" t="n"/>
      <c r="AQ119" s="43" t="n"/>
      <c r="AR119" s="43" t="n"/>
      <c r="AS119" s="43" t="n"/>
      <c r="AT119" s="43" t="n"/>
      <c r="AU119" s="43" t="n"/>
      <c r="AV119" s="43" t="n"/>
      <c r="AW119" s="43" t="n"/>
      <c r="AX119" s="43" t="n"/>
      <c r="AY119" s="43" t="n"/>
      <c r="AZ119" s="43" t="n"/>
      <c r="BA119" s="43" t="n"/>
      <c r="BB119" s="43" t="n"/>
      <c r="BC119" s="43" t="n"/>
      <c r="BD119" s="43" t="n"/>
      <c r="BE119" s="43" t="n"/>
      <c r="BF119" s="43" t="n"/>
      <c r="BG119" s="43" t="n"/>
      <c r="BH119" s="43" t="n"/>
    </row>
    <row r="120" ht="15" customHeight="1">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c r="AB120" s="43" t="n"/>
      <c r="AC120" s="43" t="n"/>
      <c r="AD120" s="43" t="n"/>
      <c r="AE120" s="43" t="n"/>
      <c r="AF120" s="43" t="n"/>
      <c r="AG120" s="43" t="n"/>
      <c r="AH120" s="43" t="n"/>
      <c r="AI120" s="43" t="n"/>
      <c r="AJ120" s="43" t="n"/>
      <c r="AK120" s="43" t="n"/>
      <c r="AL120" s="43" t="n"/>
      <c r="AM120" s="43" t="n"/>
      <c r="AN120" s="43" t="n"/>
      <c r="AO120" s="43" t="n"/>
      <c r="AP120" s="43" t="n"/>
      <c r="AQ120" s="43" t="n"/>
      <c r="AR120" s="43" t="n"/>
      <c r="AS120" s="43" t="n"/>
      <c r="AT120" s="43" t="n"/>
      <c r="AU120" s="43" t="n"/>
      <c r="AV120" s="43" t="n"/>
      <c r="AW120" s="43" t="n"/>
      <c r="AX120" s="43" t="n"/>
      <c r="AY120" s="43" t="n"/>
      <c r="AZ120" s="43" t="n"/>
      <c r="BA120" s="43" t="n"/>
      <c r="BB120" s="43" t="n"/>
      <c r="BC120" s="43" t="n"/>
      <c r="BD120" s="43" t="n"/>
      <c r="BE120" s="43" t="n"/>
      <c r="BF120" s="43" t="n"/>
      <c r="BG120" s="43" t="n"/>
      <c r="BH120" s="43" t="n"/>
    </row>
    <row r="121" ht="15" customHeight="1">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c r="AB121" s="43" t="n"/>
      <c r="AC121" s="43" t="n"/>
      <c r="AD121" s="43" t="n"/>
      <c r="AE121" s="43" t="n"/>
      <c r="AF121" s="43" t="n"/>
      <c r="AG121" s="43" t="n"/>
      <c r="AH121" s="43" t="n"/>
      <c r="AI121" s="43" t="n"/>
      <c r="AJ121" s="43" t="n"/>
      <c r="AK121" s="43" t="n"/>
      <c r="AL121" s="43" t="n"/>
      <c r="AM121" s="43" t="n"/>
      <c r="AN121" s="43" t="n"/>
      <c r="AO121" s="43" t="n"/>
      <c r="AP121" s="43" t="n"/>
      <c r="AQ121" s="43" t="n"/>
      <c r="AR121" s="43" t="n"/>
      <c r="AS121" s="43" t="n"/>
      <c r="AT121" s="43" t="n"/>
      <c r="AU121" s="43" t="n"/>
      <c r="AV121" s="43" t="n"/>
      <c r="AW121" s="43" t="n"/>
      <c r="AX121" s="43" t="n"/>
      <c r="AY121" s="43" t="n"/>
      <c r="AZ121" s="43" t="n"/>
      <c r="BA121" s="43" t="n"/>
      <c r="BB121" s="43" t="n"/>
      <c r="BC121" s="43" t="n"/>
      <c r="BD121" s="43" t="n"/>
      <c r="BE121" s="43" t="n"/>
      <c r="BF121" s="43" t="n"/>
      <c r="BG121" s="43" t="n"/>
      <c r="BH121" s="43" t="n"/>
    </row>
    <row r="122" ht="15" customHeight="1">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c r="AB122" s="43" t="n"/>
      <c r="AC122" s="43" t="n"/>
      <c r="AD122" s="43" t="n"/>
      <c r="AE122" s="43" t="n"/>
      <c r="AF122" s="43" t="n"/>
      <c r="AG122" s="43" t="n"/>
      <c r="AH122" s="43" t="n"/>
      <c r="AI122" s="43" t="n"/>
      <c r="AJ122" s="43" t="n"/>
      <c r="AK122" s="43" t="n"/>
      <c r="AL122" s="43" t="n"/>
      <c r="AM122" s="43" t="n"/>
      <c r="AN122" s="43" t="n"/>
      <c r="AO122" s="43" t="n"/>
      <c r="AP122" s="43" t="n"/>
      <c r="AQ122" s="43" t="n"/>
      <c r="AR122" s="43" t="n"/>
      <c r="AS122" s="43" t="n"/>
      <c r="AT122" s="43" t="n"/>
      <c r="AU122" s="43" t="n"/>
      <c r="AV122" s="43" t="n"/>
      <c r="AW122" s="43" t="n"/>
      <c r="AX122" s="43" t="n"/>
      <c r="AY122" s="43" t="n"/>
      <c r="AZ122" s="43" t="n"/>
      <c r="BA122" s="43" t="n"/>
      <c r="BB122" s="43" t="n"/>
      <c r="BC122" s="43" t="n"/>
      <c r="BD122" s="43" t="n"/>
      <c r="BE122" s="43" t="n"/>
      <c r="BF122" s="43" t="n"/>
      <c r="BG122" s="43" t="n"/>
      <c r="BH122" s="43" t="n"/>
    </row>
    <row r="123" ht="15" customHeight="1">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c r="AB123" s="43" t="n"/>
      <c r="AC123" s="43" t="n"/>
      <c r="AD123" s="43" t="n"/>
      <c r="AE123" s="43" t="n"/>
      <c r="AF123" s="43" t="n"/>
      <c r="AG123" s="43" t="n"/>
      <c r="AH123" s="43" t="n"/>
      <c r="AI123" s="43" t="n"/>
      <c r="AJ123" s="43" t="n"/>
      <c r="AK123" s="43" t="n"/>
      <c r="AL123" s="43" t="n"/>
      <c r="AM123" s="43" t="n"/>
      <c r="AN123" s="43" t="n"/>
      <c r="AO123" s="43" t="n"/>
      <c r="AP123" s="43" t="n"/>
      <c r="AQ123" s="43" t="n"/>
      <c r="AR123" s="43" t="n"/>
      <c r="AS123" s="43" t="n"/>
      <c r="AT123" s="43" t="n"/>
      <c r="AU123" s="43" t="n"/>
      <c r="AV123" s="43" t="n"/>
      <c r="AW123" s="43" t="n"/>
      <c r="AX123" s="43" t="n"/>
      <c r="AY123" s="43" t="n"/>
      <c r="AZ123" s="43" t="n"/>
      <c r="BA123" s="43" t="n"/>
      <c r="BB123" s="43" t="n"/>
      <c r="BC123" s="43" t="n"/>
      <c r="BD123" s="43" t="n"/>
      <c r="BE123" s="43" t="n"/>
      <c r="BF123" s="43" t="n"/>
      <c r="BG123" s="43" t="n"/>
      <c r="BH123" s="43" t="n"/>
    </row>
    <row r="124" ht="15" customHeight="1">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c r="AB124" s="43" t="n"/>
      <c r="AC124" s="43" t="n"/>
      <c r="AD124" s="43" t="n"/>
      <c r="AE124" s="43" t="n"/>
      <c r="AF124" s="43" t="n"/>
      <c r="AG124" s="43" t="n"/>
      <c r="AH124" s="43" t="n"/>
      <c r="AI124" s="43" t="n"/>
      <c r="AJ124" s="43" t="n"/>
      <c r="AK124" s="43" t="n"/>
      <c r="AL124" s="43" t="n"/>
      <c r="AM124" s="43" t="n"/>
      <c r="AN124" s="43" t="n"/>
      <c r="AO124" s="43" t="n"/>
      <c r="AP124" s="43" t="n"/>
      <c r="AQ124" s="43" t="n"/>
      <c r="AR124" s="43" t="n"/>
      <c r="AS124" s="43" t="n"/>
      <c r="AT124" s="43" t="n"/>
      <c r="AU124" s="43" t="n"/>
      <c r="AV124" s="43" t="n"/>
      <c r="AW124" s="43" t="n"/>
      <c r="AX124" s="43" t="n"/>
      <c r="AY124" s="43" t="n"/>
      <c r="AZ124" s="43" t="n"/>
      <c r="BA124" s="43" t="n"/>
      <c r="BB124" s="43" t="n"/>
      <c r="BC124" s="43" t="n"/>
      <c r="BD124" s="43" t="n"/>
      <c r="BE124" s="43" t="n"/>
      <c r="BF124" s="43" t="n"/>
      <c r="BG124" s="43" t="n"/>
      <c r="BH124" s="43" t="n"/>
    </row>
    <row r="125" ht="15" customHeight="1">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c r="AB125" s="43" t="n"/>
      <c r="AC125" s="43" t="n"/>
      <c r="AD125" s="43" t="n"/>
      <c r="AE125" s="43" t="n"/>
      <c r="AF125" s="43" t="n"/>
      <c r="AG125" s="43" t="n"/>
      <c r="AH125" s="43" t="n"/>
      <c r="AI125" s="43" t="n"/>
      <c r="AJ125" s="43" t="n"/>
      <c r="AK125" s="43" t="n"/>
      <c r="AL125" s="43" t="n"/>
      <c r="AM125" s="43" t="n"/>
      <c r="AN125" s="43" t="n"/>
      <c r="AO125" s="43" t="n"/>
      <c r="AP125" s="43" t="n"/>
      <c r="AQ125" s="43" t="n"/>
      <c r="AR125" s="43" t="n"/>
      <c r="AS125" s="43" t="n"/>
      <c r="AT125" s="43" t="n"/>
      <c r="AU125" s="43" t="n"/>
      <c r="AV125" s="43" t="n"/>
      <c r="AW125" s="43" t="n"/>
      <c r="AX125" s="43" t="n"/>
      <c r="AY125" s="43" t="n"/>
      <c r="AZ125" s="43" t="n"/>
      <c r="BA125" s="43" t="n"/>
      <c r="BB125" s="43" t="n"/>
      <c r="BC125" s="43" t="n"/>
      <c r="BD125" s="43" t="n"/>
      <c r="BE125" s="43" t="n"/>
      <c r="BF125" s="43" t="n"/>
      <c r="BG125" s="43" t="n"/>
      <c r="BH125" s="43" t="n"/>
    </row>
    <row r="126" ht="15" customHeight="1">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c r="AB126" s="43" t="n"/>
      <c r="AC126" s="43" t="n"/>
      <c r="AD126" s="43" t="n"/>
      <c r="AE126" s="43" t="n"/>
      <c r="AF126" s="43" t="n"/>
      <c r="AG126" s="43" t="n"/>
      <c r="AH126" s="43" t="n"/>
      <c r="AI126" s="43" t="n"/>
      <c r="AJ126" s="43" t="n"/>
      <c r="AK126" s="43" t="n"/>
      <c r="AL126" s="43" t="n"/>
      <c r="AM126" s="43" t="n"/>
      <c r="AN126" s="43" t="n"/>
      <c r="AO126" s="43" t="n"/>
      <c r="AP126" s="43" t="n"/>
      <c r="AQ126" s="43" t="n"/>
      <c r="AR126" s="43" t="n"/>
      <c r="AS126" s="43" t="n"/>
      <c r="AT126" s="43" t="n"/>
      <c r="AU126" s="43" t="n"/>
      <c r="AV126" s="43" t="n"/>
      <c r="AW126" s="43" t="n"/>
      <c r="AX126" s="43" t="n"/>
      <c r="AY126" s="43" t="n"/>
      <c r="AZ126" s="43" t="n"/>
      <c r="BA126" s="43" t="n"/>
      <c r="BB126" s="43" t="n"/>
      <c r="BC126" s="43" t="n"/>
      <c r="BD126" s="43" t="n"/>
      <c r="BE126" s="43" t="n"/>
      <c r="BF126" s="43" t="n"/>
      <c r="BG126" s="43" t="n"/>
      <c r="BH126" s="43" t="n"/>
    </row>
    <row r="127" ht="15" customHeight="1">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c r="AB127" s="43" t="n"/>
      <c r="AC127" s="43" t="n"/>
      <c r="AD127" s="43" t="n"/>
      <c r="AE127" s="43" t="n"/>
      <c r="AF127" s="43" t="n"/>
      <c r="AG127" s="43" t="n"/>
      <c r="AH127" s="43" t="n"/>
      <c r="AI127" s="43" t="n"/>
      <c r="AJ127" s="43" t="n"/>
      <c r="AK127" s="43" t="n"/>
      <c r="AL127" s="43" t="n"/>
      <c r="AM127" s="43" t="n"/>
      <c r="AN127" s="43" t="n"/>
      <c r="AO127" s="43" t="n"/>
      <c r="AP127" s="43" t="n"/>
      <c r="AQ127" s="43" t="n"/>
      <c r="AR127" s="43" t="n"/>
      <c r="AS127" s="43" t="n"/>
      <c r="AT127" s="43" t="n"/>
      <c r="AU127" s="43" t="n"/>
      <c r="AV127" s="43" t="n"/>
      <c r="AW127" s="43" t="n"/>
      <c r="AX127" s="43" t="n"/>
      <c r="AY127" s="43" t="n"/>
      <c r="AZ127" s="43" t="n"/>
      <c r="BA127" s="43" t="n"/>
      <c r="BB127" s="43" t="n"/>
      <c r="BC127" s="43" t="n"/>
      <c r="BD127" s="43" t="n"/>
      <c r="BE127" s="43" t="n"/>
      <c r="BF127" s="43" t="n"/>
      <c r="BG127" s="43" t="n"/>
      <c r="BH127" s="43" t="n"/>
    </row>
    <row r="128" ht="15" customHeight="1">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c r="AB128" s="43" t="n"/>
      <c r="AC128" s="43" t="n"/>
      <c r="AD128" s="43" t="n"/>
      <c r="AE128" s="43" t="n"/>
      <c r="AF128" s="43" t="n"/>
      <c r="AG128" s="43" t="n"/>
      <c r="AH128" s="43" t="n"/>
      <c r="AI128" s="43" t="n"/>
      <c r="AJ128" s="43" t="n"/>
      <c r="AK128" s="43" t="n"/>
      <c r="AL128" s="43" t="n"/>
      <c r="AM128" s="43" t="n"/>
      <c r="AN128" s="43" t="n"/>
      <c r="AO128" s="43" t="n"/>
      <c r="AP128" s="43" t="n"/>
      <c r="AQ128" s="43" t="n"/>
      <c r="AR128" s="43" t="n"/>
      <c r="AS128" s="43" t="n"/>
      <c r="AT128" s="43" t="n"/>
      <c r="AU128" s="43" t="n"/>
      <c r="AV128" s="43" t="n"/>
      <c r="AW128" s="43" t="n"/>
      <c r="AX128" s="43" t="n"/>
      <c r="AY128" s="43" t="n"/>
      <c r="AZ128" s="43" t="n"/>
      <c r="BA128" s="43" t="n"/>
      <c r="BB128" s="43" t="n"/>
      <c r="BC128" s="43" t="n"/>
      <c r="BD128" s="43" t="n"/>
      <c r="BE128" s="43" t="n"/>
      <c r="BF128" s="43" t="n"/>
      <c r="BG128" s="43" t="n"/>
      <c r="BH128" s="43" t="n"/>
    </row>
    <row r="129" ht="15" customHeight="1">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c r="AB129" s="43" t="n"/>
      <c r="AC129" s="43" t="n"/>
      <c r="AD129" s="43" t="n"/>
      <c r="AE129" s="43" t="n"/>
      <c r="AF129" s="43" t="n"/>
      <c r="AG129" s="43" t="n"/>
      <c r="AH129" s="43" t="n"/>
      <c r="AI129" s="43" t="n"/>
      <c r="AJ129" s="43" t="n"/>
      <c r="AK129" s="43" t="n"/>
      <c r="AL129" s="43" t="n"/>
      <c r="AM129" s="43" t="n"/>
      <c r="AN129" s="43" t="n"/>
      <c r="AO129" s="43" t="n"/>
      <c r="AP129" s="43" t="n"/>
      <c r="AQ129" s="43" t="n"/>
      <c r="AR129" s="43" t="n"/>
      <c r="AS129" s="43" t="n"/>
      <c r="AT129" s="43" t="n"/>
      <c r="AU129" s="43" t="n"/>
      <c r="AV129" s="43" t="n"/>
      <c r="AW129" s="43" t="n"/>
      <c r="AX129" s="43" t="n"/>
      <c r="AY129" s="43" t="n"/>
      <c r="AZ129" s="43" t="n"/>
      <c r="BA129" s="43" t="n"/>
      <c r="BB129" s="43" t="n"/>
      <c r="BC129" s="43" t="n"/>
      <c r="BD129" s="43" t="n"/>
      <c r="BE129" s="43" t="n"/>
      <c r="BF129" s="43" t="n"/>
      <c r="BG129" s="43" t="n"/>
      <c r="BH129" s="43" t="n"/>
    </row>
    <row r="130" ht="15" customHeight="1"/>
    <row r="131" ht="15" customHeight="1">
      <c r="B131" s="40" t="inlineStr">
        <is>
          <t>GECİKME ANALİZİ  -  SÜRE × ÖNCELİK</t>
        </is>
      </c>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c r="AA131" s="41" t="n"/>
      <c r="AB131" s="41" t="n"/>
      <c r="AC131" s="41" t="n"/>
      <c r="AD131" s="41" t="n"/>
      <c r="AE131" s="41" t="n"/>
      <c r="AF131" s="41" t="n"/>
      <c r="AG131" s="41" t="n"/>
      <c r="AH131" s="41" t="n"/>
      <c r="AI131" s="41" t="n"/>
      <c r="AJ131" s="41" t="n"/>
      <c r="AK131" s="41" t="n"/>
      <c r="AL131" s="41" t="n"/>
      <c r="AM131" s="41" t="n"/>
      <c r="AN131" s="41" t="n"/>
      <c r="AO131" s="41" t="n"/>
      <c r="AP131" s="41" t="n"/>
      <c r="AQ131" s="41" t="n"/>
      <c r="AR131" s="41" t="n"/>
      <c r="AS131" s="41" t="n"/>
      <c r="AT131" s="41" t="n"/>
      <c r="AU131" s="41" t="n"/>
      <c r="AV131" s="41" t="n"/>
      <c r="AW131" s="41" t="n"/>
      <c r="AX131" s="41" t="n"/>
      <c r="AY131" s="41" t="n"/>
      <c r="AZ131" s="41" t="n"/>
      <c r="BA131" s="41" t="n"/>
      <c r="BB131" s="41" t="n"/>
      <c r="BC131" s="41" t="n"/>
      <c r="BD131" s="41" t="n"/>
      <c r="BE131" s="41" t="n"/>
      <c r="BF131" s="41" t="n"/>
      <c r="BG131" s="41" t="n"/>
      <c r="BH131" s="41" t="n"/>
    </row>
    <row r="132" ht="15" customHeight="1">
      <c r="B132" s="44" t="inlineStr">
        <is>
          <t>Kaç iş ne kadar gecikmiş ve önceliği ne?</t>
        </is>
      </c>
    </row>
    <row r="133" ht="15" customHeight="1">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c r="AB133" s="43" t="n"/>
      <c r="AC133" s="43" t="n"/>
      <c r="AD133" s="43" t="n"/>
      <c r="AE133" s="43" t="n"/>
      <c r="AF133" s="43" t="n"/>
      <c r="AG133" s="43" t="n"/>
      <c r="AH133" s="43" t="n"/>
      <c r="AI133" s="43" t="n"/>
      <c r="AJ133" s="43" t="n"/>
      <c r="AK133" s="43" t="n"/>
      <c r="AL133" s="43" t="n"/>
      <c r="AM133" s="43" t="n"/>
      <c r="AN133" s="43" t="n"/>
      <c r="AO133" s="43" t="n"/>
      <c r="AP133" s="43" t="n"/>
      <c r="AQ133" s="43" t="n"/>
      <c r="AR133" s="43" t="n"/>
      <c r="AS133" s="43" t="n"/>
      <c r="AT133" s="43" t="n"/>
      <c r="AU133" s="43" t="n"/>
      <c r="AV133" s="43" t="n"/>
      <c r="AW133" s="43" t="n"/>
      <c r="AX133" s="43" t="n"/>
      <c r="AY133" s="43" t="n"/>
      <c r="AZ133" s="43" t="n"/>
      <c r="BA133" s="43" t="n"/>
      <c r="BB133" s="43" t="n"/>
      <c r="BC133" s="43" t="n"/>
      <c r="BD133" s="43" t="n"/>
      <c r="BE133" s="43" t="n"/>
      <c r="BF133" s="43" t="n"/>
      <c r="BG133" s="43" t="n"/>
      <c r="BH133" s="43" t="n"/>
    </row>
    <row r="134" ht="15" customHeight="1">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c r="AB134" s="43" t="n"/>
      <c r="AC134" s="43" t="n"/>
      <c r="AD134" s="43" t="n"/>
      <c r="AE134" s="43" t="n"/>
      <c r="AF134" s="43" t="n"/>
      <c r="AG134" s="43" t="n"/>
      <c r="AH134" s="43" t="n"/>
      <c r="AI134" s="43" t="n"/>
      <c r="AJ134" s="43" t="n"/>
      <c r="AK134" s="43" t="n"/>
      <c r="AL134" s="43" t="n"/>
      <c r="AM134" s="43" t="n"/>
      <c r="AN134" s="43" t="n"/>
      <c r="AO134" s="43" t="n"/>
      <c r="AP134" s="43" t="n"/>
      <c r="AQ134" s="43" t="n"/>
      <c r="AR134" s="43" t="n"/>
      <c r="AS134" s="43" t="n"/>
      <c r="AT134" s="43" t="n"/>
      <c r="AU134" s="43" t="n"/>
      <c r="AV134" s="43" t="n"/>
      <c r="AW134" s="43" t="n"/>
      <c r="AX134" s="43" t="n"/>
      <c r="AY134" s="43" t="n"/>
      <c r="AZ134" s="43" t="n"/>
      <c r="BA134" s="43" t="n"/>
      <c r="BB134" s="43" t="n"/>
      <c r="BC134" s="43" t="n"/>
      <c r="BD134" s="43" t="n"/>
      <c r="BE134" s="43" t="n"/>
      <c r="BF134" s="43" t="n"/>
      <c r="BG134" s="43" t="n"/>
      <c r="BH134" s="43" t="n"/>
    </row>
    <row r="135" ht="15" customHeight="1">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c r="AB135" s="43" t="n"/>
      <c r="AC135" s="43" t="n"/>
      <c r="AD135" s="43" t="n"/>
      <c r="AE135" s="43" t="n"/>
      <c r="AF135" s="43" t="n"/>
      <c r="AG135" s="43" t="n"/>
      <c r="AH135" s="43" t="n"/>
      <c r="AI135" s="43" t="n"/>
      <c r="AJ135" s="43" t="n"/>
      <c r="AK135" s="43" t="n"/>
      <c r="AL135" s="43" t="n"/>
      <c r="AM135" s="43" t="n"/>
      <c r="AN135" s="43" t="n"/>
      <c r="AO135" s="43" t="n"/>
      <c r="AP135" s="43" t="n"/>
      <c r="AQ135" s="43" t="n"/>
      <c r="AR135" s="43" t="n"/>
      <c r="AS135" s="43" t="n"/>
      <c r="AT135" s="43" t="n"/>
      <c r="AU135" s="43" t="n"/>
      <c r="AV135" s="43" t="n"/>
      <c r="AW135" s="43" t="n"/>
      <c r="AX135" s="43" t="n"/>
      <c r="AY135" s="43" t="n"/>
      <c r="AZ135" s="43" t="n"/>
      <c r="BA135" s="43" t="n"/>
      <c r="BB135" s="43" t="n"/>
      <c r="BC135" s="43" t="n"/>
      <c r="BD135" s="43" t="n"/>
      <c r="BE135" s="43" t="n"/>
      <c r="BF135" s="43" t="n"/>
      <c r="BG135" s="43" t="n"/>
      <c r="BH135" s="43" t="n"/>
    </row>
    <row r="136" ht="15" customHeight="1">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c r="AB136" s="43" t="n"/>
      <c r="AC136" s="43" t="n"/>
      <c r="AD136" s="43" t="n"/>
      <c r="AE136" s="43" t="n"/>
      <c r="AF136" s="43" t="n"/>
      <c r="AG136" s="43" t="n"/>
      <c r="AH136" s="43" t="n"/>
      <c r="AI136" s="43" t="n"/>
      <c r="AJ136" s="43" t="n"/>
      <c r="AK136" s="43" t="n"/>
      <c r="AL136" s="43" t="n"/>
      <c r="AM136" s="43" t="n"/>
      <c r="AN136" s="43" t="n"/>
      <c r="AO136" s="43" t="n"/>
      <c r="AP136" s="43" t="n"/>
      <c r="AQ136" s="43" t="n"/>
      <c r="AR136" s="43" t="n"/>
      <c r="AS136" s="43" t="n"/>
      <c r="AT136" s="43" t="n"/>
      <c r="AU136" s="43" t="n"/>
      <c r="AV136" s="43" t="n"/>
      <c r="AW136" s="43" t="n"/>
      <c r="AX136" s="43" t="n"/>
      <c r="AY136" s="43" t="n"/>
      <c r="AZ136" s="43" t="n"/>
      <c r="BA136" s="43" t="n"/>
      <c r="BB136" s="43" t="n"/>
      <c r="BC136" s="43" t="n"/>
      <c r="BD136" s="43" t="n"/>
      <c r="BE136" s="43" t="n"/>
      <c r="BF136" s="43" t="n"/>
      <c r="BG136" s="43" t="n"/>
      <c r="BH136" s="43" t="n"/>
    </row>
    <row r="137" ht="15" customHeight="1">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c r="AB137" s="43" t="n"/>
      <c r="AC137" s="43" t="n"/>
      <c r="AD137" s="43" t="n"/>
      <c r="AE137" s="43" t="n"/>
      <c r="AF137" s="43" t="n"/>
      <c r="AG137" s="43" t="n"/>
      <c r="AH137" s="43" t="n"/>
      <c r="AI137" s="43" t="n"/>
      <c r="AJ137" s="43" t="n"/>
      <c r="AK137" s="43" t="n"/>
      <c r="AL137" s="43" t="n"/>
      <c r="AM137" s="43" t="n"/>
      <c r="AN137" s="43" t="n"/>
      <c r="AO137" s="43" t="n"/>
      <c r="AP137" s="43" t="n"/>
      <c r="AQ137" s="43" t="n"/>
      <c r="AR137" s="43" t="n"/>
      <c r="AS137" s="43" t="n"/>
      <c r="AT137" s="43" t="n"/>
      <c r="AU137" s="43" t="n"/>
      <c r="AV137" s="43" t="n"/>
      <c r="AW137" s="43" t="n"/>
      <c r="AX137" s="43" t="n"/>
      <c r="AY137" s="43" t="n"/>
      <c r="AZ137" s="43" t="n"/>
      <c r="BA137" s="43" t="n"/>
      <c r="BB137" s="43" t="n"/>
      <c r="BC137" s="43" t="n"/>
      <c r="BD137" s="43" t="n"/>
      <c r="BE137" s="43" t="n"/>
      <c r="BF137" s="43" t="n"/>
      <c r="BG137" s="43" t="n"/>
      <c r="BH137" s="43" t="n"/>
    </row>
    <row r="138" ht="15" customHeight="1">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c r="AB138" s="43" t="n"/>
      <c r="AC138" s="43" t="n"/>
      <c r="AD138" s="43" t="n"/>
      <c r="AE138" s="43" t="n"/>
      <c r="AF138" s="43" t="n"/>
      <c r="AG138" s="43" t="n"/>
      <c r="AH138" s="43" t="n"/>
      <c r="AI138" s="43" t="n"/>
      <c r="AJ138" s="43" t="n"/>
      <c r="AK138" s="43" t="n"/>
      <c r="AL138" s="43" t="n"/>
      <c r="AM138" s="43" t="n"/>
      <c r="AN138" s="43" t="n"/>
      <c r="AO138" s="43" t="n"/>
      <c r="AP138" s="43" t="n"/>
      <c r="AQ138" s="43" t="n"/>
      <c r="AR138" s="43" t="n"/>
      <c r="AS138" s="43" t="n"/>
      <c r="AT138" s="43" t="n"/>
      <c r="AU138" s="43" t="n"/>
      <c r="AV138" s="43" t="n"/>
      <c r="AW138" s="43" t="n"/>
      <c r="AX138" s="43" t="n"/>
      <c r="AY138" s="43" t="n"/>
      <c r="AZ138" s="43" t="n"/>
      <c r="BA138" s="43" t="n"/>
      <c r="BB138" s="43" t="n"/>
      <c r="BC138" s="43" t="n"/>
      <c r="BD138" s="43" t="n"/>
      <c r="BE138" s="43" t="n"/>
      <c r="BF138" s="43" t="n"/>
      <c r="BG138" s="43" t="n"/>
      <c r="BH138" s="43" t="n"/>
    </row>
    <row r="139" ht="15" customHeight="1">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c r="AB139" s="43" t="n"/>
      <c r="AC139" s="43" t="n"/>
      <c r="AD139" s="43" t="n"/>
      <c r="AE139" s="43" t="n"/>
      <c r="AF139" s="43" t="n"/>
      <c r="AG139" s="43" t="n"/>
      <c r="AH139" s="43" t="n"/>
      <c r="AI139" s="43" t="n"/>
      <c r="AJ139" s="43" t="n"/>
      <c r="AK139" s="43" t="n"/>
      <c r="AL139" s="43" t="n"/>
      <c r="AM139" s="43" t="n"/>
      <c r="AN139" s="43" t="n"/>
      <c r="AO139" s="43" t="n"/>
      <c r="AP139" s="43" t="n"/>
      <c r="AQ139" s="43" t="n"/>
      <c r="AR139" s="43" t="n"/>
      <c r="AS139" s="43" t="n"/>
      <c r="AT139" s="43" t="n"/>
      <c r="AU139" s="43" t="n"/>
      <c r="AV139" s="43" t="n"/>
      <c r="AW139" s="43" t="n"/>
      <c r="AX139" s="43" t="n"/>
      <c r="AY139" s="43" t="n"/>
      <c r="AZ139" s="43" t="n"/>
      <c r="BA139" s="43" t="n"/>
      <c r="BB139" s="43" t="n"/>
      <c r="BC139" s="43" t="n"/>
      <c r="BD139" s="43" t="n"/>
      <c r="BE139" s="43" t="n"/>
      <c r="BF139" s="43" t="n"/>
      <c r="BG139" s="43" t="n"/>
      <c r="BH139" s="43" t="n"/>
    </row>
    <row r="140" ht="15" customHeight="1">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c r="AB140" s="43" t="n"/>
      <c r="AC140" s="43" t="n"/>
      <c r="AD140" s="43" t="n"/>
      <c r="AE140" s="43" t="n"/>
      <c r="AF140" s="43" t="n"/>
      <c r="AG140" s="43" t="n"/>
      <c r="AH140" s="43" t="n"/>
      <c r="AI140" s="43" t="n"/>
      <c r="AJ140" s="43" t="n"/>
      <c r="AK140" s="43" t="n"/>
      <c r="AL140" s="43" t="n"/>
      <c r="AM140" s="43" t="n"/>
      <c r="AN140" s="43" t="n"/>
      <c r="AO140" s="43" t="n"/>
      <c r="AP140" s="43" t="n"/>
      <c r="AQ140" s="43" t="n"/>
      <c r="AR140" s="43" t="n"/>
      <c r="AS140" s="43" t="n"/>
      <c r="AT140" s="43" t="n"/>
      <c r="AU140" s="43" t="n"/>
      <c r="AV140" s="43" t="n"/>
      <c r="AW140" s="43" t="n"/>
      <c r="AX140" s="43" t="n"/>
      <c r="AY140" s="43" t="n"/>
      <c r="AZ140" s="43" t="n"/>
      <c r="BA140" s="43" t="n"/>
      <c r="BB140" s="43" t="n"/>
      <c r="BC140" s="43" t="n"/>
      <c r="BD140" s="43" t="n"/>
      <c r="BE140" s="43" t="n"/>
      <c r="BF140" s="43" t="n"/>
      <c r="BG140" s="43" t="n"/>
      <c r="BH140" s="43" t="n"/>
    </row>
    <row r="141" ht="15" customHeight="1">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c r="AB141" s="43" t="n"/>
      <c r="AC141" s="43" t="n"/>
      <c r="AD141" s="43" t="n"/>
      <c r="AE141" s="43" t="n"/>
      <c r="AF141" s="43" t="n"/>
      <c r="AG141" s="43" t="n"/>
      <c r="AH141" s="43" t="n"/>
      <c r="AI141" s="43" t="n"/>
      <c r="AJ141" s="43" t="n"/>
      <c r="AK141" s="43" t="n"/>
      <c r="AL141" s="43" t="n"/>
      <c r="AM141" s="43" t="n"/>
      <c r="AN141" s="43" t="n"/>
      <c r="AO141" s="43" t="n"/>
      <c r="AP141" s="43" t="n"/>
      <c r="AQ141" s="43" t="n"/>
      <c r="AR141" s="43" t="n"/>
      <c r="AS141" s="43" t="n"/>
      <c r="AT141" s="43" t="n"/>
      <c r="AU141" s="43" t="n"/>
      <c r="AV141" s="43" t="n"/>
      <c r="AW141" s="43" t="n"/>
      <c r="AX141" s="43" t="n"/>
      <c r="AY141" s="43" t="n"/>
      <c r="AZ141" s="43" t="n"/>
      <c r="BA141" s="43" t="n"/>
      <c r="BB141" s="43" t="n"/>
      <c r="BC141" s="43" t="n"/>
      <c r="BD141" s="43" t="n"/>
      <c r="BE141" s="43" t="n"/>
      <c r="BF141" s="43" t="n"/>
      <c r="BG141" s="43" t="n"/>
      <c r="BH141" s="43" t="n"/>
    </row>
    <row r="142" ht="15" customHeight="1">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c r="AB142" s="43" t="n"/>
      <c r="AC142" s="43" t="n"/>
      <c r="AD142" s="43" t="n"/>
      <c r="AE142" s="43" t="n"/>
      <c r="AF142" s="43" t="n"/>
      <c r="AG142" s="43" t="n"/>
      <c r="AH142" s="43" t="n"/>
      <c r="AI142" s="43" t="n"/>
      <c r="AJ142" s="43" t="n"/>
      <c r="AK142" s="43" t="n"/>
      <c r="AL142" s="43" t="n"/>
      <c r="AM142" s="43" t="n"/>
      <c r="AN142" s="43" t="n"/>
      <c r="AO142" s="43" t="n"/>
      <c r="AP142" s="43" t="n"/>
      <c r="AQ142" s="43" t="n"/>
      <c r="AR142" s="43" t="n"/>
      <c r="AS142" s="43" t="n"/>
      <c r="AT142" s="43" t="n"/>
      <c r="AU142" s="43" t="n"/>
      <c r="AV142" s="43" t="n"/>
      <c r="AW142" s="43" t="n"/>
      <c r="AX142" s="43" t="n"/>
      <c r="AY142" s="43" t="n"/>
      <c r="AZ142" s="43" t="n"/>
      <c r="BA142" s="43" t="n"/>
      <c r="BB142" s="43" t="n"/>
      <c r="BC142" s="43" t="n"/>
      <c r="BD142" s="43" t="n"/>
      <c r="BE142" s="43" t="n"/>
      <c r="BF142" s="43" t="n"/>
      <c r="BG142" s="43" t="n"/>
      <c r="BH142" s="43" t="n"/>
    </row>
    <row r="143" ht="15" customHeight="1">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c r="AB143" s="43" t="n"/>
      <c r="AC143" s="43" t="n"/>
      <c r="AD143" s="43" t="n"/>
      <c r="AE143" s="43" t="n"/>
      <c r="AF143" s="43" t="n"/>
      <c r="AG143" s="43" t="n"/>
      <c r="AH143" s="43" t="n"/>
      <c r="AI143" s="43" t="n"/>
      <c r="AJ143" s="43" t="n"/>
      <c r="AK143" s="43" t="n"/>
      <c r="AL143" s="43" t="n"/>
      <c r="AM143" s="43" t="n"/>
      <c r="AN143" s="43" t="n"/>
      <c r="AO143" s="43" t="n"/>
      <c r="AP143" s="43" t="n"/>
      <c r="AQ143" s="43" t="n"/>
      <c r="AR143" s="43" t="n"/>
      <c r="AS143" s="43" t="n"/>
      <c r="AT143" s="43" t="n"/>
      <c r="AU143" s="43" t="n"/>
      <c r="AV143" s="43" t="n"/>
      <c r="AW143" s="43" t="n"/>
      <c r="AX143" s="43" t="n"/>
      <c r="AY143" s="43" t="n"/>
      <c r="AZ143" s="43" t="n"/>
      <c r="BA143" s="43" t="n"/>
      <c r="BB143" s="43" t="n"/>
      <c r="BC143" s="43" t="n"/>
      <c r="BD143" s="43" t="n"/>
      <c r="BE143" s="43" t="n"/>
      <c r="BF143" s="43" t="n"/>
      <c r="BG143" s="43" t="n"/>
      <c r="BH143" s="43" t="n"/>
    </row>
    <row r="144" ht="15" customHeight="1">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c r="AB144" s="43" t="n"/>
      <c r="AC144" s="43" t="n"/>
      <c r="AD144" s="43" t="n"/>
      <c r="AE144" s="43" t="n"/>
      <c r="AF144" s="43" t="n"/>
      <c r="AG144" s="43" t="n"/>
      <c r="AH144" s="43" t="n"/>
      <c r="AI144" s="43" t="n"/>
      <c r="AJ144" s="43" t="n"/>
      <c r="AK144" s="43" t="n"/>
      <c r="AL144" s="43" t="n"/>
      <c r="AM144" s="43" t="n"/>
      <c r="AN144" s="43" t="n"/>
      <c r="AO144" s="43" t="n"/>
      <c r="AP144" s="43" t="n"/>
      <c r="AQ144" s="43" t="n"/>
      <c r="AR144" s="43" t="n"/>
      <c r="AS144" s="43" t="n"/>
      <c r="AT144" s="43" t="n"/>
      <c r="AU144" s="43" t="n"/>
      <c r="AV144" s="43" t="n"/>
      <c r="AW144" s="43" t="n"/>
      <c r="AX144" s="43" t="n"/>
      <c r="AY144" s="43" t="n"/>
      <c r="AZ144" s="43" t="n"/>
      <c r="BA144" s="43" t="n"/>
      <c r="BB144" s="43" t="n"/>
      <c r="BC144" s="43" t="n"/>
      <c r="BD144" s="43" t="n"/>
      <c r="BE144" s="43" t="n"/>
      <c r="BF144" s="43" t="n"/>
      <c r="BG144" s="43" t="n"/>
      <c r="BH144" s="43" t="n"/>
    </row>
    <row r="145" ht="15" customHeight="1">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c r="AB145" s="43" t="n"/>
      <c r="AC145" s="43" t="n"/>
      <c r="AD145" s="43" t="n"/>
      <c r="AE145" s="43" t="n"/>
      <c r="AF145" s="43" t="n"/>
      <c r="AG145" s="43" t="n"/>
      <c r="AH145" s="43" t="n"/>
      <c r="AI145" s="43" t="n"/>
      <c r="AJ145" s="43" t="n"/>
      <c r="AK145" s="43" t="n"/>
      <c r="AL145" s="43" t="n"/>
      <c r="AM145" s="43" t="n"/>
      <c r="AN145" s="43" t="n"/>
      <c r="AO145" s="43" t="n"/>
      <c r="AP145" s="43" t="n"/>
      <c r="AQ145" s="43" t="n"/>
      <c r="AR145" s="43" t="n"/>
      <c r="AS145" s="43" t="n"/>
      <c r="AT145" s="43" t="n"/>
      <c r="AU145" s="43" t="n"/>
      <c r="AV145" s="43" t="n"/>
      <c r="AW145" s="43" t="n"/>
      <c r="AX145" s="43" t="n"/>
      <c r="AY145" s="43" t="n"/>
      <c r="AZ145" s="43" t="n"/>
      <c r="BA145" s="43" t="n"/>
      <c r="BB145" s="43" t="n"/>
      <c r="BC145" s="43" t="n"/>
      <c r="BD145" s="43" t="n"/>
      <c r="BE145" s="43" t="n"/>
      <c r="BF145" s="43" t="n"/>
      <c r="BG145" s="43" t="n"/>
      <c r="BH145" s="43" t="n"/>
    </row>
    <row r="146" ht="15" customHeight="1">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c r="AB146" s="43" t="n"/>
      <c r="AC146" s="43" t="n"/>
      <c r="AD146" s="43" t="n"/>
      <c r="AE146" s="43" t="n"/>
      <c r="AF146" s="43" t="n"/>
      <c r="AG146" s="43" t="n"/>
      <c r="AH146" s="43" t="n"/>
      <c r="AI146" s="43" t="n"/>
      <c r="AJ146" s="43" t="n"/>
      <c r="AK146" s="43" t="n"/>
      <c r="AL146" s="43" t="n"/>
      <c r="AM146" s="43" t="n"/>
      <c r="AN146" s="43" t="n"/>
      <c r="AO146" s="43" t="n"/>
      <c r="AP146" s="43" t="n"/>
      <c r="AQ146" s="43" t="n"/>
      <c r="AR146" s="43" t="n"/>
      <c r="AS146" s="43" t="n"/>
      <c r="AT146" s="43" t="n"/>
      <c r="AU146" s="43" t="n"/>
      <c r="AV146" s="43" t="n"/>
      <c r="AW146" s="43" t="n"/>
      <c r="AX146" s="43" t="n"/>
      <c r="AY146" s="43" t="n"/>
      <c r="AZ146" s="43" t="n"/>
      <c r="BA146" s="43" t="n"/>
      <c r="BB146" s="43" t="n"/>
      <c r="BC146" s="43" t="n"/>
      <c r="BD146" s="43" t="n"/>
      <c r="BE146" s="43" t="n"/>
      <c r="BF146" s="43" t="n"/>
      <c r="BG146" s="43" t="n"/>
      <c r="BH146" s="43" t="n"/>
    </row>
    <row r="147" ht="15" customHeight="1">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c r="AB147" s="43" t="n"/>
      <c r="AC147" s="43" t="n"/>
      <c r="AD147" s="43" t="n"/>
      <c r="AE147" s="43" t="n"/>
      <c r="AF147" s="43" t="n"/>
      <c r="AG147" s="43" t="n"/>
      <c r="AH147" s="43" t="n"/>
      <c r="AI147" s="43" t="n"/>
      <c r="AJ147" s="43" t="n"/>
      <c r="AK147" s="43" t="n"/>
      <c r="AL147" s="43" t="n"/>
      <c r="AM147" s="43" t="n"/>
      <c r="AN147" s="43" t="n"/>
      <c r="AO147" s="43" t="n"/>
      <c r="AP147" s="43" t="n"/>
      <c r="AQ147" s="43" t="n"/>
      <c r="AR147" s="43" t="n"/>
      <c r="AS147" s="43" t="n"/>
      <c r="AT147" s="43" t="n"/>
      <c r="AU147" s="43" t="n"/>
      <c r="AV147" s="43" t="n"/>
      <c r="AW147" s="43" t="n"/>
      <c r="AX147" s="43" t="n"/>
      <c r="AY147" s="43" t="n"/>
      <c r="AZ147" s="43" t="n"/>
      <c r="BA147" s="43" t="n"/>
      <c r="BB147" s="43" t="n"/>
      <c r="BC147" s="43" t="n"/>
      <c r="BD147" s="43" t="n"/>
      <c r="BE147" s="43" t="n"/>
      <c r="BF147" s="43" t="n"/>
      <c r="BG147" s="43" t="n"/>
      <c r="BH147" s="43" t="n"/>
    </row>
    <row r="148" ht="15" customHeight="1">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c r="AB148" s="43" t="n"/>
      <c r="AC148" s="43" t="n"/>
      <c r="AD148" s="43" t="n"/>
      <c r="AE148" s="43" t="n"/>
      <c r="AF148" s="43" t="n"/>
      <c r="AG148" s="43" t="n"/>
      <c r="AH148" s="43" t="n"/>
      <c r="AI148" s="43" t="n"/>
      <c r="AJ148" s="43" t="n"/>
      <c r="AK148" s="43" t="n"/>
      <c r="AL148" s="43" t="n"/>
      <c r="AM148" s="43" t="n"/>
      <c r="AN148" s="43" t="n"/>
      <c r="AO148" s="43" t="n"/>
      <c r="AP148" s="43" t="n"/>
      <c r="AQ148" s="43" t="n"/>
      <c r="AR148" s="43" t="n"/>
      <c r="AS148" s="43" t="n"/>
      <c r="AT148" s="43" t="n"/>
      <c r="AU148" s="43" t="n"/>
      <c r="AV148" s="43" t="n"/>
      <c r="AW148" s="43" t="n"/>
      <c r="AX148" s="43" t="n"/>
      <c r="AY148" s="43" t="n"/>
      <c r="AZ148" s="43" t="n"/>
      <c r="BA148" s="43" t="n"/>
      <c r="BB148" s="43" t="n"/>
      <c r="BC148" s="43" t="n"/>
      <c r="BD148" s="43" t="n"/>
      <c r="BE148" s="43" t="n"/>
      <c r="BF148" s="43" t="n"/>
      <c r="BG148" s="43" t="n"/>
      <c r="BH148" s="43" t="n"/>
    </row>
    <row r="149" ht="15" customHeight="1">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c r="AB149" s="43" t="n"/>
      <c r="AC149" s="43" t="n"/>
      <c r="AD149" s="43" t="n"/>
      <c r="AE149" s="43" t="n"/>
      <c r="AF149" s="43" t="n"/>
      <c r="AG149" s="43" t="n"/>
      <c r="AH149" s="43" t="n"/>
      <c r="AI149" s="43" t="n"/>
      <c r="AJ149" s="43" t="n"/>
      <c r="AK149" s="43" t="n"/>
      <c r="AL149" s="43" t="n"/>
      <c r="AM149" s="43" t="n"/>
      <c r="AN149" s="43" t="n"/>
      <c r="AO149" s="43" t="n"/>
      <c r="AP149" s="43" t="n"/>
      <c r="AQ149" s="43" t="n"/>
      <c r="AR149" s="43" t="n"/>
      <c r="AS149" s="43" t="n"/>
      <c r="AT149" s="43" t="n"/>
      <c r="AU149" s="43" t="n"/>
      <c r="AV149" s="43" t="n"/>
      <c r="AW149" s="43" t="n"/>
      <c r="AX149" s="43" t="n"/>
      <c r="AY149" s="43" t="n"/>
      <c r="AZ149" s="43" t="n"/>
      <c r="BA149" s="43" t="n"/>
      <c r="BB149" s="43" t="n"/>
      <c r="BC149" s="43" t="n"/>
      <c r="BD149" s="43" t="n"/>
      <c r="BE149" s="43" t="n"/>
      <c r="BF149" s="43" t="n"/>
      <c r="BG149" s="43" t="n"/>
      <c r="BH149" s="43" t="n"/>
    </row>
    <row r="150" ht="15" customHeight="1">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c r="AC150" s="43" t="n"/>
      <c r="AD150" s="43" t="n"/>
      <c r="AE150" s="43" t="n"/>
      <c r="AF150" s="43" t="n"/>
      <c r="AG150" s="43" t="n"/>
      <c r="AH150" s="43" t="n"/>
      <c r="AI150" s="43" t="n"/>
      <c r="AJ150" s="43" t="n"/>
      <c r="AK150" s="43" t="n"/>
      <c r="AL150" s="43" t="n"/>
      <c r="AM150" s="43" t="n"/>
      <c r="AN150" s="43" t="n"/>
      <c r="AO150" s="43" t="n"/>
      <c r="AP150" s="43" t="n"/>
      <c r="AQ150" s="43" t="n"/>
      <c r="AR150" s="43" t="n"/>
      <c r="AS150" s="43" t="n"/>
      <c r="AT150" s="43" t="n"/>
      <c r="AU150" s="43" t="n"/>
      <c r="AV150" s="43" t="n"/>
      <c r="AW150" s="43" t="n"/>
      <c r="AX150" s="43" t="n"/>
      <c r="AY150" s="43" t="n"/>
      <c r="AZ150" s="43" t="n"/>
      <c r="BA150" s="43" t="n"/>
      <c r="BB150" s="43" t="n"/>
      <c r="BC150" s="43" t="n"/>
      <c r="BD150" s="43" t="n"/>
      <c r="BE150" s="43" t="n"/>
      <c r="BF150" s="43" t="n"/>
      <c r="BG150" s="43" t="n"/>
      <c r="BH150" s="43" t="n"/>
    </row>
    <row r="151" ht="15" customHeight="1">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c r="AB151" s="43" t="n"/>
      <c r="AC151" s="43" t="n"/>
      <c r="AD151" s="43" t="n"/>
      <c r="AE151" s="43" t="n"/>
      <c r="AF151" s="43" t="n"/>
      <c r="AG151" s="43" t="n"/>
      <c r="AH151" s="43" t="n"/>
      <c r="AI151" s="43" t="n"/>
      <c r="AJ151" s="43" t="n"/>
      <c r="AK151" s="43" t="n"/>
      <c r="AL151" s="43" t="n"/>
      <c r="AM151" s="43" t="n"/>
      <c r="AN151" s="43" t="n"/>
      <c r="AO151" s="43" t="n"/>
      <c r="AP151" s="43" t="n"/>
      <c r="AQ151" s="43" t="n"/>
      <c r="AR151" s="43" t="n"/>
      <c r="AS151" s="43" t="n"/>
      <c r="AT151" s="43" t="n"/>
      <c r="AU151" s="43" t="n"/>
      <c r="AV151" s="43" t="n"/>
      <c r="AW151" s="43" t="n"/>
      <c r="AX151" s="43" t="n"/>
      <c r="AY151" s="43" t="n"/>
      <c r="AZ151" s="43" t="n"/>
      <c r="BA151" s="43" t="n"/>
      <c r="BB151" s="43" t="n"/>
      <c r="BC151" s="43" t="n"/>
      <c r="BD151" s="43" t="n"/>
      <c r="BE151" s="43" t="n"/>
      <c r="BF151" s="43" t="n"/>
      <c r="BG151" s="43" t="n"/>
      <c r="BH151" s="43" t="n"/>
    </row>
    <row r="152" ht="15" customHeight="1">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c r="AB152" s="43" t="n"/>
      <c r="AC152" s="43" t="n"/>
      <c r="AD152" s="43" t="n"/>
      <c r="AE152" s="43" t="n"/>
      <c r="AF152" s="43" t="n"/>
      <c r="AG152" s="43" t="n"/>
      <c r="AH152" s="43" t="n"/>
      <c r="AI152" s="43" t="n"/>
      <c r="AJ152" s="43" t="n"/>
      <c r="AK152" s="43" t="n"/>
      <c r="AL152" s="43" t="n"/>
      <c r="AM152" s="43" t="n"/>
      <c r="AN152" s="43" t="n"/>
      <c r="AO152" s="43" t="n"/>
      <c r="AP152" s="43" t="n"/>
      <c r="AQ152" s="43" t="n"/>
      <c r="AR152" s="43" t="n"/>
      <c r="AS152" s="43" t="n"/>
      <c r="AT152" s="43" t="n"/>
      <c r="AU152" s="43" t="n"/>
      <c r="AV152" s="43" t="n"/>
      <c r="AW152" s="43" t="n"/>
      <c r="AX152" s="43" t="n"/>
      <c r="AY152" s="43" t="n"/>
      <c r="AZ152" s="43" t="n"/>
      <c r="BA152" s="43" t="n"/>
      <c r="BB152" s="43" t="n"/>
      <c r="BC152" s="43" t="n"/>
      <c r="BD152" s="43" t="n"/>
      <c r="BE152" s="43" t="n"/>
      <c r="BF152" s="43" t="n"/>
      <c r="BG152" s="43" t="n"/>
      <c r="BH152" s="43" t="n"/>
    </row>
    <row r="153" ht="15" customHeight="1">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c r="AB153" s="43" t="n"/>
      <c r="AC153" s="43" t="n"/>
      <c r="AD153" s="43" t="n"/>
      <c r="AE153" s="43" t="n"/>
      <c r="AF153" s="43" t="n"/>
      <c r="AG153" s="43" t="n"/>
      <c r="AH153" s="43" t="n"/>
      <c r="AI153" s="43" t="n"/>
      <c r="AJ153" s="43" t="n"/>
      <c r="AK153" s="43" t="n"/>
      <c r="AL153" s="43" t="n"/>
      <c r="AM153" s="43" t="n"/>
      <c r="AN153" s="43" t="n"/>
      <c r="AO153" s="43" t="n"/>
      <c r="AP153" s="43" t="n"/>
      <c r="AQ153" s="43" t="n"/>
      <c r="AR153" s="43" t="n"/>
      <c r="AS153" s="43" t="n"/>
      <c r="AT153" s="43" t="n"/>
      <c r="AU153" s="43" t="n"/>
      <c r="AV153" s="43" t="n"/>
      <c r="AW153" s="43" t="n"/>
      <c r="AX153" s="43" t="n"/>
      <c r="AY153" s="43" t="n"/>
      <c r="AZ153" s="43" t="n"/>
      <c r="BA153" s="43" t="n"/>
      <c r="BB153" s="43" t="n"/>
      <c r="BC153" s="43" t="n"/>
      <c r="BD153" s="43" t="n"/>
      <c r="BE153" s="43" t="n"/>
      <c r="BF153" s="43" t="n"/>
      <c r="BG153" s="43" t="n"/>
      <c r="BH153" s="43" t="n"/>
    </row>
    <row r="154" ht="15" customHeight="1"/>
    <row r="155" ht="15" customHeight="1"/>
    <row r="156" ht="15" customHeight="1">
      <c r="B156" s="40" t="inlineStr">
        <is>
          <t>MUTABAKAT DURUMU</t>
        </is>
      </c>
      <c r="C156" s="41" t="n"/>
      <c r="D156" s="41" t="n"/>
      <c r="E156" s="41" t="n"/>
      <c r="F156" s="41" t="n"/>
      <c r="G156" s="41" t="n"/>
      <c r="H156" s="41" t="n"/>
      <c r="I156" s="41" t="n"/>
      <c r="J156" s="41" t="n"/>
      <c r="K156" s="41" t="n"/>
      <c r="L156" s="41" t="n"/>
      <c r="M156" s="41" t="n"/>
      <c r="N156" s="41" t="n"/>
      <c r="O156" s="41" t="n"/>
      <c r="P156" s="41" t="n"/>
      <c r="Q156" s="41" t="n"/>
      <c r="R156" s="41" t="n"/>
      <c r="S156" s="41" t="n"/>
      <c r="U156" s="40" t="inlineStr">
        <is>
          <t>PROJEKSİYON RİSKİ</t>
        </is>
      </c>
      <c r="V156" s="41" t="n"/>
      <c r="W156" s="41" t="n"/>
      <c r="X156" s="41" t="n"/>
      <c r="Y156" s="41" t="n"/>
      <c r="Z156" s="41" t="n"/>
      <c r="AA156" s="41" t="n"/>
      <c r="AB156" s="41" t="n"/>
      <c r="AC156" s="41" t="n"/>
      <c r="AD156" s="41" t="n"/>
      <c r="AE156" s="41" t="n"/>
      <c r="AF156" s="41" t="n"/>
      <c r="AG156" s="41" t="n"/>
      <c r="AH156" s="41" t="n"/>
      <c r="AI156" s="41" t="n"/>
      <c r="AJ156" s="41" t="n"/>
      <c r="AK156" s="41" t="n"/>
      <c r="AL156" s="41" t="n"/>
      <c r="AM156" s="41" t="n"/>
      <c r="AN156" s="41" t="n"/>
      <c r="AO156" s="41" t="n"/>
      <c r="AP156" s="41" t="n"/>
      <c r="AQ156" s="41" t="n"/>
      <c r="AR156" s="41" t="n"/>
      <c r="AS156" s="41" t="n"/>
      <c r="AT156" s="41" t="n"/>
      <c r="AU156" s="41" t="n"/>
      <c r="AV156" s="41" t="n"/>
      <c r="AW156" s="41" t="n"/>
      <c r="AX156" s="41" t="n"/>
      <c r="AY156" s="41" t="n"/>
      <c r="AZ156" s="41" t="n"/>
      <c r="BA156" s="41" t="n"/>
      <c r="BB156" s="41" t="n"/>
      <c r="BC156" s="41" t="n"/>
      <c r="BD156" s="41" t="n"/>
      <c r="BE156" s="41" t="n"/>
      <c r="BF156" s="41" t="n"/>
      <c r="BG156" s="41" t="n"/>
      <c r="BH156" s="41" t="n"/>
    </row>
    <row r="157" ht="15" customHeight="1">
      <c r="B157" s="44" t="inlineStr">
        <is>
          <t>Bitiş + 7 gün kuralına göre</t>
        </is>
      </c>
      <c r="U157" s="44" t="inlineStr">
        <is>
          <t>Geçen süre oranı ile ilerleme arasındaki fark %30'ı aşan işler</t>
        </is>
      </c>
    </row>
    <row r="158" ht="15" customHeight="1">
      <c r="B158" s="43" t="n"/>
      <c r="C158" s="43" t="n"/>
      <c r="D158" s="43" t="n"/>
      <c r="E158" s="43" t="n"/>
      <c r="F158" s="43" t="n"/>
      <c r="G158" s="43" t="n"/>
      <c r="H158" s="43" t="n"/>
      <c r="I158" s="43" t="n"/>
      <c r="J158" s="43" t="n"/>
      <c r="K158" s="43" t="n"/>
      <c r="L158" s="43" t="n"/>
      <c r="M158" s="43" t="n"/>
      <c r="N158" s="43" t="n"/>
      <c r="O158" s="43" t="n"/>
      <c r="P158" s="43" t="n"/>
      <c r="Q158" s="43" t="n"/>
      <c r="R158" s="43" t="n"/>
      <c r="S158" s="43" t="n"/>
      <c r="U158" s="43" t="n"/>
      <c r="V158" s="43" t="n"/>
      <c r="W158" s="43" t="n"/>
      <c r="X158" s="43" t="n"/>
      <c r="Y158" s="43" t="n"/>
      <c r="Z158" s="43" t="n"/>
      <c r="AA158" s="43" t="n"/>
      <c r="AB158" s="43" t="n"/>
      <c r="AC158" s="43" t="n"/>
      <c r="AD158" s="43" t="n"/>
      <c r="AE158" s="43" t="n"/>
      <c r="AF158" s="43" t="n"/>
      <c r="AG158" s="43" t="n"/>
      <c r="AH158" s="43" t="n"/>
      <c r="AI158" s="43" t="n"/>
      <c r="AJ158" s="43" t="n"/>
      <c r="AK158" s="43" t="n"/>
      <c r="AL158" s="43" t="n"/>
      <c r="AM158" s="43" t="n"/>
      <c r="AN158" s="43" t="n"/>
      <c r="AO158" s="43" t="n"/>
      <c r="AP158" s="43" t="n"/>
      <c r="AQ158" s="43" t="n"/>
      <c r="AR158" s="43" t="n"/>
      <c r="AS158" s="43" t="n"/>
      <c r="AT158" s="43" t="n"/>
      <c r="AU158" s="43" t="n"/>
      <c r="AV158" s="43" t="n"/>
      <c r="AW158" s="43" t="n"/>
      <c r="AX158" s="43" t="n"/>
      <c r="AY158" s="43" t="n"/>
      <c r="AZ158" s="43" t="n"/>
      <c r="BA158" s="43" t="n"/>
      <c r="BB158" s="43" t="n"/>
      <c r="BC158" s="43" t="n"/>
      <c r="BD158" s="43" t="n"/>
      <c r="BE158" s="43" t="n"/>
      <c r="BF158" s="43" t="n"/>
      <c r="BG158" s="43" t="n"/>
      <c r="BH158" s="43" t="n"/>
    </row>
    <row r="159" ht="15" customHeight="1">
      <c r="B159" s="43" t="n"/>
      <c r="C159" s="43" t="n"/>
      <c r="D159" s="43" t="n"/>
      <c r="E159" s="43" t="n"/>
      <c r="F159" s="43" t="n"/>
      <c r="G159" s="43" t="n"/>
      <c r="H159" s="43" t="n"/>
      <c r="I159" s="43" t="n"/>
      <c r="J159" s="43" t="n"/>
      <c r="K159" s="43" t="n"/>
      <c r="L159" s="43" t="n"/>
      <c r="M159" s="43" t="n"/>
      <c r="N159" s="43" t="n"/>
      <c r="O159" s="43" t="n"/>
      <c r="P159" s="43" t="n"/>
      <c r="Q159" s="43" t="n"/>
      <c r="R159" s="43" t="n"/>
      <c r="S159" s="43" t="n"/>
      <c r="U159" s="43" t="n"/>
      <c r="V159" s="43" t="n"/>
      <c r="W159" s="43" t="n"/>
      <c r="X159" s="43" t="n"/>
      <c r="Y159" s="43" t="n"/>
      <c r="Z159" s="43" t="n"/>
      <c r="AA159" s="43" t="n"/>
      <c r="AB159" s="43" t="n"/>
      <c r="AC159" s="43" t="n"/>
      <c r="AD159" s="43" t="n"/>
      <c r="AE159" s="43" t="n"/>
      <c r="AF159" s="43" t="n"/>
      <c r="AG159" s="43" t="n"/>
      <c r="AH159" s="43" t="n"/>
      <c r="AI159" s="43" t="n"/>
      <c r="AJ159" s="43" t="n"/>
      <c r="AK159" s="43" t="n"/>
      <c r="AL159" s="43" t="n"/>
      <c r="AM159" s="43" t="n"/>
      <c r="AN159" s="43" t="n"/>
      <c r="AO159" s="43" t="n"/>
      <c r="AP159" s="43" t="n"/>
      <c r="AQ159" s="43" t="n"/>
      <c r="AR159" s="43" t="n"/>
      <c r="AS159" s="43" t="n"/>
      <c r="AT159" s="43" t="n"/>
      <c r="AU159" s="43" t="n"/>
      <c r="AV159" s="43" t="n"/>
      <c r="AW159" s="43" t="n"/>
      <c r="AX159" s="43" t="n"/>
      <c r="AY159" s="43" t="n"/>
      <c r="AZ159" s="43" t="n"/>
      <c r="BA159" s="43" t="n"/>
      <c r="BB159" s="43" t="n"/>
      <c r="BC159" s="43" t="n"/>
      <c r="BD159" s="43" t="n"/>
      <c r="BE159" s="43" t="n"/>
      <c r="BF159" s="43" t="n"/>
      <c r="BG159" s="43" t="n"/>
      <c r="BH159" s="43" t="n"/>
    </row>
    <row r="160" ht="15" customHeight="1">
      <c r="B160" s="43" t="n"/>
      <c r="C160" s="43" t="n"/>
      <c r="D160" s="43" t="n"/>
      <c r="E160" s="43" t="n"/>
      <c r="F160" s="43" t="n"/>
      <c r="G160" s="43" t="n"/>
      <c r="H160" s="43" t="n"/>
      <c r="I160" s="43" t="n"/>
      <c r="J160" s="43" t="n"/>
      <c r="K160" s="43" t="n"/>
      <c r="L160" s="43" t="n"/>
      <c r="M160" s="43" t="n"/>
      <c r="N160" s="43" t="n"/>
      <c r="O160" s="43" t="n"/>
      <c r="P160" s="43" t="n"/>
      <c r="Q160" s="43" t="n"/>
      <c r="R160" s="43" t="n"/>
      <c r="S160" s="43" t="n"/>
      <c r="U160" s="43" t="n"/>
      <c r="V160" s="43" t="n"/>
      <c r="W160" s="43" t="n"/>
      <c r="X160" s="43" t="n"/>
      <c r="Y160" s="43" t="n"/>
      <c r="Z160" s="43" t="n"/>
      <c r="AA160" s="43" t="n"/>
      <c r="AB160" s="43" t="n"/>
      <c r="AC160" s="43" t="n"/>
      <c r="AD160" s="43" t="n"/>
      <c r="AE160" s="43" t="n"/>
      <c r="AF160" s="43" t="n"/>
      <c r="AG160" s="43" t="n"/>
      <c r="AH160" s="43" t="n"/>
      <c r="AI160" s="43" t="n"/>
      <c r="AJ160" s="43" t="n"/>
      <c r="AK160" s="43" t="n"/>
      <c r="AL160" s="43" t="n"/>
      <c r="AM160" s="43" t="n"/>
      <c r="AN160" s="43" t="n"/>
      <c r="AO160" s="43" t="n"/>
      <c r="AP160" s="43" t="n"/>
      <c r="AQ160" s="43" t="n"/>
      <c r="AR160" s="43" t="n"/>
      <c r="AS160" s="43" t="n"/>
      <c r="AT160" s="43" t="n"/>
      <c r="AU160" s="43" t="n"/>
      <c r="AV160" s="43" t="n"/>
      <c r="AW160" s="43" t="n"/>
      <c r="AX160" s="43" t="n"/>
      <c r="AY160" s="43" t="n"/>
      <c r="AZ160" s="43" t="n"/>
      <c r="BA160" s="43" t="n"/>
      <c r="BB160" s="43" t="n"/>
      <c r="BC160" s="43" t="n"/>
      <c r="BD160" s="43" t="n"/>
      <c r="BE160" s="43" t="n"/>
      <c r="BF160" s="43" t="n"/>
      <c r="BG160" s="43" t="n"/>
      <c r="BH160" s="43" t="n"/>
    </row>
    <row r="161" ht="15" customHeight="1">
      <c r="B161" s="43" t="n"/>
      <c r="C161" s="43" t="n"/>
      <c r="D161" s="43" t="n"/>
      <c r="E161" s="43" t="n"/>
      <c r="F161" s="43" t="n"/>
      <c r="G161" s="43" t="n"/>
      <c r="H161" s="43" t="n"/>
      <c r="I161" s="43" t="n"/>
      <c r="J161" s="43" t="n"/>
      <c r="K161" s="43" t="n"/>
      <c r="L161" s="43" t="n"/>
      <c r="M161" s="43" t="n"/>
      <c r="N161" s="43" t="n"/>
      <c r="O161" s="43" t="n"/>
      <c r="P161" s="43" t="n"/>
      <c r="Q161" s="43" t="n"/>
      <c r="R161" s="43" t="n"/>
      <c r="S161" s="43" t="n"/>
      <c r="U161" s="43" t="n"/>
      <c r="V161" s="43" t="n"/>
      <c r="W161" s="43" t="n"/>
      <c r="X161" s="43" t="n"/>
      <c r="Y161" s="43" t="n"/>
      <c r="Z161" s="43" t="n"/>
      <c r="AA161" s="43" t="n"/>
      <c r="AB161" s="43" t="n"/>
      <c r="AC161" s="43" t="n"/>
      <c r="AD161" s="43" t="n"/>
      <c r="AE161" s="43" t="n"/>
      <c r="AF161" s="43" t="n"/>
      <c r="AG161" s="43" t="n"/>
      <c r="AH161" s="43" t="n"/>
      <c r="AI161" s="43" t="n"/>
      <c r="AJ161" s="43" t="n"/>
      <c r="AK161" s="43" t="n"/>
      <c r="AL161" s="43" t="n"/>
      <c r="AM161" s="43" t="n"/>
      <c r="AN161" s="43" t="n"/>
      <c r="AO161" s="43" t="n"/>
      <c r="AP161" s="43" t="n"/>
      <c r="AQ161" s="43" t="n"/>
      <c r="AR161" s="43" t="n"/>
      <c r="AS161" s="43" t="n"/>
      <c r="AT161" s="43" t="n"/>
      <c r="AU161" s="43" t="n"/>
      <c r="AV161" s="43" t="n"/>
      <c r="AW161" s="43" t="n"/>
      <c r="AX161" s="43" t="n"/>
      <c r="AY161" s="43" t="n"/>
      <c r="AZ161" s="43" t="n"/>
      <c r="BA161" s="43" t="n"/>
      <c r="BB161" s="43" t="n"/>
      <c r="BC161" s="43" t="n"/>
      <c r="BD161" s="43" t="n"/>
      <c r="BE161" s="43" t="n"/>
      <c r="BF161" s="43" t="n"/>
      <c r="BG161" s="43" t="n"/>
      <c r="BH161" s="43" t="n"/>
    </row>
    <row r="162" ht="15" customHeight="1">
      <c r="B162" s="43" t="n"/>
      <c r="C162" s="43" t="n"/>
      <c r="D162" s="43" t="n"/>
      <c r="E162" s="43" t="n"/>
      <c r="F162" s="43" t="n"/>
      <c r="G162" s="43" t="n"/>
      <c r="H162" s="43" t="n"/>
      <c r="I162" s="43" t="n"/>
      <c r="J162" s="43" t="n"/>
      <c r="K162" s="43" t="n"/>
      <c r="L162" s="43" t="n"/>
      <c r="M162" s="43" t="n"/>
      <c r="N162" s="43" t="n"/>
      <c r="O162" s="43" t="n"/>
      <c r="P162" s="43" t="n"/>
      <c r="Q162" s="43" t="n"/>
      <c r="R162" s="43" t="n"/>
      <c r="S162" s="43" t="n"/>
      <c r="U162" s="43" t="n"/>
      <c r="V162" s="43" t="n"/>
      <c r="W162" s="43" t="n"/>
      <c r="X162" s="43" t="n"/>
      <c r="Y162" s="43" t="n"/>
      <c r="Z162" s="43" t="n"/>
      <c r="AA162" s="43" t="n"/>
      <c r="AB162" s="43" t="n"/>
      <c r="AC162" s="43" t="n"/>
      <c r="AD162" s="43" t="n"/>
      <c r="AE162" s="43" t="n"/>
      <c r="AF162" s="43" t="n"/>
      <c r="AG162" s="43" t="n"/>
      <c r="AH162" s="43" t="n"/>
      <c r="AI162" s="43" t="n"/>
      <c r="AJ162" s="43" t="n"/>
      <c r="AK162" s="43" t="n"/>
      <c r="AL162" s="43" t="n"/>
      <c r="AM162" s="43" t="n"/>
      <c r="AN162" s="43" t="n"/>
      <c r="AO162" s="43" t="n"/>
      <c r="AP162" s="43" t="n"/>
      <c r="AQ162" s="43" t="n"/>
      <c r="AR162" s="43" t="n"/>
      <c r="AS162" s="43" t="n"/>
      <c r="AT162" s="43" t="n"/>
      <c r="AU162" s="43" t="n"/>
      <c r="AV162" s="43" t="n"/>
      <c r="AW162" s="43" t="n"/>
      <c r="AX162" s="43" t="n"/>
      <c r="AY162" s="43" t="n"/>
      <c r="AZ162" s="43" t="n"/>
      <c r="BA162" s="43" t="n"/>
      <c r="BB162" s="43" t="n"/>
      <c r="BC162" s="43" t="n"/>
      <c r="BD162" s="43" t="n"/>
      <c r="BE162" s="43" t="n"/>
      <c r="BF162" s="43" t="n"/>
      <c r="BG162" s="43" t="n"/>
      <c r="BH162" s="43" t="n"/>
    </row>
    <row r="163" ht="15" customHeight="1">
      <c r="B163" s="43" t="n"/>
      <c r="C163" s="43" t="n"/>
      <c r="D163" s="43" t="n"/>
      <c r="E163" s="43" t="n"/>
      <c r="F163" s="43" t="n"/>
      <c r="G163" s="43" t="n"/>
      <c r="H163" s="43" t="n"/>
      <c r="I163" s="43" t="n"/>
      <c r="J163" s="43" t="n"/>
      <c r="K163" s="43" t="n"/>
      <c r="L163" s="43" t="n"/>
      <c r="M163" s="43" t="n"/>
      <c r="N163" s="43" t="n"/>
      <c r="O163" s="43" t="n"/>
      <c r="P163" s="43" t="n"/>
      <c r="Q163" s="43" t="n"/>
      <c r="R163" s="43" t="n"/>
      <c r="S163" s="43" t="n"/>
      <c r="U163" s="43" t="n"/>
      <c r="V163" s="43" t="n"/>
      <c r="W163" s="43" t="n"/>
      <c r="X163" s="43" t="n"/>
      <c r="Y163" s="43" t="n"/>
      <c r="Z163" s="43" t="n"/>
      <c r="AA163" s="43" t="n"/>
      <c r="AB163" s="43" t="n"/>
      <c r="AC163" s="43" t="n"/>
      <c r="AD163" s="43" t="n"/>
      <c r="AE163" s="43" t="n"/>
      <c r="AF163" s="43" t="n"/>
      <c r="AG163" s="43" t="n"/>
      <c r="AH163" s="43" t="n"/>
      <c r="AI163" s="43" t="n"/>
      <c r="AJ163" s="43" t="n"/>
      <c r="AK163" s="43" t="n"/>
      <c r="AL163" s="43" t="n"/>
      <c r="AM163" s="43" t="n"/>
      <c r="AN163" s="43" t="n"/>
      <c r="AO163" s="43" t="n"/>
      <c r="AP163" s="43" t="n"/>
      <c r="AQ163" s="43" t="n"/>
      <c r="AR163" s="43" t="n"/>
      <c r="AS163" s="43" t="n"/>
      <c r="AT163" s="43" t="n"/>
      <c r="AU163" s="43" t="n"/>
      <c r="AV163" s="43" t="n"/>
      <c r="AW163" s="43" t="n"/>
      <c r="AX163" s="43" t="n"/>
      <c r="AY163" s="43" t="n"/>
      <c r="AZ163" s="43" t="n"/>
      <c r="BA163" s="43" t="n"/>
      <c r="BB163" s="43" t="n"/>
      <c r="BC163" s="43" t="n"/>
      <c r="BD163" s="43" t="n"/>
      <c r="BE163" s="43" t="n"/>
      <c r="BF163" s="43" t="n"/>
      <c r="BG163" s="43" t="n"/>
      <c r="BH163" s="43" t="n"/>
    </row>
    <row r="164" ht="15" customHeight="1">
      <c r="B164" s="43" t="n"/>
      <c r="C164" s="43" t="n"/>
      <c r="D164" s="43" t="n"/>
      <c r="E164" s="43" t="n"/>
      <c r="F164" s="43" t="n"/>
      <c r="G164" s="43" t="n"/>
      <c r="H164" s="43" t="n"/>
      <c r="I164" s="43" t="n"/>
      <c r="J164" s="43" t="n"/>
      <c r="K164" s="43" t="n"/>
      <c r="L164" s="43" t="n"/>
      <c r="M164" s="43" t="n"/>
      <c r="N164" s="43" t="n"/>
      <c r="O164" s="43" t="n"/>
      <c r="P164" s="43" t="n"/>
      <c r="Q164" s="43" t="n"/>
      <c r="R164" s="43" t="n"/>
      <c r="S164" s="43" t="n"/>
      <c r="U164" s="43" t="n"/>
      <c r="V164" s="43" t="n"/>
      <c r="W164" s="43" t="n"/>
      <c r="X164" s="43" t="n"/>
      <c r="Y164" s="43" t="n"/>
      <c r="Z164" s="43" t="n"/>
      <c r="AA164" s="43" t="n"/>
      <c r="AB164" s="43" t="n"/>
      <c r="AC164" s="43" t="n"/>
      <c r="AD164" s="43" t="n"/>
      <c r="AE164" s="43" t="n"/>
      <c r="AF164" s="43" t="n"/>
      <c r="AG164" s="43" t="n"/>
      <c r="AH164" s="43" t="n"/>
      <c r="AI164" s="43" t="n"/>
      <c r="AJ164" s="43" t="n"/>
      <c r="AK164" s="43" t="n"/>
      <c r="AL164" s="43" t="n"/>
      <c r="AM164" s="43" t="n"/>
      <c r="AN164" s="43" t="n"/>
      <c r="AO164" s="43" t="n"/>
      <c r="AP164" s="43" t="n"/>
      <c r="AQ164" s="43" t="n"/>
      <c r="AR164" s="43" t="n"/>
      <c r="AS164" s="43" t="n"/>
      <c r="AT164" s="43" t="n"/>
      <c r="AU164" s="43" t="n"/>
      <c r="AV164" s="43" t="n"/>
      <c r="AW164" s="43" t="n"/>
      <c r="AX164" s="43" t="n"/>
      <c r="AY164" s="43" t="n"/>
      <c r="AZ164" s="43" t="n"/>
      <c r="BA164" s="43" t="n"/>
      <c r="BB164" s="43" t="n"/>
      <c r="BC164" s="43" t="n"/>
      <c r="BD164" s="43" t="n"/>
      <c r="BE164" s="43" t="n"/>
      <c r="BF164" s="43" t="n"/>
      <c r="BG164" s="43" t="n"/>
      <c r="BH164" s="43" t="n"/>
    </row>
    <row r="165" ht="15" customHeight="1">
      <c r="B165" s="43" t="n"/>
      <c r="C165" s="43" t="n"/>
      <c r="D165" s="43" t="n"/>
      <c r="E165" s="43" t="n"/>
      <c r="F165" s="43" t="n"/>
      <c r="G165" s="43" t="n"/>
      <c r="H165" s="43" t="n"/>
      <c r="I165" s="43" t="n"/>
      <c r="J165" s="43" t="n"/>
      <c r="K165" s="43" t="n"/>
      <c r="L165" s="43" t="n"/>
      <c r="M165" s="43" t="n"/>
      <c r="N165" s="43" t="n"/>
      <c r="O165" s="43" t="n"/>
      <c r="P165" s="43" t="n"/>
      <c r="Q165" s="43" t="n"/>
      <c r="R165" s="43" t="n"/>
      <c r="S165" s="43" t="n"/>
      <c r="U165" s="43" t="n"/>
      <c r="V165" s="43" t="n"/>
      <c r="W165" s="43" t="n"/>
      <c r="X165" s="43" t="n"/>
      <c r="Y165" s="43" t="n"/>
      <c r="Z165" s="43" t="n"/>
      <c r="AA165" s="43" t="n"/>
      <c r="AB165" s="43" t="n"/>
      <c r="AC165" s="43" t="n"/>
      <c r="AD165" s="43" t="n"/>
      <c r="AE165" s="43" t="n"/>
      <c r="AF165" s="43" t="n"/>
      <c r="AG165" s="43" t="n"/>
      <c r="AH165" s="43" t="n"/>
      <c r="AI165" s="43" t="n"/>
      <c r="AJ165" s="43" t="n"/>
      <c r="AK165" s="43" t="n"/>
      <c r="AL165" s="43" t="n"/>
      <c r="AM165" s="43" t="n"/>
      <c r="AN165" s="43" t="n"/>
      <c r="AO165" s="43" t="n"/>
      <c r="AP165" s="43" t="n"/>
      <c r="AQ165" s="43" t="n"/>
      <c r="AR165" s="43" t="n"/>
      <c r="AS165" s="43" t="n"/>
      <c r="AT165" s="43" t="n"/>
      <c r="AU165" s="43" t="n"/>
      <c r="AV165" s="43" t="n"/>
      <c r="AW165" s="43" t="n"/>
      <c r="AX165" s="43" t="n"/>
      <c r="AY165" s="43" t="n"/>
      <c r="AZ165" s="43" t="n"/>
      <c r="BA165" s="43" t="n"/>
      <c r="BB165" s="43" t="n"/>
      <c r="BC165" s="43" t="n"/>
      <c r="BD165" s="43" t="n"/>
      <c r="BE165" s="43" t="n"/>
      <c r="BF165" s="43" t="n"/>
      <c r="BG165" s="43" t="n"/>
      <c r="BH165" s="43" t="n"/>
    </row>
    <row r="166" ht="15" customHeight="1">
      <c r="B166" s="43" t="n"/>
      <c r="C166" s="43" t="n"/>
      <c r="D166" s="43" t="n"/>
      <c r="E166" s="43" t="n"/>
      <c r="F166" s="43" t="n"/>
      <c r="G166" s="43" t="n"/>
      <c r="H166" s="43" t="n"/>
      <c r="I166" s="43" t="n"/>
      <c r="J166" s="43" t="n"/>
      <c r="K166" s="43" t="n"/>
      <c r="L166" s="43" t="n"/>
      <c r="M166" s="43" t="n"/>
      <c r="N166" s="43" t="n"/>
      <c r="O166" s="43" t="n"/>
      <c r="P166" s="43" t="n"/>
      <c r="Q166" s="43" t="n"/>
      <c r="R166" s="43" t="n"/>
      <c r="S166" s="43" t="n"/>
      <c r="U166" s="43" t="n"/>
      <c r="V166" s="43" t="n"/>
      <c r="W166" s="43" t="n"/>
      <c r="X166" s="43" t="n"/>
      <c r="Y166" s="43" t="n"/>
      <c r="Z166" s="43" t="n"/>
      <c r="AA166" s="43" t="n"/>
      <c r="AB166" s="43" t="n"/>
      <c r="AC166" s="43" t="n"/>
      <c r="AD166" s="43" t="n"/>
      <c r="AE166" s="43" t="n"/>
      <c r="AF166" s="43" t="n"/>
      <c r="AG166" s="43" t="n"/>
      <c r="AH166" s="43" t="n"/>
      <c r="AI166" s="43" t="n"/>
      <c r="AJ166" s="43" t="n"/>
      <c r="AK166" s="43" t="n"/>
      <c r="AL166" s="43" t="n"/>
      <c r="AM166" s="43" t="n"/>
      <c r="AN166" s="43" t="n"/>
      <c r="AO166" s="43" t="n"/>
      <c r="AP166" s="43" t="n"/>
      <c r="AQ166" s="43" t="n"/>
      <c r="AR166" s="43" t="n"/>
      <c r="AS166" s="43" t="n"/>
      <c r="AT166" s="43" t="n"/>
      <c r="AU166" s="43" t="n"/>
      <c r="AV166" s="43" t="n"/>
      <c r="AW166" s="43" t="n"/>
      <c r="AX166" s="43" t="n"/>
      <c r="AY166" s="43" t="n"/>
      <c r="AZ166" s="43" t="n"/>
      <c r="BA166" s="43" t="n"/>
      <c r="BB166" s="43" t="n"/>
      <c r="BC166" s="43" t="n"/>
      <c r="BD166" s="43" t="n"/>
      <c r="BE166" s="43" t="n"/>
      <c r="BF166" s="43" t="n"/>
      <c r="BG166" s="43" t="n"/>
      <c r="BH166" s="43" t="n"/>
    </row>
    <row r="167" ht="15" customHeight="1">
      <c r="B167" s="43" t="n"/>
      <c r="C167" s="43" t="n"/>
      <c r="D167" s="43" t="n"/>
      <c r="E167" s="43" t="n"/>
      <c r="F167" s="43" t="n"/>
      <c r="G167" s="43" t="n"/>
      <c r="H167" s="43" t="n"/>
      <c r="I167" s="43" t="n"/>
      <c r="J167" s="43" t="n"/>
      <c r="K167" s="43" t="n"/>
      <c r="L167" s="43" t="n"/>
      <c r="M167" s="43" t="n"/>
      <c r="N167" s="43" t="n"/>
      <c r="O167" s="43" t="n"/>
      <c r="P167" s="43" t="n"/>
      <c r="Q167" s="43" t="n"/>
      <c r="R167" s="43" t="n"/>
      <c r="S167" s="43" t="n"/>
      <c r="U167" s="43" t="n"/>
      <c r="V167" s="43" t="n"/>
      <c r="W167" s="43" t="n"/>
      <c r="X167" s="43" t="n"/>
      <c r="Y167" s="43" t="n"/>
      <c r="Z167" s="43" t="n"/>
      <c r="AA167" s="43" t="n"/>
      <c r="AB167" s="43" t="n"/>
      <c r="AC167" s="43" t="n"/>
      <c r="AD167" s="43" t="n"/>
      <c r="AE167" s="43" t="n"/>
      <c r="AF167" s="43" t="n"/>
      <c r="AG167" s="43" t="n"/>
      <c r="AH167" s="43" t="n"/>
      <c r="AI167" s="43" t="n"/>
      <c r="AJ167" s="43" t="n"/>
      <c r="AK167" s="43" t="n"/>
      <c r="AL167" s="43" t="n"/>
      <c r="AM167" s="43" t="n"/>
      <c r="AN167" s="43" t="n"/>
      <c r="AO167" s="43" t="n"/>
      <c r="AP167" s="43" t="n"/>
      <c r="AQ167" s="43" t="n"/>
      <c r="AR167" s="43" t="n"/>
      <c r="AS167" s="43" t="n"/>
      <c r="AT167" s="43" t="n"/>
      <c r="AU167" s="43" t="n"/>
      <c r="AV167" s="43" t="n"/>
      <c r="AW167" s="43" t="n"/>
      <c r="AX167" s="43" t="n"/>
      <c r="AY167" s="43" t="n"/>
      <c r="AZ167" s="43" t="n"/>
      <c r="BA167" s="43" t="n"/>
      <c r="BB167" s="43" t="n"/>
      <c r="BC167" s="43" t="n"/>
      <c r="BD167" s="43" t="n"/>
      <c r="BE167" s="43" t="n"/>
      <c r="BF167" s="43" t="n"/>
      <c r="BG167" s="43" t="n"/>
      <c r="BH167" s="43" t="n"/>
    </row>
    <row r="168" ht="15" customHeight="1">
      <c r="B168" s="43" t="n"/>
      <c r="C168" s="43" t="n"/>
      <c r="D168" s="43" t="n"/>
      <c r="E168" s="43" t="n"/>
      <c r="F168" s="43" t="n"/>
      <c r="G168" s="43" t="n"/>
      <c r="H168" s="43" t="n"/>
      <c r="I168" s="43" t="n"/>
      <c r="J168" s="43" t="n"/>
      <c r="K168" s="43" t="n"/>
      <c r="L168" s="43" t="n"/>
      <c r="M168" s="43" t="n"/>
      <c r="N168" s="43" t="n"/>
      <c r="O168" s="43" t="n"/>
      <c r="P168" s="43" t="n"/>
      <c r="Q168" s="43" t="n"/>
      <c r="R168" s="43" t="n"/>
      <c r="S168" s="43" t="n"/>
      <c r="U168" s="43" t="n"/>
      <c r="V168" s="43" t="n"/>
      <c r="W168" s="43" t="n"/>
      <c r="X168" s="43" t="n"/>
      <c r="Y168" s="43" t="n"/>
      <c r="Z168" s="43" t="n"/>
      <c r="AA168" s="43" t="n"/>
      <c r="AB168" s="43" t="n"/>
      <c r="AC168" s="43" t="n"/>
      <c r="AD168" s="43" t="n"/>
      <c r="AE168" s="43" t="n"/>
      <c r="AF168" s="43" t="n"/>
      <c r="AG168" s="43" t="n"/>
      <c r="AH168" s="43" t="n"/>
      <c r="AI168" s="43" t="n"/>
      <c r="AJ168" s="43" t="n"/>
      <c r="AK168" s="43" t="n"/>
      <c r="AL168" s="43" t="n"/>
      <c r="AM168" s="43" t="n"/>
      <c r="AN168" s="43" t="n"/>
      <c r="AO168" s="43" t="n"/>
      <c r="AP168" s="43" t="n"/>
      <c r="AQ168" s="43" t="n"/>
      <c r="AR168" s="43" t="n"/>
      <c r="AS168" s="43" t="n"/>
      <c r="AT168" s="43" t="n"/>
      <c r="AU168" s="43" t="n"/>
      <c r="AV168" s="43" t="n"/>
      <c r="AW168" s="43" t="n"/>
      <c r="AX168" s="43" t="n"/>
      <c r="AY168" s="43" t="n"/>
      <c r="AZ168" s="43" t="n"/>
      <c r="BA168" s="43" t="n"/>
      <c r="BB168" s="43" t="n"/>
      <c r="BC168" s="43" t="n"/>
      <c r="BD168" s="43" t="n"/>
      <c r="BE168" s="43" t="n"/>
      <c r="BF168" s="43" t="n"/>
      <c r="BG168" s="43" t="n"/>
      <c r="BH168" s="43" t="n"/>
    </row>
    <row r="169" ht="15" customHeight="1">
      <c r="B169" s="43" t="n"/>
      <c r="C169" s="43" t="n"/>
      <c r="D169" s="43" t="n"/>
      <c r="E169" s="43" t="n"/>
      <c r="F169" s="43" t="n"/>
      <c r="G169" s="43" t="n"/>
      <c r="H169" s="43" t="n"/>
      <c r="I169" s="43" t="n"/>
      <c r="J169" s="43" t="n"/>
      <c r="K169" s="43" t="n"/>
      <c r="L169" s="43" t="n"/>
      <c r="M169" s="43" t="n"/>
      <c r="N169" s="43" t="n"/>
      <c r="O169" s="43" t="n"/>
      <c r="P169" s="43" t="n"/>
      <c r="Q169" s="43" t="n"/>
      <c r="R169" s="43" t="n"/>
      <c r="S169" s="43" t="n"/>
      <c r="U169" s="43" t="n"/>
      <c r="V169" s="43" t="n"/>
      <c r="W169" s="43" t="n"/>
      <c r="X169" s="43" t="n"/>
      <c r="Y169" s="43" t="n"/>
      <c r="Z169" s="43" t="n"/>
      <c r="AA169" s="43" t="n"/>
      <c r="AB169" s="43" t="n"/>
      <c r="AC169" s="43" t="n"/>
      <c r="AD169" s="43" t="n"/>
      <c r="AE169" s="43" t="n"/>
      <c r="AF169" s="43" t="n"/>
      <c r="AG169" s="43" t="n"/>
      <c r="AH169" s="43" t="n"/>
      <c r="AI169" s="43" t="n"/>
      <c r="AJ169" s="43" t="n"/>
      <c r="AK169" s="43" t="n"/>
      <c r="AL169" s="43" t="n"/>
      <c r="AM169" s="43" t="n"/>
      <c r="AN169" s="43" t="n"/>
      <c r="AO169" s="43" t="n"/>
      <c r="AP169" s="43" t="n"/>
      <c r="AQ169" s="43" t="n"/>
      <c r="AR169" s="43" t="n"/>
      <c r="AS169" s="43" t="n"/>
      <c r="AT169" s="43" t="n"/>
      <c r="AU169" s="43" t="n"/>
      <c r="AV169" s="43" t="n"/>
      <c r="AW169" s="43" t="n"/>
      <c r="AX169" s="43" t="n"/>
      <c r="AY169" s="43" t="n"/>
      <c r="AZ169" s="43" t="n"/>
      <c r="BA169" s="43" t="n"/>
      <c r="BB169" s="43" t="n"/>
      <c r="BC169" s="43" t="n"/>
      <c r="BD169" s="43" t="n"/>
      <c r="BE169" s="43" t="n"/>
      <c r="BF169" s="43" t="n"/>
      <c r="BG169" s="43" t="n"/>
      <c r="BH169" s="43" t="n"/>
    </row>
    <row r="170" ht="15" customHeight="1">
      <c r="B170" s="43" t="n"/>
      <c r="C170" s="43" t="n"/>
      <c r="D170" s="43" t="n"/>
      <c r="E170" s="43" t="n"/>
      <c r="F170" s="43" t="n"/>
      <c r="G170" s="43" t="n"/>
      <c r="H170" s="43" t="n"/>
      <c r="I170" s="43" t="n"/>
      <c r="J170" s="43" t="n"/>
      <c r="K170" s="43" t="n"/>
      <c r="L170" s="43" t="n"/>
      <c r="M170" s="43" t="n"/>
      <c r="N170" s="43" t="n"/>
      <c r="O170" s="43" t="n"/>
      <c r="P170" s="43" t="n"/>
      <c r="Q170" s="43" t="n"/>
      <c r="R170" s="43" t="n"/>
      <c r="S170" s="43" t="n"/>
      <c r="U170" s="43" t="n"/>
      <c r="V170" s="43" t="n"/>
      <c r="W170" s="43" t="n"/>
      <c r="X170" s="43" t="n"/>
      <c r="Y170" s="43" t="n"/>
      <c r="Z170" s="43" t="n"/>
      <c r="AA170" s="43" t="n"/>
      <c r="AB170" s="43" t="n"/>
      <c r="AC170" s="43" t="n"/>
      <c r="AD170" s="43" t="n"/>
      <c r="AE170" s="43" t="n"/>
      <c r="AF170" s="43" t="n"/>
      <c r="AG170" s="43" t="n"/>
      <c r="AH170" s="43" t="n"/>
      <c r="AI170" s="43" t="n"/>
      <c r="AJ170" s="43" t="n"/>
      <c r="AK170" s="43" t="n"/>
      <c r="AL170" s="43" t="n"/>
      <c r="AM170" s="43" t="n"/>
      <c r="AN170" s="43" t="n"/>
      <c r="AO170" s="43" t="n"/>
      <c r="AP170" s="43" t="n"/>
      <c r="AQ170" s="43" t="n"/>
      <c r="AR170" s="43" t="n"/>
      <c r="AS170" s="43" t="n"/>
      <c r="AT170" s="43" t="n"/>
      <c r="AU170" s="43" t="n"/>
      <c r="AV170" s="43" t="n"/>
      <c r="AW170" s="43" t="n"/>
      <c r="AX170" s="43" t="n"/>
      <c r="AY170" s="43" t="n"/>
      <c r="AZ170" s="43" t="n"/>
      <c r="BA170" s="43" t="n"/>
      <c r="BB170" s="43" t="n"/>
      <c r="BC170" s="43" t="n"/>
      <c r="BD170" s="43" t="n"/>
      <c r="BE170" s="43" t="n"/>
      <c r="BF170" s="43" t="n"/>
      <c r="BG170" s="43" t="n"/>
      <c r="BH170" s="43" t="n"/>
    </row>
    <row r="171" ht="15" customHeight="1">
      <c r="B171" s="43" t="n"/>
      <c r="C171" s="43" t="n"/>
      <c r="D171" s="43" t="n"/>
      <c r="E171" s="43" t="n"/>
      <c r="F171" s="43" t="n"/>
      <c r="G171" s="43" t="n"/>
      <c r="H171" s="43" t="n"/>
      <c r="I171" s="43" t="n"/>
      <c r="J171" s="43" t="n"/>
      <c r="K171" s="43" t="n"/>
      <c r="L171" s="43" t="n"/>
      <c r="M171" s="43" t="n"/>
      <c r="N171" s="43" t="n"/>
      <c r="O171" s="43" t="n"/>
      <c r="P171" s="43" t="n"/>
      <c r="Q171" s="43" t="n"/>
      <c r="R171" s="43" t="n"/>
      <c r="S171" s="43" t="n"/>
      <c r="U171" s="43" t="n"/>
      <c r="V171" s="43" t="n"/>
      <c r="W171" s="43" t="n"/>
      <c r="X171" s="43" t="n"/>
      <c r="Y171" s="43" t="n"/>
      <c r="Z171" s="43" t="n"/>
      <c r="AA171" s="43" t="n"/>
      <c r="AB171" s="43" t="n"/>
      <c r="AC171" s="43" t="n"/>
      <c r="AD171" s="43" t="n"/>
      <c r="AE171" s="43" t="n"/>
      <c r="AF171" s="43" t="n"/>
      <c r="AG171" s="43" t="n"/>
      <c r="AH171" s="43" t="n"/>
      <c r="AI171" s="43" t="n"/>
      <c r="AJ171" s="43" t="n"/>
      <c r="AK171" s="43" t="n"/>
      <c r="AL171" s="43" t="n"/>
      <c r="AM171" s="43" t="n"/>
      <c r="AN171" s="43" t="n"/>
      <c r="AO171" s="43" t="n"/>
      <c r="AP171" s="43" t="n"/>
      <c r="AQ171" s="43" t="n"/>
      <c r="AR171" s="43" t="n"/>
      <c r="AS171" s="43" t="n"/>
      <c r="AT171" s="43" t="n"/>
      <c r="AU171" s="43" t="n"/>
      <c r="AV171" s="43" t="n"/>
      <c r="AW171" s="43" t="n"/>
      <c r="AX171" s="43" t="n"/>
      <c r="AY171" s="43" t="n"/>
      <c r="AZ171" s="43" t="n"/>
      <c r="BA171" s="43" t="n"/>
      <c r="BB171" s="43" t="n"/>
      <c r="BC171" s="43" t="n"/>
      <c r="BD171" s="43" t="n"/>
      <c r="BE171" s="43" t="n"/>
      <c r="BF171" s="43" t="n"/>
      <c r="BG171" s="43" t="n"/>
      <c r="BH171" s="43" t="n"/>
    </row>
    <row r="172" ht="15" customHeight="1">
      <c r="B172" s="43" t="n"/>
      <c r="C172" s="43" t="n"/>
      <c r="D172" s="43" t="n"/>
      <c r="E172" s="43" t="n"/>
      <c r="F172" s="43" t="n"/>
      <c r="G172" s="43" t="n"/>
      <c r="H172" s="43" t="n"/>
      <c r="I172" s="43" t="n"/>
      <c r="J172" s="43" t="n"/>
      <c r="K172" s="43" t="n"/>
      <c r="L172" s="43" t="n"/>
      <c r="M172" s="43" t="n"/>
      <c r="N172" s="43" t="n"/>
      <c r="O172" s="43" t="n"/>
      <c r="P172" s="43" t="n"/>
      <c r="Q172" s="43" t="n"/>
      <c r="R172" s="43" t="n"/>
      <c r="S172" s="43" t="n"/>
      <c r="U172" s="43" t="n"/>
      <c r="V172" s="43" t="n"/>
      <c r="W172" s="43" t="n"/>
      <c r="X172" s="43" t="n"/>
      <c r="Y172" s="43" t="n"/>
      <c r="Z172" s="43" t="n"/>
      <c r="AA172" s="43" t="n"/>
      <c r="AB172" s="43" t="n"/>
      <c r="AC172" s="43" t="n"/>
      <c r="AD172" s="43" t="n"/>
      <c r="AE172" s="43" t="n"/>
      <c r="AF172" s="43" t="n"/>
      <c r="AG172" s="43" t="n"/>
      <c r="AH172" s="43" t="n"/>
      <c r="AI172" s="43" t="n"/>
      <c r="AJ172" s="43" t="n"/>
      <c r="AK172" s="43" t="n"/>
      <c r="AL172" s="43" t="n"/>
      <c r="AM172" s="43" t="n"/>
      <c r="AN172" s="43" t="n"/>
      <c r="AO172" s="43" t="n"/>
      <c r="AP172" s="43" t="n"/>
      <c r="AQ172" s="43" t="n"/>
      <c r="AR172" s="43" t="n"/>
      <c r="AS172" s="43" t="n"/>
      <c r="AT172" s="43" t="n"/>
      <c r="AU172" s="43" t="n"/>
      <c r="AV172" s="43" t="n"/>
      <c r="AW172" s="43" t="n"/>
      <c r="AX172" s="43" t="n"/>
      <c r="AY172" s="43" t="n"/>
      <c r="AZ172" s="43" t="n"/>
      <c r="BA172" s="43" t="n"/>
      <c r="BB172" s="43" t="n"/>
      <c r="BC172" s="43" t="n"/>
      <c r="BD172" s="43" t="n"/>
      <c r="BE172" s="43" t="n"/>
      <c r="BF172" s="43" t="n"/>
      <c r="BG172" s="43" t="n"/>
      <c r="BH172" s="43" t="n"/>
    </row>
    <row r="173" ht="15" customHeight="1">
      <c r="B173" s="43" t="n"/>
      <c r="C173" s="43" t="n"/>
      <c r="D173" s="43" t="n"/>
      <c r="E173" s="43" t="n"/>
      <c r="F173" s="43" t="n"/>
      <c r="G173" s="43" t="n"/>
      <c r="H173" s="43" t="n"/>
      <c r="I173" s="43" t="n"/>
      <c r="J173" s="43" t="n"/>
      <c r="K173" s="43" t="n"/>
      <c r="L173" s="43" t="n"/>
      <c r="M173" s="43" t="n"/>
      <c r="N173" s="43" t="n"/>
      <c r="O173" s="43" t="n"/>
      <c r="P173" s="43" t="n"/>
      <c r="Q173" s="43" t="n"/>
      <c r="R173" s="43" t="n"/>
      <c r="S173" s="43" t="n"/>
      <c r="U173" s="43" t="n"/>
      <c r="V173" s="43" t="n"/>
      <c r="W173" s="43" t="n"/>
      <c r="X173" s="43" t="n"/>
      <c r="Y173" s="43" t="n"/>
      <c r="Z173" s="43" t="n"/>
      <c r="AA173" s="43" t="n"/>
      <c r="AB173" s="43" t="n"/>
      <c r="AC173" s="43" t="n"/>
      <c r="AD173" s="43" t="n"/>
      <c r="AE173" s="43" t="n"/>
      <c r="AF173" s="43" t="n"/>
      <c r="AG173" s="43" t="n"/>
      <c r="AH173" s="43" t="n"/>
      <c r="AI173" s="43" t="n"/>
      <c r="AJ173" s="43" t="n"/>
      <c r="AK173" s="43" t="n"/>
      <c r="AL173" s="43" t="n"/>
      <c r="AM173" s="43" t="n"/>
      <c r="AN173" s="43" t="n"/>
      <c r="AO173" s="43" t="n"/>
      <c r="AP173" s="43" t="n"/>
      <c r="AQ173" s="43" t="n"/>
      <c r="AR173" s="43" t="n"/>
      <c r="AS173" s="43" t="n"/>
      <c r="AT173" s="43" t="n"/>
      <c r="AU173" s="43" t="n"/>
      <c r="AV173" s="43" t="n"/>
      <c r="AW173" s="43" t="n"/>
      <c r="AX173" s="43" t="n"/>
      <c r="AY173" s="43" t="n"/>
      <c r="AZ173" s="43" t="n"/>
      <c r="BA173" s="43" t="n"/>
      <c r="BB173" s="43" t="n"/>
      <c r="BC173" s="43" t="n"/>
      <c r="BD173" s="43" t="n"/>
      <c r="BE173" s="43" t="n"/>
      <c r="BF173" s="43" t="n"/>
      <c r="BG173" s="43" t="n"/>
      <c r="BH173" s="43" t="n"/>
    </row>
    <row r="174" ht="15" customHeight="1">
      <c r="B174" s="43" t="n"/>
      <c r="C174" s="43" t="n"/>
      <c r="D174" s="43" t="n"/>
      <c r="E174" s="43" t="n"/>
      <c r="F174" s="43" t="n"/>
      <c r="G174" s="43" t="n"/>
      <c r="H174" s="43" t="n"/>
      <c r="I174" s="43" t="n"/>
      <c r="J174" s="43" t="n"/>
      <c r="K174" s="43" t="n"/>
      <c r="L174" s="43" t="n"/>
      <c r="M174" s="43" t="n"/>
      <c r="N174" s="43" t="n"/>
      <c r="O174" s="43" t="n"/>
      <c r="P174" s="43" t="n"/>
      <c r="Q174" s="43" t="n"/>
      <c r="R174" s="43" t="n"/>
      <c r="S174" s="43" t="n"/>
      <c r="U174" s="43" t="n"/>
      <c r="V174" s="43" t="n"/>
      <c r="W174" s="43" t="n"/>
      <c r="X174" s="43" t="n"/>
      <c r="Y174" s="43" t="n"/>
      <c r="Z174" s="43" t="n"/>
      <c r="AA174" s="43" t="n"/>
      <c r="AB174" s="43" t="n"/>
      <c r="AC174" s="43" t="n"/>
      <c r="AD174" s="43" t="n"/>
      <c r="AE174" s="43" t="n"/>
      <c r="AF174" s="43" t="n"/>
      <c r="AG174" s="43" t="n"/>
      <c r="AH174" s="43" t="n"/>
      <c r="AI174" s="43" t="n"/>
      <c r="AJ174" s="43" t="n"/>
      <c r="AK174" s="43" t="n"/>
      <c r="AL174" s="43" t="n"/>
      <c r="AM174" s="43" t="n"/>
      <c r="AN174" s="43" t="n"/>
      <c r="AO174" s="43" t="n"/>
      <c r="AP174" s="43" t="n"/>
      <c r="AQ174" s="43" t="n"/>
      <c r="AR174" s="43" t="n"/>
      <c r="AS174" s="43" t="n"/>
      <c r="AT174" s="43" t="n"/>
      <c r="AU174" s="43" t="n"/>
      <c r="AV174" s="43" t="n"/>
      <c r="AW174" s="43" t="n"/>
      <c r="AX174" s="43" t="n"/>
      <c r="AY174" s="43" t="n"/>
      <c r="AZ174" s="43" t="n"/>
      <c r="BA174" s="43" t="n"/>
      <c r="BB174" s="43" t="n"/>
      <c r="BC174" s="43" t="n"/>
      <c r="BD174" s="43" t="n"/>
      <c r="BE174" s="43" t="n"/>
      <c r="BF174" s="43" t="n"/>
      <c r="BG174" s="43" t="n"/>
      <c r="BH174" s="43" t="n"/>
    </row>
    <row r="175" ht="15" customHeight="1">
      <c r="B175" s="43" t="n"/>
      <c r="C175" s="43" t="n"/>
      <c r="D175" s="43" t="n"/>
      <c r="E175" s="43" t="n"/>
      <c r="F175" s="43" t="n"/>
      <c r="G175" s="43" t="n"/>
      <c r="H175" s="43" t="n"/>
      <c r="I175" s="43" t="n"/>
      <c r="J175" s="43" t="n"/>
      <c r="K175" s="43" t="n"/>
      <c r="L175" s="43" t="n"/>
      <c r="M175" s="43" t="n"/>
      <c r="N175" s="43" t="n"/>
      <c r="O175" s="43" t="n"/>
      <c r="P175" s="43" t="n"/>
      <c r="Q175" s="43" t="n"/>
      <c r="R175" s="43" t="n"/>
      <c r="S175" s="43" t="n"/>
      <c r="U175" s="43" t="n"/>
      <c r="V175" s="43" t="n"/>
      <c r="W175" s="43" t="n"/>
      <c r="X175" s="43" t="n"/>
      <c r="Y175" s="43" t="n"/>
      <c r="Z175" s="43" t="n"/>
      <c r="AA175" s="43" t="n"/>
      <c r="AB175" s="43" t="n"/>
      <c r="AC175" s="43" t="n"/>
      <c r="AD175" s="43" t="n"/>
      <c r="AE175" s="43" t="n"/>
      <c r="AF175" s="43" t="n"/>
      <c r="AG175" s="43" t="n"/>
      <c r="AH175" s="43" t="n"/>
      <c r="AI175" s="43" t="n"/>
      <c r="AJ175" s="43" t="n"/>
      <c r="AK175" s="43" t="n"/>
      <c r="AL175" s="43" t="n"/>
      <c r="AM175" s="43" t="n"/>
      <c r="AN175" s="43" t="n"/>
      <c r="AO175" s="43" t="n"/>
      <c r="AP175" s="43" t="n"/>
      <c r="AQ175" s="43" t="n"/>
      <c r="AR175" s="43" t="n"/>
      <c r="AS175" s="43" t="n"/>
      <c r="AT175" s="43" t="n"/>
      <c r="AU175" s="43" t="n"/>
      <c r="AV175" s="43" t="n"/>
      <c r="AW175" s="43" t="n"/>
      <c r="AX175" s="43" t="n"/>
      <c r="AY175" s="43" t="n"/>
      <c r="AZ175" s="43" t="n"/>
      <c r="BA175" s="43" t="n"/>
      <c r="BB175" s="43" t="n"/>
      <c r="BC175" s="43" t="n"/>
      <c r="BD175" s="43" t="n"/>
      <c r="BE175" s="43" t="n"/>
      <c r="BF175" s="43" t="n"/>
      <c r="BG175" s="43" t="n"/>
      <c r="BH175" s="43" t="n"/>
    </row>
    <row r="176" ht="15" customHeight="1">
      <c r="B176" s="43" t="n"/>
      <c r="C176" s="43" t="n"/>
      <c r="D176" s="43" t="n"/>
      <c r="E176" s="43" t="n"/>
      <c r="F176" s="43" t="n"/>
      <c r="G176" s="43" t="n"/>
      <c r="H176" s="43" t="n"/>
      <c r="I176" s="43" t="n"/>
      <c r="J176" s="43" t="n"/>
      <c r="K176" s="43" t="n"/>
      <c r="L176" s="43" t="n"/>
      <c r="M176" s="43" t="n"/>
      <c r="N176" s="43" t="n"/>
      <c r="O176" s="43" t="n"/>
      <c r="P176" s="43" t="n"/>
      <c r="Q176" s="43" t="n"/>
      <c r="R176" s="43" t="n"/>
      <c r="S176" s="43" t="n"/>
      <c r="U176" s="43" t="n"/>
      <c r="V176" s="43" t="n"/>
      <c r="W176" s="43" t="n"/>
      <c r="X176" s="43" t="n"/>
      <c r="Y176" s="43" t="n"/>
      <c r="Z176" s="43" t="n"/>
      <c r="AA176" s="43" t="n"/>
      <c r="AB176" s="43" t="n"/>
      <c r="AC176" s="43" t="n"/>
      <c r="AD176" s="43" t="n"/>
      <c r="AE176" s="43" t="n"/>
      <c r="AF176" s="43" t="n"/>
      <c r="AG176" s="43" t="n"/>
      <c r="AH176" s="43" t="n"/>
      <c r="AI176" s="43" t="n"/>
      <c r="AJ176" s="43" t="n"/>
      <c r="AK176" s="43" t="n"/>
      <c r="AL176" s="43" t="n"/>
      <c r="AM176" s="43" t="n"/>
      <c r="AN176" s="43" t="n"/>
      <c r="AO176" s="43" t="n"/>
      <c r="AP176" s="43" t="n"/>
      <c r="AQ176" s="43" t="n"/>
      <c r="AR176" s="43" t="n"/>
      <c r="AS176" s="43" t="n"/>
      <c r="AT176" s="43" t="n"/>
      <c r="AU176" s="43" t="n"/>
      <c r="AV176" s="43" t="n"/>
      <c r="AW176" s="43" t="n"/>
      <c r="AX176" s="43" t="n"/>
      <c r="AY176" s="43" t="n"/>
      <c r="AZ176" s="43" t="n"/>
      <c r="BA176" s="43" t="n"/>
      <c r="BB176" s="43" t="n"/>
      <c r="BC176" s="43" t="n"/>
      <c r="BD176" s="43" t="n"/>
      <c r="BE176" s="43" t="n"/>
      <c r="BF176" s="43" t="n"/>
      <c r="BG176" s="43" t="n"/>
      <c r="BH176" s="43" t="n"/>
    </row>
    <row r="177" ht="15" customHeight="1">
      <c r="B177" s="43" t="n"/>
      <c r="C177" s="43" t="n"/>
      <c r="D177" s="43" t="n"/>
      <c r="E177" s="43" t="n"/>
      <c r="F177" s="43" t="n"/>
      <c r="G177" s="43" t="n"/>
      <c r="H177" s="43" t="n"/>
      <c r="I177" s="43" t="n"/>
      <c r="J177" s="43" t="n"/>
      <c r="K177" s="43" t="n"/>
      <c r="L177" s="43" t="n"/>
      <c r="M177" s="43" t="n"/>
      <c r="N177" s="43" t="n"/>
      <c r="O177" s="43" t="n"/>
      <c r="P177" s="43" t="n"/>
      <c r="Q177" s="43" t="n"/>
      <c r="R177" s="43" t="n"/>
      <c r="S177" s="43" t="n"/>
      <c r="U177" s="43" t="n"/>
      <c r="V177" s="43" t="n"/>
      <c r="W177" s="43" t="n"/>
      <c r="X177" s="43" t="n"/>
      <c r="Y177" s="43" t="n"/>
      <c r="Z177" s="43" t="n"/>
      <c r="AA177" s="43" t="n"/>
      <c r="AB177" s="43" t="n"/>
      <c r="AC177" s="43" t="n"/>
      <c r="AD177" s="43" t="n"/>
      <c r="AE177" s="43" t="n"/>
      <c r="AF177" s="43" t="n"/>
      <c r="AG177" s="43" t="n"/>
      <c r="AH177" s="43" t="n"/>
      <c r="AI177" s="43" t="n"/>
      <c r="AJ177" s="43" t="n"/>
      <c r="AK177" s="43" t="n"/>
      <c r="AL177" s="43" t="n"/>
      <c r="AM177" s="43" t="n"/>
      <c r="AN177" s="43" t="n"/>
      <c r="AO177" s="43" t="n"/>
      <c r="AP177" s="43" t="n"/>
      <c r="AQ177" s="43" t="n"/>
      <c r="AR177" s="43" t="n"/>
      <c r="AS177" s="43" t="n"/>
      <c r="AT177" s="43" t="n"/>
      <c r="AU177" s="43" t="n"/>
      <c r="AV177" s="43" t="n"/>
      <c r="AW177" s="43" t="n"/>
      <c r="AX177" s="43" t="n"/>
      <c r="AY177" s="43" t="n"/>
      <c r="AZ177" s="43" t="n"/>
      <c r="BA177" s="43" t="n"/>
      <c r="BB177" s="43" t="n"/>
      <c r="BC177" s="43" t="n"/>
      <c r="BD177" s="43" t="n"/>
      <c r="BE177" s="43" t="n"/>
      <c r="BF177" s="43" t="n"/>
      <c r="BG177" s="43" t="n"/>
      <c r="BH177" s="43" t="n"/>
    </row>
    <row r="178" ht="15" customHeight="1">
      <c r="B178" s="43" t="n"/>
      <c r="C178" s="43" t="n"/>
      <c r="D178" s="43" t="n"/>
      <c r="E178" s="43" t="n"/>
      <c r="F178" s="43" t="n"/>
      <c r="G178" s="43" t="n"/>
      <c r="H178" s="43" t="n"/>
      <c r="I178" s="43" t="n"/>
      <c r="J178" s="43" t="n"/>
      <c r="K178" s="43" t="n"/>
      <c r="L178" s="43" t="n"/>
      <c r="M178" s="43" t="n"/>
      <c r="N178" s="43" t="n"/>
      <c r="O178" s="43" t="n"/>
      <c r="P178" s="43" t="n"/>
      <c r="Q178" s="43" t="n"/>
      <c r="R178" s="43" t="n"/>
      <c r="S178" s="43" t="n"/>
      <c r="U178" s="43" t="n"/>
      <c r="V178" s="43" t="n"/>
      <c r="W178" s="43" t="n"/>
      <c r="X178" s="43" t="n"/>
      <c r="Y178" s="43" t="n"/>
      <c r="Z178" s="43" t="n"/>
      <c r="AA178" s="43" t="n"/>
      <c r="AB178" s="43" t="n"/>
      <c r="AC178" s="43" t="n"/>
      <c r="AD178" s="43" t="n"/>
      <c r="AE178" s="43" t="n"/>
      <c r="AF178" s="43" t="n"/>
      <c r="AG178" s="43" t="n"/>
      <c r="AH178" s="43" t="n"/>
      <c r="AI178" s="43" t="n"/>
      <c r="AJ178" s="43" t="n"/>
      <c r="AK178" s="43" t="n"/>
      <c r="AL178" s="43" t="n"/>
      <c r="AM178" s="43" t="n"/>
      <c r="AN178" s="43" t="n"/>
      <c r="AO178" s="43" t="n"/>
      <c r="AP178" s="43" t="n"/>
      <c r="AQ178" s="43" t="n"/>
      <c r="AR178" s="43" t="n"/>
      <c r="AS178" s="43" t="n"/>
      <c r="AT178" s="43" t="n"/>
      <c r="AU178" s="43" t="n"/>
      <c r="AV178" s="43" t="n"/>
      <c r="AW178" s="43" t="n"/>
      <c r="AX178" s="43" t="n"/>
      <c r="AY178" s="43" t="n"/>
      <c r="AZ178" s="43" t="n"/>
      <c r="BA178" s="43" t="n"/>
      <c r="BB178" s="43" t="n"/>
      <c r="BC178" s="43" t="n"/>
      <c r="BD178" s="43" t="n"/>
      <c r="BE178" s="43" t="n"/>
      <c r="BF178" s="43" t="n"/>
      <c r="BG178" s="43" t="n"/>
      <c r="BH178" s="43" t="n"/>
    </row>
    <row r="179" ht="15" customHeight="1"/>
    <row r="180" ht="15" customHeight="1"/>
    <row r="181" ht="15" customHeight="1">
      <c r="B181" s="45" t="inlineStr">
        <is>
          <t>RENK LEJANDI</t>
        </is>
      </c>
    </row>
    <row r="182" ht="15" customHeight="1">
      <c r="B182" s="46" t="n"/>
      <c r="C182" s="46" t="n"/>
      <c r="E182" s="47" t="inlineStr">
        <is>
          <t>Planlanan</t>
        </is>
      </c>
    </row>
    <row r="183" ht="15" customHeight="1">
      <c r="B183" s="48" t="n"/>
      <c r="C183" s="48" t="n"/>
      <c r="E183" s="47" t="inlineStr">
        <is>
          <t>Devam Ediyor</t>
        </is>
      </c>
    </row>
    <row r="184" ht="15" customHeight="1">
      <c r="B184" s="49" t="n"/>
      <c r="C184" s="49" t="n"/>
      <c r="E184" s="47" t="inlineStr">
        <is>
          <t>Tamamlandı</t>
        </is>
      </c>
    </row>
    <row r="185" ht="15" customHeight="1">
      <c r="B185" s="50" t="n"/>
      <c r="C185" s="50" t="n"/>
      <c r="E185" s="47" t="inlineStr">
        <is>
          <t>Gecikmiş</t>
        </is>
      </c>
    </row>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sheetData>
  <mergeCells count="49">
    <mergeCell ref="P8:U8"/>
    <mergeCell ref="P11:U11"/>
    <mergeCell ref="U156:BH156"/>
    <mergeCell ref="B8:G8"/>
    <mergeCell ref="B80:BH80"/>
    <mergeCell ref="I9:N10"/>
    <mergeCell ref="AD9:AI10"/>
    <mergeCell ref="B15:Q15"/>
    <mergeCell ref="B36:BH36"/>
    <mergeCell ref="E183:T183"/>
    <mergeCell ref="B157:S157"/>
    <mergeCell ref="AK11:AP11"/>
    <mergeCell ref="B79:BH79"/>
    <mergeCell ref="B35:BH35"/>
    <mergeCell ref="B106:BH106"/>
    <mergeCell ref="AD11:AI11"/>
    <mergeCell ref="U157:BH157"/>
    <mergeCell ref="AY11:BD11"/>
    <mergeCell ref="E184:T184"/>
    <mergeCell ref="I8:N8"/>
    <mergeCell ref="AR9:AW10"/>
    <mergeCell ref="W8:AB8"/>
    <mergeCell ref="P9:U10"/>
    <mergeCell ref="B16:Q16"/>
    <mergeCell ref="B131:BH131"/>
    <mergeCell ref="AK9:AP10"/>
    <mergeCell ref="S15:BH15"/>
    <mergeCell ref="W11:AB11"/>
    <mergeCell ref="B58:BH58"/>
    <mergeCell ref="AR11:AW11"/>
    <mergeCell ref="AK8:AP8"/>
    <mergeCell ref="B105:BH105"/>
    <mergeCell ref="E185:T185"/>
    <mergeCell ref="A5:BH5"/>
    <mergeCell ref="AY9:BD10"/>
    <mergeCell ref="AD8:AI8"/>
    <mergeCell ref="B181:BH181"/>
    <mergeCell ref="B57:BH57"/>
    <mergeCell ref="B132:BH132"/>
    <mergeCell ref="I11:N11"/>
    <mergeCell ref="A1:BH4"/>
    <mergeCell ref="B156:S156"/>
    <mergeCell ref="B9:G10"/>
    <mergeCell ref="E182:T182"/>
    <mergeCell ref="AY8:BD8"/>
    <mergeCell ref="S16:BH16"/>
    <mergeCell ref="W9:AB10"/>
    <mergeCell ref="AR8:AW8"/>
    <mergeCell ref="B11:G11"/>
  </mergeCells>
  <pageMargins left="0.75" right="0.75" top="1" bottom="1" header="0.5" footer="0.5"/>
  <pageSetup orientation="landscape"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N68"/>
  <sheetViews>
    <sheetView showGridLines="0" workbookViewId="0">
      <selection activeCell="A1" sqref="A1"/>
    </sheetView>
  </sheetViews>
  <sheetFormatPr baseColWidth="8" defaultRowHeight="15"/>
  <cols>
    <col width="3" customWidth="1" min="1" max="1"/>
    <col width="40" customWidth="1" min="2" max="2"/>
    <col width="2.5" customWidth="1" min="3" max="3"/>
    <col width="24" customWidth="1" min="4" max="4"/>
    <col width="2.5" customWidth="1" min="5" max="5"/>
    <col width="14" customWidth="1" min="6" max="6"/>
    <col width="2.5" customWidth="1" min="7" max="7"/>
    <col width="18" customWidth="1" min="8" max="8"/>
    <col width="2.5" customWidth="1" min="9" max="9"/>
    <col width="24" customWidth="1" min="10" max="10"/>
    <col width="11" customWidth="1" min="11" max="11"/>
    <col width="12" customWidth="1" min="12" max="12"/>
    <col width="11" customWidth="1" min="13" max="13"/>
    <col width="11" customWidth="1" min="14" max="14"/>
  </cols>
  <sheetData>
    <row r="1" ht="22" customHeight="1">
      <c r="B1" s="51" t="inlineStr">
        <is>
          <t>AÇILIR LİSTE KAYNAKLARI</t>
        </is>
      </c>
      <c r="C1" s="2" t="n"/>
      <c r="D1" s="2" t="n"/>
      <c r="E1" s="2" t="n"/>
      <c r="F1" s="2" t="n"/>
      <c r="G1" s="2" t="n"/>
      <c r="H1" s="2" t="n"/>
      <c r="J1" s="52" t="inlineStr">
        <is>
          <t>KİŞİ BAZLI GÜN YÜKÜ</t>
        </is>
      </c>
      <c r="K1" s="2" t="n"/>
      <c r="L1" s="2" t="n"/>
      <c r="M1" s="2" t="n"/>
      <c r="N1" s="2" t="n"/>
    </row>
    <row r="2">
      <c r="B2" s="2" t="n"/>
      <c r="C2" s="2" t="n"/>
      <c r="D2" s="2" t="n"/>
      <c r="E2" s="2" t="n"/>
      <c r="F2" s="2" t="n"/>
      <c r="G2" s="2" t="n"/>
      <c r="H2" s="2" t="n"/>
      <c r="J2" s="2" t="n"/>
      <c r="K2" s="2" t="n"/>
      <c r="L2" s="2" t="n"/>
      <c r="M2" s="2" t="n"/>
      <c r="N2" s="2" t="n"/>
    </row>
    <row r="3">
      <c r="B3" s="53" t="inlineStr">
        <is>
          <t>Denetim Başlıkları</t>
        </is>
      </c>
      <c r="D3" s="53" t="inlineStr">
        <is>
          <t>Kişiler</t>
        </is>
      </c>
      <c r="F3" s="53" t="inlineStr">
        <is>
          <t>Öncelik</t>
        </is>
      </c>
      <c r="H3" s="53" t="inlineStr">
        <is>
          <t>Durum (referans)</t>
        </is>
      </c>
      <c r="J3" s="54" t="inlineStr">
        <is>
          <t>Kişi</t>
        </is>
      </c>
      <c r="K3" s="54" t="inlineStr">
        <is>
          <t>İş Sayısı</t>
        </is>
      </c>
      <c r="L3" s="54" t="inlineStr">
        <is>
          <t>Toplam Gün</t>
        </is>
      </c>
      <c r="M3" s="54" t="inlineStr">
        <is>
          <t>Açık Gün</t>
        </is>
      </c>
      <c r="N3" s="54" t="inlineStr">
        <is>
          <t>Geciken İş</t>
        </is>
      </c>
    </row>
    <row r="4">
      <c r="B4" s="55" t="inlineStr">
        <is>
          <t>Yönetim Beyanı</t>
        </is>
      </c>
      <c r="D4" s="55" t="inlineStr">
        <is>
          <t>Ornek User1</t>
        </is>
      </c>
      <c r="F4" s="55" t="inlineStr">
        <is>
          <t>Yüksek</t>
        </is>
      </c>
      <c r="H4" s="55" t="inlineStr">
        <is>
          <t>Planlanan</t>
        </is>
      </c>
      <c r="J4" s="55" t="str">
        <f>IF($D4="","",$D4)</f>
        <v>Ornek User1</v>
      </c>
      <c r="K4" s="56">
        <f>IF($J4="","",COUNTIF('İş Planı'!$D$5:$D$204,$J4)+COUNTIF('İş Planı'!$E$5:$E$204,$J4)+COUNTIF('İş Planı'!$F$5:$F$204,$J4)+COUNTIF('İş Planı'!$G$5:$G$204,$J4))</f>
        <v>13</v>
      </c>
      <c r="L4" s="56">
        <f>IF($J4="","",SUMIF('İş Planı'!$D$5:$D$204,$J4,'İş Planı'!$K$5:$K$204)+SUMIF('İş Planı'!$E$5:$E$204,$J4,'İş Planı'!$K$5:$K$204)+SUMIF('İş Planı'!$F$5:$F$204,$J4,'İş Planı'!$K$5:$K$204)+SUMIF('İş Planı'!$G$5:$G$204,$J4,'İş Planı'!$K$5:$K$204))</f>
        <v>0</v>
      </c>
      <c r="M4" s="56">
        <f>IF($J4="","",SUMIFS('İş Planı'!$K$5:$K$204,'İş Planı'!$D$5:$D$204,$J4,'İş Planı'!$O$5:$O$204,"&lt;&gt;Tamamlandı")+SUMIFS('İş Planı'!$K$5:$K$204,'İş Planı'!$E$5:$E$204,$J4,'İş Planı'!$O$5:$O$204,"&lt;&gt;Tamamlandı")+SUMIFS('İş Planı'!$K$5:$K$204,'İş Planı'!$F$5:$F$204,$J4,'İş Planı'!$O$5:$O$204,"&lt;&gt;Tamamlandı")+SUMIFS('İş Planı'!$K$5:$K$204,'İş Planı'!$G$5:$G$204,$J4,'İş Planı'!$O$5:$O$204,"&lt;&gt;Tamamlandı"))</f>
        <v>0</v>
      </c>
      <c r="N4" s="56">
        <f>IF($J4="","",COUNTIFS('İş Planı'!$D$5:$D$204,$J4,'İş Planı'!$O$5:$O$204,"Gecikmiş")+COUNTIFS('İş Planı'!$E$5:$E$204,$J4,'İş Planı'!$O$5:$O$204,"Gecikmiş")+COUNTIFS('İş Planı'!$F$5:$F$204,$J4,'İş Planı'!$O$5:$O$204,"Gecikmiş")+COUNTIFS('İş Planı'!$G$5:$G$204,$J4,'İş Planı'!$O$5:$O$204,"Gecikmiş"))</f>
        <v>0</v>
      </c>
    </row>
    <row r="5">
      <c r="B5" s="55" t="inlineStr">
        <is>
          <t>BIGR (Yönetim Beyanı Ortak Maddeler)</t>
        </is>
      </c>
      <c r="D5" s="55" t="inlineStr">
        <is>
          <t>Ornek User2</t>
        </is>
      </c>
      <c r="F5" s="55" t="inlineStr">
        <is>
          <t>Orta</t>
        </is>
      </c>
      <c r="H5" s="55" t="inlineStr">
        <is>
          <t>Devam Ediyor</t>
        </is>
      </c>
      <c r="J5" s="55" t="str">
        <f>IF($D5="","",$D5)</f>
        <v>Ornek User2</v>
      </c>
      <c r="K5" s="56">
        <f>IF($J5="","",COUNTIF('İş Planı'!$D$5:$D$204,$J5)+COUNTIF('İş Planı'!$E$5:$E$204,$J5)+COUNTIF('İş Planı'!$F$5:$F$204,$J5)+COUNTIF('İş Planı'!$G$5:$G$204,$J5))</f>
        <v>0</v>
      </c>
      <c r="L5" s="56">
        <f>IF($J5="","",SUMIF('İş Planı'!$D$5:$D$204,$J5,'İş Planı'!$K$5:$K$204)+SUMIF('İş Planı'!$E$5:$E$204,$J5,'İş Planı'!$K$5:$K$204)+SUMIF('İş Planı'!$F$5:$F$204,$J5,'İş Planı'!$K$5:$K$204)+SUMIF('İş Planı'!$G$5:$G$204,$J5,'İş Planı'!$K$5:$K$204))</f>
        <v>0</v>
      </c>
      <c r="M5" s="56">
        <f>IF($J5="","",SUMIFS('İş Planı'!$K$5:$K$204,'İş Planı'!$D$5:$D$204,$J5,'İş Planı'!$O$5:$O$204,"&lt;&gt;Tamamlandı")+SUMIFS('İş Planı'!$K$5:$K$204,'İş Planı'!$E$5:$E$204,$J5,'İş Planı'!$O$5:$O$204,"&lt;&gt;Tamamlandı")+SUMIFS('İş Planı'!$K$5:$K$204,'İş Planı'!$F$5:$F$204,$J5,'İş Planı'!$O$5:$O$204,"&lt;&gt;Tamamlandı")+SUMIFS('İş Planı'!$K$5:$K$204,'İş Planı'!$G$5:$G$204,$J5,'İş Planı'!$O$5:$O$204,"&lt;&gt;Tamamlandı"))</f>
        <v>0</v>
      </c>
      <c r="N5" s="56">
        <f>IF($J5="","",COUNTIFS('İş Planı'!$D$5:$D$204,$J5,'İş Planı'!$O$5:$O$204,"Gecikmiş")+COUNTIFS('İş Planı'!$E$5:$E$204,$J5,'İş Planı'!$O$5:$O$204,"Gecikmiş")+COUNTIFS('İş Planı'!$F$5:$F$204,$J5,'İş Planı'!$O$5:$O$204,"Gecikmiş")+COUNTIFS('İş Planı'!$G$5:$G$204,$J5,'İş Planı'!$O$5:$O$204,"Gecikmiş"))</f>
        <v>0</v>
      </c>
    </row>
    <row r="6">
      <c r="B6" s="55" t="inlineStr">
        <is>
          <t>BIGR</t>
        </is>
      </c>
      <c r="D6" s="55" t="inlineStr">
        <is>
          <t>Ornek User3</t>
        </is>
      </c>
      <c r="F6" s="55" t="inlineStr">
        <is>
          <t>Düşük</t>
        </is>
      </c>
      <c r="H6" s="55" t="inlineStr">
        <is>
          <t>Tamamlandı</t>
        </is>
      </c>
      <c r="J6" s="55" t="str">
        <f>IF($D6="","",$D6)</f>
        <v>Ornek User3</v>
      </c>
      <c r="K6" s="56">
        <f>IF($J6="","",COUNTIF('İş Planı'!$D$5:$D$204,$J6)+COUNTIF('İş Planı'!$E$5:$E$204,$J6)+COUNTIF('İş Planı'!$F$5:$F$204,$J6)+COUNTIF('İş Planı'!$G$5:$G$204,$J6))</f>
        <v>4</v>
      </c>
      <c r="L6" s="56">
        <f>IF($J6="","",SUMIF('İş Planı'!$D$5:$D$204,$J6,'İş Planı'!$K$5:$K$204)+SUMIF('İş Planı'!$E$5:$E$204,$J6,'İş Planı'!$K$5:$K$204)+SUMIF('İş Planı'!$F$5:$F$204,$J6,'İş Planı'!$K$5:$K$204)+SUMIF('İş Planı'!$G$5:$G$204,$J6,'İş Planı'!$K$5:$K$204))</f>
        <v>101</v>
      </c>
      <c r="M6" s="56">
        <f>IF($J6="","",SUMIFS('İş Planı'!$K$5:$K$204,'İş Planı'!$D$5:$D$204,$J6,'İş Planı'!$O$5:$O$204,"&lt;&gt;Tamamlandı")+SUMIFS('İş Planı'!$K$5:$K$204,'İş Planı'!$E$5:$E$204,$J6,'İş Planı'!$O$5:$O$204,"&lt;&gt;Tamamlandı")+SUMIFS('İş Planı'!$K$5:$K$204,'İş Planı'!$F$5:$F$204,$J6,'İş Planı'!$O$5:$O$204,"&lt;&gt;Tamamlandı")+SUMIFS('İş Planı'!$K$5:$K$204,'İş Planı'!$G$5:$G$204,$J6,'İş Planı'!$O$5:$O$204,"&lt;&gt;Tamamlandı"))</f>
        <v>72</v>
      </c>
      <c r="N6" s="56">
        <f>IF($J6="","",COUNTIFS('İş Planı'!$D$5:$D$204,$J6,'İş Planı'!$O$5:$O$204,"Gecikmiş")+COUNTIFS('İş Planı'!$E$5:$E$204,$J6,'İş Planı'!$O$5:$O$204,"Gecikmiş")+COUNTIFS('İş Planı'!$F$5:$F$204,$J6,'İş Planı'!$O$5:$O$204,"Gecikmiş")+COUNTIFS('İş Planı'!$G$5:$G$204,$J6,'İş Planı'!$O$5:$O$204,"Gecikmiş"))</f>
        <v>2</v>
      </c>
    </row>
    <row r="7">
      <c r="B7" s="55" t="inlineStr">
        <is>
          <t>Buluteks</t>
        </is>
      </c>
      <c r="D7" s="55" t="inlineStr">
        <is>
          <t>Ornek User4</t>
        </is>
      </c>
      <c r="F7" s="55" t="n"/>
      <c r="H7" s="55" t="inlineStr">
        <is>
          <t>Gecikmiş</t>
        </is>
      </c>
      <c r="J7" s="55" t="str">
        <f>IF($D7="","",$D7)</f>
        <v>Ornek User4</v>
      </c>
      <c r="K7" s="56">
        <f>IF($J7="","",COUNTIF('İş Planı'!$D$5:$D$204,$J7)+COUNTIF('İş Planı'!$E$5:$E$204,$J7)+COUNTIF('İş Planı'!$F$5:$F$204,$J7)+COUNTIF('İş Planı'!$G$5:$G$204,$J7))</f>
        <v>29</v>
      </c>
      <c r="L7" s="56">
        <f>IF($J7="","",SUMIF('İş Planı'!$D$5:$D$204,$J7,'İş Planı'!$K$5:$K$204)+SUMIF('İş Planı'!$E$5:$E$204,$J7,'İş Planı'!$K$5:$K$204)+SUMIF('İş Planı'!$F$5:$F$204,$J7,'İş Planı'!$K$5:$K$204)+SUMIF('İş Planı'!$G$5:$G$204,$J7,'İş Planı'!$K$5:$K$204))</f>
        <v>370</v>
      </c>
      <c r="M7" s="56">
        <f>IF($J7="","",SUMIFS('İş Planı'!$K$5:$K$204,'İş Planı'!$D$5:$D$204,$J7,'İş Planı'!$O$5:$O$204,"&lt;&gt;Tamamlandı")+SUMIFS('İş Planı'!$K$5:$K$204,'İş Planı'!$E$5:$E$204,$J7,'İş Planı'!$O$5:$O$204,"&lt;&gt;Tamamlandı")+SUMIFS('İş Planı'!$K$5:$K$204,'İş Planı'!$F$5:$F$204,$J7,'İş Planı'!$O$5:$O$204,"&lt;&gt;Tamamlandı")+SUMIFS('İş Planı'!$K$5:$K$204,'İş Planı'!$G$5:$G$204,$J7,'İş Planı'!$O$5:$O$204,"&lt;&gt;Tamamlandı"))</f>
        <v>348</v>
      </c>
      <c r="N7" s="56">
        <f>IF($J7="","",COUNTIFS('İş Planı'!$D$5:$D$204,$J7,'İş Planı'!$O$5:$O$204,"Gecikmiş")+COUNTIFS('İş Planı'!$E$5:$E$204,$J7,'İş Planı'!$O$5:$O$204,"Gecikmiş")+COUNTIFS('İş Planı'!$F$5:$F$204,$J7,'İş Planı'!$O$5:$O$204,"Gecikmiş")+COUNTIFS('İş Planı'!$G$5:$G$204,$J7,'İş Planı'!$O$5:$O$204,"Gecikmiş"))</f>
        <v>8</v>
      </c>
    </row>
    <row r="8">
      <c r="B8" s="55" t="inlineStr">
        <is>
          <t>Buluteks Dendeks Bulut Altyapı Denetimi</t>
        </is>
      </c>
      <c r="D8" s="55" t="inlineStr">
        <is>
          <t>Ornek User5</t>
        </is>
      </c>
      <c r="F8" s="55" t="n"/>
      <c r="J8" s="55" t="str">
        <f>IF($D8="","",$D8)</f>
        <v>Ornek User5</v>
      </c>
      <c r="K8" s="56">
        <f>IF($J8="","",COUNTIF('İş Planı'!$D$5:$D$204,$J8)+COUNTIF('İş Planı'!$E$5:$E$204,$J8)+COUNTIF('İş Planı'!$F$5:$F$204,$J8)+COUNTIF('İş Planı'!$G$5:$G$204,$J8))</f>
        <v>0</v>
      </c>
      <c r="L8" s="56">
        <f>IF($J8="","",SUMIF('İş Planı'!$D$5:$D$204,$J8,'İş Planı'!$K$5:$K$204)+SUMIF('İş Planı'!$E$5:$E$204,$J8,'İş Planı'!$K$5:$K$204)+SUMIF('İş Planı'!$F$5:$F$204,$J8,'İş Planı'!$K$5:$K$204)+SUMIF('İş Planı'!$G$5:$G$204,$J8,'İş Planı'!$K$5:$K$204))</f>
        <v>0</v>
      </c>
      <c r="M8" s="56">
        <f>IF($J8="","",SUMIFS('İş Planı'!$K$5:$K$204,'İş Planı'!$D$5:$D$204,$J8,'İş Planı'!$O$5:$O$204,"&lt;&gt;Tamamlandı")+SUMIFS('İş Planı'!$K$5:$K$204,'İş Planı'!$E$5:$E$204,$J8,'İş Planı'!$O$5:$O$204,"&lt;&gt;Tamamlandı")+SUMIFS('İş Planı'!$K$5:$K$204,'İş Planı'!$F$5:$F$204,$J8,'İş Planı'!$O$5:$O$204,"&lt;&gt;Tamamlandı")+SUMIFS('İş Planı'!$K$5:$K$204,'İş Planı'!$G$5:$G$204,$J8,'İş Planı'!$O$5:$O$204,"&lt;&gt;Tamamlandı"))</f>
        <v>0</v>
      </c>
      <c r="N8" s="56">
        <f>IF($J8="","",COUNTIFS('İş Planı'!$D$5:$D$204,$J8,'İş Planı'!$O$5:$O$204,"Gecikmiş")+COUNTIFS('İş Planı'!$E$5:$E$204,$J8,'İş Planı'!$O$5:$O$204,"Gecikmiş")+COUNTIFS('İş Planı'!$F$5:$F$204,$J8,'İş Planı'!$O$5:$O$204,"Gecikmiş")+COUNTIFS('İş Planı'!$G$5:$G$204,$J8,'İş Planı'!$O$5:$O$204,"Gecikmiş"))</f>
        <v>0</v>
      </c>
    </row>
    <row r="9">
      <c r="B9" s="55" t="inlineStr">
        <is>
          <t>Dendeks WS Entegrasyon Denetimi</t>
        </is>
      </c>
      <c r="D9" s="55" t="inlineStr">
        <is>
          <t>Ornek User6</t>
        </is>
      </c>
      <c r="F9" s="55" t="n"/>
      <c r="J9" s="55" t="str">
        <f>IF($D9="","",$D9)</f>
        <v>Ornek User6</v>
      </c>
      <c r="K9" s="56">
        <f>IF($J9="","",COUNTIF('İş Planı'!$D$5:$D$204,$J9)+COUNTIF('İş Planı'!$E$5:$E$204,$J9)+COUNTIF('İş Planı'!$F$5:$F$204,$J9)+COUNTIF('İş Planı'!$G$5:$G$204,$J9))</f>
        <v>0</v>
      </c>
      <c r="L9" s="56">
        <f>IF($J9="","",SUMIF('İş Planı'!$D$5:$D$204,$J9,'İş Planı'!$K$5:$K$204)+SUMIF('İş Planı'!$E$5:$E$204,$J9,'İş Planı'!$K$5:$K$204)+SUMIF('İş Planı'!$F$5:$F$204,$J9,'İş Planı'!$K$5:$K$204)+SUMIF('İş Planı'!$G$5:$G$204,$J9,'İş Planı'!$K$5:$K$204))</f>
        <v>0</v>
      </c>
      <c r="M9" s="56">
        <f>IF($J9="","",SUMIFS('İş Planı'!$K$5:$K$204,'İş Planı'!$D$5:$D$204,$J9,'İş Planı'!$O$5:$O$204,"&lt;&gt;Tamamlandı")+SUMIFS('İş Planı'!$K$5:$K$204,'İş Planı'!$E$5:$E$204,$J9,'İş Planı'!$O$5:$O$204,"&lt;&gt;Tamamlandı")+SUMIFS('İş Planı'!$K$5:$K$204,'İş Planı'!$F$5:$F$204,$J9,'İş Planı'!$O$5:$O$204,"&lt;&gt;Tamamlandı")+SUMIFS('İş Planı'!$K$5:$K$204,'İş Planı'!$G$5:$G$204,$J9,'İş Planı'!$O$5:$O$204,"&lt;&gt;Tamamlandı"))</f>
        <v>0</v>
      </c>
      <c r="N9" s="56">
        <f>IF($J9="","",COUNTIFS('İş Planı'!$D$5:$D$204,$J9,'İş Planı'!$O$5:$O$204,"Gecikmiş")+COUNTIFS('İş Planı'!$E$5:$E$204,$J9,'İş Planı'!$O$5:$O$204,"Gecikmiş")+COUNTIFS('İş Planı'!$F$5:$F$204,$J9,'İş Planı'!$O$5:$O$204,"Gecikmiş")+COUNTIFS('İş Planı'!$G$5:$G$204,$J9,'İş Planı'!$O$5:$O$204,"Gecikmiş"))</f>
        <v>0</v>
      </c>
    </row>
    <row r="10">
      <c r="B10" s="55" t="inlineStr">
        <is>
          <t>Süreç Denetimleri</t>
        </is>
      </c>
      <c r="D10" s="55" t="inlineStr">
        <is>
          <t>Ornek User7</t>
        </is>
      </c>
      <c r="F10" s="55" t="n"/>
      <c r="J10" s="55" t="str">
        <f>IF($D10="","",$D10)</f>
        <v>Ornek User7</v>
      </c>
      <c r="K10" s="56">
        <f>IF($J10="","",COUNTIF('İş Planı'!$D$5:$D$204,$J10)+COUNTIF('İş Planı'!$E$5:$E$204,$J10)+COUNTIF('İş Planı'!$F$5:$F$204,$J10)+COUNTIF('İş Planı'!$G$5:$G$204,$J10))</f>
        <v>0</v>
      </c>
      <c r="L10" s="56">
        <f>IF($J10="","",SUMIF('İş Planı'!$D$5:$D$204,$J10,'İş Planı'!$K$5:$K$204)+SUMIF('İş Planı'!$E$5:$E$204,$J10,'İş Planı'!$K$5:$K$204)+SUMIF('İş Planı'!$F$5:$F$204,$J10,'İş Planı'!$K$5:$K$204)+SUMIF('İş Planı'!$G$5:$G$204,$J10,'İş Planı'!$K$5:$K$204))</f>
        <v>0</v>
      </c>
      <c r="M10" s="56">
        <f>IF($J10="","",SUMIFS('İş Planı'!$K$5:$K$204,'İş Planı'!$D$5:$D$204,$J10,'İş Planı'!$O$5:$O$204,"&lt;&gt;Tamamlandı")+SUMIFS('İş Planı'!$K$5:$K$204,'İş Planı'!$E$5:$E$204,$J10,'İş Planı'!$O$5:$O$204,"&lt;&gt;Tamamlandı")+SUMIFS('İş Planı'!$K$5:$K$204,'İş Planı'!$F$5:$F$204,$J10,'İş Planı'!$O$5:$O$204,"&lt;&gt;Tamamlandı")+SUMIFS('İş Planı'!$K$5:$K$204,'İş Planı'!$G$5:$G$204,$J10,'İş Planı'!$O$5:$O$204,"&lt;&gt;Tamamlandı"))</f>
        <v>0</v>
      </c>
      <c r="N10" s="56">
        <f>IF($J10="","",COUNTIFS('İş Planı'!$D$5:$D$204,$J10,'İş Planı'!$O$5:$O$204,"Gecikmiş")+COUNTIFS('İş Planı'!$E$5:$E$204,$J10,'İş Planı'!$O$5:$O$204,"Gecikmiş")+COUNTIFS('İş Planı'!$F$5:$F$204,$J10,'İş Planı'!$O$5:$O$204,"Gecikmiş")+COUNTIFS('İş Planı'!$G$5:$G$204,$J10,'İş Planı'!$O$5:$O$204,"Gecikmiş"))</f>
        <v>0</v>
      </c>
    </row>
    <row r="11">
      <c r="B11" s="55" t="inlineStr">
        <is>
          <t>Destek Hizmeti Denetimler</t>
        </is>
      </c>
      <c r="D11" s="55" t="inlineStr">
        <is>
          <t>Ornek User8</t>
        </is>
      </c>
      <c r="F11" s="55" t="n"/>
      <c r="J11" s="55" t="str">
        <f>IF($D11="","",$D11)</f>
        <v>Ornek User8</v>
      </c>
      <c r="K11" s="56">
        <f>IF($J11="","",COUNTIF('İş Planı'!$D$5:$D$204,$J11)+COUNTIF('İş Planı'!$E$5:$E$204,$J11)+COUNTIF('İş Planı'!$F$5:$F$204,$J11)+COUNTIF('İş Planı'!$G$5:$G$204,$J11))</f>
        <v>0</v>
      </c>
      <c r="L11" s="56">
        <f>IF($J11="","",SUMIF('İş Planı'!$D$5:$D$204,$J11,'İş Planı'!$K$5:$K$204)+SUMIF('İş Planı'!$E$5:$E$204,$J11,'İş Planı'!$K$5:$K$204)+SUMIF('İş Planı'!$F$5:$F$204,$J11,'İş Planı'!$K$5:$K$204)+SUMIF('İş Planı'!$G$5:$G$204,$J11,'İş Planı'!$K$5:$K$204))</f>
        <v>0</v>
      </c>
      <c r="M11" s="56">
        <f>IF($J11="","",SUMIFS('İş Planı'!$K$5:$K$204,'İş Planı'!$D$5:$D$204,$J11,'İş Planı'!$O$5:$O$204,"&lt;&gt;Tamamlandı")+SUMIFS('İş Planı'!$K$5:$K$204,'İş Planı'!$E$5:$E$204,$J11,'İş Planı'!$O$5:$O$204,"&lt;&gt;Tamamlandı")+SUMIFS('İş Planı'!$K$5:$K$204,'İş Planı'!$F$5:$F$204,$J11,'İş Planı'!$O$5:$O$204,"&lt;&gt;Tamamlandı")+SUMIFS('İş Planı'!$K$5:$K$204,'İş Planı'!$G$5:$G$204,$J11,'İş Planı'!$O$5:$O$204,"&lt;&gt;Tamamlandı"))</f>
        <v>0</v>
      </c>
      <c r="N11" s="56">
        <f>IF($J11="","",COUNTIFS('İş Planı'!$D$5:$D$204,$J11,'İş Planı'!$O$5:$O$204,"Gecikmiş")+COUNTIFS('İş Planı'!$E$5:$E$204,$J11,'İş Planı'!$O$5:$O$204,"Gecikmiş")+COUNTIFS('İş Planı'!$F$5:$F$204,$J11,'İş Planı'!$O$5:$O$204,"Gecikmiş")+COUNTIFS('İş Planı'!$G$5:$G$204,$J11,'İş Planı'!$O$5:$O$204,"Gecikmiş"))</f>
        <v>0</v>
      </c>
    </row>
    <row r="12">
      <c r="B12" s="55" t="inlineStr">
        <is>
          <t>Rehberlik Faaliyeti</t>
        </is>
      </c>
      <c r="D12" s="55" t="inlineStr">
        <is>
          <t>Ornek User9</t>
        </is>
      </c>
      <c r="F12" s="55" t="n"/>
      <c r="J12" s="55" t="str">
        <f>IF($D12="","",$D12)</f>
        <v>Ornek User9</v>
      </c>
      <c r="K12" s="56">
        <f>IF($J12="","",COUNTIF('İş Planı'!$D$5:$D$204,$J12)+COUNTIF('İş Planı'!$E$5:$E$204,$J12)+COUNTIF('İş Planı'!$F$5:$F$204,$J12)+COUNTIF('İş Planı'!$G$5:$G$204,$J12))</f>
        <v>20</v>
      </c>
      <c r="L12" s="56">
        <f>IF($J12="","",SUMIF('İş Planı'!$D$5:$D$204,$J12,'İş Planı'!$K$5:$K$204)+SUMIF('İş Planı'!$E$5:$E$204,$J12,'İş Planı'!$K$5:$K$204)+SUMIF('İş Planı'!$F$5:$F$204,$J12,'İş Planı'!$K$5:$K$204)+SUMIF('İş Planı'!$G$5:$G$204,$J12,'İş Planı'!$K$5:$K$204))</f>
        <v>287</v>
      </c>
      <c r="M12" s="56">
        <f>IF($J12="","",SUMIFS('İş Planı'!$K$5:$K$204,'İş Planı'!$D$5:$D$204,$J12,'İş Planı'!$O$5:$O$204,"&lt;&gt;Tamamlandı")+SUMIFS('İş Planı'!$K$5:$K$204,'İş Planı'!$E$5:$E$204,$J12,'İş Planı'!$O$5:$O$204,"&lt;&gt;Tamamlandı")+SUMIFS('İş Planı'!$K$5:$K$204,'İş Planı'!$F$5:$F$204,$J12,'İş Planı'!$O$5:$O$204,"&lt;&gt;Tamamlandı")+SUMIFS('İş Planı'!$K$5:$K$204,'İş Planı'!$G$5:$G$204,$J12,'İş Planı'!$O$5:$O$204,"&lt;&gt;Tamamlandı"))</f>
        <v>239</v>
      </c>
      <c r="N12" s="56">
        <f>IF($J12="","",COUNTIFS('İş Planı'!$D$5:$D$204,$J12,'İş Planı'!$O$5:$O$204,"Gecikmiş")+COUNTIFS('İş Planı'!$E$5:$E$204,$J12,'İş Planı'!$O$5:$O$204,"Gecikmiş")+COUNTIFS('İş Planı'!$F$5:$F$204,$J12,'İş Planı'!$O$5:$O$204,"Gecikmiş")+COUNTIFS('İş Planı'!$G$5:$G$204,$J12,'İş Planı'!$O$5:$O$204,"Gecikmiş"))</f>
        <v>5</v>
      </c>
    </row>
    <row r="13">
      <c r="B13" s="55" t="inlineStr">
        <is>
          <t>Projeler</t>
        </is>
      </c>
      <c r="D13" s="55" t="inlineStr">
        <is>
          <t>Ornek User10</t>
        </is>
      </c>
      <c r="F13" s="55" t="n"/>
      <c r="J13" s="55" t="str">
        <f>IF($D13="","",$D13)</f>
        <v>Ornek User10</v>
      </c>
      <c r="K13" s="56">
        <f>IF($J13="","",COUNTIF('İş Planı'!$D$5:$D$204,$J13)+COUNTIF('İş Planı'!$E$5:$E$204,$J13)+COUNTIF('İş Planı'!$F$5:$F$204,$J13)+COUNTIF('İş Planı'!$G$5:$G$204,$J13))</f>
        <v>0</v>
      </c>
      <c r="L13" s="56">
        <f>IF($J13="","",SUMIF('İş Planı'!$D$5:$D$204,$J13,'İş Planı'!$K$5:$K$204)+SUMIF('İş Planı'!$E$5:$E$204,$J13,'İş Planı'!$K$5:$K$204)+SUMIF('İş Planı'!$F$5:$F$204,$J13,'İş Planı'!$K$5:$K$204)+SUMIF('İş Planı'!$G$5:$G$204,$J13,'İş Planı'!$K$5:$K$204))</f>
        <v>0</v>
      </c>
      <c r="M13" s="56">
        <f>IF($J13="","",SUMIFS('İş Planı'!$K$5:$K$204,'İş Planı'!$D$5:$D$204,$J13,'İş Planı'!$O$5:$O$204,"&lt;&gt;Tamamlandı")+SUMIFS('İş Planı'!$K$5:$K$204,'İş Planı'!$E$5:$E$204,$J13,'İş Planı'!$O$5:$O$204,"&lt;&gt;Tamamlandı")+SUMIFS('İş Planı'!$K$5:$K$204,'İş Planı'!$F$5:$F$204,$J13,'İş Planı'!$O$5:$O$204,"&lt;&gt;Tamamlandı")+SUMIFS('İş Planı'!$K$5:$K$204,'İş Planı'!$G$5:$G$204,$J13,'İş Planı'!$O$5:$O$204,"&lt;&gt;Tamamlandı"))</f>
        <v>0</v>
      </c>
      <c r="N13" s="56">
        <f>IF($J13="","",COUNTIFS('İş Planı'!$D$5:$D$204,$J13,'İş Planı'!$O$5:$O$204,"Gecikmiş")+COUNTIFS('İş Planı'!$E$5:$E$204,$J13,'İş Planı'!$O$5:$O$204,"Gecikmiş")+COUNTIFS('İş Planı'!$F$5:$F$204,$J13,'İş Planı'!$O$5:$O$204,"Gecikmiş")+COUNTIFS('İş Planı'!$G$5:$G$204,$J13,'İş Planı'!$O$5:$O$204,"Gecikmiş"))</f>
        <v>0</v>
      </c>
    </row>
    <row r="14">
      <c r="B14" s="55" t="inlineStr">
        <is>
          <t>Ad-Hoc İşler</t>
        </is>
      </c>
      <c r="D14" s="55" t="inlineStr">
        <is>
          <t>Ornek User11</t>
        </is>
      </c>
      <c r="J14" s="55" t="str">
        <f>IF($D14="","",$D14)</f>
        <v>Ornek User11</v>
      </c>
      <c r="K14" s="56">
        <f>IF($J14="","",COUNTIF('İş Planı'!$D$5:$D$204,$J14)+COUNTIF('İş Planı'!$E$5:$E$204,$J14)+COUNTIF('İş Planı'!$F$5:$F$204,$J14)+COUNTIF('İş Planı'!$G$5:$G$204,$J14))</f>
        <v>15</v>
      </c>
      <c r="L14" s="56">
        <f>IF($J14="","",SUMIF('İş Planı'!$D$5:$D$204,$J14,'İş Planı'!$K$5:$K$204)+SUMIF('İş Planı'!$E$5:$E$204,$J14,'İş Planı'!$K$5:$K$204)+SUMIF('İş Planı'!$F$5:$F$204,$J14,'İş Planı'!$K$5:$K$204)+SUMIF('İş Planı'!$G$5:$G$204,$J14,'İş Planı'!$K$5:$K$204))</f>
        <v>151</v>
      </c>
      <c r="M14" s="56">
        <f>IF($J14="","",SUMIFS('İş Planı'!$K$5:$K$204,'İş Planı'!$D$5:$D$204,$J14,'İş Planı'!$O$5:$O$204,"&lt;&gt;Tamamlandı")+SUMIFS('İş Planı'!$K$5:$K$204,'İş Planı'!$E$5:$E$204,$J14,'İş Planı'!$O$5:$O$204,"&lt;&gt;Tamamlandı")+SUMIFS('İş Planı'!$K$5:$K$204,'İş Planı'!$F$5:$F$204,$J14,'İş Planı'!$O$5:$O$204,"&lt;&gt;Tamamlandı")+SUMIFS('İş Planı'!$K$5:$K$204,'İş Planı'!$G$5:$G$204,$J14,'İş Planı'!$O$5:$O$204,"&lt;&gt;Tamamlandı"))</f>
        <v>129</v>
      </c>
      <c r="N14" s="56">
        <f>IF($J14="","",COUNTIFS('İş Planı'!$D$5:$D$204,$J14,'İş Planı'!$O$5:$O$204,"Gecikmiş")+COUNTIFS('İş Planı'!$E$5:$E$204,$J14,'İş Planı'!$O$5:$O$204,"Gecikmiş")+COUNTIFS('İş Planı'!$F$5:$F$204,$J14,'İş Planı'!$O$5:$O$204,"Gecikmiş")+COUNTIFS('İş Planı'!$G$5:$G$204,$J14,'İş Planı'!$O$5:$O$204,"Gecikmiş"))</f>
        <v>1</v>
      </c>
    </row>
    <row r="15">
      <c r="B15" s="55" t="inlineStr">
        <is>
          <t>Rutin Faaliyetler</t>
        </is>
      </c>
      <c r="D15" s="55" t="inlineStr">
        <is>
          <t>Ornek User12</t>
        </is>
      </c>
      <c r="J15" s="55" t="str">
        <f>IF($D15="","",$D15)</f>
        <v>Ornek User12</v>
      </c>
      <c r="K15" s="56">
        <f>IF($J15="","",COUNTIF('İş Planı'!$D$5:$D$204,$J15)+COUNTIF('İş Planı'!$E$5:$E$204,$J15)+COUNTIF('İş Planı'!$F$5:$F$204,$J15)+COUNTIF('İş Planı'!$G$5:$G$204,$J15))</f>
        <v>11</v>
      </c>
      <c r="L15" s="56">
        <f>IF($J15="","",SUMIF('İş Planı'!$D$5:$D$204,$J15,'İş Planı'!$K$5:$K$204)+SUMIF('İş Planı'!$E$5:$E$204,$J15,'İş Planı'!$K$5:$K$204)+SUMIF('İş Planı'!$F$5:$F$204,$J15,'İş Planı'!$K$5:$K$204)+SUMIF('İş Planı'!$G$5:$G$204,$J15,'İş Planı'!$K$5:$K$204))</f>
        <v>80</v>
      </c>
      <c r="M15" s="56">
        <f>IF($J15="","",SUMIFS('İş Planı'!$K$5:$K$204,'İş Planı'!$D$5:$D$204,$J15,'İş Planı'!$O$5:$O$204,"&lt;&gt;Tamamlandı")+SUMIFS('İş Planı'!$K$5:$K$204,'İş Planı'!$E$5:$E$204,$J15,'İş Planı'!$O$5:$O$204,"&lt;&gt;Tamamlandı")+SUMIFS('İş Planı'!$K$5:$K$204,'İş Planı'!$F$5:$F$204,$J15,'İş Planı'!$O$5:$O$204,"&lt;&gt;Tamamlandı")+SUMIFS('İş Planı'!$K$5:$K$204,'İş Planı'!$G$5:$G$204,$J15,'İş Planı'!$O$5:$O$204,"&lt;&gt;Tamamlandı"))</f>
        <v>80</v>
      </c>
      <c r="N15" s="56">
        <f>IF($J15="","",COUNTIFS('İş Planı'!$D$5:$D$204,$J15,'İş Planı'!$O$5:$O$204,"Gecikmiş")+COUNTIFS('İş Planı'!$E$5:$E$204,$J15,'İş Planı'!$O$5:$O$204,"Gecikmiş")+COUNTIFS('İş Planı'!$F$5:$F$204,$J15,'İş Planı'!$O$5:$O$204,"Gecikmiş")+COUNTIFS('İş Planı'!$G$5:$G$204,$J15,'İş Planı'!$O$5:$O$204,"Gecikmiş"))</f>
        <v>1</v>
      </c>
    </row>
    <row r="16">
      <c r="B16" s="55" t="n"/>
      <c r="D16" s="55" t="inlineStr">
        <is>
          <t>Ornek User13</t>
        </is>
      </c>
      <c r="J16" s="55" t="str">
        <f>IF($D16="","",$D16)</f>
        <v>Ornek User13</v>
      </c>
      <c r="K16" s="56">
        <f>IF($J16="","",COUNTIF('İş Planı'!$D$5:$D$204,$J16)+COUNTIF('İş Planı'!$E$5:$E$204,$J16)+COUNTIF('İş Planı'!$F$5:$F$204,$J16)+COUNTIF('İş Planı'!$G$5:$G$204,$J16))</f>
        <v>16</v>
      </c>
      <c r="L16" s="56">
        <f>IF($J16="","",SUMIF('İş Planı'!$D$5:$D$204,$J16,'İş Planı'!$K$5:$K$204)+SUMIF('İş Planı'!$E$5:$E$204,$J16,'İş Planı'!$K$5:$K$204)+SUMIF('İş Planı'!$F$5:$F$204,$J16,'İş Planı'!$K$5:$K$204)+SUMIF('İş Planı'!$G$5:$G$204,$J16,'İş Planı'!$K$5:$K$204))</f>
        <v>293</v>
      </c>
      <c r="M16" s="56">
        <f>IF($J16="","",SUMIFS('İş Planı'!$K$5:$K$204,'İş Planı'!$D$5:$D$204,$J16,'İş Planı'!$O$5:$O$204,"&lt;&gt;Tamamlandı")+SUMIFS('İş Planı'!$K$5:$K$204,'İş Planı'!$E$5:$E$204,$J16,'İş Planı'!$O$5:$O$204,"&lt;&gt;Tamamlandı")+SUMIFS('İş Planı'!$K$5:$K$204,'İş Planı'!$F$5:$F$204,$J16,'İş Planı'!$O$5:$O$204,"&lt;&gt;Tamamlandı")+SUMIFS('İş Planı'!$K$5:$K$204,'İş Planı'!$G$5:$G$204,$J16,'İş Planı'!$O$5:$O$204,"&lt;&gt;Tamamlandı"))</f>
        <v>255</v>
      </c>
      <c r="N16" s="56">
        <f>IF($J16="","",COUNTIFS('İş Planı'!$D$5:$D$204,$J16,'İş Planı'!$O$5:$O$204,"Gecikmiş")+COUNTIFS('İş Planı'!$E$5:$E$204,$J16,'İş Planı'!$O$5:$O$204,"Gecikmiş")+COUNTIFS('İş Planı'!$F$5:$F$204,$J16,'İş Planı'!$O$5:$O$204,"Gecikmiş")+COUNTIFS('İş Planı'!$G$5:$G$204,$J16,'İş Planı'!$O$5:$O$204,"Gecikmiş"))</f>
        <v>2</v>
      </c>
    </row>
    <row r="17">
      <c r="B17" s="55" t="n"/>
      <c r="D17" s="55" t="n"/>
      <c r="J17" s="55">
        <f>IF($D17="","",$D17)</f>
        <v/>
      </c>
      <c r="K17" s="56">
        <f>IF($J17="","",COUNTIF('İş Planı'!$D$5:$D$204,$J17)+COUNTIF('İş Planı'!$E$5:$E$204,$J17)+COUNTIF('İş Planı'!$F$5:$F$204,$J17)+COUNTIF('İş Planı'!$G$5:$G$204,$J17))</f>
        <v/>
      </c>
      <c r="L17" s="56">
        <f>IF($J17="","",SUMIF('İş Planı'!$D$5:$D$204,$J17,'İş Planı'!$K$5:$K$204)+SUMIF('İş Planı'!$E$5:$E$204,$J17,'İş Planı'!$K$5:$K$204)+SUMIF('İş Planı'!$F$5:$F$204,$J17,'İş Planı'!$K$5:$K$204)+SUMIF('İş Planı'!$G$5:$G$204,$J17,'İş Planı'!$K$5:$K$204))</f>
        <v/>
      </c>
      <c r="M17" s="56">
        <f>IF($J17="","",SUMIFS('İş Planı'!$K$5:$K$204,'İş Planı'!$D$5:$D$204,$J17,'İş Planı'!$O$5:$O$204,"&lt;&gt;Tamamlandı")+SUMIFS('İş Planı'!$K$5:$K$204,'İş Planı'!$E$5:$E$204,$J17,'İş Planı'!$O$5:$O$204,"&lt;&gt;Tamamlandı")+SUMIFS('İş Planı'!$K$5:$K$204,'İş Planı'!$F$5:$F$204,$J17,'İş Planı'!$O$5:$O$204,"&lt;&gt;Tamamlandı")+SUMIFS('İş Planı'!$K$5:$K$204,'İş Planı'!$G$5:$G$204,$J17,'İş Planı'!$O$5:$O$204,"&lt;&gt;Tamamlandı"))</f>
        <v/>
      </c>
      <c r="N17" s="56">
        <f>IF($J17="","",COUNTIFS('İş Planı'!$D$5:$D$204,$J17,'İş Planı'!$O$5:$O$204,"Gecikmiş")+COUNTIFS('İş Planı'!$E$5:$E$204,$J17,'İş Planı'!$O$5:$O$204,"Gecikmiş")+COUNTIFS('İş Planı'!$F$5:$F$204,$J17,'İş Planı'!$O$5:$O$204,"Gecikmiş")+COUNTIFS('İş Planı'!$G$5:$G$204,$J17,'İş Planı'!$O$5:$O$204,"Gecikmiş"))</f>
        <v/>
      </c>
    </row>
    <row r="18">
      <c r="B18" s="55" t="n"/>
      <c r="D18" s="55" t="n"/>
      <c r="J18" s="55">
        <f>IF($D18="","",$D18)</f>
        <v/>
      </c>
      <c r="K18" s="56">
        <f>IF($J18="","",COUNTIF('İş Planı'!$D$5:$D$204,$J18)+COUNTIF('İş Planı'!$E$5:$E$204,$J18)+COUNTIF('İş Planı'!$F$5:$F$204,$J18)+COUNTIF('İş Planı'!$G$5:$G$204,$J18))</f>
        <v/>
      </c>
      <c r="L18" s="56">
        <f>IF($J18="","",SUMIF('İş Planı'!$D$5:$D$204,$J18,'İş Planı'!$K$5:$K$204)+SUMIF('İş Planı'!$E$5:$E$204,$J18,'İş Planı'!$K$5:$K$204)+SUMIF('İş Planı'!$F$5:$F$204,$J18,'İş Planı'!$K$5:$K$204)+SUMIF('İş Planı'!$G$5:$G$204,$J18,'İş Planı'!$K$5:$K$204))</f>
        <v/>
      </c>
      <c r="M18" s="56">
        <f>IF($J18="","",SUMIFS('İş Planı'!$K$5:$K$204,'İş Planı'!$D$5:$D$204,$J18,'İş Planı'!$O$5:$O$204,"&lt;&gt;Tamamlandı")+SUMIFS('İş Planı'!$K$5:$K$204,'İş Planı'!$E$5:$E$204,$J18,'İş Planı'!$O$5:$O$204,"&lt;&gt;Tamamlandı")+SUMIFS('İş Planı'!$K$5:$K$204,'İş Planı'!$F$5:$F$204,$J18,'İş Planı'!$O$5:$O$204,"&lt;&gt;Tamamlandı")+SUMIFS('İş Planı'!$K$5:$K$204,'İş Planı'!$G$5:$G$204,$J18,'İş Planı'!$O$5:$O$204,"&lt;&gt;Tamamlandı"))</f>
        <v/>
      </c>
      <c r="N18" s="56">
        <f>IF($J18="","",COUNTIFS('İş Planı'!$D$5:$D$204,$J18,'İş Planı'!$O$5:$O$204,"Gecikmiş")+COUNTIFS('İş Planı'!$E$5:$E$204,$J18,'İş Planı'!$O$5:$O$204,"Gecikmiş")+COUNTIFS('İş Planı'!$F$5:$F$204,$J18,'İş Planı'!$O$5:$O$204,"Gecikmiş")+COUNTIFS('İş Planı'!$G$5:$G$204,$J18,'İş Planı'!$O$5:$O$204,"Gecikmiş"))</f>
        <v/>
      </c>
    </row>
    <row r="19">
      <c r="B19" s="55" t="n"/>
      <c r="D19" s="55" t="n"/>
      <c r="J19" s="55">
        <f>IF($D19="","",$D19)</f>
        <v/>
      </c>
      <c r="K19" s="56">
        <f>IF($J19="","",COUNTIF('İş Planı'!$D$5:$D$204,$J19)+COUNTIF('İş Planı'!$E$5:$E$204,$J19)+COUNTIF('İş Planı'!$F$5:$F$204,$J19)+COUNTIF('İş Planı'!$G$5:$G$204,$J19))</f>
        <v/>
      </c>
      <c r="L19" s="56">
        <f>IF($J19="","",SUMIF('İş Planı'!$D$5:$D$204,$J19,'İş Planı'!$K$5:$K$204)+SUMIF('İş Planı'!$E$5:$E$204,$J19,'İş Planı'!$K$5:$K$204)+SUMIF('İş Planı'!$F$5:$F$204,$J19,'İş Planı'!$K$5:$K$204)+SUMIF('İş Planı'!$G$5:$G$204,$J19,'İş Planı'!$K$5:$K$204))</f>
        <v/>
      </c>
      <c r="M19" s="56">
        <f>IF($J19="","",SUMIFS('İş Planı'!$K$5:$K$204,'İş Planı'!$D$5:$D$204,$J19,'İş Planı'!$O$5:$O$204,"&lt;&gt;Tamamlandı")+SUMIFS('İş Planı'!$K$5:$K$204,'İş Planı'!$E$5:$E$204,$J19,'İş Planı'!$O$5:$O$204,"&lt;&gt;Tamamlandı")+SUMIFS('İş Planı'!$K$5:$K$204,'İş Planı'!$F$5:$F$204,$J19,'İş Planı'!$O$5:$O$204,"&lt;&gt;Tamamlandı")+SUMIFS('İş Planı'!$K$5:$K$204,'İş Planı'!$G$5:$G$204,$J19,'İş Planı'!$O$5:$O$204,"&lt;&gt;Tamamlandı"))</f>
        <v/>
      </c>
      <c r="N19" s="56">
        <f>IF($J19="","",COUNTIFS('İş Planı'!$D$5:$D$204,$J19,'İş Planı'!$O$5:$O$204,"Gecikmiş")+COUNTIFS('İş Planı'!$E$5:$E$204,$J19,'İş Planı'!$O$5:$O$204,"Gecikmiş")+COUNTIFS('İş Planı'!$F$5:$F$204,$J19,'İş Planı'!$O$5:$O$204,"Gecikmiş")+COUNTIFS('İş Planı'!$G$5:$G$204,$J19,'İş Planı'!$O$5:$O$204,"Gecikmiş"))</f>
        <v/>
      </c>
    </row>
    <row r="20">
      <c r="B20" s="55" t="n"/>
      <c r="D20" s="55" t="n"/>
      <c r="J20" s="55">
        <f>IF($D20="","",$D20)</f>
        <v/>
      </c>
      <c r="K20" s="56">
        <f>IF($J20="","",COUNTIF('İş Planı'!$D$5:$D$204,$J20)+COUNTIF('İş Planı'!$E$5:$E$204,$J20)+COUNTIF('İş Planı'!$F$5:$F$204,$J20)+COUNTIF('İş Planı'!$G$5:$G$204,$J20))</f>
        <v/>
      </c>
      <c r="L20" s="56">
        <f>IF($J20="","",SUMIF('İş Planı'!$D$5:$D$204,$J20,'İş Planı'!$K$5:$K$204)+SUMIF('İş Planı'!$E$5:$E$204,$J20,'İş Planı'!$K$5:$K$204)+SUMIF('İş Planı'!$F$5:$F$204,$J20,'İş Planı'!$K$5:$K$204)+SUMIF('İş Planı'!$G$5:$G$204,$J20,'İş Planı'!$K$5:$K$204))</f>
        <v/>
      </c>
      <c r="M20" s="56">
        <f>IF($J20="","",SUMIFS('İş Planı'!$K$5:$K$204,'İş Planı'!$D$5:$D$204,$J20,'İş Planı'!$O$5:$O$204,"&lt;&gt;Tamamlandı")+SUMIFS('İş Planı'!$K$5:$K$204,'İş Planı'!$E$5:$E$204,$J20,'İş Planı'!$O$5:$O$204,"&lt;&gt;Tamamlandı")+SUMIFS('İş Planı'!$K$5:$K$204,'İş Planı'!$F$5:$F$204,$J20,'İş Planı'!$O$5:$O$204,"&lt;&gt;Tamamlandı")+SUMIFS('İş Planı'!$K$5:$K$204,'İş Planı'!$G$5:$G$204,$J20,'İş Planı'!$O$5:$O$204,"&lt;&gt;Tamamlandı"))</f>
        <v/>
      </c>
      <c r="N20" s="56">
        <f>IF($J20="","",COUNTIFS('İş Planı'!$D$5:$D$204,$J20,'İş Planı'!$O$5:$O$204,"Gecikmiş")+COUNTIFS('İş Planı'!$E$5:$E$204,$J20,'İş Planı'!$O$5:$O$204,"Gecikmiş")+COUNTIFS('İş Planı'!$F$5:$F$204,$J20,'İş Planı'!$O$5:$O$204,"Gecikmiş")+COUNTIFS('İş Planı'!$G$5:$G$204,$J20,'İş Planı'!$O$5:$O$204,"Gecikmiş"))</f>
        <v/>
      </c>
    </row>
    <row r="21">
      <c r="B21" s="55" t="n"/>
      <c r="D21" s="55" t="n"/>
      <c r="J21" s="55">
        <f>IF($D21="","",$D21)</f>
        <v/>
      </c>
      <c r="K21" s="56">
        <f>IF($J21="","",COUNTIF('İş Planı'!$D$5:$D$204,$J21)+COUNTIF('İş Planı'!$E$5:$E$204,$J21)+COUNTIF('İş Planı'!$F$5:$F$204,$J21)+COUNTIF('İş Planı'!$G$5:$G$204,$J21))</f>
        <v/>
      </c>
      <c r="L21" s="56">
        <f>IF($J21="","",SUMIF('İş Planı'!$D$5:$D$204,$J21,'İş Planı'!$K$5:$K$204)+SUMIF('İş Planı'!$E$5:$E$204,$J21,'İş Planı'!$K$5:$K$204)+SUMIF('İş Planı'!$F$5:$F$204,$J21,'İş Planı'!$K$5:$K$204)+SUMIF('İş Planı'!$G$5:$G$204,$J21,'İş Planı'!$K$5:$K$204))</f>
        <v/>
      </c>
      <c r="M21" s="56">
        <f>IF($J21="","",SUMIFS('İş Planı'!$K$5:$K$204,'İş Planı'!$D$5:$D$204,$J21,'İş Planı'!$O$5:$O$204,"&lt;&gt;Tamamlandı")+SUMIFS('İş Planı'!$K$5:$K$204,'İş Planı'!$E$5:$E$204,$J21,'İş Planı'!$O$5:$O$204,"&lt;&gt;Tamamlandı")+SUMIFS('İş Planı'!$K$5:$K$204,'İş Planı'!$F$5:$F$204,$J21,'İş Planı'!$O$5:$O$204,"&lt;&gt;Tamamlandı")+SUMIFS('İş Planı'!$K$5:$K$204,'İş Planı'!$G$5:$G$204,$J21,'İş Planı'!$O$5:$O$204,"&lt;&gt;Tamamlandı"))</f>
        <v/>
      </c>
      <c r="N21" s="56">
        <f>IF($J21="","",COUNTIFS('İş Planı'!$D$5:$D$204,$J21,'İş Planı'!$O$5:$O$204,"Gecikmiş")+COUNTIFS('İş Planı'!$E$5:$E$204,$J21,'İş Planı'!$O$5:$O$204,"Gecikmiş")+COUNTIFS('İş Planı'!$F$5:$F$204,$J21,'İş Planı'!$O$5:$O$204,"Gecikmiş")+COUNTIFS('İş Planı'!$G$5:$G$204,$J21,'İş Planı'!$O$5:$O$204,"Gecikmiş"))</f>
        <v/>
      </c>
    </row>
    <row r="22">
      <c r="B22" s="55" t="n"/>
      <c r="D22" s="55" t="n"/>
      <c r="J22" s="55">
        <f>IF($D22="","",$D22)</f>
        <v/>
      </c>
      <c r="K22" s="56">
        <f>IF($J22="","",COUNTIF('İş Planı'!$D$5:$D$204,$J22)+COUNTIF('İş Planı'!$E$5:$E$204,$J22)+COUNTIF('İş Planı'!$F$5:$F$204,$J22)+COUNTIF('İş Planı'!$G$5:$G$204,$J22))</f>
        <v/>
      </c>
      <c r="L22" s="56">
        <f>IF($J22="","",SUMIF('İş Planı'!$D$5:$D$204,$J22,'İş Planı'!$K$5:$K$204)+SUMIF('İş Planı'!$E$5:$E$204,$J22,'İş Planı'!$K$5:$K$204)+SUMIF('İş Planı'!$F$5:$F$204,$J22,'İş Planı'!$K$5:$K$204)+SUMIF('İş Planı'!$G$5:$G$204,$J22,'İş Planı'!$K$5:$K$204))</f>
        <v/>
      </c>
      <c r="M22" s="56">
        <f>IF($J22="","",SUMIFS('İş Planı'!$K$5:$K$204,'İş Planı'!$D$5:$D$204,$J22,'İş Planı'!$O$5:$O$204,"&lt;&gt;Tamamlandı")+SUMIFS('İş Planı'!$K$5:$K$204,'İş Planı'!$E$5:$E$204,$J22,'İş Planı'!$O$5:$O$204,"&lt;&gt;Tamamlandı")+SUMIFS('İş Planı'!$K$5:$K$204,'İş Planı'!$F$5:$F$204,$J22,'İş Planı'!$O$5:$O$204,"&lt;&gt;Tamamlandı")+SUMIFS('İş Planı'!$K$5:$K$204,'İş Planı'!$G$5:$G$204,$J22,'İş Planı'!$O$5:$O$204,"&lt;&gt;Tamamlandı"))</f>
        <v/>
      </c>
      <c r="N22" s="56">
        <f>IF($J22="","",COUNTIFS('İş Planı'!$D$5:$D$204,$J22,'İş Planı'!$O$5:$O$204,"Gecikmiş")+COUNTIFS('İş Planı'!$E$5:$E$204,$J22,'İş Planı'!$O$5:$O$204,"Gecikmiş")+COUNTIFS('İş Planı'!$F$5:$F$204,$J22,'İş Planı'!$O$5:$O$204,"Gecikmiş")+COUNTIFS('İş Planı'!$G$5:$G$204,$J22,'İş Planı'!$O$5:$O$204,"Gecikmiş"))</f>
        <v/>
      </c>
    </row>
    <row r="23">
      <c r="B23" s="55" t="n"/>
      <c r="D23" s="55" t="n"/>
      <c r="J23" s="55">
        <f>IF($D23="","",$D23)</f>
        <v/>
      </c>
      <c r="K23" s="56">
        <f>IF($J23="","",COUNTIF('İş Planı'!$D$5:$D$204,$J23)+COUNTIF('İş Planı'!$E$5:$E$204,$J23)+COUNTIF('İş Planı'!$F$5:$F$204,$J23)+COUNTIF('İş Planı'!$G$5:$G$204,$J23))</f>
        <v/>
      </c>
      <c r="L23" s="56">
        <f>IF($J23="","",SUMIF('İş Planı'!$D$5:$D$204,$J23,'İş Planı'!$K$5:$K$204)+SUMIF('İş Planı'!$E$5:$E$204,$J23,'İş Planı'!$K$5:$K$204)+SUMIF('İş Planı'!$F$5:$F$204,$J23,'İş Planı'!$K$5:$K$204)+SUMIF('İş Planı'!$G$5:$G$204,$J23,'İş Planı'!$K$5:$K$204))</f>
        <v/>
      </c>
      <c r="M23" s="56">
        <f>IF($J23="","",SUMIFS('İş Planı'!$K$5:$K$204,'İş Planı'!$D$5:$D$204,$J23,'İş Planı'!$O$5:$O$204,"&lt;&gt;Tamamlandı")+SUMIFS('İş Planı'!$K$5:$K$204,'İş Planı'!$E$5:$E$204,$J23,'İş Planı'!$O$5:$O$204,"&lt;&gt;Tamamlandı")+SUMIFS('İş Planı'!$K$5:$K$204,'İş Planı'!$F$5:$F$204,$J23,'İş Planı'!$O$5:$O$204,"&lt;&gt;Tamamlandı")+SUMIFS('İş Planı'!$K$5:$K$204,'İş Planı'!$G$5:$G$204,$J23,'İş Planı'!$O$5:$O$204,"&lt;&gt;Tamamlandı"))</f>
        <v/>
      </c>
      <c r="N23" s="56">
        <f>IF($J23="","",COUNTIFS('İş Planı'!$D$5:$D$204,$J23,'İş Planı'!$O$5:$O$204,"Gecikmiş")+COUNTIFS('İş Planı'!$E$5:$E$204,$J23,'İş Planı'!$O$5:$O$204,"Gecikmiş")+COUNTIFS('İş Planı'!$F$5:$F$204,$J23,'İş Planı'!$O$5:$O$204,"Gecikmiş")+COUNTIFS('İş Planı'!$G$5:$G$204,$J23,'İş Planı'!$O$5:$O$204,"Gecikmiş"))</f>
        <v/>
      </c>
    </row>
    <row r="24">
      <c r="B24" s="55" t="n"/>
      <c r="D24" s="55" t="n"/>
      <c r="J24" s="55">
        <f>IF($D24="","",$D24)</f>
        <v/>
      </c>
      <c r="K24" s="56">
        <f>IF($J24="","",COUNTIF('İş Planı'!$D$5:$D$204,$J24)+COUNTIF('İş Planı'!$E$5:$E$204,$J24)+COUNTIF('İş Planı'!$F$5:$F$204,$J24)+COUNTIF('İş Planı'!$G$5:$G$204,$J24))</f>
        <v/>
      </c>
      <c r="L24" s="56">
        <f>IF($J24="","",SUMIF('İş Planı'!$D$5:$D$204,$J24,'İş Planı'!$K$5:$K$204)+SUMIF('İş Planı'!$E$5:$E$204,$J24,'İş Planı'!$K$5:$K$204)+SUMIF('İş Planı'!$F$5:$F$204,$J24,'İş Planı'!$K$5:$K$204)+SUMIF('İş Planı'!$G$5:$G$204,$J24,'İş Planı'!$K$5:$K$204))</f>
        <v/>
      </c>
      <c r="M24" s="56">
        <f>IF($J24="","",SUMIFS('İş Planı'!$K$5:$K$204,'İş Planı'!$D$5:$D$204,$J24,'İş Planı'!$O$5:$O$204,"&lt;&gt;Tamamlandı")+SUMIFS('İş Planı'!$K$5:$K$204,'İş Planı'!$E$5:$E$204,$J24,'İş Planı'!$O$5:$O$204,"&lt;&gt;Tamamlandı")+SUMIFS('İş Planı'!$K$5:$K$204,'İş Planı'!$F$5:$F$204,$J24,'İş Planı'!$O$5:$O$204,"&lt;&gt;Tamamlandı")+SUMIFS('İş Planı'!$K$5:$K$204,'İş Planı'!$G$5:$G$204,$J24,'İş Planı'!$O$5:$O$204,"&lt;&gt;Tamamlandı"))</f>
        <v/>
      </c>
      <c r="N24" s="56">
        <f>IF($J24="","",COUNTIFS('İş Planı'!$D$5:$D$204,$J24,'İş Planı'!$O$5:$O$204,"Gecikmiş")+COUNTIFS('İş Planı'!$E$5:$E$204,$J24,'İş Planı'!$O$5:$O$204,"Gecikmiş")+COUNTIFS('İş Planı'!$F$5:$F$204,$J24,'İş Planı'!$O$5:$O$204,"Gecikmiş")+COUNTIFS('İş Planı'!$G$5:$G$204,$J24,'İş Planı'!$O$5:$O$204,"Gecikmiş"))</f>
        <v/>
      </c>
    </row>
    <row r="25">
      <c r="B25" s="55" t="n"/>
      <c r="D25" s="55" t="n"/>
      <c r="J25" s="55">
        <f>IF($D25="","",$D25)</f>
        <v/>
      </c>
      <c r="K25" s="56">
        <f>IF($J25="","",COUNTIF('İş Planı'!$D$5:$D$204,$J25)+COUNTIF('İş Planı'!$E$5:$E$204,$J25)+COUNTIF('İş Planı'!$F$5:$F$204,$J25)+COUNTIF('İş Planı'!$G$5:$G$204,$J25))</f>
        <v/>
      </c>
      <c r="L25" s="56">
        <f>IF($J25="","",SUMIF('İş Planı'!$D$5:$D$204,$J25,'İş Planı'!$K$5:$K$204)+SUMIF('İş Planı'!$E$5:$E$204,$J25,'İş Planı'!$K$5:$K$204)+SUMIF('İş Planı'!$F$5:$F$204,$J25,'İş Planı'!$K$5:$K$204)+SUMIF('İş Planı'!$G$5:$G$204,$J25,'İş Planı'!$K$5:$K$204))</f>
        <v/>
      </c>
      <c r="M25" s="56">
        <f>IF($J25="","",SUMIFS('İş Planı'!$K$5:$K$204,'İş Planı'!$D$5:$D$204,$J25,'İş Planı'!$O$5:$O$204,"&lt;&gt;Tamamlandı")+SUMIFS('İş Planı'!$K$5:$K$204,'İş Planı'!$E$5:$E$204,$J25,'İş Planı'!$O$5:$O$204,"&lt;&gt;Tamamlandı")+SUMIFS('İş Planı'!$K$5:$K$204,'İş Planı'!$F$5:$F$204,$J25,'İş Planı'!$O$5:$O$204,"&lt;&gt;Tamamlandı")+SUMIFS('İş Planı'!$K$5:$K$204,'İş Planı'!$G$5:$G$204,$J25,'İş Planı'!$O$5:$O$204,"&lt;&gt;Tamamlandı"))</f>
        <v/>
      </c>
      <c r="N25" s="56">
        <f>IF($J25="","",COUNTIFS('İş Planı'!$D$5:$D$204,$J25,'İş Planı'!$O$5:$O$204,"Gecikmiş")+COUNTIFS('İş Planı'!$E$5:$E$204,$J25,'İş Planı'!$O$5:$O$204,"Gecikmiş")+COUNTIFS('İş Planı'!$F$5:$F$204,$J25,'İş Planı'!$O$5:$O$204,"Gecikmiş")+COUNTIFS('İş Planı'!$G$5:$G$204,$J25,'İş Planı'!$O$5:$O$204,"Gecikmiş"))</f>
        <v/>
      </c>
    </row>
    <row r="26">
      <c r="B26" s="55" t="n"/>
      <c r="D26" s="55" t="n"/>
      <c r="J26" s="55">
        <f>IF($D26="","",$D26)</f>
        <v/>
      </c>
      <c r="K26" s="56">
        <f>IF($J26="","",COUNTIF('İş Planı'!$D$5:$D$204,$J26)+COUNTIF('İş Planı'!$E$5:$E$204,$J26)+COUNTIF('İş Planı'!$F$5:$F$204,$J26)+COUNTIF('İş Planı'!$G$5:$G$204,$J26))</f>
        <v/>
      </c>
      <c r="L26" s="56">
        <f>IF($J26="","",SUMIF('İş Planı'!$D$5:$D$204,$J26,'İş Planı'!$K$5:$K$204)+SUMIF('İş Planı'!$E$5:$E$204,$J26,'İş Planı'!$K$5:$K$204)+SUMIF('İş Planı'!$F$5:$F$204,$J26,'İş Planı'!$K$5:$K$204)+SUMIF('İş Planı'!$G$5:$G$204,$J26,'İş Planı'!$K$5:$K$204))</f>
        <v/>
      </c>
      <c r="M26" s="56">
        <f>IF($J26="","",SUMIFS('İş Planı'!$K$5:$K$204,'İş Planı'!$D$5:$D$204,$J26,'İş Planı'!$O$5:$O$204,"&lt;&gt;Tamamlandı")+SUMIFS('İş Planı'!$K$5:$K$204,'İş Planı'!$E$5:$E$204,$J26,'İş Planı'!$O$5:$O$204,"&lt;&gt;Tamamlandı")+SUMIFS('İş Planı'!$K$5:$K$204,'İş Planı'!$F$5:$F$204,$J26,'İş Planı'!$O$5:$O$204,"&lt;&gt;Tamamlandı")+SUMIFS('İş Planı'!$K$5:$K$204,'İş Planı'!$G$5:$G$204,$J26,'İş Planı'!$O$5:$O$204,"&lt;&gt;Tamamlandı"))</f>
        <v/>
      </c>
      <c r="N26" s="56">
        <f>IF($J26="","",COUNTIFS('İş Planı'!$D$5:$D$204,$J26,'İş Planı'!$O$5:$O$204,"Gecikmiş")+COUNTIFS('İş Planı'!$E$5:$E$204,$J26,'İş Planı'!$O$5:$O$204,"Gecikmiş")+COUNTIFS('İş Planı'!$F$5:$F$204,$J26,'İş Planı'!$O$5:$O$204,"Gecikmiş")+COUNTIFS('İş Planı'!$G$5:$G$204,$J26,'İş Planı'!$O$5:$O$204,"Gecikmiş"))</f>
        <v/>
      </c>
    </row>
    <row r="27">
      <c r="B27" s="55" t="n"/>
      <c r="D27" s="55" t="n"/>
      <c r="J27" s="55">
        <f>IF($D27="","",$D27)</f>
        <v/>
      </c>
      <c r="K27" s="56">
        <f>IF($J27="","",COUNTIF('İş Planı'!$D$5:$D$204,$J27)+COUNTIF('İş Planı'!$E$5:$E$204,$J27)+COUNTIF('İş Planı'!$F$5:$F$204,$J27)+COUNTIF('İş Planı'!$G$5:$G$204,$J27))</f>
        <v/>
      </c>
      <c r="L27" s="56">
        <f>IF($J27="","",SUMIF('İş Planı'!$D$5:$D$204,$J27,'İş Planı'!$K$5:$K$204)+SUMIF('İş Planı'!$E$5:$E$204,$J27,'İş Planı'!$K$5:$K$204)+SUMIF('İş Planı'!$F$5:$F$204,$J27,'İş Planı'!$K$5:$K$204)+SUMIF('İş Planı'!$G$5:$G$204,$J27,'İş Planı'!$K$5:$K$204))</f>
        <v/>
      </c>
      <c r="M27" s="56">
        <f>IF($J27="","",SUMIFS('İş Planı'!$K$5:$K$204,'İş Planı'!$D$5:$D$204,$J27,'İş Planı'!$O$5:$O$204,"&lt;&gt;Tamamlandı")+SUMIFS('İş Planı'!$K$5:$K$204,'İş Planı'!$E$5:$E$204,$J27,'İş Planı'!$O$5:$O$204,"&lt;&gt;Tamamlandı")+SUMIFS('İş Planı'!$K$5:$K$204,'İş Planı'!$F$5:$F$204,$J27,'İş Planı'!$O$5:$O$204,"&lt;&gt;Tamamlandı")+SUMIFS('İş Planı'!$K$5:$K$204,'İş Planı'!$G$5:$G$204,$J27,'İş Planı'!$O$5:$O$204,"&lt;&gt;Tamamlandı"))</f>
        <v/>
      </c>
      <c r="N27" s="56">
        <f>IF($J27="","",COUNTIFS('İş Planı'!$D$5:$D$204,$J27,'İş Planı'!$O$5:$O$204,"Gecikmiş")+COUNTIFS('İş Planı'!$E$5:$E$204,$J27,'İş Planı'!$O$5:$O$204,"Gecikmiş")+COUNTIFS('İş Planı'!$F$5:$F$204,$J27,'İş Planı'!$O$5:$O$204,"Gecikmiş")+COUNTIFS('İş Planı'!$G$5:$G$204,$J27,'İş Planı'!$O$5:$O$204,"Gecikmiş"))</f>
        <v/>
      </c>
    </row>
    <row r="28">
      <c r="B28" s="55" t="n"/>
      <c r="D28" s="55" t="n"/>
      <c r="J28" s="55">
        <f>IF($D28="","",$D28)</f>
        <v/>
      </c>
      <c r="K28" s="56">
        <f>IF($J28="","",COUNTIF('İş Planı'!$D$5:$D$204,$J28)+COUNTIF('İş Planı'!$E$5:$E$204,$J28)+COUNTIF('İş Planı'!$F$5:$F$204,$J28)+COUNTIF('İş Planı'!$G$5:$G$204,$J28))</f>
        <v/>
      </c>
      <c r="L28" s="56">
        <f>IF($J28="","",SUMIF('İş Planı'!$D$5:$D$204,$J28,'İş Planı'!$K$5:$K$204)+SUMIF('İş Planı'!$E$5:$E$204,$J28,'İş Planı'!$K$5:$K$204)+SUMIF('İş Planı'!$F$5:$F$204,$J28,'İş Planı'!$K$5:$K$204)+SUMIF('İş Planı'!$G$5:$G$204,$J28,'İş Planı'!$K$5:$K$204))</f>
        <v/>
      </c>
      <c r="M28" s="56">
        <f>IF($J28="","",SUMIFS('İş Planı'!$K$5:$K$204,'İş Planı'!$D$5:$D$204,$J28,'İş Planı'!$O$5:$O$204,"&lt;&gt;Tamamlandı")+SUMIFS('İş Planı'!$K$5:$K$204,'İş Planı'!$E$5:$E$204,$J28,'İş Planı'!$O$5:$O$204,"&lt;&gt;Tamamlandı")+SUMIFS('İş Planı'!$K$5:$K$204,'İş Planı'!$F$5:$F$204,$J28,'İş Planı'!$O$5:$O$204,"&lt;&gt;Tamamlandı")+SUMIFS('İş Planı'!$K$5:$K$204,'İş Planı'!$G$5:$G$204,$J28,'İş Planı'!$O$5:$O$204,"&lt;&gt;Tamamlandı"))</f>
        <v/>
      </c>
      <c r="N28" s="56">
        <f>IF($J28="","",COUNTIFS('İş Planı'!$D$5:$D$204,$J28,'İş Planı'!$O$5:$O$204,"Gecikmiş")+COUNTIFS('İş Planı'!$E$5:$E$204,$J28,'İş Planı'!$O$5:$O$204,"Gecikmiş")+COUNTIFS('İş Planı'!$F$5:$F$204,$J28,'İş Planı'!$O$5:$O$204,"Gecikmiş")+COUNTIFS('İş Planı'!$G$5:$G$204,$J28,'İş Planı'!$O$5:$O$204,"Gecikmiş"))</f>
        <v/>
      </c>
    </row>
    <row r="29">
      <c r="B29" s="55" t="n"/>
      <c r="D29" s="55" t="n"/>
      <c r="J29" s="55">
        <f>IF($D29="","",$D29)</f>
        <v/>
      </c>
      <c r="K29" s="56">
        <f>IF($J29="","",COUNTIF('İş Planı'!$D$5:$D$204,$J29)+COUNTIF('İş Planı'!$E$5:$E$204,$J29)+COUNTIF('İş Planı'!$F$5:$F$204,$J29)+COUNTIF('İş Planı'!$G$5:$G$204,$J29))</f>
        <v/>
      </c>
      <c r="L29" s="56">
        <f>IF($J29="","",SUMIF('İş Planı'!$D$5:$D$204,$J29,'İş Planı'!$K$5:$K$204)+SUMIF('İş Planı'!$E$5:$E$204,$J29,'İş Planı'!$K$5:$K$204)+SUMIF('İş Planı'!$F$5:$F$204,$J29,'İş Planı'!$K$5:$K$204)+SUMIF('İş Planı'!$G$5:$G$204,$J29,'İş Planı'!$K$5:$K$204))</f>
        <v/>
      </c>
      <c r="M29" s="56">
        <f>IF($J29="","",SUMIFS('İş Planı'!$K$5:$K$204,'İş Planı'!$D$5:$D$204,$J29,'İş Planı'!$O$5:$O$204,"&lt;&gt;Tamamlandı")+SUMIFS('İş Planı'!$K$5:$K$204,'İş Planı'!$E$5:$E$204,$J29,'İş Planı'!$O$5:$O$204,"&lt;&gt;Tamamlandı")+SUMIFS('İş Planı'!$K$5:$K$204,'İş Planı'!$F$5:$F$204,$J29,'İş Planı'!$O$5:$O$204,"&lt;&gt;Tamamlandı")+SUMIFS('İş Planı'!$K$5:$K$204,'İş Planı'!$G$5:$G$204,$J29,'İş Planı'!$O$5:$O$204,"&lt;&gt;Tamamlandı"))</f>
        <v/>
      </c>
      <c r="N29" s="56">
        <f>IF($J29="","",COUNTIFS('İş Planı'!$D$5:$D$204,$J29,'İş Planı'!$O$5:$O$204,"Gecikmiş")+COUNTIFS('İş Planı'!$E$5:$E$204,$J29,'İş Planı'!$O$5:$O$204,"Gecikmiş")+COUNTIFS('İş Planı'!$F$5:$F$204,$J29,'İş Planı'!$O$5:$O$204,"Gecikmiş")+COUNTIFS('İş Planı'!$G$5:$G$204,$J29,'İş Planı'!$O$5:$O$204,"Gecikmiş"))</f>
        <v/>
      </c>
    </row>
    <row r="30">
      <c r="B30" s="55" t="n"/>
      <c r="D30" s="55" t="n"/>
      <c r="J30" s="55">
        <f>IF($D30="","",$D30)</f>
        <v/>
      </c>
      <c r="K30" s="56">
        <f>IF($J30="","",COUNTIF('İş Planı'!$D$5:$D$204,$J30)+COUNTIF('İş Planı'!$E$5:$E$204,$J30)+COUNTIF('İş Planı'!$F$5:$F$204,$J30)+COUNTIF('İş Planı'!$G$5:$G$204,$J30))</f>
        <v/>
      </c>
      <c r="L30" s="56">
        <f>IF($J30="","",SUMIF('İş Planı'!$D$5:$D$204,$J30,'İş Planı'!$K$5:$K$204)+SUMIF('İş Planı'!$E$5:$E$204,$J30,'İş Planı'!$K$5:$K$204)+SUMIF('İş Planı'!$F$5:$F$204,$J30,'İş Planı'!$K$5:$K$204)+SUMIF('İş Planı'!$G$5:$G$204,$J30,'İş Planı'!$K$5:$K$204))</f>
        <v/>
      </c>
      <c r="M30" s="56">
        <f>IF($J30="","",SUMIFS('İş Planı'!$K$5:$K$204,'İş Planı'!$D$5:$D$204,$J30,'İş Planı'!$O$5:$O$204,"&lt;&gt;Tamamlandı")+SUMIFS('İş Planı'!$K$5:$K$204,'İş Planı'!$E$5:$E$204,$J30,'İş Planı'!$O$5:$O$204,"&lt;&gt;Tamamlandı")+SUMIFS('İş Planı'!$K$5:$K$204,'İş Planı'!$F$5:$F$204,$J30,'İş Planı'!$O$5:$O$204,"&lt;&gt;Tamamlandı")+SUMIFS('İş Planı'!$K$5:$K$204,'İş Planı'!$G$5:$G$204,$J30,'İş Planı'!$O$5:$O$204,"&lt;&gt;Tamamlandı"))</f>
        <v/>
      </c>
      <c r="N30" s="56">
        <f>IF($J30="","",COUNTIFS('İş Planı'!$D$5:$D$204,$J30,'İş Planı'!$O$5:$O$204,"Gecikmiş")+COUNTIFS('İş Planı'!$E$5:$E$204,$J30,'İş Planı'!$O$5:$O$204,"Gecikmiş")+COUNTIFS('İş Planı'!$F$5:$F$204,$J30,'İş Planı'!$O$5:$O$204,"Gecikmiş")+COUNTIFS('İş Planı'!$G$5:$G$204,$J30,'İş Planı'!$O$5:$O$204,"Gecikmiş"))</f>
        <v/>
      </c>
    </row>
    <row r="31">
      <c r="B31" s="55" t="n"/>
      <c r="D31" s="55" t="n"/>
      <c r="J31" s="55">
        <f>IF($D31="","",$D31)</f>
        <v/>
      </c>
      <c r="K31" s="56">
        <f>IF($J31="","",COUNTIF('İş Planı'!$D$5:$D$204,$J31)+COUNTIF('İş Planı'!$E$5:$E$204,$J31)+COUNTIF('İş Planı'!$F$5:$F$204,$J31)+COUNTIF('İş Planı'!$G$5:$G$204,$J31))</f>
        <v/>
      </c>
      <c r="L31" s="56">
        <f>IF($J31="","",SUMIF('İş Planı'!$D$5:$D$204,$J31,'İş Planı'!$K$5:$K$204)+SUMIF('İş Planı'!$E$5:$E$204,$J31,'İş Planı'!$K$5:$K$204)+SUMIF('İş Planı'!$F$5:$F$204,$J31,'İş Planı'!$K$5:$K$204)+SUMIF('İş Planı'!$G$5:$G$204,$J31,'İş Planı'!$K$5:$K$204))</f>
        <v/>
      </c>
      <c r="M31" s="56">
        <f>IF($J31="","",SUMIFS('İş Planı'!$K$5:$K$204,'İş Planı'!$D$5:$D$204,$J31,'İş Planı'!$O$5:$O$204,"&lt;&gt;Tamamlandı")+SUMIFS('İş Planı'!$K$5:$K$204,'İş Planı'!$E$5:$E$204,$J31,'İş Planı'!$O$5:$O$204,"&lt;&gt;Tamamlandı")+SUMIFS('İş Planı'!$K$5:$K$204,'İş Planı'!$F$5:$F$204,$J31,'İş Planı'!$O$5:$O$204,"&lt;&gt;Tamamlandı")+SUMIFS('İş Planı'!$K$5:$K$204,'İş Planı'!$G$5:$G$204,$J31,'İş Planı'!$O$5:$O$204,"&lt;&gt;Tamamlandı"))</f>
        <v/>
      </c>
      <c r="N31" s="56">
        <f>IF($J31="","",COUNTIFS('İş Planı'!$D$5:$D$204,$J31,'İş Planı'!$O$5:$O$204,"Gecikmiş")+COUNTIFS('İş Planı'!$E$5:$E$204,$J31,'İş Planı'!$O$5:$O$204,"Gecikmiş")+COUNTIFS('İş Planı'!$F$5:$F$204,$J31,'İş Planı'!$O$5:$O$204,"Gecikmiş")+COUNTIFS('İş Planı'!$G$5:$G$204,$J31,'İş Planı'!$O$5:$O$204,"Gecikmiş"))</f>
        <v/>
      </c>
    </row>
    <row r="32">
      <c r="B32" s="55" t="n"/>
      <c r="D32" s="55" t="n"/>
      <c r="J32" s="55">
        <f>IF($D32="","",$D32)</f>
        <v/>
      </c>
      <c r="K32" s="56">
        <f>IF($J32="","",COUNTIF('İş Planı'!$D$5:$D$204,$J32)+COUNTIF('İş Planı'!$E$5:$E$204,$J32)+COUNTIF('İş Planı'!$F$5:$F$204,$J32)+COUNTIF('İş Planı'!$G$5:$G$204,$J32))</f>
        <v/>
      </c>
      <c r="L32" s="56">
        <f>IF($J32="","",SUMIF('İş Planı'!$D$5:$D$204,$J32,'İş Planı'!$K$5:$K$204)+SUMIF('İş Planı'!$E$5:$E$204,$J32,'İş Planı'!$K$5:$K$204)+SUMIF('İş Planı'!$F$5:$F$204,$J32,'İş Planı'!$K$5:$K$204)+SUMIF('İş Planı'!$G$5:$G$204,$J32,'İş Planı'!$K$5:$K$204))</f>
        <v/>
      </c>
      <c r="M32" s="56">
        <f>IF($J32="","",SUMIFS('İş Planı'!$K$5:$K$204,'İş Planı'!$D$5:$D$204,$J32,'İş Planı'!$O$5:$O$204,"&lt;&gt;Tamamlandı")+SUMIFS('İş Planı'!$K$5:$K$204,'İş Planı'!$E$5:$E$204,$J32,'İş Planı'!$O$5:$O$204,"&lt;&gt;Tamamlandı")+SUMIFS('İş Planı'!$K$5:$K$204,'İş Planı'!$F$5:$F$204,$J32,'İş Planı'!$O$5:$O$204,"&lt;&gt;Tamamlandı")+SUMIFS('İş Planı'!$K$5:$K$204,'İş Planı'!$G$5:$G$204,$J32,'İş Planı'!$O$5:$O$204,"&lt;&gt;Tamamlandı"))</f>
        <v/>
      </c>
      <c r="N32" s="56">
        <f>IF($J32="","",COUNTIFS('İş Planı'!$D$5:$D$204,$J32,'İş Planı'!$O$5:$O$204,"Gecikmiş")+COUNTIFS('İş Planı'!$E$5:$E$204,$J32,'İş Planı'!$O$5:$O$204,"Gecikmiş")+COUNTIFS('İş Planı'!$F$5:$F$204,$J32,'İş Planı'!$O$5:$O$204,"Gecikmiş")+COUNTIFS('İş Planı'!$G$5:$G$204,$J32,'İş Planı'!$O$5:$O$204,"Gecikmiş"))</f>
        <v/>
      </c>
    </row>
    <row r="33">
      <c r="B33" s="55" t="n"/>
      <c r="D33" s="55" t="n"/>
      <c r="J33" s="55">
        <f>IF($D33="","",$D33)</f>
        <v/>
      </c>
      <c r="K33" s="56">
        <f>IF($J33="","",COUNTIF('İş Planı'!$D$5:$D$204,$J33)+COUNTIF('İş Planı'!$E$5:$E$204,$J33)+COUNTIF('İş Planı'!$F$5:$F$204,$J33)+COUNTIF('İş Planı'!$G$5:$G$204,$J33))</f>
        <v/>
      </c>
      <c r="L33" s="56">
        <f>IF($J33="","",SUMIF('İş Planı'!$D$5:$D$204,$J33,'İş Planı'!$K$5:$K$204)+SUMIF('İş Planı'!$E$5:$E$204,$J33,'İş Planı'!$K$5:$K$204)+SUMIF('İş Planı'!$F$5:$F$204,$J33,'İş Planı'!$K$5:$K$204)+SUMIF('İş Planı'!$G$5:$G$204,$J33,'İş Planı'!$K$5:$K$204))</f>
        <v/>
      </c>
      <c r="M33" s="56">
        <f>IF($J33="","",SUMIFS('İş Planı'!$K$5:$K$204,'İş Planı'!$D$5:$D$204,$J33,'İş Planı'!$O$5:$O$204,"&lt;&gt;Tamamlandı")+SUMIFS('İş Planı'!$K$5:$K$204,'İş Planı'!$E$5:$E$204,$J33,'İş Planı'!$O$5:$O$204,"&lt;&gt;Tamamlandı")+SUMIFS('İş Planı'!$K$5:$K$204,'İş Planı'!$F$5:$F$204,$J33,'İş Planı'!$O$5:$O$204,"&lt;&gt;Tamamlandı")+SUMIFS('İş Planı'!$K$5:$K$204,'İş Planı'!$G$5:$G$204,$J33,'İş Planı'!$O$5:$O$204,"&lt;&gt;Tamamlandı"))</f>
        <v/>
      </c>
      <c r="N33" s="56">
        <f>IF($J33="","",COUNTIFS('İş Planı'!$D$5:$D$204,$J33,'İş Planı'!$O$5:$O$204,"Gecikmiş")+COUNTIFS('İş Planı'!$E$5:$E$204,$J33,'İş Planı'!$O$5:$O$204,"Gecikmiş")+COUNTIFS('İş Planı'!$F$5:$F$204,$J33,'İş Planı'!$O$5:$O$204,"Gecikmiş")+COUNTIFS('İş Planı'!$G$5:$G$204,$J33,'İş Planı'!$O$5:$O$204,"Gecikmiş"))</f>
        <v/>
      </c>
    </row>
    <row r="34">
      <c r="B34" s="55" t="n"/>
      <c r="D34" s="55" t="n"/>
      <c r="J34" s="55">
        <f>IF($D34="","",$D34)</f>
        <v/>
      </c>
      <c r="K34" s="56">
        <f>IF($J34="","",COUNTIF('İş Planı'!$D$5:$D$204,$J34)+COUNTIF('İş Planı'!$E$5:$E$204,$J34)+COUNTIF('İş Planı'!$F$5:$F$204,$J34)+COUNTIF('İş Planı'!$G$5:$G$204,$J34))</f>
        <v/>
      </c>
      <c r="L34" s="56">
        <f>IF($J34="","",SUMIF('İş Planı'!$D$5:$D$204,$J34,'İş Planı'!$K$5:$K$204)+SUMIF('İş Planı'!$E$5:$E$204,$J34,'İş Planı'!$K$5:$K$204)+SUMIF('İş Planı'!$F$5:$F$204,$J34,'İş Planı'!$K$5:$K$204)+SUMIF('İş Planı'!$G$5:$G$204,$J34,'İş Planı'!$K$5:$K$204))</f>
        <v/>
      </c>
      <c r="M34" s="56">
        <f>IF($J34="","",SUMIFS('İş Planı'!$K$5:$K$204,'İş Planı'!$D$5:$D$204,$J34,'İş Planı'!$O$5:$O$204,"&lt;&gt;Tamamlandı")+SUMIFS('İş Planı'!$K$5:$K$204,'İş Planı'!$E$5:$E$204,$J34,'İş Planı'!$O$5:$O$204,"&lt;&gt;Tamamlandı")+SUMIFS('İş Planı'!$K$5:$K$204,'İş Planı'!$F$5:$F$204,$J34,'İş Planı'!$O$5:$O$204,"&lt;&gt;Tamamlandı")+SUMIFS('İş Planı'!$K$5:$K$204,'İş Planı'!$G$5:$G$204,$J34,'İş Planı'!$O$5:$O$204,"&lt;&gt;Tamamlandı"))</f>
        <v/>
      </c>
      <c r="N34" s="56">
        <f>IF($J34="","",COUNTIFS('İş Planı'!$D$5:$D$204,$J34,'İş Planı'!$O$5:$O$204,"Gecikmiş")+COUNTIFS('İş Planı'!$E$5:$E$204,$J34,'İş Planı'!$O$5:$O$204,"Gecikmiş")+COUNTIFS('İş Planı'!$F$5:$F$204,$J34,'İş Planı'!$O$5:$O$204,"Gecikmiş")+COUNTIFS('İş Planı'!$G$5:$G$204,$J34,'İş Planı'!$O$5:$O$204,"Gecikmiş"))</f>
        <v/>
      </c>
    </row>
    <row r="35">
      <c r="B35" s="55" t="n"/>
      <c r="D35" s="55" t="n"/>
      <c r="J35" s="55">
        <f>IF($D35="","",$D35)</f>
        <v/>
      </c>
      <c r="K35" s="56">
        <f>IF($J35="","",COUNTIF('İş Planı'!$D$5:$D$204,$J35)+COUNTIF('İş Planı'!$E$5:$E$204,$J35)+COUNTIF('İş Planı'!$F$5:$F$204,$J35)+COUNTIF('İş Planı'!$G$5:$G$204,$J35))</f>
        <v/>
      </c>
      <c r="L35" s="56">
        <f>IF($J35="","",SUMIF('İş Planı'!$D$5:$D$204,$J35,'İş Planı'!$K$5:$K$204)+SUMIF('İş Planı'!$E$5:$E$204,$J35,'İş Planı'!$K$5:$K$204)+SUMIF('İş Planı'!$F$5:$F$204,$J35,'İş Planı'!$K$5:$K$204)+SUMIF('İş Planı'!$G$5:$G$204,$J35,'İş Planı'!$K$5:$K$204))</f>
        <v/>
      </c>
      <c r="M35" s="56">
        <f>IF($J35="","",SUMIFS('İş Planı'!$K$5:$K$204,'İş Planı'!$D$5:$D$204,$J35,'İş Planı'!$O$5:$O$204,"&lt;&gt;Tamamlandı")+SUMIFS('İş Planı'!$K$5:$K$204,'İş Planı'!$E$5:$E$204,$J35,'İş Planı'!$O$5:$O$204,"&lt;&gt;Tamamlandı")+SUMIFS('İş Planı'!$K$5:$K$204,'İş Planı'!$F$5:$F$204,$J35,'İş Planı'!$O$5:$O$204,"&lt;&gt;Tamamlandı")+SUMIFS('İş Planı'!$K$5:$K$204,'İş Planı'!$G$5:$G$204,$J35,'İş Planı'!$O$5:$O$204,"&lt;&gt;Tamamlandı"))</f>
        <v/>
      </c>
      <c r="N35" s="56">
        <f>IF($J35="","",COUNTIFS('İş Planı'!$D$5:$D$204,$J35,'İş Planı'!$O$5:$O$204,"Gecikmiş")+COUNTIFS('İş Planı'!$E$5:$E$204,$J35,'İş Planı'!$O$5:$O$204,"Gecikmiş")+COUNTIFS('İş Planı'!$F$5:$F$204,$J35,'İş Planı'!$O$5:$O$204,"Gecikmiş")+COUNTIFS('İş Planı'!$G$5:$G$204,$J35,'İş Planı'!$O$5:$O$204,"Gecikmiş"))</f>
        <v/>
      </c>
    </row>
    <row r="36">
      <c r="B36" s="55" t="n"/>
      <c r="D36" s="55" t="n"/>
      <c r="J36" s="55">
        <f>IF($D36="","",$D36)</f>
        <v/>
      </c>
      <c r="K36" s="56">
        <f>IF($J36="","",COUNTIF('İş Planı'!$D$5:$D$204,$J36)+COUNTIF('İş Planı'!$E$5:$E$204,$J36)+COUNTIF('İş Planı'!$F$5:$F$204,$J36)+COUNTIF('İş Planı'!$G$5:$G$204,$J36))</f>
        <v/>
      </c>
      <c r="L36" s="56">
        <f>IF($J36="","",SUMIF('İş Planı'!$D$5:$D$204,$J36,'İş Planı'!$K$5:$K$204)+SUMIF('İş Planı'!$E$5:$E$204,$J36,'İş Planı'!$K$5:$K$204)+SUMIF('İş Planı'!$F$5:$F$204,$J36,'İş Planı'!$K$5:$K$204)+SUMIF('İş Planı'!$G$5:$G$204,$J36,'İş Planı'!$K$5:$K$204))</f>
        <v/>
      </c>
      <c r="M36" s="56">
        <f>IF($J36="","",SUMIFS('İş Planı'!$K$5:$K$204,'İş Planı'!$D$5:$D$204,$J36,'İş Planı'!$O$5:$O$204,"&lt;&gt;Tamamlandı")+SUMIFS('İş Planı'!$K$5:$K$204,'İş Planı'!$E$5:$E$204,$J36,'İş Planı'!$O$5:$O$204,"&lt;&gt;Tamamlandı")+SUMIFS('İş Planı'!$K$5:$K$204,'İş Planı'!$F$5:$F$204,$J36,'İş Planı'!$O$5:$O$204,"&lt;&gt;Tamamlandı")+SUMIFS('İş Planı'!$K$5:$K$204,'İş Planı'!$G$5:$G$204,$J36,'İş Planı'!$O$5:$O$204,"&lt;&gt;Tamamlandı"))</f>
        <v/>
      </c>
      <c r="N36" s="56">
        <f>IF($J36="","",COUNTIFS('İş Planı'!$D$5:$D$204,$J36,'İş Planı'!$O$5:$O$204,"Gecikmiş")+COUNTIFS('İş Planı'!$E$5:$E$204,$J36,'İş Planı'!$O$5:$O$204,"Gecikmiş")+COUNTIFS('İş Planı'!$F$5:$F$204,$J36,'İş Planı'!$O$5:$O$204,"Gecikmiş")+COUNTIFS('İş Planı'!$G$5:$G$204,$J36,'İş Planı'!$O$5:$O$204,"Gecikmiş"))</f>
        <v/>
      </c>
    </row>
    <row r="37">
      <c r="B37" s="55" t="n"/>
      <c r="D37" s="55" t="n"/>
      <c r="J37" s="55">
        <f>IF($D37="","",$D37)</f>
        <v/>
      </c>
      <c r="K37" s="56">
        <f>IF($J37="","",COUNTIF('İş Planı'!$D$5:$D$204,$J37)+COUNTIF('İş Planı'!$E$5:$E$204,$J37)+COUNTIF('İş Planı'!$F$5:$F$204,$J37)+COUNTIF('İş Planı'!$G$5:$G$204,$J37))</f>
        <v/>
      </c>
      <c r="L37" s="56">
        <f>IF($J37="","",SUMIF('İş Planı'!$D$5:$D$204,$J37,'İş Planı'!$K$5:$K$204)+SUMIF('İş Planı'!$E$5:$E$204,$J37,'İş Planı'!$K$5:$K$204)+SUMIF('İş Planı'!$F$5:$F$204,$J37,'İş Planı'!$K$5:$K$204)+SUMIF('İş Planı'!$G$5:$G$204,$J37,'İş Planı'!$K$5:$K$204))</f>
        <v/>
      </c>
      <c r="M37" s="56">
        <f>IF($J37="","",SUMIFS('İş Planı'!$K$5:$K$204,'İş Planı'!$D$5:$D$204,$J37,'İş Planı'!$O$5:$O$204,"&lt;&gt;Tamamlandı")+SUMIFS('İş Planı'!$K$5:$K$204,'İş Planı'!$E$5:$E$204,$J37,'İş Planı'!$O$5:$O$204,"&lt;&gt;Tamamlandı")+SUMIFS('İş Planı'!$K$5:$K$204,'İş Planı'!$F$5:$F$204,$J37,'İş Planı'!$O$5:$O$204,"&lt;&gt;Tamamlandı")+SUMIFS('İş Planı'!$K$5:$K$204,'İş Planı'!$G$5:$G$204,$J37,'İş Planı'!$O$5:$O$204,"&lt;&gt;Tamamlandı"))</f>
        <v/>
      </c>
      <c r="N37" s="56">
        <f>IF($J37="","",COUNTIFS('İş Planı'!$D$5:$D$204,$J37,'İş Planı'!$O$5:$O$204,"Gecikmiş")+COUNTIFS('İş Planı'!$E$5:$E$204,$J37,'İş Planı'!$O$5:$O$204,"Gecikmiş")+COUNTIFS('İş Planı'!$F$5:$F$204,$J37,'İş Planı'!$O$5:$O$204,"Gecikmiş")+COUNTIFS('İş Planı'!$G$5:$G$204,$J37,'İş Planı'!$O$5:$O$204,"Gecikmiş"))</f>
        <v/>
      </c>
    </row>
    <row r="38">
      <c r="B38" s="55" t="n"/>
      <c r="D38" s="55" t="n"/>
      <c r="J38" s="55">
        <f>IF($D38="","",$D38)</f>
        <v/>
      </c>
      <c r="K38" s="56">
        <f>IF($J38="","",COUNTIF('İş Planı'!$D$5:$D$204,$J38)+COUNTIF('İş Planı'!$E$5:$E$204,$J38)+COUNTIF('İş Planı'!$F$5:$F$204,$J38)+COUNTIF('İş Planı'!$G$5:$G$204,$J38))</f>
        <v/>
      </c>
      <c r="L38" s="56">
        <f>IF($J38="","",SUMIF('İş Planı'!$D$5:$D$204,$J38,'İş Planı'!$K$5:$K$204)+SUMIF('İş Planı'!$E$5:$E$204,$J38,'İş Planı'!$K$5:$K$204)+SUMIF('İş Planı'!$F$5:$F$204,$J38,'İş Planı'!$K$5:$K$204)+SUMIF('İş Planı'!$G$5:$G$204,$J38,'İş Planı'!$K$5:$K$204))</f>
        <v/>
      </c>
      <c r="M38" s="56">
        <f>IF($J38="","",SUMIFS('İş Planı'!$K$5:$K$204,'İş Planı'!$D$5:$D$204,$J38,'İş Planı'!$O$5:$O$204,"&lt;&gt;Tamamlandı")+SUMIFS('İş Planı'!$K$5:$K$204,'İş Planı'!$E$5:$E$204,$J38,'İş Planı'!$O$5:$O$204,"&lt;&gt;Tamamlandı")+SUMIFS('İş Planı'!$K$5:$K$204,'İş Planı'!$F$5:$F$204,$J38,'İş Planı'!$O$5:$O$204,"&lt;&gt;Tamamlandı")+SUMIFS('İş Planı'!$K$5:$K$204,'İş Planı'!$G$5:$G$204,$J38,'İş Planı'!$O$5:$O$204,"&lt;&gt;Tamamlandı"))</f>
        <v/>
      </c>
      <c r="N38" s="56">
        <f>IF($J38="","",COUNTIFS('İş Planı'!$D$5:$D$204,$J38,'İş Planı'!$O$5:$O$204,"Gecikmiş")+COUNTIFS('İş Planı'!$E$5:$E$204,$J38,'İş Planı'!$O$5:$O$204,"Gecikmiş")+COUNTIFS('İş Planı'!$F$5:$F$204,$J38,'İş Planı'!$O$5:$O$204,"Gecikmiş")+COUNTIFS('İş Planı'!$G$5:$G$204,$J38,'İş Planı'!$O$5:$O$204,"Gecikmiş"))</f>
        <v/>
      </c>
    </row>
    <row r="39">
      <c r="B39" s="55" t="n"/>
      <c r="D39" s="55" t="n"/>
      <c r="J39" s="55">
        <f>IF($D39="","",$D39)</f>
        <v/>
      </c>
      <c r="K39" s="56">
        <f>IF($J39="","",COUNTIF('İş Planı'!$D$5:$D$204,$J39)+COUNTIF('İş Planı'!$E$5:$E$204,$J39)+COUNTIF('İş Planı'!$F$5:$F$204,$J39)+COUNTIF('İş Planı'!$G$5:$G$204,$J39))</f>
        <v/>
      </c>
      <c r="L39" s="56">
        <f>IF($J39="","",SUMIF('İş Planı'!$D$5:$D$204,$J39,'İş Planı'!$K$5:$K$204)+SUMIF('İş Planı'!$E$5:$E$204,$J39,'İş Planı'!$K$5:$K$204)+SUMIF('İş Planı'!$F$5:$F$204,$J39,'İş Planı'!$K$5:$K$204)+SUMIF('İş Planı'!$G$5:$G$204,$J39,'İş Planı'!$K$5:$K$204))</f>
        <v/>
      </c>
      <c r="M39" s="56">
        <f>IF($J39="","",SUMIFS('İş Planı'!$K$5:$K$204,'İş Planı'!$D$5:$D$204,$J39,'İş Planı'!$O$5:$O$204,"&lt;&gt;Tamamlandı")+SUMIFS('İş Planı'!$K$5:$K$204,'İş Planı'!$E$5:$E$204,$J39,'İş Planı'!$O$5:$O$204,"&lt;&gt;Tamamlandı")+SUMIFS('İş Planı'!$K$5:$K$204,'İş Planı'!$F$5:$F$204,$J39,'İş Planı'!$O$5:$O$204,"&lt;&gt;Tamamlandı")+SUMIFS('İş Planı'!$K$5:$K$204,'İş Planı'!$G$5:$G$204,$J39,'İş Planı'!$O$5:$O$204,"&lt;&gt;Tamamlandı"))</f>
        <v/>
      </c>
      <c r="N39" s="56">
        <f>IF($J39="","",COUNTIFS('İş Planı'!$D$5:$D$204,$J39,'İş Planı'!$O$5:$O$204,"Gecikmiş")+COUNTIFS('İş Planı'!$E$5:$E$204,$J39,'İş Planı'!$O$5:$O$204,"Gecikmiş")+COUNTIFS('İş Planı'!$F$5:$F$204,$J39,'İş Planı'!$O$5:$O$204,"Gecikmiş")+COUNTIFS('İş Planı'!$G$5:$G$204,$J39,'İş Planı'!$O$5:$O$204,"Gecikmiş"))</f>
        <v/>
      </c>
    </row>
    <row r="40">
      <c r="B40" s="55" t="n"/>
      <c r="D40" s="55" t="n"/>
      <c r="J40" s="55">
        <f>IF($D40="","",$D40)</f>
        <v/>
      </c>
      <c r="K40" s="56">
        <f>IF($J40="","",COUNTIF('İş Planı'!$D$5:$D$204,$J40)+COUNTIF('İş Planı'!$E$5:$E$204,$J40)+COUNTIF('İş Planı'!$F$5:$F$204,$J40)+COUNTIF('İş Planı'!$G$5:$G$204,$J40))</f>
        <v/>
      </c>
      <c r="L40" s="56">
        <f>IF($J40="","",SUMIF('İş Planı'!$D$5:$D$204,$J40,'İş Planı'!$K$5:$K$204)+SUMIF('İş Planı'!$E$5:$E$204,$J40,'İş Planı'!$K$5:$K$204)+SUMIF('İş Planı'!$F$5:$F$204,$J40,'İş Planı'!$K$5:$K$204)+SUMIF('İş Planı'!$G$5:$G$204,$J40,'İş Planı'!$K$5:$K$204))</f>
        <v/>
      </c>
      <c r="M40" s="56">
        <f>IF($J40="","",SUMIFS('İş Planı'!$K$5:$K$204,'İş Planı'!$D$5:$D$204,$J40,'İş Planı'!$O$5:$O$204,"&lt;&gt;Tamamlandı")+SUMIFS('İş Planı'!$K$5:$K$204,'İş Planı'!$E$5:$E$204,$J40,'İş Planı'!$O$5:$O$204,"&lt;&gt;Tamamlandı")+SUMIFS('İş Planı'!$K$5:$K$204,'İş Planı'!$F$5:$F$204,$J40,'İş Planı'!$O$5:$O$204,"&lt;&gt;Tamamlandı")+SUMIFS('İş Planı'!$K$5:$K$204,'İş Planı'!$G$5:$G$204,$J40,'İş Planı'!$O$5:$O$204,"&lt;&gt;Tamamlandı"))</f>
        <v/>
      </c>
      <c r="N40" s="56">
        <f>IF($J40="","",COUNTIFS('İş Planı'!$D$5:$D$204,$J40,'İş Planı'!$O$5:$O$204,"Gecikmiş")+COUNTIFS('İş Planı'!$E$5:$E$204,$J40,'İş Planı'!$O$5:$O$204,"Gecikmiş")+COUNTIFS('İş Planı'!$F$5:$F$204,$J40,'İş Planı'!$O$5:$O$204,"Gecikmiş")+COUNTIFS('İş Planı'!$G$5:$G$204,$J40,'İş Planı'!$O$5:$O$204,"Gecikmiş"))</f>
        <v/>
      </c>
    </row>
    <row r="41">
      <c r="B41" s="55" t="n"/>
      <c r="D41" s="55" t="n"/>
      <c r="J41" s="55">
        <f>IF($D41="","",$D41)</f>
        <v/>
      </c>
      <c r="K41" s="56">
        <f>IF($J41="","",COUNTIF('İş Planı'!$D$5:$D$204,$J41)+COUNTIF('İş Planı'!$E$5:$E$204,$J41)+COUNTIF('İş Planı'!$F$5:$F$204,$J41)+COUNTIF('İş Planı'!$G$5:$G$204,$J41))</f>
        <v/>
      </c>
      <c r="L41" s="56">
        <f>IF($J41="","",SUMIF('İş Planı'!$D$5:$D$204,$J41,'İş Planı'!$K$5:$K$204)+SUMIF('İş Planı'!$E$5:$E$204,$J41,'İş Planı'!$K$5:$K$204)+SUMIF('İş Planı'!$F$5:$F$204,$J41,'İş Planı'!$K$5:$K$204)+SUMIF('İş Planı'!$G$5:$G$204,$J41,'İş Planı'!$K$5:$K$204))</f>
        <v/>
      </c>
      <c r="M41" s="56">
        <f>IF($J41="","",SUMIFS('İş Planı'!$K$5:$K$204,'İş Planı'!$D$5:$D$204,$J41,'İş Planı'!$O$5:$O$204,"&lt;&gt;Tamamlandı")+SUMIFS('İş Planı'!$K$5:$K$204,'İş Planı'!$E$5:$E$204,$J41,'İş Planı'!$O$5:$O$204,"&lt;&gt;Tamamlandı")+SUMIFS('İş Planı'!$K$5:$K$204,'İş Planı'!$F$5:$F$204,$J41,'İş Planı'!$O$5:$O$204,"&lt;&gt;Tamamlandı")+SUMIFS('İş Planı'!$K$5:$K$204,'İş Planı'!$G$5:$G$204,$J41,'İş Planı'!$O$5:$O$204,"&lt;&gt;Tamamlandı"))</f>
        <v/>
      </c>
      <c r="N41" s="56">
        <f>IF($J41="","",COUNTIFS('İş Planı'!$D$5:$D$204,$J41,'İş Planı'!$O$5:$O$204,"Gecikmiş")+COUNTIFS('İş Planı'!$E$5:$E$204,$J41,'İş Planı'!$O$5:$O$204,"Gecikmiş")+COUNTIFS('İş Planı'!$F$5:$F$204,$J41,'İş Planı'!$O$5:$O$204,"Gecikmiş")+COUNTIFS('İş Planı'!$G$5:$G$204,$J41,'İş Planı'!$O$5:$O$204,"Gecikmiş"))</f>
        <v/>
      </c>
    </row>
    <row r="42">
      <c r="B42" s="55" t="n"/>
      <c r="D42" s="55" t="n"/>
      <c r="J42" s="55">
        <f>IF($D42="","",$D42)</f>
        <v/>
      </c>
      <c r="K42" s="56">
        <f>IF($J42="","",COUNTIF('İş Planı'!$D$5:$D$204,$J42)+COUNTIF('İş Planı'!$E$5:$E$204,$J42)+COUNTIF('İş Planı'!$F$5:$F$204,$J42)+COUNTIF('İş Planı'!$G$5:$G$204,$J42))</f>
        <v/>
      </c>
      <c r="L42" s="56">
        <f>IF($J42="","",SUMIF('İş Planı'!$D$5:$D$204,$J42,'İş Planı'!$K$5:$K$204)+SUMIF('İş Planı'!$E$5:$E$204,$J42,'İş Planı'!$K$5:$K$204)+SUMIF('İş Planı'!$F$5:$F$204,$J42,'İş Planı'!$K$5:$K$204)+SUMIF('İş Planı'!$G$5:$G$204,$J42,'İş Planı'!$K$5:$K$204))</f>
        <v/>
      </c>
      <c r="M42" s="56">
        <f>IF($J42="","",SUMIFS('İş Planı'!$K$5:$K$204,'İş Planı'!$D$5:$D$204,$J42,'İş Planı'!$O$5:$O$204,"&lt;&gt;Tamamlandı")+SUMIFS('İş Planı'!$K$5:$K$204,'İş Planı'!$E$5:$E$204,$J42,'İş Planı'!$O$5:$O$204,"&lt;&gt;Tamamlandı")+SUMIFS('İş Planı'!$K$5:$K$204,'İş Planı'!$F$5:$F$204,$J42,'İş Planı'!$O$5:$O$204,"&lt;&gt;Tamamlandı")+SUMIFS('İş Planı'!$K$5:$K$204,'İş Planı'!$G$5:$G$204,$J42,'İş Planı'!$O$5:$O$204,"&lt;&gt;Tamamlandı"))</f>
        <v/>
      </c>
      <c r="N42" s="56">
        <f>IF($J42="","",COUNTIFS('İş Planı'!$D$5:$D$204,$J42,'İş Planı'!$O$5:$O$204,"Gecikmiş")+COUNTIFS('İş Planı'!$E$5:$E$204,$J42,'İş Planı'!$O$5:$O$204,"Gecikmiş")+COUNTIFS('İş Planı'!$F$5:$F$204,$J42,'İş Planı'!$O$5:$O$204,"Gecikmiş")+COUNTIFS('İş Planı'!$G$5:$G$204,$J42,'İş Planı'!$O$5:$O$204,"Gecikmiş"))</f>
        <v/>
      </c>
    </row>
    <row r="43">
      <c r="B43" s="55" t="n"/>
      <c r="D43" s="55" t="n"/>
      <c r="J43" s="55">
        <f>IF($D43="","",$D43)</f>
        <v/>
      </c>
      <c r="K43" s="56">
        <f>IF($J43="","",COUNTIF('İş Planı'!$D$5:$D$204,$J43)+COUNTIF('İş Planı'!$E$5:$E$204,$J43)+COUNTIF('İş Planı'!$F$5:$F$204,$J43)+COUNTIF('İş Planı'!$G$5:$G$204,$J43))</f>
        <v/>
      </c>
      <c r="L43" s="56">
        <f>IF($J43="","",SUMIF('İş Planı'!$D$5:$D$204,$J43,'İş Planı'!$K$5:$K$204)+SUMIF('İş Planı'!$E$5:$E$204,$J43,'İş Planı'!$K$5:$K$204)+SUMIF('İş Planı'!$F$5:$F$204,$J43,'İş Planı'!$K$5:$K$204)+SUMIF('İş Planı'!$G$5:$G$204,$J43,'İş Planı'!$K$5:$K$204))</f>
        <v/>
      </c>
      <c r="M43" s="56">
        <f>IF($J43="","",SUMIFS('İş Planı'!$K$5:$K$204,'İş Planı'!$D$5:$D$204,$J43,'İş Planı'!$O$5:$O$204,"&lt;&gt;Tamamlandı")+SUMIFS('İş Planı'!$K$5:$K$204,'İş Planı'!$E$5:$E$204,$J43,'İş Planı'!$O$5:$O$204,"&lt;&gt;Tamamlandı")+SUMIFS('İş Planı'!$K$5:$K$204,'İş Planı'!$F$5:$F$204,$J43,'İş Planı'!$O$5:$O$204,"&lt;&gt;Tamamlandı")+SUMIFS('İş Planı'!$K$5:$K$204,'İş Planı'!$G$5:$G$204,$J43,'İş Planı'!$O$5:$O$204,"&lt;&gt;Tamamlandı"))</f>
        <v/>
      </c>
      <c r="N43" s="56">
        <f>IF($J43="","",COUNTIFS('İş Planı'!$D$5:$D$204,$J43,'İş Planı'!$O$5:$O$204,"Gecikmiş")+COUNTIFS('İş Planı'!$E$5:$E$204,$J43,'İş Planı'!$O$5:$O$204,"Gecikmiş")+COUNTIFS('İş Planı'!$F$5:$F$204,$J43,'İş Planı'!$O$5:$O$204,"Gecikmiş")+COUNTIFS('İş Planı'!$G$5:$G$204,$J43,'İş Planı'!$O$5:$O$204,"Gecikmiş"))</f>
        <v/>
      </c>
    </row>
    <row r="44">
      <c r="J44" s="45" t="inlineStr">
        <is>
          <t>TOPLAM</t>
        </is>
      </c>
      <c r="K44" s="57">
        <f>SUM(K4:K43)</f>
        <v>108</v>
      </c>
      <c r="L44" s="57">
        <f>SUM(L4:L43)</f>
        <v>1282</v>
      </c>
      <c r="M44" s="57">
        <f>SUM(M4:M43)</f>
        <v>1123</v>
      </c>
      <c r="N44" s="57">
        <f>SUM(N4:N43)</f>
        <v>19</v>
      </c>
    </row>
    <row r="60" ht="15" customHeight="1">
      <c r="B60" s="58" t="inlineStr">
        <is>
          <t>Denetim Başlıkları, Kişiler ve Öncelik sütunları 'İş Planı' sayfasındaki açılır listeleri besler; ilgili sütundaki ilk boş hücreye yazmanız yeterlidir.
Durum (referans) açılır liste DEĞİLDİR - durum İlerleme % ve tarihlerden otomatik hesaplanır.
KİŞİ BAZLI GÜN YÜKÜ: gün sayısı Süre (Gün) sütunundan gelir (Bitiş - Başlangıç + 1). Sorumlu 1-4'ün dördü birden sayılır; bir işte iki kişi varsa o işin tüm günleri ikisine de yazılır (adam-gün değil, kişi başı yük). Tarihi girilmemiş işler gün üretmez, yalnızca İş Sayısı'na girer.</t>
        </is>
      </c>
    </row>
    <row r="61" ht="15" customHeight="1"/>
    <row r="62" ht="15" customHeight="1"/>
    <row r="63" ht="15" customHeight="1"/>
    <row r="64" ht="15" customHeight="1"/>
    <row r="65" ht="15" customHeight="1"/>
    <row r="66" ht="15" customHeight="1"/>
    <row r="67" ht="15" customHeight="1"/>
    <row r="68" ht="15" customHeight="1"/>
    <row r="69" ht="15" customHeight="1"/>
  </sheetData>
  <mergeCells count="3">
    <mergeCell ref="J1:N2"/>
    <mergeCell ref="B1:H2"/>
    <mergeCell ref="B60:N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3"/>
  <sheetViews>
    <sheetView workbookViewId="0">
      <selection activeCell="A1" sqref="A1"/>
    </sheetView>
  </sheetViews>
  <sheetFormatPr baseColWidth="8" defaultRowHeight="15"/>
  <cols>
    <col width="30" customWidth="1" min="1" max="1"/>
    <col width="14" customWidth="1" min="2" max="2"/>
    <col width="18" customWidth="1" min="5" max="5"/>
    <col width="8" customWidth="1" min="6" max="6"/>
    <col width="8" customWidth="1" min="8" max="8"/>
    <col width="13" customWidth="1" min="9" max="9"/>
    <col width="10" customWidth="1" min="10" max="10"/>
    <col width="6" customWidth="1" min="12" max="12"/>
    <col width="30" customWidth="1" min="13" max="13"/>
    <col width="14" customWidth="1" min="14" max="14"/>
    <col width="24" customWidth="1" min="20" max="20"/>
    <col width="10" customWidth="1" min="21" max="21"/>
    <col width="34" customWidth="1" min="23" max="23"/>
    <col width="13" customWidth="1" min="24" max="24"/>
    <col width="13" customWidth="1" min="25" max="25"/>
    <col width="14" customWidth="1" min="26" max="26"/>
    <col width="10" customWidth="1" min="28" max="28"/>
    <col width="17" customWidth="1" min="29" max="29"/>
    <col width="18" customWidth="1" min="30" max="30"/>
    <col width="8" customWidth="1" min="32" max="32"/>
    <col width="13" customWidth="1" min="33" max="33"/>
    <col width="17" customWidth="1" min="34" max="34"/>
    <col width="18" customWidth="1" min="35" max="35"/>
    <col width="24" customWidth="1" min="37" max="37"/>
    <col width="12" customWidth="1" min="38" max="38"/>
    <col width="12" customWidth="1" min="39" max="39"/>
    <col width="16" customWidth="1" min="41" max="41"/>
    <col width="10" customWidth="1" min="42" max="42"/>
    <col width="10" customWidth="1" min="43" max="43"/>
    <col width="10" customWidth="1" min="44" max="44"/>
    <col width="20" customWidth="1" min="45" max="45"/>
    <col width="22" customWidth="1" min="47" max="47"/>
    <col width="8" customWidth="1" min="48" max="48"/>
    <col width="20" customWidth="1" min="50" max="50"/>
    <col width="11" customWidth="1" min="51" max="51"/>
    <col width="24" customWidth="1" min="53" max="53"/>
    <col width="8" customWidth="1" min="54" max="54"/>
    <col width="24" customWidth="1" min="55" max="55"/>
    <col width="8" customWidth="1" min="56" max="56"/>
  </cols>
  <sheetData>
    <row r="1">
      <c r="A1" s="59" t="inlineStr">
        <is>
          <t>Bu sayfa Yönetici Özeti grafiklerinin veri kaynağıdır. Elle değiştirmeyin; tüm hücreler İş Planı'ndan hesaplanır.</t>
        </is>
      </c>
      <c r="E1" s="60" t="inlineStr">
        <is>
          <t>Durum</t>
        </is>
      </c>
      <c r="F1" s="60" t="inlineStr">
        <is>
          <t>Adet</t>
        </is>
      </c>
      <c r="H1" s="60" t="inlineStr">
        <is>
          <t>Ay</t>
        </is>
      </c>
      <c r="I1" s="60" t="inlineStr">
        <is>
          <t>Ay Başı</t>
        </is>
      </c>
      <c r="J1" s="60" t="inlineStr">
        <is>
          <t>Aktif İş</t>
        </is>
      </c>
      <c r="L1" s="60" t="inlineStr">
        <is>
          <t>Sıra</t>
        </is>
      </c>
      <c r="M1" s="60" t="inlineStr">
        <is>
          <t>İş Kalemi</t>
        </is>
      </c>
      <c r="N1" s="60" t="inlineStr">
        <is>
          <t>Gecikme (Gün)</t>
        </is>
      </c>
      <c r="T1" s="60" t="inlineStr">
        <is>
          <t>KPI</t>
        </is>
      </c>
      <c r="W1" s="60" t="inlineStr">
        <is>
          <t>Denetim Başlığı</t>
        </is>
      </c>
      <c r="X1" s="60" t="inlineStr">
        <is>
          <t>Tamamlanan</t>
        </is>
      </c>
      <c r="Y1" s="60" t="inlineStr">
        <is>
          <t>Devam Eden</t>
        </is>
      </c>
      <c r="Z1" s="60" t="inlineStr">
        <is>
          <t>Gecikmiş</t>
        </is>
      </c>
      <c r="AB1" s="60" t="inlineStr">
        <is>
          <t>Hafta</t>
        </is>
      </c>
      <c r="AC1" s="60" t="inlineStr">
        <is>
          <t>Planlanan (Küm.)</t>
        </is>
      </c>
      <c r="AD1" s="60" t="inlineStr">
        <is>
          <t>Gerçekleşen (Küm.)</t>
        </is>
      </c>
      <c r="AF1" s="60" t="inlineStr">
        <is>
          <t>Ay</t>
        </is>
      </c>
      <c r="AG1" s="60" t="inlineStr">
        <is>
          <t>Ay Sonu</t>
        </is>
      </c>
      <c r="AH1" s="60" t="inlineStr">
        <is>
          <t>Planlanan (Küm.)</t>
        </is>
      </c>
      <c r="AI1" s="60" t="inlineStr">
        <is>
          <t>Gerçekleşen (Küm.)</t>
        </is>
      </c>
      <c r="AK1" s="60" t="inlineStr">
        <is>
          <t>Kişi</t>
        </is>
      </c>
      <c r="AL1" s="60" t="inlineStr">
        <is>
          <t>Açık İş</t>
        </is>
      </c>
      <c r="AM1" s="60" t="inlineStr">
        <is>
          <t>Gecikmiş</t>
        </is>
      </c>
      <c r="AO1" s="60" t="inlineStr">
        <is>
          <t>Gecikme Aralığı</t>
        </is>
      </c>
      <c r="AP1" s="60" t="inlineStr">
        <is>
          <t>Yüksek</t>
        </is>
      </c>
      <c r="AQ1" s="60" t="inlineStr">
        <is>
          <t>Orta</t>
        </is>
      </c>
      <c r="AR1" s="60" t="inlineStr">
        <is>
          <t>Düşük</t>
        </is>
      </c>
      <c r="AS1" s="60" t="inlineStr">
        <is>
          <t>Öncelik girilmemiş</t>
        </is>
      </c>
      <c r="AU1" s="60" t="inlineStr">
        <is>
          <t>Mutabakat Durumu</t>
        </is>
      </c>
      <c r="AV1" s="60" t="inlineStr">
        <is>
          <t>Adet</t>
        </is>
      </c>
      <c r="AX1" s="60" t="inlineStr">
        <is>
          <t>Projeksiyon Geriliği</t>
        </is>
      </c>
      <c r="AY1" s="60" t="inlineStr">
        <is>
          <t>İş Sayısı</t>
        </is>
      </c>
    </row>
    <row r="2">
      <c r="E2" t="inlineStr">
        <is>
          <t>Planlanan</t>
        </is>
      </c>
      <c r="F2">
        <f>COUNTIFS('İş Planı'!$O$5:$O$204,E2,'İş Planı'!$C$5:$C$204,"&lt;&gt;")</f>
        <v>62</v>
      </c>
      <c r="H2" t="inlineStr">
        <is>
          <t>Oca</t>
        </is>
      </c>
      <c r="I2" s="61" t="n">
        <v>46023</v>
      </c>
      <c r="J2">
        <f>SUMPRODUCT(('İş Planı'!$C$5:$C$204&lt;&gt;"")*('İş Planı'!$I$5:$I$204&lt;&gt;"")*('İş Planı'!$J$5:$J$204&lt;&gt;"")*('İş Planı'!$I$5:$I$204&lt;=EOMONTH(I2,0))*('İş Planı'!$M$5:$M$204&gt;=I2))</f>
        <v>0</v>
      </c>
      <c r="L2" t="n">
        <v>10</v>
      </c>
      <c r="M2" t="str">
        <f>IFERROR(IF(LARGE('İş Planı'!$W$5:$W$204,L2)&lt;0.5,"",LEFT(SUBSTITUTE(SUBSTITUTE(TRIM(INDEX('İş Planı'!$C$5:$C$204,MATCH(LARGE('İş Planı'!$W$5:$W$204,L2),'İş Planı'!$W$5:$W$204,0))),CHAR(10)," "),CHAR(13)," "),45)),"")</f>
        <v>4.1.3 Yetkilendirme</v>
      </c>
      <c r="N2">
        <f>IFERROR(IF(LARGE('İş Planı'!$W$5:$W$204,L2)&lt;0.5,0,INT(LARGE('İş Planı'!$W$5:$W$204,L2))),0)</f>
        <v>5</v>
      </c>
      <c r="T2" t="inlineStr">
        <is>
          <t>Toplam İş Kalemi</t>
        </is>
      </c>
      <c r="U2" s="62">
        <f>COUNTA('İş Planı'!$C$5:$C$204)</f>
        <v>95</v>
      </c>
      <c r="W2">
        <f>IFERROR(INDEX(Listeler!$B$4:$B$43,SMALL($BB$4:$BB$43,22-ROW())),"")</f>
        <v/>
      </c>
      <c r="X2">
        <f>IF($W2="","",IF(COUNTIFS('İş Planı'!$B$5:$B$204,$W2,'İş Planı'!$O$5:$O$204,"Tamamlandı")=0,"",COUNTIFS('İş Planı'!$B$5:$B$204,$W2,'İş Planı'!$O$5:$O$204,"Tamamlandı")))</f>
        <v/>
      </c>
      <c r="Y2">
        <f>IF($W2="","",IF(COUNTIFS('İş Planı'!$B$5:$B$204,$W2,'İş Planı'!$O$5:$O$204,"Devam Ediyor")=0,"",COUNTIFS('İş Planı'!$B$5:$B$204,$W2,'İş Planı'!$O$5:$O$204,"Devam Ediyor")))</f>
        <v/>
      </c>
      <c r="Z2">
        <f>IF($W2="","",IF(COUNTIFS('İş Planı'!$B$5:$B$204,$W2,'İş Planı'!$O$5:$O$204,"Gecikmiş")=0,"",COUNTIFS('İş Planı'!$B$5:$B$204,$W2,'İş Planı'!$O$5:$O$204,"Gecikmiş")))</f>
        <v/>
      </c>
      <c r="AB2" s="63" t="n">
        <v>46029</v>
      </c>
      <c r="AC2">
        <f>SUMPRODUCT(('İş Planı'!$C$5:$C$204&lt;&gt;"")*('İş Planı'!$M$5:$M$204&lt;&gt;"")*('İş Planı'!$M$5:$M$204&lt;=AB2))</f>
        <v>0</v>
      </c>
      <c r="AD2">
        <f>SUMPRODUCT(('İş Planı'!$C$5:$C$204&lt;&gt;"")*('İş Planı'!$M$5:$M$204&lt;&gt;"")*('İş Planı'!$M$5:$M$204&lt;=AB2)*('İş Planı'!$O$5:$O$204="Tamamlandı"))</f>
        <v>0</v>
      </c>
      <c r="AF2" t="inlineStr">
        <is>
          <t>Oca</t>
        </is>
      </c>
      <c r="AG2" s="61" t="n">
        <v>46053</v>
      </c>
      <c r="AH2">
        <f>SUMPRODUCT(('İş Planı'!$C$5:$C$204&lt;&gt;"")*('İş Planı'!$M$5:$M$204&lt;&gt;"")*('İş Planı'!$M$5:$M$204&lt;=AG2))</f>
        <v>0</v>
      </c>
      <c r="AI2">
        <f>SUMPRODUCT(('İş Planı'!$C$5:$C$204&lt;&gt;"")*('İş Planı'!$M$5:$M$204&lt;&gt;"")*('İş Planı'!$M$5:$M$204&lt;=AG2)*('İş Planı'!$O$5:$O$204="Tamamlandı"))</f>
        <v>0</v>
      </c>
      <c r="AK2">
        <f>IFERROR(INDEX(Listeler!$D$4:$D$43,SMALL($BD$4:$BD$43,22-ROW())),"")</f>
        <v/>
      </c>
      <c r="AL2">
        <f>IF($AK2="","",IF(COUNTIFS('İş Planı'!$D$5:$D$204,$AK2,'İş Planı'!$O$5:$O$204,"Planlanan")+COUNTIFS('İş Planı'!$E$5:$E$204,$AK2,'İş Planı'!$O$5:$O$204,"Planlanan")+COUNTIFS('İş Planı'!$F$5:$F$204,$AK2,'İş Planı'!$O$5:$O$204,"Planlanan")+COUNTIFS('İş Planı'!$G$5:$G$204,$AK2,'İş Planı'!$O$5:$O$204,"Planlanan")+COUNTIFS('İş Planı'!$D$5:$D$204,$AK2,'İş Planı'!$O$5:$O$204,"Devam Ediyor")+COUNTIFS('İş Planı'!$E$5:$E$204,$AK2,'İş Planı'!$O$5:$O$204,"Devam Ediyor")+COUNTIFS('İş Planı'!$F$5:$F$204,$AK2,'İş Planı'!$O$5:$O$204,"Devam Ediyor")+COUNTIFS('İş Planı'!$G$5:$G$204,$AK2,'İş Planı'!$O$5:$O$204,"Devam Ediyor")=0,"",COUNTIFS('İş Planı'!$D$5:$D$204,$AK2,'İş Planı'!$O$5:$O$204,"Planlanan")+COUNTIFS('İş Planı'!$E$5:$E$204,$AK2,'İş Planı'!$O$5:$O$204,"Planlanan")+COUNTIFS('İş Planı'!$F$5:$F$204,$AK2,'İş Planı'!$O$5:$O$204,"Planlanan")+COUNTIFS('İş Planı'!$G$5:$G$204,$AK2,'İş Planı'!$O$5:$O$204,"Planlanan")+COUNTIFS('İş Planı'!$D$5:$D$204,$AK2,'İş Planı'!$O$5:$O$204,"Devam Ediyor")+COUNTIFS('İş Planı'!$E$5:$E$204,$AK2,'İş Planı'!$O$5:$O$204,"Devam Ediyor")+COUNTIFS('İş Planı'!$F$5:$F$204,$AK2,'İş Planı'!$O$5:$O$204,"Devam Ediyor")+COUNTIFS('İş Planı'!$G$5:$G$204,$AK2,'İş Planı'!$O$5:$O$204,"Devam Ediyor")))</f>
        <v/>
      </c>
      <c r="AM2">
        <f>IF($AK2="","",IF(COUNTIFS('İş Planı'!$D$5:$D$204,$AK2,'İş Planı'!$O$5:$O$204,"Gecikmiş")+COUNTIFS('İş Planı'!$E$5:$E$204,$AK2,'İş Planı'!$O$5:$O$204,"Gecikmiş")+COUNTIFS('İş Planı'!$F$5:$F$204,$AK2,'İş Planı'!$O$5:$O$204,"Gecikmiş")+COUNTIFS('İş Planı'!$G$5:$G$204,$AK2,'İş Planı'!$O$5:$O$204,"Gecikmiş")=0,"",COUNTIFS('İş Planı'!$D$5:$D$204,$AK2,'İş Planı'!$O$5:$O$204,"Gecikmiş")+COUNTIFS('İş Planı'!$E$5:$E$204,$AK2,'İş Planı'!$O$5:$O$204,"Gecikmiş")+COUNTIFS('İş Planı'!$F$5:$F$204,$AK2,'İş Planı'!$O$5:$O$204,"Gecikmiş")+COUNTIFS('İş Planı'!$G$5:$G$204,$AK2,'İş Planı'!$O$5:$O$204,"Gecikmiş")))</f>
        <v/>
      </c>
      <c r="AO2" t="inlineStr">
        <is>
          <t>1-7 gün</t>
        </is>
      </c>
      <c r="AP2">
        <f>IF(COUNTIFS('İş Planı'!$X$5:$X$204,"&gt;=1",'İş Planı'!$X$5:$X$204,"&lt;=7",'İş Planı'!$H$5:$H$204,"Yüksek")=0,"",COUNTIFS('İş Planı'!$X$5:$X$204,"&gt;=1",'İş Planı'!$X$5:$X$204,"&lt;=7",'İş Planı'!$H$5:$H$204,"Yüksek"))</f>
        <v/>
      </c>
      <c r="AQ2">
        <f>IF(COUNTIFS('İş Planı'!$X$5:$X$204,"&gt;=1",'İş Planı'!$X$5:$X$204,"&lt;=7",'İş Planı'!$H$5:$H$204,"Orta")=0,"",COUNTIFS('İş Planı'!$X$5:$X$204,"&gt;=1",'İş Planı'!$X$5:$X$204,"&lt;=7",'İş Planı'!$H$5:$H$204,"Orta"))</f>
        <v>7</v>
      </c>
      <c r="AR2">
        <f>IF(COUNTIFS('İş Planı'!$X$5:$X$204,"&gt;=1",'İş Planı'!$X$5:$X$204,"&lt;=7",'İş Planı'!$H$5:$H$204,"Düşük")=0,"",COUNTIFS('İş Planı'!$X$5:$X$204,"&gt;=1",'İş Planı'!$X$5:$X$204,"&lt;=7",'İş Planı'!$H$5:$H$204,"Düşük"))</f>
        <v/>
      </c>
      <c r="AS2">
        <f>IF(COUNTIFS('İş Planı'!$X$5:$X$204,"&gt;=1",'İş Planı'!$X$5:$X$204,"&lt;=7",'İş Planı'!$H$5:$H$204,"")=0,"",COUNTIFS('İş Planı'!$X$5:$X$204,"&gt;=1",'İş Planı'!$X$5:$X$204,"&lt;=7",'İş Planı'!$H$5:$H$204,""))</f>
        <v>2</v>
      </c>
      <c r="AU2" t="inlineStr">
        <is>
          <t>Mutabakatı yapıldı</t>
        </is>
      </c>
      <c r="AV2">
        <f>COUNTIFS('İş Planı'!$R$5:$R$204,"&lt;&gt;",'İş Planı'!$C$5:$C$204,"&lt;&gt;")</f>
        <v>0</v>
      </c>
      <c r="AX2" t="inlineStr">
        <is>
          <t>%30-50 geride</t>
        </is>
      </c>
      <c r="AY2">
        <f>COUNTIFS('İş Planı'!$Y$5:$Y$204,"&gt;0.3",'İş Planı'!$Y$5:$Y$204,"&lt;=0.5")</f>
        <v>10</v>
      </c>
    </row>
    <row r="3">
      <c r="A3" s="45" t="inlineStr">
        <is>
          <t>Bugün</t>
        </is>
      </c>
      <c r="B3" s="61">
        <f>TODAY()</f>
        <v>46300</v>
      </c>
      <c r="E3" t="inlineStr">
        <is>
          <t>Devam Ediyor</t>
        </is>
      </c>
      <c r="F3">
        <f>COUNTIFS('İş Planı'!$O$5:$O$204,E3,'İş Planı'!$C$5:$C$204,"&lt;&gt;")</f>
        <v>12</v>
      </c>
      <c r="H3" t="inlineStr">
        <is>
          <t>Şub</t>
        </is>
      </c>
      <c r="I3" s="61" t="n">
        <v>46054</v>
      </c>
      <c r="J3">
        <f>SUMPRODUCT(('İş Planı'!$C$5:$C$204&lt;&gt;"")*('İş Planı'!$I$5:$I$204&lt;&gt;"")*('İş Planı'!$J$5:$J$204&lt;&gt;"")*('İş Planı'!$I$5:$I$204&lt;=EOMONTH(I3,0))*('İş Planı'!$M$5:$M$204&gt;=I3))</f>
        <v>0</v>
      </c>
      <c r="L3" t="n">
        <v>9</v>
      </c>
      <c r="M3" t="str">
        <f>IFERROR(IF(LARGE('İş Planı'!$W$5:$W$204,L3)&lt;0.5,"",LEFT(SUBSTITUTE(SUBSTITUTE(TRIM(INDEX('İş Planı'!$C$5:$C$204,MATCH(LARGE('İş Planı'!$W$5:$W$204,L3),'İş Planı'!$W$5:$W$204,0))),CHAR(10)," "),CHAR(13)," "),45)),"")</f>
        <v>Hesapkurdu firması ağustos ayında Glasshouse'</v>
      </c>
      <c r="N3">
        <f>IFERROR(IF(LARGE('İş Planı'!$W$5:$W$204,L3)&lt;0.5,0,INT(LARGE('İş Planı'!$W$5:$W$204,L3))),0)</f>
        <v>6</v>
      </c>
      <c r="T3" t="inlineStr">
        <is>
          <t>Tamamlandı</t>
        </is>
      </c>
      <c r="U3" s="62">
        <f>F4</f>
        <v>6</v>
      </c>
      <c r="W3">
        <f>IFERROR(INDEX(Listeler!$B$4:$B$43,SMALL($BB$4:$BB$43,22-ROW())),"")</f>
        <v/>
      </c>
      <c r="X3">
        <f>IF($W3="","",IF(COUNTIFS('İş Planı'!$B$5:$B$204,$W3,'İş Planı'!$O$5:$O$204,"Tamamlandı")=0,"",COUNTIFS('İş Planı'!$B$5:$B$204,$W3,'İş Planı'!$O$5:$O$204,"Tamamlandı")))</f>
        <v/>
      </c>
      <c r="Y3">
        <f>IF($W3="","",IF(COUNTIFS('İş Planı'!$B$5:$B$204,$W3,'İş Planı'!$O$5:$O$204,"Devam Ediyor")=0,"",COUNTIFS('İş Planı'!$B$5:$B$204,$W3,'İş Planı'!$O$5:$O$204,"Devam Ediyor")))</f>
        <v/>
      </c>
      <c r="Z3">
        <f>IF($W3="","",IF(COUNTIFS('İş Planı'!$B$5:$B$204,$W3,'İş Planı'!$O$5:$O$204,"Gecikmiş")=0,"",COUNTIFS('İş Planı'!$B$5:$B$204,$W3,'İş Planı'!$O$5:$O$204,"Gecikmiş")))</f>
        <v/>
      </c>
      <c r="AB3" s="63" t="n">
        <v>46036</v>
      </c>
      <c r="AC3">
        <f>SUMPRODUCT(('İş Planı'!$C$5:$C$204&lt;&gt;"")*('İş Planı'!$M$5:$M$204&lt;&gt;"")*('İş Planı'!$M$5:$M$204&lt;=AB3))</f>
        <v>0</v>
      </c>
      <c r="AD3">
        <f>SUMPRODUCT(('İş Planı'!$C$5:$C$204&lt;&gt;"")*('İş Planı'!$M$5:$M$204&lt;&gt;"")*('İş Planı'!$M$5:$M$204&lt;=AB3)*('İş Planı'!$O$5:$O$204="Tamamlandı"))</f>
        <v>0</v>
      </c>
      <c r="AF3" t="inlineStr">
        <is>
          <t>Şub</t>
        </is>
      </c>
      <c r="AG3" s="61" t="n">
        <v>46081</v>
      </c>
      <c r="AH3">
        <f>SUMPRODUCT(('İş Planı'!$C$5:$C$204&lt;&gt;"")*('İş Planı'!$M$5:$M$204&lt;&gt;"")*('İş Planı'!$M$5:$M$204&lt;=AG3))</f>
        <v>0</v>
      </c>
      <c r="AI3">
        <f>SUMPRODUCT(('İş Planı'!$C$5:$C$204&lt;&gt;"")*('İş Planı'!$M$5:$M$204&lt;&gt;"")*('İş Planı'!$M$5:$M$204&lt;=AG3)*('İş Planı'!$O$5:$O$204="Tamamlandı"))</f>
        <v>0</v>
      </c>
      <c r="AK3">
        <f>IFERROR(INDEX(Listeler!$D$4:$D$43,SMALL($BD$4:$BD$43,22-ROW())),"")</f>
        <v/>
      </c>
      <c r="AL3">
        <f>IF($AK3="","",IF(COUNTIFS('İş Planı'!$D$5:$D$204,$AK3,'İş Planı'!$O$5:$O$204,"Planlanan")+COUNTIFS('İş Planı'!$E$5:$E$204,$AK3,'İş Planı'!$O$5:$O$204,"Planlanan")+COUNTIFS('İş Planı'!$F$5:$F$204,$AK3,'İş Planı'!$O$5:$O$204,"Planlanan")+COUNTIFS('İş Planı'!$G$5:$G$204,$AK3,'İş Planı'!$O$5:$O$204,"Planlanan")+COUNTIFS('İş Planı'!$D$5:$D$204,$AK3,'İş Planı'!$O$5:$O$204,"Devam Ediyor")+COUNTIFS('İş Planı'!$E$5:$E$204,$AK3,'İş Planı'!$O$5:$O$204,"Devam Ediyor")+COUNTIFS('İş Planı'!$F$5:$F$204,$AK3,'İş Planı'!$O$5:$O$204,"Devam Ediyor")+COUNTIFS('İş Planı'!$G$5:$G$204,$AK3,'İş Planı'!$O$5:$O$204,"Devam Ediyor")=0,"",COUNTIFS('İş Planı'!$D$5:$D$204,$AK3,'İş Planı'!$O$5:$O$204,"Planlanan")+COUNTIFS('İş Planı'!$E$5:$E$204,$AK3,'İş Planı'!$O$5:$O$204,"Planlanan")+COUNTIFS('İş Planı'!$F$5:$F$204,$AK3,'İş Planı'!$O$5:$O$204,"Planlanan")+COUNTIFS('İş Planı'!$G$5:$G$204,$AK3,'İş Planı'!$O$5:$O$204,"Planlanan")+COUNTIFS('İş Planı'!$D$5:$D$204,$AK3,'İş Planı'!$O$5:$O$204,"Devam Ediyor")+COUNTIFS('İş Planı'!$E$5:$E$204,$AK3,'İş Planı'!$O$5:$O$204,"Devam Ediyor")+COUNTIFS('İş Planı'!$F$5:$F$204,$AK3,'İş Planı'!$O$5:$O$204,"Devam Ediyor")+COUNTIFS('İş Planı'!$G$5:$G$204,$AK3,'İş Planı'!$O$5:$O$204,"Devam Ediyor")))</f>
        <v/>
      </c>
      <c r="AM3">
        <f>IF($AK3="","",IF(COUNTIFS('İş Planı'!$D$5:$D$204,$AK3,'İş Planı'!$O$5:$O$204,"Gecikmiş")+COUNTIFS('İş Planı'!$E$5:$E$204,$AK3,'İş Planı'!$O$5:$O$204,"Gecikmiş")+COUNTIFS('İş Planı'!$F$5:$F$204,$AK3,'İş Planı'!$O$5:$O$204,"Gecikmiş")+COUNTIFS('İş Planı'!$G$5:$G$204,$AK3,'İş Planı'!$O$5:$O$204,"Gecikmiş")=0,"",COUNTIFS('İş Planı'!$D$5:$D$204,$AK3,'İş Planı'!$O$5:$O$204,"Gecikmiş")+COUNTIFS('İş Planı'!$E$5:$E$204,$AK3,'İş Planı'!$O$5:$O$204,"Gecikmiş")+COUNTIFS('İş Planı'!$F$5:$F$204,$AK3,'İş Planı'!$O$5:$O$204,"Gecikmiş")+COUNTIFS('İş Planı'!$G$5:$G$204,$AK3,'İş Planı'!$O$5:$O$204,"Gecikmiş")))</f>
        <v/>
      </c>
      <c r="AO3" t="inlineStr">
        <is>
          <t>8-30 gün</t>
        </is>
      </c>
      <c r="AP3">
        <f>IF(COUNTIFS('İş Planı'!$X$5:$X$204,"&gt;=8",'İş Planı'!$X$5:$X$204,"&lt;=30",'İş Planı'!$H$5:$H$204,"Yüksek")=0,"",COUNTIFS('İş Planı'!$X$5:$X$204,"&gt;=8",'İş Planı'!$X$5:$X$204,"&lt;=30",'İş Planı'!$H$5:$H$204,"Yüksek"))</f>
        <v/>
      </c>
      <c r="AQ3">
        <f>IF(COUNTIFS('İş Planı'!$X$5:$X$204,"&gt;=8",'İş Planı'!$X$5:$X$204,"&lt;=30",'İş Planı'!$H$5:$H$204,"Orta")=0,"",COUNTIFS('İş Planı'!$X$5:$X$204,"&gt;=8",'İş Planı'!$X$5:$X$204,"&lt;=30",'İş Planı'!$H$5:$H$204,"Orta"))</f>
        <v>6</v>
      </c>
      <c r="AR3">
        <f>IF(COUNTIFS('İş Planı'!$X$5:$X$204,"&gt;=8",'İş Planı'!$X$5:$X$204,"&lt;=30",'İş Planı'!$H$5:$H$204,"Düşük")=0,"",COUNTIFS('İş Planı'!$X$5:$X$204,"&gt;=8",'İş Planı'!$X$5:$X$204,"&lt;=30",'İş Planı'!$H$5:$H$204,"Düşük"))</f>
        <v/>
      </c>
      <c r="AS3">
        <f>IF(COUNTIFS('İş Planı'!$X$5:$X$204,"&gt;=8",'İş Planı'!$X$5:$X$204,"&lt;=30",'İş Planı'!$H$5:$H$204,"")=0,"",COUNTIFS('İş Planı'!$X$5:$X$204,"&gt;=8",'İş Planı'!$X$5:$X$204,"&lt;=30",'İş Planı'!$H$5:$H$204,""))</f>
        <v/>
      </c>
      <c r="AU3" t="inlineStr">
        <is>
          <t>Süresi var</t>
        </is>
      </c>
      <c r="AV3">
        <f>COUNTIF('İş Planı'!$T$5:$T$204,"●*")</f>
        <v>11</v>
      </c>
      <c r="AX3" t="inlineStr">
        <is>
          <t>%50-70 geride</t>
        </is>
      </c>
      <c r="AY3">
        <f>COUNTIFS('İş Planı'!$Y$5:$Y$204,"&gt;0.5",'İş Planı'!$Y$5:$Y$204,"&lt;=0.7")</f>
        <v>0</v>
      </c>
      <c r="BA3" t="inlineStr">
        <is>
          <t>Kullanılan başlık indeksi</t>
        </is>
      </c>
      <c r="BC3" t="inlineStr">
        <is>
          <t>Yükü olan kişi indeksi</t>
        </is>
      </c>
    </row>
    <row r="4">
      <c r="A4" s="64" t="inlineStr">
        <is>
          <t>Tüm tarih karşılaştırmaları bu tek hücreyi okur.</t>
        </is>
      </c>
      <c r="E4" t="inlineStr">
        <is>
          <t>Tamamlandı</t>
        </is>
      </c>
      <c r="F4">
        <f>COUNTIFS('İş Planı'!$O$5:$O$204,E4,'İş Planı'!$C$5:$C$204,"&lt;&gt;")</f>
        <v>6</v>
      </c>
      <c r="H4" t="inlineStr">
        <is>
          <t>Mar</t>
        </is>
      </c>
      <c r="I4" s="61" t="n">
        <v>46082</v>
      </c>
      <c r="J4">
        <f>SUMPRODUCT(('İş Planı'!$C$5:$C$204&lt;&gt;"")*('İş Planı'!$I$5:$I$204&lt;&gt;"")*('İş Planı'!$J$5:$J$204&lt;&gt;"")*('İş Planı'!$I$5:$I$204&lt;=EOMONTH(I4,0))*('İş Planı'!$M$5:$M$204&gt;=I4))</f>
        <v>0</v>
      </c>
      <c r="L4" t="n">
        <v>8</v>
      </c>
      <c r="M4" t="str">
        <f>IFERROR(IF(LARGE('İş Planı'!$W$5:$W$204,L4)&lt;0.5,"",LEFT(SUBSTITUTE(SUBSTITUTE(TRIM(INDEX('İş Planı'!$C$5:$C$204,MATCH(LARGE('İş Planı'!$W$5:$W$204,L4),'İş Planı'!$W$5:$W$204,0))),CHAR(10)," "),CHAR(13)," "),45)),"")</f>
        <v>Madde 21</v>
      </c>
      <c r="N4">
        <f>IFERROR(IF(LARGE('İş Planı'!$W$5:$W$204,L4)&lt;0.5,0,INT(LARGE('İş Planı'!$W$5:$W$204,L4))),0)</f>
        <v>7</v>
      </c>
      <c r="T4" t="inlineStr">
        <is>
          <t>Devam Ediyor</t>
        </is>
      </c>
      <c r="U4" s="62">
        <f>F3</f>
        <v>12</v>
      </c>
      <c r="W4">
        <f>IFERROR(INDEX(Listeler!$B$4:$B$43,SMALL($BB$4:$BB$43,22-ROW())),"")</f>
        <v/>
      </c>
      <c r="X4">
        <f>IF($W4="","",IF(COUNTIFS('İş Planı'!$B$5:$B$204,$W4,'İş Planı'!$O$5:$O$204,"Tamamlandı")=0,"",COUNTIFS('İş Planı'!$B$5:$B$204,$W4,'İş Planı'!$O$5:$O$204,"Tamamlandı")))</f>
        <v/>
      </c>
      <c r="Y4">
        <f>IF($W4="","",IF(COUNTIFS('İş Planı'!$B$5:$B$204,$W4,'İş Planı'!$O$5:$O$204,"Devam Ediyor")=0,"",COUNTIFS('İş Planı'!$B$5:$B$204,$W4,'İş Planı'!$O$5:$O$204,"Devam Ediyor")))</f>
        <v/>
      </c>
      <c r="Z4">
        <f>IF($W4="","",IF(COUNTIFS('İş Planı'!$B$5:$B$204,$W4,'İş Planı'!$O$5:$O$204,"Gecikmiş")=0,"",COUNTIFS('İş Planı'!$B$5:$B$204,$W4,'İş Planı'!$O$5:$O$204,"Gecikmiş")))</f>
        <v/>
      </c>
      <c r="AB4" s="63" t="n">
        <v>46043</v>
      </c>
      <c r="AC4">
        <f>SUMPRODUCT(('İş Planı'!$C$5:$C$204&lt;&gt;"")*('İş Planı'!$M$5:$M$204&lt;&gt;"")*('İş Planı'!$M$5:$M$204&lt;=AB4))</f>
        <v>0</v>
      </c>
      <c r="AD4">
        <f>SUMPRODUCT(('İş Planı'!$C$5:$C$204&lt;&gt;"")*('İş Planı'!$M$5:$M$204&lt;&gt;"")*('İş Planı'!$M$5:$M$204&lt;=AB4)*('İş Planı'!$O$5:$O$204="Tamamlandı"))</f>
        <v>0</v>
      </c>
      <c r="AF4" t="inlineStr">
        <is>
          <t>Mar</t>
        </is>
      </c>
      <c r="AG4" s="61" t="n">
        <v>46112</v>
      </c>
      <c r="AH4">
        <f>SUMPRODUCT(('İş Planı'!$C$5:$C$204&lt;&gt;"")*('İş Planı'!$M$5:$M$204&lt;&gt;"")*('İş Planı'!$M$5:$M$204&lt;=AG4))</f>
        <v>0</v>
      </c>
      <c r="AI4">
        <f>SUMPRODUCT(('İş Planı'!$C$5:$C$204&lt;&gt;"")*('İş Planı'!$M$5:$M$204&lt;&gt;"")*('İş Planı'!$M$5:$M$204&lt;=AG4)*('İş Planı'!$O$5:$O$204="Tamamlandı"))</f>
        <v>0</v>
      </c>
      <c r="AK4">
        <f>IFERROR(INDEX(Listeler!$D$4:$D$43,SMALL($BD$4:$BD$43,22-ROW())),"")</f>
        <v/>
      </c>
      <c r="AL4">
        <f>IF($AK4="","",IF(COUNTIFS('İş Planı'!$D$5:$D$204,$AK4,'İş Planı'!$O$5:$O$204,"Planlanan")+COUNTIFS('İş Planı'!$E$5:$E$204,$AK4,'İş Planı'!$O$5:$O$204,"Planlanan")+COUNTIFS('İş Planı'!$F$5:$F$204,$AK4,'İş Planı'!$O$5:$O$204,"Planlanan")+COUNTIFS('İş Planı'!$G$5:$G$204,$AK4,'İş Planı'!$O$5:$O$204,"Planlanan")+COUNTIFS('İş Planı'!$D$5:$D$204,$AK4,'İş Planı'!$O$5:$O$204,"Devam Ediyor")+COUNTIFS('İş Planı'!$E$5:$E$204,$AK4,'İş Planı'!$O$5:$O$204,"Devam Ediyor")+COUNTIFS('İş Planı'!$F$5:$F$204,$AK4,'İş Planı'!$O$5:$O$204,"Devam Ediyor")+COUNTIFS('İş Planı'!$G$5:$G$204,$AK4,'İş Planı'!$O$5:$O$204,"Devam Ediyor")=0,"",COUNTIFS('İş Planı'!$D$5:$D$204,$AK4,'İş Planı'!$O$5:$O$204,"Planlanan")+COUNTIFS('İş Planı'!$E$5:$E$204,$AK4,'İş Planı'!$O$5:$O$204,"Planlanan")+COUNTIFS('İş Planı'!$F$5:$F$204,$AK4,'İş Planı'!$O$5:$O$204,"Planlanan")+COUNTIFS('İş Planı'!$G$5:$G$204,$AK4,'İş Planı'!$O$5:$O$204,"Planlanan")+COUNTIFS('İş Planı'!$D$5:$D$204,$AK4,'İş Planı'!$O$5:$O$204,"Devam Ediyor")+COUNTIFS('İş Planı'!$E$5:$E$204,$AK4,'İş Planı'!$O$5:$O$204,"Devam Ediyor")+COUNTIFS('İş Planı'!$F$5:$F$204,$AK4,'İş Planı'!$O$5:$O$204,"Devam Ediyor")+COUNTIFS('İş Planı'!$G$5:$G$204,$AK4,'İş Planı'!$O$5:$O$204,"Devam Ediyor")))</f>
        <v/>
      </c>
      <c r="AM4">
        <f>IF($AK4="","",IF(COUNTIFS('İş Planı'!$D$5:$D$204,$AK4,'İş Planı'!$O$5:$O$204,"Gecikmiş")+COUNTIFS('İş Planı'!$E$5:$E$204,$AK4,'İş Planı'!$O$5:$O$204,"Gecikmiş")+COUNTIFS('İş Planı'!$F$5:$F$204,$AK4,'İş Planı'!$O$5:$O$204,"Gecikmiş")+COUNTIFS('İş Planı'!$G$5:$G$204,$AK4,'İş Planı'!$O$5:$O$204,"Gecikmiş")=0,"",COUNTIFS('İş Planı'!$D$5:$D$204,$AK4,'İş Planı'!$O$5:$O$204,"Gecikmiş")+COUNTIFS('İş Planı'!$E$5:$E$204,$AK4,'İş Planı'!$O$5:$O$204,"Gecikmiş")+COUNTIFS('İş Planı'!$F$5:$F$204,$AK4,'İş Planı'!$O$5:$O$204,"Gecikmiş")+COUNTIFS('İş Planı'!$G$5:$G$204,$AK4,'İş Planı'!$O$5:$O$204,"Gecikmiş")))</f>
        <v/>
      </c>
      <c r="AO4" t="inlineStr">
        <is>
          <t>31-90 gün</t>
        </is>
      </c>
      <c r="AP4">
        <f>IF(COUNTIFS('İş Planı'!$X$5:$X$204,"&gt;=31",'İş Planı'!$X$5:$X$204,"&lt;=90",'İş Planı'!$H$5:$H$204,"Yüksek")=0,"",COUNTIFS('İş Planı'!$X$5:$X$204,"&gt;=31",'İş Planı'!$X$5:$X$204,"&lt;=90",'İş Planı'!$H$5:$H$204,"Yüksek"))</f>
        <v/>
      </c>
      <c r="AQ4">
        <f>IF(COUNTIFS('İş Planı'!$X$5:$X$204,"&gt;=31",'İş Planı'!$X$5:$X$204,"&lt;=90",'İş Planı'!$H$5:$H$204,"Orta")=0,"",COUNTIFS('İş Planı'!$X$5:$X$204,"&gt;=31",'İş Planı'!$X$5:$X$204,"&lt;=90",'İş Planı'!$H$5:$H$204,"Orta"))</f>
        <v/>
      </c>
      <c r="AR4">
        <f>IF(COUNTIFS('İş Planı'!$X$5:$X$204,"&gt;=31",'İş Planı'!$X$5:$X$204,"&lt;=90",'İş Planı'!$H$5:$H$204,"Düşük")=0,"",COUNTIFS('İş Planı'!$X$5:$X$204,"&gt;=31",'İş Planı'!$X$5:$X$204,"&lt;=90",'İş Planı'!$H$5:$H$204,"Düşük"))</f>
        <v/>
      </c>
      <c r="AS4">
        <f>IF(COUNTIFS('İş Planı'!$X$5:$X$204,"&gt;=31",'İş Planı'!$X$5:$X$204,"&lt;=90",'İş Planı'!$H$5:$H$204,"")=0,"",COUNTIFS('İş Planı'!$X$5:$X$204,"&gt;=31",'İş Planı'!$X$5:$X$204,"&lt;=90",'İş Planı'!$H$5:$H$204,""))</f>
        <v/>
      </c>
      <c r="AU4" t="inlineStr">
        <is>
          <t>Mutabakat gecikti</t>
        </is>
      </c>
      <c r="AV4">
        <f>COUNTIF('İş Planı'!$T$5:$T$204,"*gecikti*")</f>
        <v>9</v>
      </c>
      <c r="AX4" t="inlineStr">
        <is>
          <t>%70+ geride</t>
        </is>
      </c>
      <c r="AY4">
        <f>COUNTIFS('İş Planı'!$Y$5:$Y$204,"&gt;0.7")</f>
        <v>7</v>
      </c>
      <c r="BB4">
        <f>IF(Listeler!$B4="","",IF(COUNTIF('İş Planı'!$B$5:$B$204,Listeler!$B4)=0,"",ROW()-3))</f>
        <v>1</v>
      </c>
      <c r="BD4">
        <f>IF(Listeler!$D4="","",IF(COUNTIF('İş Planı'!$D$5:$D$204,Listeler!$D4)+COUNTIF('İş Planı'!$E$5:$E$204,Listeler!$D4)+COUNTIF('İş Planı'!$F$5:$F$204,Listeler!$D4)+COUNTIF('İş Planı'!$G$5:$G$204,Listeler!$D4)=0,"",ROW()-3))</f>
        <v>1</v>
      </c>
    </row>
    <row r="5">
      <c r="E5" t="inlineStr">
        <is>
          <t>Gecikmiş</t>
        </is>
      </c>
      <c r="F5">
        <f>COUNTIFS('İş Planı'!$O$5:$O$204,E5,'İş Planı'!$C$5:$C$204,"&lt;&gt;")</f>
        <v>15</v>
      </c>
      <c r="H5" t="inlineStr">
        <is>
          <t>Nis</t>
        </is>
      </c>
      <c r="I5" s="61" t="n">
        <v>46113</v>
      </c>
      <c r="J5">
        <f>SUMPRODUCT(('İş Planı'!$C$5:$C$204&lt;&gt;"")*('İş Planı'!$I$5:$I$204&lt;&gt;"")*('İş Planı'!$J$5:$J$204&lt;&gt;"")*('İş Planı'!$I$5:$I$204&lt;=EOMONTH(I5,0))*('İş Planı'!$M$5:$M$204&gt;=I5))</f>
        <v>0</v>
      </c>
      <c r="L5" t="n">
        <v>7</v>
      </c>
      <c r="M5" t="str">
        <f>IFERROR(IF(LARGE('İş Planı'!$W$5:$W$204,L5)&lt;0.5,"",LEFT(SUBSTITUTE(SUBSTITUTE(TRIM(INDEX('İş Planı'!$C$5:$C$204,MATCH(LARGE('İş Planı'!$W$5:$W$204,L5),'İş Planı'!$W$5:$W$204,0))),CHAR(10)," "),CHAR(13)," "),45)),"")</f>
        <v>Madde 10</v>
      </c>
      <c r="N5">
        <f>IFERROR(IF(LARGE('İş Planı'!$W$5:$W$204,L5)&lt;0.5,0,INT(LARGE('İş Planı'!$W$5:$W$204,L5))),0)</f>
        <v>7</v>
      </c>
      <c r="T5" t="inlineStr">
        <is>
          <t>Gecikmiş</t>
        </is>
      </c>
      <c r="U5" s="62">
        <f>F5</f>
        <v>15</v>
      </c>
      <c r="W5">
        <f>IFERROR(INDEX(Listeler!$B$4:$B$43,SMALL($BB$4:$BB$43,22-ROW())),"")</f>
        <v/>
      </c>
      <c r="X5">
        <f>IF($W5="","",IF(COUNTIFS('İş Planı'!$B$5:$B$204,$W5,'İş Planı'!$O$5:$O$204,"Tamamlandı")=0,"",COUNTIFS('İş Planı'!$B$5:$B$204,$W5,'İş Planı'!$O$5:$O$204,"Tamamlandı")))</f>
        <v/>
      </c>
      <c r="Y5">
        <f>IF($W5="","",IF(COUNTIFS('İş Planı'!$B$5:$B$204,$W5,'İş Planı'!$O$5:$O$204,"Devam Ediyor")=0,"",COUNTIFS('İş Planı'!$B$5:$B$204,$W5,'İş Planı'!$O$5:$O$204,"Devam Ediyor")))</f>
        <v/>
      </c>
      <c r="Z5">
        <f>IF($W5="","",IF(COUNTIFS('İş Planı'!$B$5:$B$204,$W5,'İş Planı'!$O$5:$O$204,"Gecikmiş")=0,"",COUNTIFS('İş Planı'!$B$5:$B$204,$W5,'İş Planı'!$O$5:$O$204,"Gecikmiş")))</f>
        <v/>
      </c>
      <c r="AB5" s="63" t="n">
        <v>46050</v>
      </c>
      <c r="AC5">
        <f>SUMPRODUCT(('İş Planı'!$C$5:$C$204&lt;&gt;"")*('İş Planı'!$M$5:$M$204&lt;&gt;"")*('İş Planı'!$M$5:$M$204&lt;=AB5))</f>
        <v>0</v>
      </c>
      <c r="AD5">
        <f>SUMPRODUCT(('İş Planı'!$C$5:$C$204&lt;&gt;"")*('İş Planı'!$M$5:$M$204&lt;&gt;"")*('İş Planı'!$M$5:$M$204&lt;=AB5)*('İş Planı'!$O$5:$O$204="Tamamlandı"))</f>
        <v>0</v>
      </c>
      <c r="AF5" t="inlineStr">
        <is>
          <t>Nis</t>
        </is>
      </c>
      <c r="AG5" s="61" t="n">
        <v>46142</v>
      </c>
      <c r="AH5">
        <f>SUMPRODUCT(('İş Planı'!$C$5:$C$204&lt;&gt;"")*('İş Planı'!$M$5:$M$204&lt;&gt;"")*('İş Planı'!$M$5:$M$204&lt;=AG5))</f>
        <v>0</v>
      </c>
      <c r="AI5">
        <f>SUMPRODUCT(('İş Planı'!$C$5:$C$204&lt;&gt;"")*('İş Planı'!$M$5:$M$204&lt;&gt;"")*('İş Planı'!$M$5:$M$204&lt;=AG5)*('İş Planı'!$O$5:$O$204="Tamamlandı"))</f>
        <v>0</v>
      </c>
      <c r="AK5">
        <f>IFERROR(INDEX(Listeler!$D$4:$D$43,SMALL($BD$4:$BD$43,22-ROW())),"")</f>
        <v/>
      </c>
      <c r="AL5">
        <f>IF($AK5="","",IF(COUNTIFS('İş Planı'!$D$5:$D$204,$AK5,'İş Planı'!$O$5:$O$204,"Planlanan")+COUNTIFS('İş Planı'!$E$5:$E$204,$AK5,'İş Planı'!$O$5:$O$204,"Planlanan")+COUNTIFS('İş Planı'!$F$5:$F$204,$AK5,'İş Planı'!$O$5:$O$204,"Planlanan")+COUNTIFS('İş Planı'!$G$5:$G$204,$AK5,'İş Planı'!$O$5:$O$204,"Planlanan")+COUNTIFS('İş Planı'!$D$5:$D$204,$AK5,'İş Planı'!$O$5:$O$204,"Devam Ediyor")+COUNTIFS('İş Planı'!$E$5:$E$204,$AK5,'İş Planı'!$O$5:$O$204,"Devam Ediyor")+COUNTIFS('İş Planı'!$F$5:$F$204,$AK5,'İş Planı'!$O$5:$O$204,"Devam Ediyor")+COUNTIFS('İş Planı'!$G$5:$G$204,$AK5,'İş Planı'!$O$5:$O$204,"Devam Ediyor")=0,"",COUNTIFS('İş Planı'!$D$5:$D$204,$AK5,'İş Planı'!$O$5:$O$204,"Planlanan")+COUNTIFS('İş Planı'!$E$5:$E$204,$AK5,'İş Planı'!$O$5:$O$204,"Planlanan")+COUNTIFS('İş Planı'!$F$5:$F$204,$AK5,'İş Planı'!$O$5:$O$204,"Planlanan")+COUNTIFS('İş Planı'!$G$5:$G$204,$AK5,'İş Planı'!$O$5:$O$204,"Planlanan")+COUNTIFS('İş Planı'!$D$5:$D$204,$AK5,'İş Planı'!$O$5:$O$204,"Devam Ediyor")+COUNTIFS('İş Planı'!$E$5:$E$204,$AK5,'İş Planı'!$O$5:$O$204,"Devam Ediyor")+COUNTIFS('İş Planı'!$F$5:$F$204,$AK5,'İş Planı'!$O$5:$O$204,"Devam Ediyor")+COUNTIFS('İş Planı'!$G$5:$G$204,$AK5,'İş Planı'!$O$5:$O$204,"Devam Ediyor")))</f>
        <v/>
      </c>
      <c r="AM5">
        <f>IF($AK5="","",IF(COUNTIFS('İş Planı'!$D$5:$D$204,$AK5,'İş Planı'!$O$5:$O$204,"Gecikmiş")+COUNTIFS('İş Planı'!$E$5:$E$204,$AK5,'İş Planı'!$O$5:$O$204,"Gecikmiş")+COUNTIFS('İş Planı'!$F$5:$F$204,$AK5,'İş Planı'!$O$5:$O$204,"Gecikmiş")+COUNTIFS('İş Planı'!$G$5:$G$204,$AK5,'İş Planı'!$O$5:$O$204,"Gecikmiş")=0,"",COUNTIFS('İş Planı'!$D$5:$D$204,$AK5,'İş Planı'!$O$5:$O$204,"Gecikmiş")+COUNTIFS('İş Planı'!$E$5:$E$204,$AK5,'İş Planı'!$O$5:$O$204,"Gecikmiş")+COUNTIFS('İş Planı'!$F$5:$F$204,$AK5,'İş Planı'!$O$5:$O$204,"Gecikmiş")+COUNTIFS('İş Planı'!$G$5:$G$204,$AK5,'İş Planı'!$O$5:$O$204,"Gecikmiş")))</f>
        <v/>
      </c>
      <c r="AO5" t="inlineStr">
        <is>
          <t>90+ gün</t>
        </is>
      </c>
      <c r="AP5">
        <f>IF(COUNTIFS('İş Planı'!$X$5:$X$204,"&gt;=91",'İş Planı'!$H$5:$H$204,"Yüksek")=0,"",COUNTIFS('İş Planı'!$X$5:$X$204,"&gt;=91",'İş Planı'!$H$5:$H$204,"Yüksek"))</f>
        <v/>
      </c>
      <c r="AQ5">
        <f>IF(COUNTIFS('İş Planı'!$X$5:$X$204,"&gt;=91",'İş Planı'!$H$5:$H$204,"Orta")=0,"",COUNTIFS('İş Planı'!$X$5:$X$204,"&gt;=91",'İş Planı'!$H$5:$H$204,"Orta"))</f>
        <v/>
      </c>
      <c r="AR5">
        <f>IF(COUNTIFS('İş Planı'!$X$5:$X$204,"&gt;=91",'İş Planı'!$H$5:$H$204,"Düşük")=0,"",COUNTIFS('İş Planı'!$X$5:$X$204,"&gt;=91",'İş Planı'!$H$5:$H$204,"Düşük"))</f>
        <v/>
      </c>
      <c r="AS5">
        <f>IF(COUNTIFS('İş Planı'!$X$5:$X$204,"&gt;=91",'İş Planı'!$H$5:$H$204,"")=0,"",COUNTIFS('İş Planı'!$X$5:$X$204,"&gt;=91",'İş Planı'!$H$5:$H$204,""))</f>
        <v/>
      </c>
      <c r="BB5">
        <f>IF(Listeler!$B5="","",IF(COUNTIF('İş Planı'!$B$5:$B$204,Listeler!$B5)=0,"",ROW()-3))</f>
        <v>2</v>
      </c>
      <c r="BD5">
        <f>IF(Listeler!$D5="","",IF(COUNTIF('İş Planı'!$D$5:$D$204,Listeler!$D5)+COUNTIF('İş Planı'!$E$5:$E$204,Listeler!$D5)+COUNTIF('İş Planı'!$F$5:$F$204,Listeler!$D5)+COUNTIF('İş Planı'!$G$5:$G$204,Listeler!$D5)=0,"",ROW()-3))</f>
        <v/>
      </c>
    </row>
    <row r="6">
      <c r="H6" t="inlineStr">
        <is>
          <t>May</t>
        </is>
      </c>
      <c r="I6" s="61" t="n">
        <v>46143</v>
      </c>
      <c r="J6">
        <f>SUMPRODUCT(('İş Planı'!$C$5:$C$204&lt;&gt;"")*('İş Planı'!$I$5:$I$204&lt;&gt;"")*('İş Planı'!$J$5:$J$204&lt;&gt;"")*('İş Planı'!$I$5:$I$204&lt;=EOMONTH(I6,0))*('İş Planı'!$M$5:$M$204&gt;=I6))</f>
        <v>0</v>
      </c>
      <c r="L6" t="n">
        <v>6</v>
      </c>
      <c r="M6" t="str">
        <f>IFERROR(IF(LARGE('İş Planı'!$W$5:$W$204,L6)&lt;0.5,"",LEFT(SUBSTITUTE(SUBSTITUTE(TRIM(INDEX('İş Planı'!$C$5:$C$204,MATCH(LARGE('İş Planı'!$W$5:$W$204,L6),'İş Planı'!$W$5:$W$204,0))),CHAR(10)," "),CHAR(13)," "),45)),"")</f>
        <v>3.1.7 Veri Sızıntısı Önleme</v>
      </c>
      <c r="N6">
        <f>IFERROR(IF(LARGE('İş Planı'!$W$5:$W$204,L6)&lt;0.5,0,INT(LARGE('İş Planı'!$W$5:$W$204,L6))),0)</f>
        <v>12</v>
      </c>
      <c r="T6" t="inlineStr">
        <is>
          <t>Planlanan</t>
        </is>
      </c>
      <c r="U6" s="62">
        <f>F2</f>
        <v>62</v>
      </c>
      <c r="W6">
        <f>IFERROR(INDEX(Listeler!$B$4:$B$43,SMALL($BB$4:$BB$43,22-ROW())),"")</f>
        <v/>
      </c>
      <c r="X6">
        <f>IF($W6="","",IF(COUNTIFS('İş Planı'!$B$5:$B$204,$W6,'İş Planı'!$O$5:$O$204,"Tamamlandı")=0,"",COUNTIFS('İş Planı'!$B$5:$B$204,$W6,'İş Planı'!$O$5:$O$204,"Tamamlandı")))</f>
        <v/>
      </c>
      <c r="Y6">
        <f>IF($W6="","",IF(COUNTIFS('İş Planı'!$B$5:$B$204,$W6,'İş Planı'!$O$5:$O$204,"Devam Ediyor")=0,"",COUNTIFS('İş Planı'!$B$5:$B$204,$W6,'İş Planı'!$O$5:$O$204,"Devam Ediyor")))</f>
        <v/>
      </c>
      <c r="Z6">
        <f>IF($W6="","",IF(COUNTIFS('İş Planı'!$B$5:$B$204,$W6,'İş Planı'!$O$5:$O$204,"Gecikmiş")=0,"",COUNTIFS('İş Planı'!$B$5:$B$204,$W6,'İş Planı'!$O$5:$O$204,"Gecikmiş")))</f>
        <v/>
      </c>
      <c r="AB6" s="63" t="n">
        <v>46057</v>
      </c>
      <c r="AC6">
        <f>SUMPRODUCT(('İş Planı'!$C$5:$C$204&lt;&gt;"")*('İş Planı'!$M$5:$M$204&lt;&gt;"")*('İş Planı'!$M$5:$M$204&lt;=AB6))</f>
        <v>0</v>
      </c>
      <c r="AD6">
        <f>SUMPRODUCT(('İş Planı'!$C$5:$C$204&lt;&gt;"")*('İş Planı'!$M$5:$M$204&lt;&gt;"")*('İş Planı'!$M$5:$M$204&lt;=AB6)*('İş Planı'!$O$5:$O$204="Tamamlandı"))</f>
        <v>0</v>
      </c>
      <c r="AF6" t="inlineStr">
        <is>
          <t>May</t>
        </is>
      </c>
      <c r="AG6" s="61" t="n">
        <v>46173</v>
      </c>
      <c r="AH6">
        <f>SUMPRODUCT(('İş Planı'!$C$5:$C$204&lt;&gt;"")*('İş Planı'!$M$5:$M$204&lt;&gt;"")*('İş Planı'!$M$5:$M$204&lt;=AG6))</f>
        <v>0</v>
      </c>
      <c r="AI6">
        <f>SUMPRODUCT(('İş Planı'!$C$5:$C$204&lt;&gt;"")*('İş Planı'!$M$5:$M$204&lt;&gt;"")*('İş Planı'!$M$5:$M$204&lt;=AG6)*('İş Planı'!$O$5:$O$204="Tamamlandı"))</f>
        <v>0</v>
      </c>
      <c r="AK6">
        <f>IFERROR(INDEX(Listeler!$D$4:$D$43,SMALL($BD$4:$BD$43,22-ROW())),"")</f>
        <v/>
      </c>
      <c r="AL6">
        <f>IF($AK6="","",IF(COUNTIFS('İş Planı'!$D$5:$D$204,$AK6,'İş Planı'!$O$5:$O$204,"Planlanan")+COUNTIFS('İş Planı'!$E$5:$E$204,$AK6,'İş Planı'!$O$5:$O$204,"Planlanan")+COUNTIFS('İş Planı'!$F$5:$F$204,$AK6,'İş Planı'!$O$5:$O$204,"Planlanan")+COUNTIFS('İş Planı'!$G$5:$G$204,$AK6,'İş Planı'!$O$5:$O$204,"Planlanan")+COUNTIFS('İş Planı'!$D$5:$D$204,$AK6,'İş Planı'!$O$5:$O$204,"Devam Ediyor")+COUNTIFS('İş Planı'!$E$5:$E$204,$AK6,'İş Planı'!$O$5:$O$204,"Devam Ediyor")+COUNTIFS('İş Planı'!$F$5:$F$204,$AK6,'İş Planı'!$O$5:$O$204,"Devam Ediyor")+COUNTIFS('İş Planı'!$G$5:$G$204,$AK6,'İş Planı'!$O$5:$O$204,"Devam Ediyor")=0,"",COUNTIFS('İş Planı'!$D$5:$D$204,$AK6,'İş Planı'!$O$5:$O$204,"Planlanan")+COUNTIFS('İş Planı'!$E$5:$E$204,$AK6,'İş Planı'!$O$5:$O$204,"Planlanan")+COUNTIFS('İş Planı'!$F$5:$F$204,$AK6,'İş Planı'!$O$5:$O$204,"Planlanan")+COUNTIFS('İş Planı'!$G$5:$G$204,$AK6,'İş Planı'!$O$5:$O$204,"Planlanan")+COUNTIFS('İş Planı'!$D$5:$D$204,$AK6,'İş Planı'!$O$5:$O$204,"Devam Ediyor")+COUNTIFS('İş Planı'!$E$5:$E$204,$AK6,'İş Planı'!$O$5:$O$204,"Devam Ediyor")+COUNTIFS('İş Planı'!$F$5:$F$204,$AK6,'İş Planı'!$O$5:$O$204,"Devam Ediyor")+COUNTIFS('İş Planı'!$G$5:$G$204,$AK6,'İş Planı'!$O$5:$O$204,"Devam Ediyor")))</f>
        <v/>
      </c>
      <c r="AM6">
        <f>IF($AK6="","",IF(COUNTIFS('İş Planı'!$D$5:$D$204,$AK6,'İş Planı'!$O$5:$O$204,"Gecikmiş")+COUNTIFS('İş Planı'!$E$5:$E$204,$AK6,'İş Planı'!$O$5:$O$204,"Gecikmiş")+COUNTIFS('İş Planı'!$F$5:$F$204,$AK6,'İş Planı'!$O$5:$O$204,"Gecikmiş")+COUNTIFS('İş Planı'!$G$5:$G$204,$AK6,'İş Planı'!$O$5:$O$204,"Gecikmiş")=0,"",COUNTIFS('İş Planı'!$D$5:$D$204,$AK6,'İş Planı'!$O$5:$O$204,"Gecikmiş")+COUNTIFS('İş Planı'!$E$5:$E$204,$AK6,'İş Planı'!$O$5:$O$204,"Gecikmiş")+COUNTIFS('İş Planı'!$F$5:$F$204,$AK6,'İş Planı'!$O$5:$O$204,"Gecikmiş")+COUNTIFS('İş Planı'!$G$5:$G$204,$AK6,'İş Planı'!$O$5:$O$204,"Gecikmiş")))</f>
        <v/>
      </c>
      <c r="BB6">
        <f>IF(Listeler!$B6="","",IF(COUNTIF('İş Planı'!$B$5:$B$204,Listeler!$B6)=0,"",ROW()-3))</f>
        <v>3</v>
      </c>
      <c r="BD6">
        <f>IF(Listeler!$D6="","",IF(COUNTIF('İş Planı'!$D$5:$D$204,Listeler!$D6)+COUNTIF('İş Planı'!$E$5:$E$204,Listeler!$D6)+COUNTIF('İş Planı'!$F$5:$F$204,Listeler!$D6)+COUNTIF('İş Planı'!$G$5:$G$204,Listeler!$D6)=0,"",ROW()-3))</f>
        <v>3</v>
      </c>
    </row>
    <row r="7">
      <c r="H7" t="inlineStr">
        <is>
          <t>Haz</t>
        </is>
      </c>
      <c r="I7" s="61" t="n">
        <v>46174</v>
      </c>
      <c r="J7">
        <f>SUMPRODUCT(('İş Planı'!$C$5:$C$204&lt;&gt;"")*('İş Planı'!$I$5:$I$204&lt;&gt;"")*('İş Planı'!$J$5:$J$204&lt;&gt;"")*('İş Planı'!$I$5:$I$204&lt;=EOMONTH(I7,0))*('İş Planı'!$M$5:$M$204&gt;=I7))</f>
        <v>0</v>
      </c>
      <c r="L7" t="n">
        <v>5</v>
      </c>
      <c r="M7" t="str">
        <f>IFERROR(IF(LARGE('İş Planı'!$W$5:$W$204,L7)&lt;0.5,"",LEFT(SUBSTITUTE(SUBSTITUTE(TRIM(INDEX('İş Planı'!$C$5:$C$204,MATCH(LARGE('İş Planı'!$W$5:$W$204,L7),'İş Planı'!$W$5:$W$204,0))),CHAR(10)," "),CHAR(13)," "),45)),"")</f>
        <v>Madde 13</v>
      </c>
      <c r="N7">
        <f>IFERROR(IF(LARGE('İş Planı'!$W$5:$W$204,L7)&lt;0.5,0,INT(LARGE('İş Planı'!$W$5:$W$204,L7))),0)</f>
        <v>16</v>
      </c>
      <c r="T7" t="inlineStr">
        <is>
          <t>Genel İlerleme</t>
        </is>
      </c>
      <c r="U7" s="65">
        <f>IFERROR(SUMPRODUCT(('İş Planı'!$C$5:$C$204&lt;&gt;"")*('İş Planı'!$N$5:$N$204))/COUNTA('İş Planı'!$C$5:$C$204),0)</f>
        <v>0.1678947368</v>
      </c>
      <c r="W7">
        <f>IFERROR(INDEX(Listeler!$B$4:$B$43,SMALL($BB$4:$BB$43,22-ROW())),"")</f>
        <v/>
      </c>
      <c r="X7">
        <f>IF($W7="","",IF(COUNTIFS('İş Planı'!$B$5:$B$204,$W7,'İş Planı'!$O$5:$O$204,"Tamamlandı")=0,"",COUNTIFS('İş Planı'!$B$5:$B$204,$W7,'İş Planı'!$O$5:$O$204,"Tamamlandı")))</f>
        <v/>
      </c>
      <c r="Y7">
        <f>IF($W7="","",IF(COUNTIFS('İş Planı'!$B$5:$B$204,$W7,'İş Planı'!$O$5:$O$204,"Devam Ediyor")=0,"",COUNTIFS('İş Planı'!$B$5:$B$204,$W7,'İş Planı'!$O$5:$O$204,"Devam Ediyor")))</f>
        <v/>
      </c>
      <c r="Z7">
        <f>IF($W7="","",IF(COUNTIFS('İş Planı'!$B$5:$B$204,$W7,'İş Planı'!$O$5:$O$204,"Gecikmiş")=0,"",COUNTIFS('İş Planı'!$B$5:$B$204,$W7,'İş Planı'!$O$5:$O$204,"Gecikmiş")))</f>
        <v/>
      </c>
      <c r="AB7" s="63" t="n">
        <v>46064</v>
      </c>
      <c r="AC7">
        <f>SUMPRODUCT(('İş Planı'!$C$5:$C$204&lt;&gt;"")*('İş Planı'!$M$5:$M$204&lt;&gt;"")*('İş Planı'!$M$5:$M$204&lt;=AB7))</f>
        <v>0</v>
      </c>
      <c r="AD7">
        <f>SUMPRODUCT(('İş Planı'!$C$5:$C$204&lt;&gt;"")*('İş Planı'!$M$5:$M$204&lt;&gt;"")*('İş Planı'!$M$5:$M$204&lt;=AB7)*('İş Planı'!$O$5:$O$204="Tamamlandı"))</f>
        <v>0</v>
      </c>
      <c r="AF7" t="inlineStr">
        <is>
          <t>Haz</t>
        </is>
      </c>
      <c r="AG7" s="61" t="n">
        <v>46203</v>
      </c>
      <c r="AH7">
        <f>SUMPRODUCT(('İş Planı'!$C$5:$C$204&lt;&gt;"")*('İş Planı'!$M$5:$M$204&lt;&gt;"")*('İş Planı'!$M$5:$M$204&lt;=AG7))</f>
        <v>0</v>
      </c>
      <c r="AI7">
        <f>SUMPRODUCT(('İş Planı'!$C$5:$C$204&lt;&gt;"")*('İş Planı'!$M$5:$M$204&lt;&gt;"")*('İş Planı'!$M$5:$M$204&lt;=AG7)*('İş Planı'!$O$5:$O$204="Tamamlandı"))</f>
        <v>0</v>
      </c>
      <c r="AK7">
        <f>IFERROR(INDEX(Listeler!$D$4:$D$43,SMALL($BD$4:$BD$43,22-ROW())),"")</f>
        <v/>
      </c>
      <c r="AL7">
        <f>IF($AK7="","",IF(COUNTIFS('İş Planı'!$D$5:$D$204,$AK7,'İş Planı'!$O$5:$O$204,"Planlanan")+COUNTIFS('İş Planı'!$E$5:$E$204,$AK7,'İş Planı'!$O$5:$O$204,"Planlanan")+COUNTIFS('İş Planı'!$F$5:$F$204,$AK7,'İş Planı'!$O$5:$O$204,"Planlanan")+COUNTIFS('İş Planı'!$G$5:$G$204,$AK7,'İş Planı'!$O$5:$O$204,"Planlanan")+COUNTIFS('İş Planı'!$D$5:$D$204,$AK7,'İş Planı'!$O$5:$O$204,"Devam Ediyor")+COUNTIFS('İş Planı'!$E$5:$E$204,$AK7,'İş Planı'!$O$5:$O$204,"Devam Ediyor")+COUNTIFS('İş Planı'!$F$5:$F$204,$AK7,'İş Planı'!$O$5:$O$204,"Devam Ediyor")+COUNTIFS('İş Planı'!$G$5:$G$204,$AK7,'İş Planı'!$O$5:$O$204,"Devam Ediyor")=0,"",COUNTIFS('İş Planı'!$D$5:$D$204,$AK7,'İş Planı'!$O$5:$O$204,"Planlanan")+COUNTIFS('İş Planı'!$E$5:$E$204,$AK7,'İş Planı'!$O$5:$O$204,"Planlanan")+COUNTIFS('İş Planı'!$F$5:$F$204,$AK7,'İş Planı'!$O$5:$O$204,"Planlanan")+COUNTIFS('İş Planı'!$G$5:$G$204,$AK7,'İş Planı'!$O$5:$O$204,"Planlanan")+COUNTIFS('İş Planı'!$D$5:$D$204,$AK7,'İş Planı'!$O$5:$O$204,"Devam Ediyor")+COUNTIFS('İş Planı'!$E$5:$E$204,$AK7,'İş Planı'!$O$5:$O$204,"Devam Ediyor")+COUNTIFS('İş Planı'!$F$5:$F$204,$AK7,'İş Planı'!$O$5:$O$204,"Devam Ediyor")+COUNTIFS('İş Planı'!$G$5:$G$204,$AK7,'İş Planı'!$O$5:$O$204,"Devam Ediyor")))</f>
        <v/>
      </c>
      <c r="AM7">
        <f>IF($AK7="","",IF(COUNTIFS('İş Planı'!$D$5:$D$204,$AK7,'İş Planı'!$O$5:$O$204,"Gecikmiş")+COUNTIFS('İş Planı'!$E$5:$E$204,$AK7,'İş Planı'!$O$5:$O$204,"Gecikmiş")+COUNTIFS('İş Planı'!$F$5:$F$204,$AK7,'İş Planı'!$O$5:$O$204,"Gecikmiş")+COUNTIFS('İş Planı'!$G$5:$G$204,$AK7,'İş Planı'!$O$5:$O$204,"Gecikmiş")=0,"",COUNTIFS('İş Planı'!$D$5:$D$204,$AK7,'İş Planı'!$O$5:$O$204,"Gecikmiş")+COUNTIFS('İş Planı'!$E$5:$E$204,$AK7,'İş Planı'!$O$5:$O$204,"Gecikmiş")+COUNTIFS('İş Planı'!$F$5:$F$204,$AK7,'İş Planı'!$O$5:$O$204,"Gecikmiş")+COUNTIFS('İş Planı'!$G$5:$G$204,$AK7,'İş Planı'!$O$5:$O$204,"Gecikmiş")))</f>
        <v/>
      </c>
      <c r="BB7">
        <f>IF(Listeler!$B7="","",IF(COUNTIF('İş Planı'!$B$5:$B$204,Listeler!$B7)=0,"",ROW()-3))</f>
        <v>4</v>
      </c>
      <c r="BD7">
        <f>IF(Listeler!$D7="","",IF(COUNTIF('İş Planı'!$D$5:$D$204,Listeler!$D7)+COUNTIF('İş Planı'!$E$5:$E$204,Listeler!$D7)+COUNTIF('İş Planı'!$F$5:$F$204,Listeler!$D7)+COUNTIF('İş Planı'!$G$5:$G$204,Listeler!$D7)=0,"",ROW()-3))</f>
        <v>4</v>
      </c>
    </row>
    <row r="8">
      <c r="H8" t="inlineStr">
        <is>
          <t>Tem</t>
        </is>
      </c>
      <c r="I8" s="61" t="n">
        <v>46204</v>
      </c>
      <c r="J8">
        <f>SUMPRODUCT(('İş Planı'!$C$5:$C$204&lt;&gt;"")*('İş Planı'!$I$5:$I$204&lt;&gt;"")*('İş Planı'!$J$5:$J$204&lt;&gt;"")*('İş Planı'!$I$5:$I$204&lt;=EOMONTH(I8,0))*('İş Planı'!$M$5:$M$204&gt;=I8))</f>
        <v>1</v>
      </c>
      <c r="L8" t="n">
        <v>4</v>
      </c>
      <c r="M8" t="str">
        <f>IFERROR(IF(LARGE('İş Planı'!$W$5:$W$204,L8)&lt;0.5,"",LEFT(SUBSTITUTE(SUBSTITUTE(TRIM(INDEX('İş Planı'!$C$5:$C$204,MATCH(LARGE('İş Planı'!$W$5:$W$204,L8),'İş Planı'!$W$5:$W$204,0))),CHAR(10)," "),CHAR(13)," "),45)),"")</f>
        <v>3.1.8 İz ve Denetim Kayıtlarının Tutulması ve</v>
      </c>
      <c r="N8">
        <f>IFERROR(IF(LARGE('İş Planı'!$W$5:$W$204,L8)&lt;0.5,0,INT(LARGE('İş Planı'!$W$5:$W$204,L8))),0)</f>
        <v>16</v>
      </c>
      <c r="T8" t="inlineStr">
        <is>
          <t>Mutabakat Tamam</t>
        </is>
      </c>
      <c r="U8" s="62">
        <f>COUNTIFS('İş Planı'!$R$5:$R$204,"&lt;&gt;",'İş Planı'!$C$5:$C$204,"&lt;&gt;")</f>
        <v>0</v>
      </c>
      <c r="W8">
        <f>IFERROR(INDEX(Listeler!$B$4:$B$43,SMALL($BB$4:$BB$43,22-ROW())),"")</f>
        <v/>
      </c>
      <c r="X8">
        <f>IF($W8="","",IF(COUNTIFS('İş Planı'!$B$5:$B$204,$W8,'İş Planı'!$O$5:$O$204,"Tamamlandı")=0,"",COUNTIFS('İş Planı'!$B$5:$B$204,$W8,'İş Planı'!$O$5:$O$204,"Tamamlandı")))</f>
        <v/>
      </c>
      <c r="Y8">
        <f>IF($W8="","",IF(COUNTIFS('İş Planı'!$B$5:$B$204,$W8,'İş Planı'!$O$5:$O$204,"Devam Ediyor")=0,"",COUNTIFS('İş Planı'!$B$5:$B$204,$W8,'İş Planı'!$O$5:$O$204,"Devam Ediyor")))</f>
        <v/>
      </c>
      <c r="Z8">
        <f>IF($W8="","",IF(COUNTIFS('İş Planı'!$B$5:$B$204,$W8,'İş Planı'!$O$5:$O$204,"Gecikmiş")=0,"",COUNTIFS('İş Planı'!$B$5:$B$204,$W8,'İş Planı'!$O$5:$O$204,"Gecikmiş")))</f>
        <v/>
      </c>
      <c r="AB8" s="63" t="n">
        <v>46071</v>
      </c>
      <c r="AC8">
        <f>SUMPRODUCT(('İş Planı'!$C$5:$C$204&lt;&gt;"")*('İş Planı'!$M$5:$M$204&lt;&gt;"")*('İş Planı'!$M$5:$M$204&lt;=AB8))</f>
        <v>0</v>
      </c>
      <c r="AD8">
        <f>SUMPRODUCT(('İş Planı'!$C$5:$C$204&lt;&gt;"")*('İş Planı'!$M$5:$M$204&lt;&gt;"")*('İş Planı'!$M$5:$M$204&lt;=AB8)*('İş Planı'!$O$5:$O$204="Tamamlandı"))</f>
        <v>0</v>
      </c>
      <c r="AF8" t="inlineStr">
        <is>
          <t>Tem</t>
        </is>
      </c>
      <c r="AG8" s="61" t="n">
        <v>46234</v>
      </c>
      <c r="AH8">
        <f>SUMPRODUCT(('İş Planı'!$C$5:$C$204&lt;&gt;"")*('İş Planı'!$M$5:$M$204&lt;&gt;"")*('İş Planı'!$M$5:$M$204&lt;=AG8))</f>
        <v>0</v>
      </c>
      <c r="AI8">
        <f>SUMPRODUCT(('İş Planı'!$C$5:$C$204&lt;&gt;"")*('İş Planı'!$M$5:$M$204&lt;&gt;"")*('İş Planı'!$M$5:$M$204&lt;=AG8)*('İş Planı'!$O$5:$O$204="Tamamlandı"))</f>
        <v>0</v>
      </c>
      <c r="AK8">
        <f>IFERROR(INDEX(Listeler!$D$4:$D$43,SMALL($BD$4:$BD$43,22-ROW())),"")</f>
        <v/>
      </c>
      <c r="AL8">
        <f>IF($AK8="","",IF(COUNTIFS('İş Planı'!$D$5:$D$204,$AK8,'İş Planı'!$O$5:$O$204,"Planlanan")+COUNTIFS('İş Planı'!$E$5:$E$204,$AK8,'İş Planı'!$O$5:$O$204,"Planlanan")+COUNTIFS('İş Planı'!$F$5:$F$204,$AK8,'İş Planı'!$O$5:$O$204,"Planlanan")+COUNTIFS('İş Planı'!$G$5:$G$204,$AK8,'İş Planı'!$O$5:$O$204,"Planlanan")+COUNTIFS('İş Planı'!$D$5:$D$204,$AK8,'İş Planı'!$O$5:$O$204,"Devam Ediyor")+COUNTIFS('İş Planı'!$E$5:$E$204,$AK8,'İş Planı'!$O$5:$O$204,"Devam Ediyor")+COUNTIFS('İş Planı'!$F$5:$F$204,$AK8,'İş Planı'!$O$5:$O$204,"Devam Ediyor")+COUNTIFS('İş Planı'!$G$5:$G$204,$AK8,'İş Planı'!$O$5:$O$204,"Devam Ediyor")=0,"",COUNTIFS('İş Planı'!$D$5:$D$204,$AK8,'İş Planı'!$O$5:$O$204,"Planlanan")+COUNTIFS('İş Planı'!$E$5:$E$204,$AK8,'İş Planı'!$O$5:$O$204,"Planlanan")+COUNTIFS('İş Planı'!$F$5:$F$204,$AK8,'İş Planı'!$O$5:$O$204,"Planlanan")+COUNTIFS('İş Planı'!$G$5:$G$204,$AK8,'İş Planı'!$O$5:$O$204,"Planlanan")+COUNTIFS('İş Planı'!$D$5:$D$204,$AK8,'İş Planı'!$O$5:$O$204,"Devam Ediyor")+COUNTIFS('İş Planı'!$E$5:$E$204,$AK8,'İş Planı'!$O$5:$O$204,"Devam Ediyor")+COUNTIFS('İş Planı'!$F$5:$F$204,$AK8,'İş Planı'!$O$5:$O$204,"Devam Ediyor")+COUNTIFS('İş Planı'!$G$5:$G$204,$AK8,'İş Planı'!$O$5:$O$204,"Devam Ediyor")))</f>
        <v/>
      </c>
      <c r="AM8">
        <f>IF($AK8="","",IF(COUNTIFS('İş Planı'!$D$5:$D$204,$AK8,'İş Planı'!$O$5:$O$204,"Gecikmiş")+COUNTIFS('İş Planı'!$E$5:$E$204,$AK8,'İş Planı'!$O$5:$O$204,"Gecikmiş")+COUNTIFS('İş Planı'!$F$5:$F$204,$AK8,'İş Planı'!$O$5:$O$204,"Gecikmiş")+COUNTIFS('İş Planı'!$G$5:$G$204,$AK8,'İş Planı'!$O$5:$O$204,"Gecikmiş")=0,"",COUNTIFS('İş Planı'!$D$5:$D$204,$AK8,'İş Planı'!$O$5:$O$204,"Gecikmiş")+COUNTIFS('İş Planı'!$E$5:$E$204,$AK8,'İş Planı'!$O$5:$O$204,"Gecikmiş")+COUNTIFS('İş Planı'!$F$5:$F$204,$AK8,'İş Planı'!$O$5:$O$204,"Gecikmiş")+COUNTIFS('İş Planı'!$G$5:$G$204,$AK8,'İş Planı'!$O$5:$O$204,"Gecikmiş")))</f>
        <v/>
      </c>
      <c r="BB8">
        <f>IF(Listeler!$B8="","",IF(COUNTIF('İş Planı'!$B$5:$B$204,Listeler!$B8)=0,"",ROW()-3))</f>
        <v>5</v>
      </c>
      <c r="BD8">
        <f>IF(Listeler!$D8="","",IF(COUNTIF('İş Planı'!$D$5:$D$204,Listeler!$D8)+COUNTIF('İş Planı'!$E$5:$E$204,Listeler!$D8)+COUNTIF('İş Planı'!$F$5:$F$204,Listeler!$D8)+COUNTIF('İş Planı'!$G$5:$G$204,Listeler!$D8)=0,"",ROW()-3))</f>
        <v/>
      </c>
    </row>
    <row r="9">
      <c r="H9" t="inlineStr">
        <is>
          <t>Ağu</t>
        </is>
      </c>
      <c r="I9" s="61" t="n">
        <v>46235</v>
      </c>
      <c r="J9">
        <f>SUMPRODUCT(('İş Planı'!$C$5:$C$204&lt;&gt;"")*('İş Planı'!$I$5:$I$204&lt;&gt;"")*('İş Planı'!$J$5:$J$204&lt;&gt;"")*('İş Planı'!$I$5:$I$204&lt;=EOMONTH(I9,0))*('İş Planı'!$M$5:$M$204&gt;=I9))</f>
        <v>12</v>
      </c>
      <c r="L9" t="n">
        <v>3</v>
      </c>
      <c r="M9" t="str">
        <f>IFERROR(IF(LARGE('İş Planı'!$W$5:$W$204,L9)&lt;0.5,"",LEFT(SUBSTITUTE(SUBSTITUTE(TRIM(INDEX('İş Planı'!$C$5:$C$204,MATCH(LARGE('İş Planı'!$W$5:$W$204,L9),'İş Planı'!$W$5:$W$204,0))),CHAR(10)," "),CHAR(13)," "),45)),"")</f>
        <v>3.1.4 E-Posta Sunucusu ve İstemcisi Güvenliği</v>
      </c>
      <c r="N9">
        <f>IFERROR(IF(LARGE('İş Planı'!$W$5:$W$204,L9)&lt;0.5,0,INT(LARGE('İş Planı'!$W$5:$W$204,L9))),0)</f>
        <v>16</v>
      </c>
      <c r="T9" t="inlineStr">
        <is>
          <t>Projeksiyon Riski</t>
        </is>
      </c>
      <c r="U9" s="62">
        <f>COUNTIF('İş Planı'!$U$5:$U$204,"⚠*")</f>
        <v>17</v>
      </c>
      <c r="W9">
        <f>IFERROR(INDEX(Listeler!$B$4:$B$43,SMALL($BB$4:$BB$43,22-ROW())),"")</f>
        <v/>
      </c>
      <c r="X9">
        <f>IF($W9="","",IF(COUNTIFS('İş Planı'!$B$5:$B$204,$W9,'İş Planı'!$O$5:$O$204,"Tamamlandı")=0,"",COUNTIFS('İş Planı'!$B$5:$B$204,$W9,'İş Planı'!$O$5:$O$204,"Tamamlandı")))</f>
        <v/>
      </c>
      <c r="Y9">
        <f>IF($W9="","",IF(COUNTIFS('İş Planı'!$B$5:$B$204,$W9,'İş Planı'!$O$5:$O$204,"Devam Ediyor")=0,"",COUNTIFS('İş Planı'!$B$5:$B$204,$W9,'İş Planı'!$O$5:$O$204,"Devam Ediyor")))</f>
        <v/>
      </c>
      <c r="Z9">
        <f>IF($W9="","",IF(COUNTIFS('İş Planı'!$B$5:$B$204,$W9,'İş Planı'!$O$5:$O$204,"Gecikmiş")=0,"",COUNTIFS('İş Planı'!$B$5:$B$204,$W9,'İş Planı'!$O$5:$O$204,"Gecikmiş")))</f>
        <v/>
      </c>
      <c r="AB9" s="63" t="n">
        <v>46078</v>
      </c>
      <c r="AC9">
        <f>SUMPRODUCT(('İş Planı'!$C$5:$C$204&lt;&gt;"")*('İş Planı'!$M$5:$M$204&lt;&gt;"")*('İş Planı'!$M$5:$M$204&lt;=AB9))</f>
        <v>0</v>
      </c>
      <c r="AD9">
        <f>SUMPRODUCT(('İş Planı'!$C$5:$C$204&lt;&gt;"")*('İş Planı'!$M$5:$M$204&lt;&gt;"")*('İş Planı'!$M$5:$M$204&lt;=AB9)*('İş Planı'!$O$5:$O$204="Tamamlandı"))</f>
        <v>0</v>
      </c>
      <c r="AF9" t="inlineStr">
        <is>
          <t>Ağu</t>
        </is>
      </c>
      <c r="AG9" s="61" t="n">
        <v>46265</v>
      </c>
      <c r="AH9">
        <f>SUMPRODUCT(('İş Planı'!$C$5:$C$204&lt;&gt;"")*('İş Planı'!$M$5:$M$204&lt;&gt;"")*('İş Planı'!$M$5:$M$204&lt;=AG9))</f>
        <v>0</v>
      </c>
      <c r="AI9">
        <f>SUMPRODUCT(('İş Planı'!$C$5:$C$204&lt;&gt;"")*('İş Planı'!$M$5:$M$204&lt;&gt;"")*('İş Planı'!$M$5:$M$204&lt;=AG9)*('İş Planı'!$O$5:$O$204="Tamamlandı"))</f>
        <v>0</v>
      </c>
      <c r="AK9">
        <f>IFERROR(INDEX(Listeler!$D$4:$D$43,SMALL($BD$4:$BD$43,22-ROW())),"")</f>
        <v/>
      </c>
      <c r="AL9">
        <f>IF($AK9="","",IF(COUNTIFS('İş Planı'!$D$5:$D$204,$AK9,'İş Planı'!$O$5:$O$204,"Planlanan")+COUNTIFS('İş Planı'!$E$5:$E$204,$AK9,'İş Planı'!$O$5:$O$204,"Planlanan")+COUNTIFS('İş Planı'!$F$5:$F$204,$AK9,'İş Planı'!$O$5:$O$204,"Planlanan")+COUNTIFS('İş Planı'!$G$5:$G$204,$AK9,'İş Planı'!$O$5:$O$204,"Planlanan")+COUNTIFS('İş Planı'!$D$5:$D$204,$AK9,'İş Planı'!$O$5:$O$204,"Devam Ediyor")+COUNTIFS('İş Planı'!$E$5:$E$204,$AK9,'İş Planı'!$O$5:$O$204,"Devam Ediyor")+COUNTIFS('İş Planı'!$F$5:$F$204,$AK9,'İş Planı'!$O$5:$O$204,"Devam Ediyor")+COUNTIFS('İş Planı'!$G$5:$G$204,$AK9,'İş Planı'!$O$5:$O$204,"Devam Ediyor")=0,"",COUNTIFS('İş Planı'!$D$5:$D$204,$AK9,'İş Planı'!$O$5:$O$204,"Planlanan")+COUNTIFS('İş Planı'!$E$5:$E$204,$AK9,'İş Planı'!$O$5:$O$204,"Planlanan")+COUNTIFS('İş Planı'!$F$5:$F$204,$AK9,'İş Planı'!$O$5:$O$204,"Planlanan")+COUNTIFS('İş Planı'!$G$5:$G$204,$AK9,'İş Planı'!$O$5:$O$204,"Planlanan")+COUNTIFS('İş Planı'!$D$5:$D$204,$AK9,'İş Planı'!$O$5:$O$204,"Devam Ediyor")+COUNTIFS('İş Planı'!$E$5:$E$204,$AK9,'İş Planı'!$O$5:$O$204,"Devam Ediyor")+COUNTIFS('İş Planı'!$F$5:$F$204,$AK9,'İş Planı'!$O$5:$O$204,"Devam Ediyor")+COUNTIFS('İş Planı'!$G$5:$G$204,$AK9,'İş Planı'!$O$5:$O$204,"Devam Ediyor")))</f>
        <v/>
      </c>
      <c r="AM9">
        <f>IF($AK9="","",IF(COUNTIFS('İş Planı'!$D$5:$D$204,$AK9,'İş Planı'!$O$5:$O$204,"Gecikmiş")+COUNTIFS('İş Planı'!$E$5:$E$204,$AK9,'İş Planı'!$O$5:$O$204,"Gecikmiş")+COUNTIFS('İş Planı'!$F$5:$F$204,$AK9,'İş Planı'!$O$5:$O$204,"Gecikmiş")+COUNTIFS('İş Planı'!$G$5:$G$204,$AK9,'İş Planı'!$O$5:$O$204,"Gecikmiş")=0,"",COUNTIFS('İş Planı'!$D$5:$D$204,$AK9,'İş Planı'!$O$5:$O$204,"Gecikmiş")+COUNTIFS('İş Planı'!$E$5:$E$204,$AK9,'İş Planı'!$O$5:$O$204,"Gecikmiş")+COUNTIFS('İş Planı'!$F$5:$F$204,$AK9,'İş Planı'!$O$5:$O$204,"Gecikmiş")+COUNTIFS('İş Planı'!$G$5:$G$204,$AK9,'İş Planı'!$O$5:$O$204,"Gecikmiş")))</f>
        <v/>
      </c>
      <c r="BB9">
        <f>IF(Listeler!$B9="","",IF(COUNTIF('İş Planı'!$B$5:$B$204,Listeler!$B9)=0,"",ROW()-3))</f>
        <v>6</v>
      </c>
      <c r="BD9">
        <f>IF(Listeler!$D9="","",IF(COUNTIF('İş Planı'!$D$5:$D$204,Listeler!$D9)+COUNTIF('İş Planı'!$E$5:$E$204,Listeler!$D9)+COUNTIF('İş Planı'!$F$5:$F$204,Listeler!$D9)+COUNTIF('İş Planı'!$G$5:$G$204,Listeler!$D9)=0,"",ROW()-3))</f>
        <v/>
      </c>
    </row>
    <row r="10">
      <c r="H10" t="inlineStr">
        <is>
          <t>Eyl</t>
        </is>
      </c>
      <c r="I10" s="61" t="n">
        <v>46266</v>
      </c>
      <c r="J10">
        <f>SUMPRODUCT(('İş Planı'!$C$5:$C$204&lt;&gt;"")*('İş Planı'!$I$5:$I$204&lt;&gt;"")*('İş Planı'!$J$5:$J$204&lt;&gt;"")*('İş Planı'!$I$5:$I$204&lt;=EOMONTH(I10,0))*('İş Planı'!$M$5:$M$204&gt;=I10))</f>
        <v>27</v>
      </c>
      <c r="L10" t="n">
        <v>2</v>
      </c>
      <c r="M10" t="str">
        <f>IFERROR(IF(LARGE('İş Planı'!$W$5:$W$204,L10)&lt;0.5,"",LEFT(SUBSTITUTE(SUBSTITUTE(TRIM(INDEX('İş Planı'!$C$5:$C$204,MATCH(LARGE('İş Planı'!$W$5:$W$204,L10),'İş Planı'!$W$5:$W$204,0))),CHAR(10)," "),CHAR(13)," "),45)),"")</f>
        <v>3.1.5 Zararlı Yazılımlardan Korunma</v>
      </c>
      <c r="N10">
        <f>IFERROR(IF(LARGE('İş Planı'!$W$5:$W$204,L10)&lt;0.5,0,INT(LARGE('İş Planı'!$W$5:$W$204,L10))),0)</f>
        <v>16</v>
      </c>
      <c r="T10" t="inlineStr">
        <is>
          <t>Mutabakat Geciken</t>
        </is>
      </c>
      <c r="U10" s="62">
        <f>COUNTIF('İş Planı'!$T$5:$T$204,"*gecikti*")</f>
        <v>9</v>
      </c>
      <c r="W10">
        <f>IFERROR(INDEX(Listeler!$B$4:$B$43,SMALL($BB$4:$BB$43,22-ROW())),"")</f>
        <v/>
      </c>
      <c r="X10">
        <f>IF($W10="","",IF(COUNTIFS('İş Planı'!$B$5:$B$204,$W10,'İş Planı'!$O$5:$O$204,"Tamamlandı")=0,"",COUNTIFS('İş Planı'!$B$5:$B$204,$W10,'İş Planı'!$O$5:$O$204,"Tamamlandı")))</f>
        <v/>
      </c>
      <c r="Y10">
        <f>IF($W10="","",IF(COUNTIFS('İş Planı'!$B$5:$B$204,$W10,'İş Planı'!$O$5:$O$204,"Devam Ediyor")=0,"",COUNTIFS('İş Planı'!$B$5:$B$204,$W10,'İş Planı'!$O$5:$O$204,"Devam Ediyor")))</f>
        <v/>
      </c>
      <c r="Z10">
        <f>IF($W10="","",IF(COUNTIFS('İş Planı'!$B$5:$B$204,$W10,'İş Planı'!$O$5:$O$204,"Gecikmiş")=0,"",COUNTIFS('İş Planı'!$B$5:$B$204,$W10,'İş Planı'!$O$5:$O$204,"Gecikmiş")))</f>
        <v/>
      </c>
      <c r="AB10" s="63" t="n">
        <v>46085</v>
      </c>
      <c r="AC10">
        <f>SUMPRODUCT(('İş Planı'!$C$5:$C$204&lt;&gt;"")*('İş Planı'!$M$5:$M$204&lt;&gt;"")*('İş Planı'!$M$5:$M$204&lt;=AB10))</f>
        <v>0</v>
      </c>
      <c r="AD10">
        <f>SUMPRODUCT(('İş Planı'!$C$5:$C$204&lt;&gt;"")*('İş Planı'!$M$5:$M$204&lt;&gt;"")*('İş Planı'!$M$5:$M$204&lt;=AB10)*('İş Planı'!$O$5:$O$204="Tamamlandı"))</f>
        <v>0</v>
      </c>
      <c r="AF10" t="inlineStr">
        <is>
          <t>Eyl</t>
        </is>
      </c>
      <c r="AG10" s="61" t="n">
        <v>46295</v>
      </c>
      <c r="AH10">
        <f>SUMPRODUCT(('İş Planı'!$C$5:$C$204&lt;&gt;"")*('İş Planı'!$M$5:$M$204&lt;&gt;"")*('İş Planı'!$M$5:$M$204&lt;=AG10))</f>
        <v>18</v>
      </c>
      <c r="AI10">
        <f>SUMPRODUCT(('İş Planı'!$C$5:$C$204&lt;&gt;"")*('İş Planı'!$M$5:$M$204&lt;&gt;"")*('İş Planı'!$M$5:$M$204&lt;=AG10)*('İş Planı'!$O$5:$O$204="Tamamlandı"))</f>
        <v>3</v>
      </c>
      <c r="AK10">
        <f>IFERROR(INDEX(Listeler!$D$4:$D$43,SMALL($BD$4:$BD$43,22-ROW())),"")</f>
        <v/>
      </c>
      <c r="AL10">
        <f>IF($AK10="","",IF(COUNTIFS('İş Planı'!$D$5:$D$204,$AK10,'İş Planı'!$O$5:$O$204,"Planlanan")+COUNTIFS('İş Planı'!$E$5:$E$204,$AK10,'İş Planı'!$O$5:$O$204,"Planlanan")+COUNTIFS('İş Planı'!$F$5:$F$204,$AK10,'İş Planı'!$O$5:$O$204,"Planlanan")+COUNTIFS('İş Planı'!$G$5:$G$204,$AK10,'İş Planı'!$O$5:$O$204,"Planlanan")+COUNTIFS('İş Planı'!$D$5:$D$204,$AK10,'İş Planı'!$O$5:$O$204,"Devam Ediyor")+COUNTIFS('İş Planı'!$E$5:$E$204,$AK10,'İş Planı'!$O$5:$O$204,"Devam Ediyor")+COUNTIFS('İş Planı'!$F$5:$F$204,$AK10,'İş Planı'!$O$5:$O$204,"Devam Ediyor")+COUNTIFS('İş Planı'!$G$5:$G$204,$AK10,'İş Planı'!$O$5:$O$204,"Devam Ediyor")=0,"",COUNTIFS('İş Planı'!$D$5:$D$204,$AK10,'İş Planı'!$O$5:$O$204,"Planlanan")+COUNTIFS('İş Planı'!$E$5:$E$204,$AK10,'İş Planı'!$O$5:$O$204,"Planlanan")+COUNTIFS('İş Planı'!$F$5:$F$204,$AK10,'İş Planı'!$O$5:$O$204,"Planlanan")+COUNTIFS('İş Planı'!$G$5:$G$204,$AK10,'İş Planı'!$O$5:$O$204,"Planlanan")+COUNTIFS('İş Planı'!$D$5:$D$204,$AK10,'İş Planı'!$O$5:$O$204,"Devam Ediyor")+COUNTIFS('İş Planı'!$E$5:$E$204,$AK10,'İş Planı'!$O$5:$O$204,"Devam Ediyor")+COUNTIFS('İş Planı'!$F$5:$F$204,$AK10,'İş Planı'!$O$5:$O$204,"Devam Ediyor")+COUNTIFS('İş Planı'!$G$5:$G$204,$AK10,'İş Planı'!$O$5:$O$204,"Devam Ediyor")))</f>
        <v/>
      </c>
      <c r="AM10">
        <f>IF($AK10="","",IF(COUNTIFS('İş Planı'!$D$5:$D$204,$AK10,'İş Planı'!$O$5:$O$204,"Gecikmiş")+COUNTIFS('İş Planı'!$E$5:$E$204,$AK10,'İş Planı'!$O$5:$O$204,"Gecikmiş")+COUNTIFS('İş Planı'!$F$5:$F$204,$AK10,'İş Planı'!$O$5:$O$204,"Gecikmiş")+COUNTIFS('İş Planı'!$G$5:$G$204,$AK10,'İş Planı'!$O$5:$O$204,"Gecikmiş")=0,"",COUNTIFS('İş Planı'!$D$5:$D$204,$AK10,'İş Planı'!$O$5:$O$204,"Gecikmiş")+COUNTIFS('İş Planı'!$E$5:$E$204,$AK10,'İş Planı'!$O$5:$O$204,"Gecikmiş")+COUNTIFS('İş Planı'!$F$5:$F$204,$AK10,'İş Planı'!$O$5:$O$204,"Gecikmiş")+COUNTIFS('İş Planı'!$G$5:$G$204,$AK10,'İş Planı'!$O$5:$O$204,"Gecikmiş")))</f>
        <v/>
      </c>
      <c r="BB10">
        <f>IF(Listeler!$B10="","",IF(COUNTIF('İş Planı'!$B$5:$B$204,Listeler!$B10)=0,"",ROW()-3))</f>
        <v/>
      </c>
      <c r="BD10">
        <f>IF(Listeler!$D10="","",IF(COUNTIF('İş Planı'!$D$5:$D$204,Listeler!$D10)+COUNTIF('İş Planı'!$E$5:$E$204,Listeler!$D10)+COUNTIF('İş Planı'!$F$5:$F$204,Listeler!$D10)+COUNTIF('İş Planı'!$G$5:$G$204,Listeler!$D10)=0,"",ROW()-3))</f>
        <v/>
      </c>
    </row>
    <row r="11">
      <c r="H11" t="inlineStr">
        <is>
          <t>Eki</t>
        </is>
      </c>
      <c r="I11" s="61" t="n">
        <v>46296</v>
      </c>
      <c r="J11">
        <f>SUMPRODUCT(('İş Planı'!$C$5:$C$204&lt;&gt;"")*('İş Planı'!$I$5:$I$204&lt;&gt;"")*('İş Planı'!$J$5:$J$204&lt;&gt;"")*('İş Planı'!$I$5:$I$204&lt;=EOMONTH(I11,0))*('İş Planı'!$M$5:$M$204&gt;=I11))</f>
        <v>20</v>
      </c>
      <c r="L11" t="n">
        <v>1</v>
      </c>
      <c r="M11" t="str">
        <f>IFERROR(IF(LARGE('İş Planı'!$W$5:$W$204,L11)&lt;0.5,"",LEFT(SUBSTITUTE(SUBSTITUTE(TRIM(INDEX('İş Planı'!$C$5:$C$204,MATCH(LARGE('İş Planı'!$W$5:$W$204,L11),'İş Planı'!$W$5:$W$204,0))),CHAR(10)," "),CHAR(13)," "),45)),"")</f>
        <v>Madde 26</v>
      </c>
      <c r="N11">
        <f>IFERROR(IF(LARGE('İş Planı'!$W$5:$W$204,L11)&lt;0.5,0,INT(LARGE('İş Planı'!$W$5:$W$204,L11))),0)</f>
        <v>17</v>
      </c>
      <c r="W11">
        <f>IFERROR(INDEX(Listeler!$B$4:$B$43,SMALL($BB$4:$BB$43,22-ROW())),"")</f>
        <v/>
      </c>
      <c r="X11">
        <f>IF($W11="","",IF(COUNTIFS('İş Planı'!$B$5:$B$204,$W11,'İş Planı'!$O$5:$O$204,"Tamamlandı")=0,"",COUNTIFS('İş Planı'!$B$5:$B$204,$W11,'İş Planı'!$O$5:$O$204,"Tamamlandı")))</f>
        <v/>
      </c>
      <c r="Y11">
        <f>IF($W11="","",IF(COUNTIFS('İş Planı'!$B$5:$B$204,$W11,'İş Planı'!$O$5:$O$204,"Devam Ediyor")=0,"",COUNTIFS('İş Planı'!$B$5:$B$204,$W11,'İş Planı'!$O$5:$O$204,"Devam Ediyor")))</f>
        <v/>
      </c>
      <c r="Z11">
        <f>IF($W11="","",IF(COUNTIFS('İş Planı'!$B$5:$B$204,$W11,'İş Planı'!$O$5:$O$204,"Gecikmiş")=0,"",COUNTIFS('İş Planı'!$B$5:$B$204,$W11,'İş Planı'!$O$5:$O$204,"Gecikmiş")))</f>
        <v/>
      </c>
      <c r="AB11" s="63" t="n">
        <v>46092</v>
      </c>
      <c r="AC11">
        <f>SUMPRODUCT(('İş Planı'!$C$5:$C$204&lt;&gt;"")*('İş Planı'!$M$5:$M$204&lt;&gt;"")*('İş Planı'!$M$5:$M$204&lt;=AB11))</f>
        <v>0</v>
      </c>
      <c r="AD11">
        <f>SUMPRODUCT(('İş Planı'!$C$5:$C$204&lt;&gt;"")*('İş Planı'!$M$5:$M$204&lt;&gt;"")*('İş Planı'!$M$5:$M$204&lt;=AB11)*('İş Planı'!$O$5:$O$204="Tamamlandı"))</f>
        <v>0</v>
      </c>
      <c r="AF11" t="inlineStr">
        <is>
          <t>Eki</t>
        </is>
      </c>
      <c r="AG11" s="61" t="n">
        <v>46326</v>
      </c>
      <c r="AH11">
        <f>SUMPRODUCT(('İş Planı'!$C$5:$C$204&lt;&gt;"")*('İş Planı'!$M$5:$M$204&lt;&gt;"")*('İş Planı'!$M$5:$M$204&lt;=AG11))</f>
        <v>30</v>
      </c>
      <c r="AI11">
        <f>SUMPRODUCT(('İş Planı'!$C$5:$C$204&lt;&gt;"")*('İş Planı'!$M$5:$M$204&lt;&gt;"")*('İş Planı'!$M$5:$M$204&lt;=AG11)*('İş Planı'!$O$5:$O$204="Tamamlandı"))</f>
        <v>5</v>
      </c>
      <c r="AK11">
        <f>IFERROR(INDEX(Listeler!$D$4:$D$43,SMALL($BD$4:$BD$43,22-ROW())),"")</f>
        <v/>
      </c>
      <c r="AL11">
        <f>IF($AK11="","",IF(COUNTIFS('İş Planı'!$D$5:$D$204,$AK11,'İş Planı'!$O$5:$O$204,"Planlanan")+COUNTIFS('İş Planı'!$E$5:$E$204,$AK11,'İş Planı'!$O$5:$O$204,"Planlanan")+COUNTIFS('İş Planı'!$F$5:$F$204,$AK11,'İş Planı'!$O$5:$O$204,"Planlanan")+COUNTIFS('İş Planı'!$G$5:$G$204,$AK11,'İş Planı'!$O$5:$O$204,"Planlanan")+COUNTIFS('İş Planı'!$D$5:$D$204,$AK11,'İş Planı'!$O$5:$O$204,"Devam Ediyor")+COUNTIFS('İş Planı'!$E$5:$E$204,$AK11,'İş Planı'!$O$5:$O$204,"Devam Ediyor")+COUNTIFS('İş Planı'!$F$5:$F$204,$AK11,'İş Planı'!$O$5:$O$204,"Devam Ediyor")+COUNTIFS('İş Planı'!$G$5:$G$204,$AK11,'İş Planı'!$O$5:$O$204,"Devam Ediyor")=0,"",COUNTIFS('İş Planı'!$D$5:$D$204,$AK11,'İş Planı'!$O$5:$O$204,"Planlanan")+COUNTIFS('İş Planı'!$E$5:$E$204,$AK11,'İş Planı'!$O$5:$O$204,"Planlanan")+COUNTIFS('İş Planı'!$F$5:$F$204,$AK11,'İş Planı'!$O$5:$O$204,"Planlanan")+COUNTIFS('İş Planı'!$G$5:$G$204,$AK11,'İş Planı'!$O$5:$O$204,"Planlanan")+COUNTIFS('İş Planı'!$D$5:$D$204,$AK11,'İş Planı'!$O$5:$O$204,"Devam Ediyor")+COUNTIFS('İş Planı'!$E$5:$E$204,$AK11,'İş Planı'!$O$5:$O$204,"Devam Ediyor")+COUNTIFS('İş Planı'!$F$5:$F$204,$AK11,'İş Planı'!$O$5:$O$204,"Devam Ediyor")+COUNTIFS('İş Planı'!$G$5:$G$204,$AK11,'İş Planı'!$O$5:$O$204,"Devam Ediyor")))</f>
        <v/>
      </c>
      <c r="AM11">
        <f>IF($AK11="","",IF(COUNTIFS('İş Planı'!$D$5:$D$204,$AK11,'İş Planı'!$O$5:$O$204,"Gecikmiş")+COUNTIFS('İş Planı'!$E$5:$E$204,$AK11,'İş Planı'!$O$5:$O$204,"Gecikmiş")+COUNTIFS('İş Planı'!$F$5:$F$204,$AK11,'İş Planı'!$O$5:$O$204,"Gecikmiş")+COUNTIFS('İş Planı'!$G$5:$G$204,$AK11,'İş Planı'!$O$5:$O$204,"Gecikmiş")=0,"",COUNTIFS('İş Planı'!$D$5:$D$204,$AK11,'İş Planı'!$O$5:$O$204,"Gecikmiş")+COUNTIFS('İş Planı'!$E$5:$E$204,$AK11,'İş Planı'!$O$5:$O$204,"Gecikmiş")+COUNTIFS('İş Planı'!$F$5:$F$204,$AK11,'İş Planı'!$O$5:$O$204,"Gecikmiş")+COUNTIFS('İş Planı'!$G$5:$G$204,$AK11,'İş Planı'!$O$5:$O$204,"Gecikmiş")))</f>
        <v/>
      </c>
      <c r="BB11">
        <f>IF(Listeler!$B11="","",IF(COUNTIF('İş Planı'!$B$5:$B$204,Listeler!$B11)=0,"",ROW()-3))</f>
        <v>8</v>
      </c>
      <c r="BD11">
        <f>IF(Listeler!$D11="","",IF(COUNTIF('İş Planı'!$D$5:$D$204,Listeler!$D11)+COUNTIF('İş Planı'!$E$5:$E$204,Listeler!$D11)+COUNTIF('İş Planı'!$F$5:$F$204,Listeler!$D11)+COUNTIF('İş Planı'!$G$5:$G$204,Listeler!$D11)=0,"",ROW()-3))</f>
        <v/>
      </c>
    </row>
    <row r="12">
      <c r="H12" t="inlineStr">
        <is>
          <t>Kas</t>
        </is>
      </c>
      <c r="I12" s="61" t="n">
        <v>46327</v>
      </c>
      <c r="J12">
        <f>SUMPRODUCT(('İş Planı'!$C$5:$C$204&lt;&gt;"")*('İş Planı'!$I$5:$I$204&lt;&gt;"")*('İş Planı'!$J$5:$J$204&lt;&gt;"")*('İş Planı'!$I$5:$I$204&lt;=EOMONTH(I12,0))*('İş Planı'!$M$5:$M$204&gt;=I12))</f>
        <v>8</v>
      </c>
      <c r="W12">
        <f>IFERROR(INDEX(Listeler!$B$4:$B$43,SMALL($BB$4:$BB$43,22-ROW())),"")</f>
        <v/>
      </c>
      <c r="X12">
        <f>IF($W12="","",IF(COUNTIFS('İş Planı'!$B$5:$B$204,$W12,'İş Planı'!$O$5:$O$204,"Tamamlandı")=0,"",COUNTIFS('İş Planı'!$B$5:$B$204,$W12,'İş Planı'!$O$5:$O$204,"Tamamlandı")))</f>
        <v/>
      </c>
      <c r="Y12">
        <f>IF($W12="","",IF(COUNTIFS('İş Planı'!$B$5:$B$204,$W12,'İş Planı'!$O$5:$O$204,"Devam Ediyor")=0,"",COUNTIFS('İş Planı'!$B$5:$B$204,$W12,'İş Planı'!$O$5:$O$204,"Devam Ediyor")))</f>
        <v/>
      </c>
      <c r="Z12">
        <f>IF($W12="","",IF(COUNTIFS('İş Planı'!$B$5:$B$204,$W12,'İş Planı'!$O$5:$O$204,"Gecikmiş")=0,"",COUNTIFS('İş Planı'!$B$5:$B$204,$W12,'İş Planı'!$O$5:$O$204,"Gecikmiş")))</f>
        <v/>
      </c>
      <c r="AB12" s="63" t="n">
        <v>46099</v>
      </c>
      <c r="AC12">
        <f>SUMPRODUCT(('İş Planı'!$C$5:$C$204&lt;&gt;"")*('İş Planı'!$M$5:$M$204&lt;&gt;"")*('İş Planı'!$M$5:$M$204&lt;=AB12))</f>
        <v>0</v>
      </c>
      <c r="AD12">
        <f>SUMPRODUCT(('İş Planı'!$C$5:$C$204&lt;&gt;"")*('İş Planı'!$M$5:$M$204&lt;&gt;"")*('İş Planı'!$M$5:$M$204&lt;=AB12)*('İş Planı'!$O$5:$O$204="Tamamlandı"))</f>
        <v>0</v>
      </c>
      <c r="AF12" t="inlineStr">
        <is>
          <t>Kas</t>
        </is>
      </c>
      <c r="AG12" s="61" t="n">
        <v>46356</v>
      </c>
      <c r="AH12">
        <f>SUMPRODUCT(('İş Planı'!$C$5:$C$204&lt;&gt;"")*('İş Planı'!$M$5:$M$204&lt;&gt;"")*('İş Planı'!$M$5:$M$204&lt;=AG12))</f>
        <v>38</v>
      </c>
      <c r="AI12">
        <f>SUMPRODUCT(('İş Planı'!$C$5:$C$204&lt;&gt;"")*('İş Planı'!$M$5:$M$204&lt;&gt;"")*('İş Planı'!$M$5:$M$204&lt;=AG12)*('İş Planı'!$O$5:$O$204="Tamamlandı"))</f>
        <v>6</v>
      </c>
      <c r="AK12">
        <f>IFERROR(INDEX(Listeler!$D$4:$D$43,SMALL($BD$4:$BD$43,22-ROW())),"")</f>
        <v/>
      </c>
      <c r="AL12">
        <f>IF($AK12="","",IF(COUNTIFS('İş Planı'!$D$5:$D$204,$AK12,'İş Planı'!$O$5:$O$204,"Planlanan")+COUNTIFS('İş Planı'!$E$5:$E$204,$AK12,'İş Planı'!$O$5:$O$204,"Planlanan")+COUNTIFS('İş Planı'!$F$5:$F$204,$AK12,'İş Planı'!$O$5:$O$204,"Planlanan")+COUNTIFS('İş Planı'!$G$5:$G$204,$AK12,'İş Planı'!$O$5:$O$204,"Planlanan")+COUNTIFS('İş Planı'!$D$5:$D$204,$AK12,'İş Planı'!$O$5:$O$204,"Devam Ediyor")+COUNTIFS('İş Planı'!$E$5:$E$204,$AK12,'İş Planı'!$O$5:$O$204,"Devam Ediyor")+COUNTIFS('İş Planı'!$F$5:$F$204,$AK12,'İş Planı'!$O$5:$O$204,"Devam Ediyor")+COUNTIFS('İş Planı'!$G$5:$G$204,$AK12,'İş Planı'!$O$5:$O$204,"Devam Ediyor")=0,"",COUNTIFS('İş Planı'!$D$5:$D$204,$AK12,'İş Planı'!$O$5:$O$204,"Planlanan")+COUNTIFS('İş Planı'!$E$5:$E$204,$AK12,'İş Planı'!$O$5:$O$204,"Planlanan")+COUNTIFS('İş Planı'!$F$5:$F$204,$AK12,'İş Planı'!$O$5:$O$204,"Planlanan")+COUNTIFS('İş Planı'!$G$5:$G$204,$AK12,'İş Planı'!$O$5:$O$204,"Planlanan")+COUNTIFS('İş Planı'!$D$5:$D$204,$AK12,'İş Planı'!$O$5:$O$204,"Devam Ediyor")+COUNTIFS('İş Planı'!$E$5:$E$204,$AK12,'İş Planı'!$O$5:$O$204,"Devam Ediyor")+COUNTIFS('İş Planı'!$F$5:$F$204,$AK12,'İş Planı'!$O$5:$O$204,"Devam Ediyor")+COUNTIFS('İş Planı'!$G$5:$G$204,$AK12,'İş Planı'!$O$5:$O$204,"Devam Ediyor")))</f>
        <v/>
      </c>
      <c r="AM12">
        <f>IF($AK12="","",IF(COUNTIFS('İş Planı'!$D$5:$D$204,$AK12,'İş Planı'!$O$5:$O$204,"Gecikmiş")+COUNTIFS('İş Planı'!$E$5:$E$204,$AK12,'İş Planı'!$O$5:$O$204,"Gecikmiş")+COUNTIFS('İş Planı'!$F$5:$F$204,$AK12,'İş Planı'!$O$5:$O$204,"Gecikmiş")+COUNTIFS('İş Planı'!$G$5:$G$204,$AK12,'İş Planı'!$O$5:$O$204,"Gecikmiş")=0,"",COUNTIFS('İş Planı'!$D$5:$D$204,$AK12,'İş Planı'!$O$5:$O$204,"Gecikmiş")+COUNTIFS('İş Planı'!$E$5:$E$204,$AK12,'İş Planı'!$O$5:$O$204,"Gecikmiş")+COUNTIFS('İş Planı'!$F$5:$F$204,$AK12,'İş Planı'!$O$5:$O$204,"Gecikmiş")+COUNTIFS('İş Planı'!$G$5:$G$204,$AK12,'İş Planı'!$O$5:$O$204,"Gecikmiş")))</f>
        <v/>
      </c>
      <c r="BB12">
        <f>IF(Listeler!$B12="","",IF(COUNTIF('İş Planı'!$B$5:$B$204,Listeler!$B12)=0,"",ROW()-3))</f>
        <v/>
      </c>
      <c r="BD12">
        <f>IF(Listeler!$D12="","",IF(COUNTIF('İş Planı'!$D$5:$D$204,Listeler!$D12)+COUNTIF('İş Planı'!$E$5:$E$204,Listeler!$D12)+COUNTIF('İş Planı'!$F$5:$F$204,Listeler!$D12)+COUNTIF('İş Planı'!$G$5:$G$204,Listeler!$D12)=0,"",ROW()-3))</f>
        <v>9</v>
      </c>
    </row>
    <row r="13">
      <c r="H13" t="inlineStr">
        <is>
          <t>Ara</t>
        </is>
      </c>
      <c r="I13" s="61" t="n">
        <v>46357</v>
      </c>
      <c r="J13">
        <f>SUMPRODUCT(('İş Planı'!$C$5:$C$204&lt;&gt;"")*('İş Planı'!$I$5:$I$204&lt;&gt;"")*('İş Planı'!$J$5:$J$204&lt;&gt;"")*('İş Planı'!$I$5:$I$204&lt;=EOMONTH(I13,0))*('İş Planı'!$M$5:$M$204&gt;=I13))</f>
        <v>0</v>
      </c>
      <c r="W13">
        <f>IFERROR(INDEX(Listeler!$B$4:$B$43,SMALL($BB$4:$BB$43,22-ROW())),"")</f>
        <v/>
      </c>
      <c r="X13">
        <f>IF($W13="","",IF(COUNTIFS('İş Planı'!$B$5:$B$204,$W13,'İş Planı'!$O$5:$O$204,"Tamamlandı")=0,"",COUNTIFS('İş Planı'!$B$5:$B$204,$W13,'İş Planı'!$O$5:$O$204,"Tamamlandı")))</f>
        <v/>
      </c>
      <c r="Y13">
        <f>IF($W13="","",IF(COUNTIFS('İş Planı'!$B$5:$B$204,$W13,'İş Planı'!$O$5:$O$204,"Devam Ediyor")=0,"",COUNTIFS('İş Planı'!$B$5:$B$204,$W13,'İş Planı'!$O$5:$O$204,"Devam Ediyor")))</f>
        <v/>
      </c>
      <c r="Z13">
        <f>IF($W13="","",IF(COUNTIFS('İş Planı'!$B$5:$B$204,$W13,'İş Planı'!$O$5:$O$204,"Gecikmiş")=0,"",COUNTIFS('İş Planı'!$B$5:$B$204,$W13,'İş Planı'!$O$5:$O$204,"Gecikmiş")))</f>
        <v/>
      </c>
      <c r="AB13" s="63" t="n">
        <v>46106</v>
      </c>
      <c r="AC13">
        <f>SUMPRODUCT(('İş Planı'!$C$5:$C$204&lt;&gt;"")*('İş Planı'!$M$5:$M$204&lt;&gt;"")*('İş Planı'!$M$5:$M$204&lt;=AB13))</f>
        <v>0</v>
      </c>
      <c r="AD13">
        <f>SUMPRODUCT(('İş Planı'!$C$5:$C$204&lt;&gt;"")*('İş Planı'!$M$5:$M$204&lt;&gt;"")*('İş Planı'!$M$5:$M$204&lt;=AB13)*('İş Planı'!$O$5:$O$204="Tamamlandı"))</f>
        <v>0</v>
      </c>
      <c r="AF13" t="inlineStr">
        <is>
          <t>Ara</t>
        </is>
      </c>
      <c r="AG13" s="61" t="n">
        <v>46387</v>
      </c>
      <c r="AH13">
        <f>SUMPRODUCT(('İş Planı'!$C$5:$C$204&lt;&gt;"")*('İş Planı'!$M$5:$M$204&lt;&gt;"")*('İş Planı'!$M$5:$M$204&lt;=AG13))</f>
        <v>38</v>
      </c>
      <c r="AI13">
        <f>SUMPRODUCT(('İş Planı'!$C$5:$C$204&lt;&gt;"")*('İş Planı'!$M$5:$M$204&lt;&gt;"")*('İş Planı'!$M$5:$M$204&lt;=AG13)*('İş Planı'!$O$5:$O$204="Tamamlandı"))</f>
        <v>6</v>
      </c>
      <c r="AK13">
        <f>IFERROR(INDEX(Listeler!$D$4:$D$43,SMALL($BD$4:$BD$43,22-ROW())),"")</f>
        <v/>
      </c>
      <c r="AL13">
        <f>IF($AK13="","",IF(COUNTIFS('İş Planı'!$D$5:$D$204,$AK13,'İş Planı'!$O$5:$O$204,"Planlanan")+COUNTIFS('İş Planı'!$E$5:$E$204,$AK13,'İş Planı'!$O$5:$O$204,"Planlanan")+COUNTIFS('İş Planı'!$F$5:$F$204,$AK13,'İş Planı'!$O$5:$O$204,"Planlanan")+COUNTIFS('İş Planı'!$G$5:$G$204,$AK13,'İş Planı'!$O$5:$O$204,"Planlanan")+COUNTIFS('İş Planı'!$D$5:$D$204,$AK13,'İş Planı'!$O$5:$O$204,"Devam Ediyor")+COUNTIFS('İş Planı'!$E$5:$E$204,$AK13,'İş Planı'!$O$5:$O$204,"Devam Ediyor")+COUNTIFS('İş Planı'!$F$5:$F$204,$AK13,'İş Planı'!$O$5:$O$204,"Devam Ediyor")+COUNTIFS('İş Planı'!$G$5:$G$204,$AK13,'İş Planı'!$O$5:$O$204,"Devam Ediyor")=0,"",COUNTIFS('İş Planı'!$D$5:$D$204,$AK13,'İş Planı'!$O$5:$O$204,"Planlanan")+COUNTIFS('İş Planı'!$E$5:$E$204,$AK13,'İş Planı'!$O$5:$O$204,"Planlanan")+COUNTIFS('İş Planı'!$F$5:$F$204,$AK13,'İş Planı'!$O$5:$O$204,"Planlanan")+COUNTIFS('İş Planı'!$G$5:$G$204,$AK13,'İş Planı'!$O$5:$O$204,"Planlanan")+COUNTIFS('İş Planı'!$D$5:$D$204,$AK13,'İş Planı'!$O$5:$O$204,"Devam Ediyor")+COUNTIFS('İş Planı'!$E$5:$E$204,$AK13,'İş Planı'!$O$5:$O$204,"Devam Ediyor")+COUNTIFS('İş Planı'!$F$5:$F$204,$AK13,'İş Planı'!$O$5:$O$204,"Devam Ediyor")+COUNTIFS('İş Planı'!$G$5:$G$204,$AK13,'İş Planı'!$O$5:$O$204,"Devam Ediyor")))</f>
        <v/>
      </c>
      <c r="AM13">
        <f>IF($AK13="","",IF(COUNTIFS('İş Planı'!$D$5:$D$204,$AK13,'İş Planı'!$O$5:$O$204,"Gecikmiş")+COUNTIFS('İş Planı'!$E$5:$E$204,$AK13,'İş Planı'!$O$5:$O$204,"Gecikmiş")+COUNTIFS('İş Planı'!$F$5:$F$204,$AK13,'İş Planı'!$O$5:$O$204,"Gecikmiş")+COUNTIFS('İş Planı'!$G$5:$G$204,$AK13,'İş Planı'!$O$5:$O$204,"Gecikmiş")=0,"",COUNTIFS('İş Planı'!$D$5:$D$204,$AK13,'İş Planı'!$O$5:$O$204,"Gecikmiş")+COUNTIFS('İş Planı'!$E$5:$E$204,$AK13,'İş Planı'!$O$5:$O$204,"Gecikmiş")+COUNTIFS('İş Planı'!$F$5:$F$204,$AK13,'İş Planı'!$O$5:$O$204,"Gecikmiş")+COUNTIFS('İş Planı'!$G$5:$G$204,$AK13,'İş Planı'!$O$5:$O$204,"Gecikmiş")))</f>
        <v/>
      </c>
      <c r="BB13">
        <f>IF(Listeler!$B13="","",IF(COUNTIF('İş Planı'!$B$5:$B$204,Listeler!$B13)=0,"",ROW()-3))</f>
        <v/>
      </c>
      <c r="BD13">
        <f>IF(Listeler!$D13="","",IF(COUNTIF('İş Planı'!$D$5:$D$204,Listeler!$D13)+COUNTIF('İş Planı'!$E$5:$E$204,Listeler!$D13)+COUNTIF('İş Planı'!$F$5:$F$204,Listeler!$D13)+COUNTIF('İş Planı'!$G$5:$G$204,Listeler!$D13)=0,"",ROW()-3))</f>
        <v/>
      </c>
    </row>
    <row r="14">
      <c r="W14" t="str">
        <f>IFERROR(INDEX(Listeler!$B$4:$B$43,SMALL($BB$4:$BB$43,22-ROW())),"")</f>
        <v>Ad-Hoc İşler</v>
      </c>
      <c r="X14">
        <f>IF($W14="","",IF(COUNTIFS('İş Planı'!$B$5:$B$204,$W14,'İş Planı'!$O$5:$O$204,"Tamamlandı")=0,"",COUNTIFS('İş Planı'!$B$5:$B$204,$W14,'İş Planı'!$O$5:$O$204,"Tamamlandı")))</f>
        <v>2</v>
      </c>
      <c r="Y14">
        <f>IF($W14="","",IF(COUNTIFS('İş Planı'!$B$5:$B$204,$W14,'İş Planı'!$O$5:$O$204,"Devam Ediyor")=0,"",COUNTIFS('İş Planı'!$B$5:$B$204,$W14,'İş Planı'!$O$5:$O$204,"Devam Ediyor")))</f>
        <v>1</v>
      </c>
      <c r="Z14">
        <f>IF($W14="","",IF(COUNTIFS('İş Planı'!$B$5:$B$204,$W14,'İş Planı'!$O$5:$O$204,"Gecikmiş")=0,"",COUNTIFS('İş Planı'!$B$5:$B$204,$W14,'İş Planı'!$O$5:$O$204,"Gecikmiş")))</f>
        <v/>
      </c>
      <c r="AB14" s="63" t="n">
        <v>46113</v>
      </c>
      <c r="AC14">
        <f>SUMPRODUCT(('İş Planı'!$C$5:$C$204&lt;&gt;"")*('İş Planı'!$M$5:$M$204&lt;&gt;"")*('İş Planı'!$M$5:$M$204&lt;=AB14))</f>
        <v>0</v>
      </c>
      <c r="AD14">
        <f>SUMPRODUCT(('İş Planı'!$C$5:$C$204&lt;&gt;"")*('İş Planı'!$M$5:$M$204&lt;&gt;"")*('İş Planı'!$M$5:$M$204&lt;=AB14)*('İş Planı'!$O$5:$O$204="Tamamlandı"))</f>
        <v>0</v>
      </c>
      <c r="AK14">
        <f>IFERROR(INDEX(Listeler!$D$4:$D$43,SMALL($BD$4:$BD$43,22-ROW())),"")</f>
        <v/>
      </c>
      <c r="AL14">
        <f>IF($AK14="","",IF(COUNTIFS('İş Planı'!$D$5:$D$204,$AK14,'İş Planı'!$O$5:$O$204,"Planlanan")+COUNTIFS('İş Planı'!$E$5:$E$204,$AK14,'İş Planı'!$O$5:$O$204,"Planlanan")+COUNTIFS('İş Planı'!$F$5:$F$204,$AK14,'İş Planı'!$O$5:$O$204,"Planlanan")+COUNTIFS('İş Planı'!$G$5:$G$204,$AK14,'İş Planı'!$O$5:$O$204,"Planlanan")+COUNTIFS('İş Planı'!$D$5:$D$204,$AK14,'İş Planı'!$O$5:$O$204,"Devam Ediyor")+COUNTIFS('İş Planı'!$E$5:$E$204,$AK14,'İş Planı'!$O$5:$O$204,"Devam Ediyor")+COUNTIFS('İş Planı'!$F$5:$F$204,$AK14,'İş Planı'!$O$5:$O$204,"Devam Ediyor")+COUNTIFS('İş Planı'!$G$5:$G$204,$AK14,'İş Planı'!$O$5:$O$204,"Devam Ediyor")=0,"",COUNTIFS('İş Planı'!$D$5:$D$204,$AK14,'İş Planı'!$O$5:$O$204,"Planlanan")+COUNTIFS('İş Planı'!$E$5:$E$204,$AK14,'İş Planı'!$O$5:$O$204,"Planlanan")+COUNTIFS('İş Planı'!$F$5:$F$204,$AK14,'İş Planı'!$O$5:$O$204,"Planlanan")+COUNTIFS('İş Planı'!$G$5:$G$204,$AK14,'İş Planı'!$O$5:$O$204,"Planlanan")+COUNTIFS('İş Planı'!$D$5:$D$204,$AK14,'İş Planı'!$O$5:$O$204,"Devam Ediyor")+COUNTIFS('İş Planı'!$E$5:$E$204,$AK14,'İş Planı'!$O$5:$O$204,"Devam Ediyor")+COUNTIFS('İş Planı'!$F$5:$F$204,$AK14,'İş Planı'!$O$5:$O$204,"Devam Ediyor")+COUNTIFS('İş Planı'!$G$5:$G$204,$AK14,'İş Planı'!$O$5:$O$204,"Devam Ediyor")))</f>
        <v/>
      </c>
      <c r="AM14">
        <f>IF($AK14="","",IF(COUNTIFS('İş Planı'!$D$5:$D$204,$AK14,'İş Planı'!$O$5:$O$204,"Gecikmiş")+COUNTIFS('İş Planı'!$E$5:$E$204,$AK14,'İş Planı'!$O$5:$O$204,"Gecikmiş")+COUNTIFS('İş Planı'!$F$5:$F$204,$AK14,'İş Planı'!$O$5:$O$204,"Gecikmiş")+COUNTIFS('İş Planı'!$G$5:$G$204,$AK14,'İş Planı'!$O$5:$O$204,"Gecikmiş")=0,"",COUNTIFS('İş Planı'!$D$5:$D$204,$AK14,'İş Planı'!$O$5:$O$204,"Gecikmiş")+COUNTIFS('İş Planı'!$E$5:$E$204,$AK14,'İş Planı'!$O$5:$O$204,"Gecikmiş")+COUNTIFS('İş Planı'!$F$5:$F$204,$AK14,'İş Planı'!$O$5:$O$204,"Gecikmiş")+COUNTIFS('İş Planı'!$G$5:$G$204,$AK14,'İş Planı'!$O$5:$O$204,"Gecikmiş")))</f>
        <v/>
      </c>
      <c r="BB14">
        <f>IF(Listeler!$B14="","",IF(COUNTIF('İş Planı'!$B$5:$B$204,Listeler!$B14)=0,"",ROW()-3))</f>
        <v>11</v>
      </c>
      <c r="BD14">
        <f>IF(Listeler!$D14="","",IF(COUNTIF('İş Planı'!$D$5:$D$204,Listeler!$D14)+COUNTIF('İş Planı'!$E$5:$E$204,Listeler!$D14)+COUNTIF('İş Planı'!$F$5:$F$204,Listeler!$D14)+COUNTIF('İş Planı'!$G$5:$G$204,Listeler!$D14)=0,"",ROW()-3))</f>
        <v>11</v>
      </c>
    </row>
    <row r="15">
      <c r="W15" t="str">
        <f>IFERROR(INDEX(Listeler!$B$4:$B$43,SMALL($BB$4:$BB$43,22-ROW())),"")</f>
        <v>Destek Hizmeti Denetimler</v>
      </c>
      <c r="X15">
        <f>IF($W15="","",IF(COUNTIFS('İş Planı'!$B$5:$B$204,$W15,'İş Planı'!$O$5:$O$204,"Tamamlandı")=0,"",COUNTIFS('İş Planı'!$B$5:$B$204,$W15,'İş Planı'!$O$5:$O$204,"Tamamlandı")))</f>
        <v/>
      </c>
      <c r="Y15">
        <f>IF($W15="","",IF(COUNTIFS('İş Planı'!$B$5:$B$204,$W15,'İş Planı'!$O$5:$O$204,"Devam Ediyor")=0,"",COUNTIFS('İş Planı'!$B$5:$B$204,$W15,'İş Planı'!$O$5:$O$204,"Devam Ediyor")))</f>
        <v>2</v>
      </c>
      <c r="Z15">
        <f>IF($W15="","",IF(COUNTIFS('İş Planı'!$B$5:$B$204,$W15,'İş Planı'!$O$5:$O$204,"Gecikmiş")=0,"",COUNTIFS('İş Planı'!$B$5:$B$204,$W15,'İş Planı'!$O$5:$O$204,"Gecikmiş")))</f>
        <v>1</v>
      </c>
      <c r="AB15" s="63" t="n">
        <v>46120</v>
      </c>
      <c r="AC15">
        <f>SUMPRODUCT(('İş Planı'!$C$5:$C$204&lt;&gt;"")*('İş Planı'!$M$5:$M$204&lt;&gt;"")*('İş Planı'!$M$5:$M$204&lt;=AB15))</f>
        <v>0</v>
      </c>
      <c r="AD15">
        <f>SUMPRODUCT(('İş Planı'!$C$5:$C$204&lt;&gt;"")*('İş Planı'!$M$5:$M$204&lt;&gt;"")*('İş Planı'!$M$5:$M$204&lt;=AB15)*('İş Planı'!$O$5:$O$204="Tamamlandı"))</f>
        <v>0</v>
      </c>
      <c r="AK15" t="str">
        <f>IFERROR(INDEX(Listeler!$D$4:$D$43,SMALL($BD$4:$BD$43,22-ROW())),"")</f>
        <v>Ornek User13</v>
      </c>
      <c r="AL15">
        <f>IF($AK15="","",IF(COUNTIFS('İş Planı'!$D$5:$D$204,$AK15,'İş Planı'!$O$5:$O$204,"Planlanan")+COUNTIFS('İş Planı'!$E$5:$E$204,$AK15,'İş Planı'!$O$5:$O$204,"Planlanan")+COUNTIFS('İş Planı'!$F$5:$F$204,$AK15,'İş Planı'!$O$5:$O$204,"Planlanan")+COUNTIFS('İş Planı'!$G$5:$G$204,$AK15,'İş Planı'!$O$5:$O$204,"Planlanan")+COUNTIFS('İş Planı'!$D$5:$D$204,$AK15,'İş Planı'!$O$5:$O$204,"Devam Ediyor")+COUNTIFS('İş Planı'!$E$5:$E$204,$AK15,'İş Planı'!$O$5:$O$204,"Devam Ediyor")+COUNTIFS('İş Planı'!$F$5:$F$204,$AK15,'İş Planı'!$O$5:$O$204,"Devam Ediyor")+COUNTIFS('İş Planı'!$G$5:$G$204,$AK15,'İş Planı'!$O$5:$O$204,"Devam Ediyor")=0,"",COUNTIFS('İş Planı'!$D$5:$D$204,$AK15,'İş Planı'!$O$5:$O$204,"Planlanan")+COUNTIFS('İş Planı'!$E$5:$E$204,$AK15,'İş Planı'!$O$5:$O$204,"Planlanan")+COUNTIFS('İş Planı'!$F$5:$F$204,$AK15,'İş Planı'!$O$5:$O$204,"Planlanan")+COUNTIFS('İş Planı'!$G$5:$G$204,$AK15,'İş Planı'!$O$5:$O$204,"Planlanan")+COUNTIFS('İş Planı'!$D$5:$D$204,$AK15,'İş Planı'!$O$5:$O$204,"Devam Ediyor")+COUNTIFS('İş Planı'!$E$5:$E$204,$AK15,'İş Planı'!$O$5:$O$204,"Devam Ediyor")+COUNTIFS('İş Planı'!$F$5:$F$204,$AK15,'İş Planı'!$O$5:$O$204,"Devam Ediyor")+COUNTIFS('İş Planı'!$G$5:$G$204,$AK15,'İş Planı'!$O$5:$O$204,"Devam Ediyor")))</f>
        <v>12</v>
      </c>
      <c r="AM15">
        <f>IF($AK15="","",IF(COUNTIFS('İş Planı'!$D$5:$D$204,$AK15,'İş Planı'!$O$5:$O$204,"Gecikmiş")+COUNTIFS('İş Planı'!$E$5:$E$204,$AK15,'İş Planı'!$O$5:$O$204,"Gecikmiş")+COUNTIFS('İş Planı'!$F$5:$F$204,$AK15,'İş Planı'!$O$5:$O$204,"Gecikmiş")+COUNTIFS('İş Planı'!$G$5:$G$204,$AK15,'İş Planı'!$O$5:$O$204,"Gecikmiş")=0,"",COUNTIFS('İş Planı'!$D$5:$D$204,$AK15,'İş Planı'!$O$5:$O$204,"Gecikmiş")+COUNTIFS('İş Planı'!$E$5:$E$204,$AK15,'İş Planı'!$O$5:$O$204,"Gecikmiş")+COUNTIFS('İş Planı'!$F$5:$F$204,$AK15,'İş Planı'!$O$5:$O$204,"Gecikmiş")+COUNTIFS('İş Planı'!$G$5:$G$204,$AK15,'İş Planı'!$O$5:$O$204,"Gecikmiş")))</f>
        <v>2</v>
      </c>
      <c r="BB15">
        <f>IF(Listeler!$B15="","",IF(COUNTIF('İş Planı'!$B$5:$B$204,Listeler!$B15)=0,"",ROW()-3))</f>
        <v/>
      </c>
      <c r="BD15">
        <f>IF(Listeler!$D15="","",IF(COUNTIF('İş Planı'!$D$5:$D$204,Listeler!$D15)+COUNTIF('İş Planı'!$E$5:$E$204,Listeler!$D15)+COUNTIF('İş Planı'!$F$5:$F$204,Listeler!$D15)+COUNTIF('İş Planı'!$G$5:$G$204,Listeler!$D15)=0,"",ROW()-3))</f>
        <v>12</v>
      </c>
    </row>
    <row r="16">
      <c r="W16" t="str">
        <f>IFERROR(INDEX(Listeler!$B$4:$B$43,SMALL($BB$4:$BB$43,22-ROW())),"")</f>
        <v>Dendeks WS Entegrasyon Denetimi</v>
      </c>
      <c r="X16">
        <f>IF($W16="","",IF(COUNTIFS('İş Planı'!$B$5:$B$204,$W16,'İş Planı'!$O$5:$O$204,"Tamamlandı")=0,"",COUNTIFS('İş Planı'!$B$5:$B$204,$W16,'İş Planı'!$O$5:$O$204,"Tamamlandı")))</f>
        <v>1</v>
      </c>
      <c r="Y16">
        <f>IF($W16="","",IF(COUNTIFS('İş Planı'!$B$5:$B$204,$W16,'İş Planı'!$O$5:$O$204,"Devam Ediyor")=0,"",COUNTIFS('İş Planı'!$B$5:$B$204,$W16,'İş Planı'!$O$5:$O$204,"Devam Ediyor")))</f>
        <v/>
      </c>
      <c r="Z16">
        <f>IF($W16="","",IF(COUNTIFS('İş Planı'!$B$5:$B$204,$W16,'İş Planı'!$O$5:$O$204,"Gecikmiş")=0,"",COUNTIFS('İş Planı'!$B$5:$B$204,$W16,'İş Planı'!$O$5:$O$204,"Gecikmiş")))</f>
        <v/>
      </c>
      <c r="AB16" s="63" t="n">
        <v>46127</v>
      </c>
      <c r="AC16">
        <f>SUMPRODUCT(('İş Planı'!$C$5:$C$204&lt;&gt;"")*('İş Planı'!$M$5:$M$204&lt;&gt;"")*('İş Planı'!$M$5:$M$204&lt;=AB16))</f>
        <v>0</v>
      </c>
      <c r="AD16">
        <f>SUMPRODUCT(('İş Planı'!$C$5:$C$204&lt;&gt;"")*('İş Planı'!$M$5:$M$204&lt;&gt;"")*('İş Planı'!$M$5:$M$204&lt;=AB16)*('İş Planı'!$O$5:$O$204="Tamamlandı"))</f>
        <v>0</v>
      </c>
      <c r="AK16" t="str">
        <f>IFERROR(INDEX(Listeler!$D$4:$D$43,SMALL($BD$4:$BD$43,22-ROW())),"")</f>
        <v>Ornek User12</v>
      </c>
      <c r="AL16">
        <f>IF($AK16="","",IF(COUNTIFS('İş Planı'!$D$5:$D$204,$AK16,'İş Planı'!$O$5:$O$204,"Planlanan")+COUNTIFS('İş Planı'!$E$5:$E$204,$AK16,'İş Planı'!$O$5:$O$204,"Planlanan")+COUNTIFS('İş Planı'!$F$5:$F$204,$AK16,'İş Planı'!$O$5:$O$204,"Planlanan")+COUNTIFS('İş Planı'!$G$5:$G$204,$AK16,'İş Planı'!$O$5:$O$204,"Planlanan")+COUNTIFS('İş Planı'!$D$5:$D$204,$AK16,'İş Planı'!$O$5:$O$204,"Devam Ediyor")+COUNTIFS('İş Planı'!$E$5:$E$204,$AK16,'İş Planı'!$O$5:$O$204,"Devam Ediyor")+COUNTIFS('İş Planı'!$F$5:$F$204,$AK16,'İş Planı'!$O$5:$O$204,"Devam Ediyor")+COUNTIFS('İş Planı'!$G$5:$G$204,$AK16,'İş Planı'!$O$5:$O$204,"Devam Ediyor")=0,"",COUNTIFS('İş Planı'!$D$5:$D$204,$AK16,'İş Planı'!$O$5:$O$204,"Planlanan")+COUNTIFS('İş Planı'!$E$5:$E$204,$AK16,'İş Planı'!$O$5:$O$204,"Planlanan")+COUNTIFS('İş Planı'!$F$5:$F$204,$AK16,'İş Planı'!$O$5:$O$204,"Planlanan")+COUNTIFS('İş Planı'!$G$5:$G$204,$AK16,'İş Planı'!$O$5:$O$204,"Planlanan")+COUNTIFS('İş Planı'!$D$5:$D$204,$AK16,'İş Planı'!$O$5:$O$204,"Devam Ediyor")+COUNTIFS('İş Planı'!$E$5:$E$204,$AK16,'İş Planı'!$O$5:$O$204,"Devam Ediyor")+COUNTIFS('İş Planı'!$F$5:$F$204,$AK16,'İş Planı'!$O$5:$O$204,"Devam Ediyor")+COUNTIFS('İş Planı'!$G$5:$G$204,$AK16,'İş Planı'!$O$5:$O$204,"Devam Ediyor")))</f>
        <v>10</v>
      </c>
      <c r="AM16">
        <f>IF($AK16="","",IF(COUNTIFS('İş Planı'!$D$5:$D$204,$AK16,'İş Planı'!$O$5:$O$204,"Gecikmiş")+COUNTIFS('İş Planı'!$E$5:$E$204,$AK16,'İş Planı'!$O$5:$O$204,"Gecikmiş")+COUNTIFS('İş Planı'!$F$5:$F$204,$AK16,'İş Planı'!$O$5:$O$204,"Gecikmiş")+COUNTIFS('İş Planı'!$G$5:$G$204,$AK16,'İş Planı'!$O$5:$O$204,"Gecikmiş")=0,"",COUNTIFS('İş Planı'!$D$5:$D$204,$AK16,'İş Planı'!$O$5:$O$204,"Gecikmiş")+COUNTIFS('İş Planı'!$E$5:$E$204,$AK16,'İş Planı'!$O$5:$O$204,"Gecikmiş")+COUNTIFS('İş Planı'!$F$5:$F$204,$AK16,'İş Planı'!$O$5:$O$204,"Gecikmiş")+COUNTIFS('İş Planı'!$G$5:$G$204,$AK16,'İş Planı'!$O$5:$O$204,"Gecikmiş")))</f>
        <v>1</v>
      </c>
      <c r="BB16">
        <f>IF(Listeler!$B16="","",IF(COUNTIF('İş Planı'!$B$5:$B$204,Listeler!$B16)=0,"",ROW()-3))</f>
        <v/>
      </c>
      <c r="BD16">
        <f>IF(Listeler!$D16="","",IF(COUNTIF('İş Planı'!$D$5:$D$204,Listeler!$D16)+COUNTIF('İş Planı'!$E$5:$E$204,Listeler!$D16)+COUNTIF('İş Planı'!$F$5:$F$204,Listeler!$D16)+COUNTIF('İş Planı'!$G$5:$G$204,Listeler!$D16)=0,"",ROW()-3))</f>
        <v>13</v>
      </c>
    </row>
    <row r="17">
      <c r="W17" t="str">
        <f>IFERROR(INDEX(Listeler!$B$4:$B$43,SMALL($BB$4:$BB$43,22-ROW())),"")</f>
        <v>Buluteks Dendeks Bulut Altyapı Denetimi</v>
      </c>
      <c r="X17">
        <f>IF($W17="","",IF(COUNTIFS('İş Planı'!$B$5:$B$204,$W17,'İş Planı'!$O$5:$O$204,"Tamamlandı")=0,"",COUNTIFS('İş Planı'!$B$5:$B$204,$W17,'İş Planı'!$O$5:$O$204,"Tamamlandı")))</f>
        <v/>
      </c>
      <c r="Y17">
        <f>IF($W17="","",IF(COUNTIFS('İş Planı'!$B$5:$B$204,$W17,'İş Planı'!$O$5:$O$204,"Devam Ediyor")=0,"",COUNTIFS('İş Planı'!$B$5:$B$204,$W17,'İş Planı'!$O$5:$O$204,"Devam Ediyor")))</f>
        <v>1</v>
      </c>
      <c r="Z17">
        <f>IF($W17="","",IF(COUNTIFS('İş Planı'!$B$5:$B$204,$W17,'İş Planı'!$O$5:$O$204,"Gecikmiş")=0,"",COUNTIFS('İş Planı'!$B$5:$B$204,$W17,'İş Planı'!$O$5:$O$204,"Gecikmiş")))</f>
        <v/>
      </c>
      <c r="AB17" s="63" t="n">
        <v>46134</v>
      </c>
      <c r="AC17">
        <f>SUMPRODUCT(('İş Planı'!$C$5:$C$204&lt;&gt;"")*('İş Planı'!$M$5:$M$204&lt;&gt;"")*('İş Planı'!$M$5:$M$204&lt;=AB17))</f>
        <v>0</v>
      </c>
      <c r="AD17">
        <f>SUMPRODUCT(('İş Planı'!$C$5:$C$204&lt;&gt;"")*('İş Planı'!$M$5:$M$204&lt;&gt;"")*('İş Planı'!$M$5:$M$204&lt;=AB17)*('İş Planı'!$O$5:$O$204="Tamamlandı"))</f>
        <v>0</v>
      </c>
      <c r="AK17" t="str">
        <f>IFERROR(INDEX(Listeler!$D$4:$D$43,SMALL($BD$4:$BD$43,22-ROW())),"")</f>
        <v>Ornek User11</v>
      </c>
      <c r="AL17">
        <f>IF($AK17="","",IF(COUNTIFS('İş Planı'!$D$5:$D$204,$AK17,'İş Planı'!$O$5:$O$204,"Planlanan")+COUNTIFS('İş Planı'!$E$5:$E$204,$AK17,'İş Planı'!$O$5:$O$204,"Planlanan")+COUNTIFS('İş Planı'!$F$5:$F$204,$AK17,'İş Planı'!$O$5:$O$204,"Planlanan")+COUNTIFS('İş Planı'!$G$5:$G$204,$AK17,'İş Planı'!$O$5:$O$204,"Planlanan")+COUNTIFS('İş Planı'!$D$5:$D$204,$AK17,'İş Planı'!$O$5:$O$204,"Devam Ediyor")+COUNTIFS('İş Planı'!$E$5:$E$204,$AK17,'İş Planı'!$O$5:$O$204,"Devam Ediyor")+COUNTIFS('İş Planı'!$F$5:$F$204,$AK17,'İş Planı'!$O$5:$O$204,"Devam Ediyor")+COUNTIFS('İş Planı'!$G$5:$G$204,$AK17,'İş Planı'!$O$5:$O$204,"Devam Ediyor")=0,"",COUNTIFS('İş Planı'!$D$5:$D$204,$AK17,'İş Planı'!$O$5:$O$204,"Planlanan")+COUNTIFS('İş Planı'!$E$5:$E$204,$AK17,'İş Planı'!$O$5:$O$204,"Planlanan")+COUNTIFS('İş Planı'!$F$5:$F$204,$AK17,'İş Planı'!$O$5:$O$204,"Planlanan")+COUNTIFS('İş Planı'!$G$5:$G$204,$AK17,'İş Planı'!$O$5:$O$204,"Planlanan")+COUNTIFS('İş Planı'!$D$5:$D$204,$AK17,'İş Planı'!$O$5:$O$204,"Devam Ediyor")+COUNTIFS('İş Planı'!$E$5:$E$204,$AK17,'İş Planı'!$O$5:$O$204,"Devam Ediyor")+COUNTIFS('İş Planı'!$F$5:$F$204,$AK17,'İş Planı'!$O$5:$O$204,"Devam Ediyor")+COUNTIFS('İş Planı'!$G$5:$G$204,$AK17,'İş Planı'!$O$5:$O$204,"Devam Ediyor")))</f>
        <v>13</v>
      </c>
      <c r="AM17">
        <f>IF($AK17="","",IF(COUNTIFS('İş Planı'!$D$5:$D$204,$AK17,'İş Planı'!$O$5:$O$204,"Gecikmiş")+COUNTIFS('İş Planı'!$E$5:$E$204,$AK17,'İş Planı'!$O$5:$O$204,"Gecikmiş")+COUNTIFS('İş Planı'!$F$5:$F$204,$AK17,'İş Planı'!$O$5:$O$204,"Gecikmiş")+COUNTIFS('İş Planı'!$G$5:$G$204,$AK17,'İş Planı'!$O$5:$O$204,"Gecikmiş")=0,"",COUNTIFS('İş Planı'!$D$5:$D$204,$AK17,'İş Planı'!$O$5:$O$204,"Gecikmiş")+COUNTIFS('İş Planı'!$E$5:$E$204,$AK17,'İş Planı'!$O$5:$O$204,"Gecikmiş")+COUNTIFS('İş Planı'!$F$5:$F$204,$AK17,'İş Planı'!$O$5:$O$204,"Gecikmiş")+COUNTIFS('İş Planı'!$G$5:$G$204,$AK17,'İş Planı'!$O$5:$O$204,"Gecikmiş")))</f>
        <v>1</v>
      </c>
      <c r="BB17">
        <f>IF(Listeler!$B17="","",IF(COUNTIF('İş Planı'!$B$5:$B$204,Listeler!$B17)=0,"",ROW()-3))</f>
        <v/>
      </c>
      <c r="BD17">
        <f>IF(Listeler!$D17="","",IF(COUNTIF('İş Planı'!$D$5:$D$204,Listeler!$D17)+COUNTIF('İş Planı'!$E$5:$E$204,Listeler!$D17)+COUNTIF('İş Planı'!$F$5:$F$204,Listeler!$D17)+COUNTIF('İş Planı'!$G$5:$G$204,Listeler!$D17)=0,"",ROW()-3))</f>
        <v/>
      </c>
    </row>
    <row r="18">
      <c r="W18" t="str">
        <f>IFERROR(INDEX(Listeler!$B$4:$B$43,SMALL($BB$4:$BB$43,22-ROW())),"")</f>
        <v>Buluteks</v>
      </c>
      <c r="X18">
        <f>IF($W18="","",IF(COUNTIFS('İş Planı'!$B$5:$B$204,$W18,'İş Planı'!$O$5:$O$204,"Tamamlandı")=0,"",COUNTIFS('İş Planı'!$B$5:$B$204,$W18,'İş Planı'!$O$5:$O$204,"Tamamlandı")))</f>
        <v/>
      </c>
      <c r="Y18">
        <f>IF($W18="","",IF(COUNTIFS('İş Planı'!$B$5:$B$204,$W18,'İş Planı'!$O$5:$O$204,"Devam Ediyor")=0,"",COUNTIFS('İş Planı'!$B$5:$B$204,$W18,'İş Planı'!$O$5:$O$204,"Devam Ediyor")))</f>
        <v/>
      </c>
      <c r="Z18">
        <f>IF($W18="","",IF(COUNTIFS('İş Planı'!$B$5:$B$204,$W18,'İş Planı'!$O$5:$O$204,"Gecikmiş")=0,"",COUNTIFS('İş Planı'!$B$5:$B$204,$W18,'İş Planı'!$O$5:$O$204,"Gecikmiş")))</f>
        <v>2</v>
      </c>
      <c r="AB18" s="63" t="n">
        <v>46141</v>
      </c>
      <c r="AC18">
        <f>SUMPRODUCT(('İş Planı'!$C$5:$C$204&lt;&gt;"")*('İş Planı'!$M$5:$M$204&lt;&gt;"")*('İş Planı'!$M$5:$M$204&lt;=AB18))</f>
        <v>0</v>
      </c>
      <c r="AD18">
        <f>SUMPRODUCT(('İş Planı'!$C$5:$C$204&lt;&gt;"")*('İş Planı'!$M$5:$M$204&lt;&gt;"")*('İş Planı'!$M$5:$M$204&lt;=AB18)*('İş Planı'!$O$5:$O$204="Tamamlandı"))</f>
        <v>0</v>
      </c>
      <c r="AK18" t="str">
        <f>IFERROR(INDEX(Listeler!$D$4:$D$43,SMALL($BD$4:$BD$43,22-ROW())),"")</f>
        <v>Ornek User9</v>
      </c>
      <c r="AL18">
        <f>IF($AK18="","",IF(COUNTIFS('İş Planı'!$D$5:$D$204,$AK18,'İş Planı'!$O$5:$O$204,"Planlanan")+COUNTIFS('İş Planı'!$E$5:$E$204,$AK18,'İş Planı'!$O$5:$O$204,"Planlanan")+COUNTIFS('İş Planı'!$F$5:$F$204,$AK18,'İş Planı'!$O$5:$O$204,"Planlanan")+COUNTIFS('İş Planı'!$G$5:$G$204,$AK18,'İş Planı'!$O$5:$O$204,"Planlanan")+COUNTIFS('İş Planı'!$D$5:$D$204,$AK18,'İş Planı'!$O$5:$O$204,"Devam Ediyor")+COUNTIFS('İş Planı'!$E$5:$E$204,$AK18,'İş Planı'!$O$5:$O$204,"Devam Ediyor")+COUNTIFS('İş Planı'!$F$5:$F$204,$AK18,'İş Planı'!$O$5:$O$204,"Devam Ediyor")+COUNTIFS('İş Planı'!$G$5:$G$204,$AK18,'İş Planı'!$O$5:$O$204,"Devam Ediyor")=0,"",COUNTIFS('İş Planı'!$D$5:$D$204,$AK18,'İş Planı'!$O$5:$O$204,"Planlanan")+COUNTIFS('İş Planı'!$E$5:$E$204,$AK18,'İş Planı'!$O$5:$O$204,"Planlanan")+COUNTIFS('İş Planı'!$F$5:$F$204,$AK18,'İş Planı'!$O$5:$O$204,"Planlanan")+COUNTIFS('İş Planı'!$G$5:$G$204,$AK18,'İş Planı'!$O$5:$O$204,"Planlanan")+COUNTIFS('İş Planı'!$D$5:$D$204,$AK18,'İş Planı'!$O$5:$O$204,"Devam Ediyor")+COUNTIFS('İş Planı'!$E$5:$E$204,$AK18,'İş Planı'!$O$5:$O$204,"Devam Ediyor")+COUNTIFS('İş Planı'!$F$5:$F$204,$AK18,'İş Planı'!$O$5:$O$204,"Devam Ediyor")+COUNTIFS('İş Planı'!$G$5:$G$204,$AK18,'İş Planı'!$O$5:$O$204,"Devam Ediyor")))</f>
        <v>12</v>
      </c>
      <c r="AM18">
        <f>IF($AK18="","",IF(COUNTIFS('İş Planı'!$D$5:$D$204,$AK18,'İş Planı'!$O$5:$O$204,"Gecikmiş")+COUNTIFS('İş Planı'!$E$5:$E$204,$AK18,'İş Planı'!$O$5:$O$204,"Gecikmiş")+COUNTIFS('İş Planı'!$F$5:$F$204,$AK18,'İş Planı'!$O$5:$O$204,"Gecikmiş")+COUNTIFS('İş Planı'!$G$5:$G$204,$AK18,'İş Planı'!$O$5:$O$204,"Gecikmiş")=0,"",COUNTIFS('İş Planı'!$D$5:$D$204,$AK18,'İş Planı'!$O$5:$O$204,"Gecikmiş")+COUNTIFS('İş Planı'!$E$5:$E$204,$AK18,'İş Planı'!$O$5:$O$204,"Gecikmiş")+COUNTIFS('İş Planı'!$F$5:$F$204,$AK18,'İş Planı'!$O$5:$O$204,"Gecikmiş")+COUNTIFS('İş Planı'!$G$5:$G$204,$AK18,'İş Planı'!$O$5:$O$204,"Gecikmiş")))</f>
        <v>5</v>
      </c>
      <c r="BB18">
        <f>IF(Listeler!$B18="","",IF(COUNTIF('İş Planı'!$B$5:$B$204,Listeler!$B18)=0,"",ROW()-3))</f>
        <v/>
      </c>
      <c r="BD18">
        <f>IF(Listeler!$D18="","",IF(COUNTIF('İş Planı'!$D$5:$D$204,Listeler!$D18)+COUNTIF('İş Planı'!$E$5:$E$204,Listeler!$D18)+COUNTIF('İş Planı'!$F$5:$F$204,Listeler!$D18)+COUNTIF('İş Planı'!$G$5:$G$204,Listeler!$D18)=0,"",ROW()-3))</f>
        <v/>
      </c>
    </row>
    <row r="19">
      <c r="W19" t="str">
        <f>IFERROR(INDEX(Listeler!$B$4:$B$43,SMALL($BB$4:$BB$43,22-ROW())),"")</f>
        <v>BIGR</v>
      </c>
      <c r="X19">
        <f>IF($W19="","",IF(COUNTIFS('İş Planı'!$B$5:$B$204,$W19,'İş Planı'!$O$5:$O$204,"Tamamlandı")=0,"",COUNTIFS('İş Planı'!$B$5:$B$204,$W19,'İş Planı'!$O$5:$O$204,"Tamamlandı")))</f>
        <v>1</v>
      </c>
      <c r="Y19">
        <f>IF($W19="","",IF(COUNTIFS('İş Planı'!$B$5:$B$204,$W19,'İş Planı'!$O$5:$O$204,"Devam Ediyor")=0,"",COUNTIFS('İş Planı'!$B$5:$B$204,$W19,'İş Planı'!$O$5:$O$204,"Devam Ediyor")))</f>
        <v>3</v>
      </c>
      <c r="Z19">
        <f>IF($W19="","",IF(COUNTIFS('İş Planı'!$B$5:$B$204,$W19,'İş Planı'!$O$5:$O$204,"Gecikmiş")=0,"",COUNTIFS('İş Planı'!$B$5:$B$204,$W19,'İş Planı'!$O$5:$O$204,"Gecikmiş")))</f>
        <v>8</v>
      </c>
      <c r="AB19" s="63" t="n">
        <v>46148</v>
      </c>
      <c r="AC19">
        <f>SUMPRODUCT(('İş Planı'!$C$5:$C$204&lt;&gt;"")*('İş Planı'!$M$5:$M$204&lt;&gt;"")*('İş Planı'!$M$5:$M$204&lt;=AB19))</f>
        <v>0</v>
      </c>
      <c r="AD19">
        <f>SUMPRODUCT(('İş Planı'!$C$5:$C$204&lt;&gt;"")*('İş Planı'!$M$5:$M$204&lt;&gt;"")*('İş Planı'!$M$5:$M$204&lt;=AB19)*('İş Planı'!$O$5:$O$204="Tamamlandı"))</f>
        <v>0</v>
      </c>
      <c r="AK19" t="str">
        <f>IFERROR(INDEX(Listeler!$D$4:$D$43,SMALL($BD$4:$BD$43,22-ROW())),"")</f>
        <v>Ornek User4</v>
      </c>
      <c r="AL19">
        <f>IF($AK19="","",IF(COUNTIFS('İş Planı'!$D$5:$D$204,$AK19,'İş Planı'!$O$5:$O$204,"Planlanan")+COUNTIFS('İş Planı'!$E$5:$E$204,$AK19,'İş Planı'!$O$5:$O$204,"Planlanan")+COUNTIFS('İş Planı'!$F$5:$F$204,$AK19,'İş Planı'!$O$5:$O$204,"Planlanan")+COUNTIFS('İş Planı'!$G$5:$G$204,$AK19,'İş Planı'!$O$5:$O$204,"Planlanan")+COUNTIFS('İş Planı'!$D$5:$D$204,$AK19,'İş Planı'!$O$5:$O$204,"Devam Ediyor")+COUNTIFS('İş Planı'!$E$5:$E$204,$AK19,'İş Planı'!$O$5:$O$204,"Devam Ediyor")+COUNTIFS('İş Planı'!$F$5:$F$204,$AK19,'İş Planı'!$O$5:$O$204,"Devam Ediyor")+COUNTIFS('İş Planı'!$G$5:$G$204,$AK19,'İş Planı'!$O$5:$O$204,"Devam Ediyor")=0,"",COUNTIFS('İş Planı'!$D$5:$D$204,$AK19,'İş Planı'!$O$5:$O$204,"Planlanan")+COUNTIFS('İş Planı'!$E$5:$E$204,$AK19,'İş Planı'!$O$5:$O$204,"Planlanan")+COUNTIFS('İş Planı'!$F$5:$F$204,$AK19,'İş Planı'!$O$5:$O$204,"Planlanan")+COUNTIFS('İş Planı'!$G$5:$G$204,$AK19,'İş Planı'!$O$5:$O$204,"Planlanan")+COUNTIFS('İş Planı'!$D$5:$D$204,$AK19,'İş Planı'!$O$5:$O$204,"Devam Ediyor")+COUNTIFS('İş Planı'!$E$5:$E$204,$AK19,'İş Planı'!$O$5:$O$204,"Devam Ediyor")+COUNTIFS('İş Planı'!$F$5:$F$204,$AK19,'İş Planı'!$O$5:$O$204,"Devam Ediyor")+COUNTIFS('İş Planı'!$G$5:$G$204,$AK19,'İş Planı'!$O$5:$O$204,"Devam Ediyor")))</f>
        <v>20</v>
      </c>
      <c r="AM19">
        <f>IF($AK19="","",IF(COUNTIFS('İş Planı'!$D$5:$D$204,$AK19,'İş Planı'!$O$5:$O$204,"Gecikmiş")+COUNTIFS('İş Planı'!$E$5:$E$204,$AK19,'İş Planı'!$O$5:$O$204,"Gecikmiş")+COUNTIFS('İş Planı'!$F$5:$F$204,$AK19,'İş Planı'!$O$5:$O$204,"Gecikmiş")+COUNTIFS('İş Planı'!$G$5:$G$204,$AK19,'İş Planı'!$O$5:$O$204,"Gecikmiş")=0,"",COUNTIFS('İş Planı'!$D$5:$D$204,$AK19,'İş Planı'!$O$5:$O$204,"Gecikmiş")+COUNTIFS('İş Planı'!$E$5:$E$204,$AK19,'İş Planı'!$O$5:$O$204,"Gecikmiş")+COUNTIFS('İş Planı'!$F$5:$F$204,$AK19,'İş Planı'!$O$5:$O$204,"Gecikmiş")+COUNTIFS('İş Planı'!$G$5:$G$204,$AK19,'İş Planı'!$O$5:$O$204,"Gecikmiş")))</f>
        <v>8</v>
      </c>
      <c r="BB19">
        <f>IF(Listeler!$B19="","",IF(COUNTIF('İş Planı'!$B$5:$B$204,Listeler!$B19)=0,"",ROW()-3))</f>
        <v/>
      </c>
      <c r="BD19">
        <f>IF(Listeler!$D19="","",IF(COUNTIF('İş Planı'!$D$5:$D$204,Listeler!$D19)+COUNTIF('İş Planı'!$E$5:$E$204,Listeler!$D19)+COUNTIF('İş Planı'!$F$5:$F$204,Listeler!$D19)+COUNTIF('İş Planı'!$G$5:$G$204,Listeler!$D19)=0,"",ROW()-3))</f>
        <v/>
      </c>
    </row>
    <row r="20">
      <c r="W20" t="str">
        <f>IFERROR(INDEX(Listeler!$B$4:$B$43,SMALL($BB$4:$BB$43,22-ROW())),"")</f>
        <v>BIGR (Yönetim Beyanı Ortak Maddeler)</v>
      </c>
      <c r="X20">
        <f>IF($W20="","",IF(COUNTIFS('İş Planı'!$B$5:$B$204,$W20,'İş Planı'!$O$5:$O$204,"Tamamlandı")=0,"",COUNTIFS('İş Planı'!$B$5:$B$204,$W20,'İş Planı'!$O$5:$O$204,"Tamamlandı")))</f>
        <v/>
      </c>
      <c r="Y20">
        <f>IF($W20="","",IF(COUNTIFS('İş Planı'!$B$5:$B$204,$W20,'İş Planı'!$O$5:$O$204,"Devam Ediyor")=0,"",COUNTIFS('İş Planı'!$B$5:$B$204,$W20,'İş Planı'!$O$5:$O$204,"Devam Ediyor")))</f>
        <v/>
      </c>
      <c r="Z20">
        <f>IF($W20="","",IF(COUNTIFS('İş Planı'!$B$5:$B$204,$W20,'İş Planı'!$O$5:$O$204,"Gecikmiş")=0,"",COUNTIFS('İş Planı'!$B$5:$B$204,$W20,'İş Planı'!$O$5:$O$204,"Gecikmiş")))</f>
        <v/>
      </c>
      <c r="AB20" s="63" t="n">
        <v>46155</v>
      </c>
      <c r="AC20">
        <f>SUMPRODUCT(('İş Planı'!$C$5:$C$204&lt;&gt;"")*('İş Planı'!$M$5:$M$204&lt;&gt;"")*('İş Planı'!$M$5:$M$204&lt;=AB20))</f>
        <v>0</v>
      </c>
      <c r="AD20">
        <f>SUMPRODUCT(('İş Planı'!$C$5:$C$204&lt;&gt;"")*('İş Planı'!$M$5:$M$204&lt;&gt;"")*('İş Planı'!$M$5:$M$204&lt;=AB20)*('İş Planı'!$O$5:$O$204="Tamamlandı"))</f>
        <v>0</v>
      </c>
      <c r="AK20" t="str">
        <f>IFERROR(INDEX(Listeler!$D$4:$D$43,SMALL($BD$4:$BD$43,22-ROW())),"")</f>
        <v>Ornek User3</v>
      </c>
      <c r="AL20">
        <f>IF($AK20="","",IF(COUNTIFS('İş Planı'!$D$5:$D$204,$AK20,'İş Planı'!$O$5:$O$204,"Planlanan")+COUNTIFS('İş Planı'!$E$5:$E$204,$AK20,'İş Planı'!$O$5:$O$204,"Planlanan")+COUNTIFS('İş Planı'!$F$5:$F$204,$AK20,'İş Planı'!$O$5:$O$204,"Planlanan")+COUNTIFS('İş Planı'!$G$5:$G$204,$AK20,'İş Planı'!$O$5:$O$204,"Planlanan")+COUNTIFS('İş Planı'!$D$5:$D$204,$AK20,'İş Planı'!$O$5:$O$204,"Devam Ediyor")+COUNTIFS('İş Planı'!$E$5:$E$204,$AK20,'İş Planı'!$O$5:$O$204,"Devam Ediyor")+COUNTIFS('İş Planı'!$F$5:$F$204,$AK20,'İş Planı'!$O$5:$O$204,"Devam Ediyor")+COUNTIFS('İş Planı'!$G$5:$G$204,$AK20,'İş Planı'!$O$5:$O$204,"Devam Ediyor")=0,"",COUNTIFS('İş Planı'!$D$5:$D$204,$AK20,'İş Planı'!$O$5:$O$204,"Planlanan")+COUNTIFS('İş Planı'!$E$5:$E$204,$AK20,'İş Planı'!$O$5:$O$204,"Planlanan")+COUNTIFS('İş Planı'!$F$5:$F$204,$AK20,'İş Planı'!$O$5:$O$204,"Planlanan")+COUNTIFS('İş Planı'!$G$5:$G$204,$AK20,'İş Planı'!$O$5:$O$204,"Planlanan")+COUNTIFS('İş Planı'!$D$5:$D$204,$AK20,'İş Planı'!$O$5:$O$204,"Devam Ediyor")+COUNTIFS('İş Planı'!$E$5:$E$204,$AK20,'İş Planı'!$O$5:$O$204,"Devam Ediyor")+COUNTIFS('İş Planı'!$F$5:$F$204,$AK20,'İş Planı'!$O$5:$O$204,"Devam Ediyor")+COUNTIFS('İş Planı'!$G$5:$G$204,$AK20,'İş Planı'!$O$5:$O$204,"Devam Ediyor")))</f>
        <v/>
      </c>
      <c r="AM20">
        <f>IF($AK20="","",IF(COUNTIFS('İş Planı'!$D$5:$D$204,$AK20,'İş Planı'!$O$5:$O$204,"Gecikmiş")+COUNTIFS('İş Planı'!$E$5:$E$204,$AK20,'İş Planı'!$O$5:$O$204,"Gecikmiş")+COUNTIFS('İş Planı'!$F$5:$F$204,$AK20,'İş Planı'!$O$5:$O$204,"Gecikmiş")+COUNTIFS('İş Planı'!$G$5:$G$204,$AK20,'İş Planı'!$O$5:$O$204,"Gecikmiş")=0,"",COUNTIFS('İş Planı'!$D$5:$D$204,$AK20,'İş Planı'!$O$5:$O$204,"Gecikmiş")+COUNTIFS('İş Planı'!$E$5:$E$204,$AK20,'İş Planı'!$O$5:$O$204,"Gecikmiş")+COUNTIFS('İş Planı'!$F$5:$F$204,$AK20,'İş Planı'!$O$5:$O$204,"Gecikmiş")+COUNTIFS('İş Planı'!$G$5:$G$204,$AK20,'İş Planı'!$O$5:$O$204,"Gecikmiş")))</f>
        <v>2</v>
      </c>
      <c r="BB20">
        <f>IF(Listeler!$B20="","",IF(COUNTIF('İş Planı'!$B$5:$B$204,Listeler!$B20)=0,"",ROW()-3))</f>
        <v/>
      </c>
      <c r="BD20">
        <f>IF(Listeler!$D20="","",IF(COUNTIF('İş Planı'!$D$5:$D$204,Listeler!$D20)+COUNTIF('İş Planı'!$E$5:$E$204,Listeler!$D20)+COUNTIF('İş Planı'!$F$5:$F$204,Listeler!$D20)+COUNTIF('İş Planı'!$G$5:$G$204,Listeler!$D20)=0,"",ROW()-3))</f>
        <v/>
      </c>
    </row>
    <row r="21">
      <c r="W21" t="str">
        <f>IFERROR(INDEX(Listeler!$B$4:$B$43,SMALL($BB$4:$BB$43,22-ROW())),"")</f>
        <v>Yönetim Beyanı</v>
      </c>
      <c r="X21">
        <f>IF($W21="","",IF(COUNTIFS('İş Planı'!$B$5:$B$204,$W21,'İş Planı'!$O$5:$O$204,"Tamamlandı")=0,"",COUNTIFS('İş Planı'!$B$5:$B$204,$W21,'İş Planı'!$O$5:$O$204,"Tamamlandı")))</f>
        <v>2</v>
      </c>
      <c r="Y21">
        <f>IF($W21="","",IF(COUNTIFS('İş Planı'!$B$5:$B$204,$W21,'İş Planı'!$O$5:$O$204,"Devam Ediyor")=0,"",COUNTIFS('İş Planı'!$B$5:$B$204,$W21,'İş Planı'!$O$5:$O$204,"Devam Ediyor")))</f>
        <v>5</v>
      </c>
      <c r="Z21">
        <f>IF($W21="","",IF(COUNTIFS('İş Planı'!$B$5:$B$204,$W21,'İş Planı'!$O$5:$O$204,"Gecikmiş")=0,"",COUNTIFS('İş Planı'!$B$5:$B$204,$W21,'İş Planı'!$O$5:$O$204,"Gecikmiş")))</f>
        <v>4</v>
      </c>
      <c r="AB21" s="63" t="n">
        <v>46162</v>
      </c>
      <c r="AC21">
        <f>SUMPRODUCT(('İş Planı'!$C$5:$C$204&lt;&gt;"")*('İş Planı'!$M$5:$M$204&lt;&gt;"")*('İş Planı'!$M$5:$M$204&lt;=AB21))</f>
        <v>0</v>
      </c>
      <c r="AD21">
        <f>SUMPRODUCT(('İş Planı'!$C$5:$C$204&lt;&gt;"")*('İş Planı'!$M$5:$M$204&lt;&gt;"")*('İş Planı'!$M$5:$M$204&lt;=AB21)*('İş Planı'!$O$5:$O$204="Tamamlandı"))</f>
        <v>0</v>
      </c>
      <c r="AK21" t="str">
        <f>IFERROR(INDEX(Listeler!$D$4:$D$43,SMALL($BD$4:$BD$43,22-ROW())),"")</f>
        <v>Ornek User1</v>
      </c>
      <c r="AL21">
        <f>IF($AK21="","",IF(COUNTIFS('İş Planı'!$D$5:$D$204,$AK21,'İş Planı'!$O$5:$O$204,"Planlanan")+COUNTIFS('İş Planı'!$E$5:$E$204,$AK21,'İş Planı'!$O$5:$O$204,"Planlanan")+COUNTIFS('İş Planı'!$F$5:$F$204,$AK21,'İş Planı'!$O$5:$O$204,"Planlanan")+COUNTIFS('İş Planı'!$G$5:$G$204,$AK21,'İş Planı'!$O$5:$O$204,"Planlanan")+COUNTIFS('İş Planı'!$D$5:$D$204,$AK21,'İş Planı'!$O$5:$O$204,"Devam Ediyor")+COUNTIFS('İş Planı'!$E$5:$E$204,$AK21,'İş Planı'!$O$5:$O$204,"Devam Ediyor")+COUNTIFS('İş Planı'!$F$5:$F$204,$AK21,'İş Planı'!$O$5:$O$204,"Devam Ediyor")+COUNTIFS('İş Planı'!$G$5:$G$204,$AK21,'İş Planı'!$O$5:$O$204,"Devam Ediyor")=0,"",COUNTIFS('İş Planı'!$D$5:$D$204,$AK21,'İş Planı'!$O$5:$O$204,"Planlanan")+COUNTIFS('İş Planı'!$E$5:$E$204,$AK21,'İş Planı'!$O$5:$O$204,"Planlanan")+COUNTIFS('İş Planı'!$F$5:$F$204,$AK21,'İş Planı'!$O$5:$O$204,"Planlanan")+COUNTIFS('İş Planı'!$G$5:$G$204,$AK21,'İş Planı'!$O$5:$O$204,"Planlanan")+COUNTIFS('İş Planı'!$D$5:$D$204,$AK21,'İş Planı'!$O$5:$O$204,"Devam Ediyor")+COUNTIFS('İş Planı'!$E$5:$E$204,$AK21,'İş Planı'!$O$5:$O$204,"Devam Ediyor")+COUNTIFS('İş Planı'!$F$5:$F$204,$AK21,'İş Planı'!$O$5:$O$204,"Devam Ediyor")+COUNTIFS('İş Planı'!$G$5:$G$204,$AK21,'İş Planı'!$O$5:$O$204,"Devam Ediyor")))</f>
        <v>13</v>
      </c>
      <c r="AM21">
        <f>IF($AK21="","",IF(COUNTIFS('İş Planı'!$D$5:$D$204,$AK21,'İş Planı'!$O$5:$O$204,"Gecikmiş")+COUNTIFS('İş Planı'!$E$5:$E$204,$AK21,'İş Planı'!$O$5:$O$204,"Gecikmiş")+COUNTIFS('İş Planı'!$F$5:$F$204,$AK21,'İş Planı'!$O$5:$O$204,"Gecikmiş")+COUNTIFS('İş Planı'!$G$5:$G$204,$AK21,'İş Planı'!$O$5:$O$204,"Gecikmiş")=0,"",COUNTIFS('İş Planı'!$D$5:$D$204,$AK21,'İş Planı'!$O$5:$O$204,"Gecikmiş")+COUNTIFS('İş Planı'!$E$5:$E$204,$AK21,'İş Planı'!$O$5:$O$204,"Gecikmiş")+COUNTIFS('İş Planı'!$F$5:$F$204,$AK21,'İş Planı'!$O$5:$O$204,"Gecikmiş")+COUNTIFS('İş Planı'!$G$5:$G$204,$AK21,'İş Planı'!$O$5:$O$204,"Gecikmiş")))</f>
        <v/>
      </c>
      <c r="BB21">
        <f>IF(Listeler!$B21="","",IF(COUNTIF('İş Planı'!$B$5:$B$204,Listeler!$B21)=0,"",ROW()-3))</f>
        <v/>
      </c>
      <c r="BD21">
        <f>IF(Listeler!$D21="","",IF(COUNTIF('İş Planı'!$D$5:$D$204,Listeler!$D21)+COUNTIF('İş Planı'!$E$5:$E$204,Listeler!$D21)+COUNTIF('İş Planı'!$F$5:$F$204,Listeler!$D21)+COUNTIF('İş Planı'!$G$5:$G$204,Listeler!$D21)=0,"",ROW()-3))</f>
        <v/>
      </c>
    </row>
    <row r="22">
      <c r="AB22" s="63" t="n">
        <v>46169</v>
      </c>
      <c r="AC22">
        <f>SUMPRODUCT(('İş Planı'!$C$5:$C$204&lt;&gt;"")*('İş Planı'!$M$5:$M$204&lt;&gt;"")*('İş Planı'!$M$5:$M$204&lt;=AB22))</f>
        <v>0</v>
      </c>
      <c r="AD22">
        <f>SUMPRODUCT(('İş Planı'!$C$5:$C$204&lt;&gt;"")*('İş Planı'!$M$5:$M$204&lt;&gt;"")*('İş Planı'!$M$5:$M$204&lt;=AB22)*('İş Planı'!$O$5:$O$204="Tamamlandı"))</f>
        <v>0</v>
      </c>
      <c r="BB22">
        <f>IF(Listeler!$B22="","",IF(COUNTIF('İş Planı'!$B$5:$B$204,Listeler!$B22)=0,"",ROW()-3))</f>
        <v/>
      </c>
      <c r="BD22">
        <f>IF(Listeler!$D22="","",IF(COUNTIF('İş Planı'!$D$5:$D$204,Listeler!$D22)+COUNTIF('İş Planı'!$E$5:$E$204,Listeler!$D22)+COUNTIF('İş Planı'!$F$5:$F$204,Listeler!$D22)+COUNTIF('İş Planı'!$G$5:$G$204,Listeler!$D22)=0,"",ROW()-3))</f>
        <v/>
      </c>
    </row>
    <row r="23">
      <c r="AB23" s="63" t="n">
        <v>46176</v>
      </c>
      <c r="AC23">
        <f>SUMPRODUCT(('İş Planı'!$C$5:$C$204&lt;&gt;"")*('İş Planı'!$M$5:$M$204&lt;&gt;"")*('İş Planı'!$M$5:$M$204&lt;=AB23))</f>
        <v>0</v>
      </c>
      <c r="AD23">
        <f>SUMPRODUCT(('İş Planı'!$C$5:$C$204&lt;&gt;"")*('İş Planı'!$M$5:$M$204&lt;&gt;"")*('İş Planı'!$M$5:$M$204&lt;=AB23)*('İş Planı'!$O$5:$O$204="Tamamlandı"))</f>
        <v>0</v>
      </c>
      <c r="BB23">
        <f>IF(Listeler!$B23="","",IF(COUNTIF('İş Planı'!$B$5:$B$204,Listeler!$B23)=0,"",ROW()-3))</f>
        <v/>
      </c>
      <c r="BD23">
        <f>IF(Listeler!$D23="","",IF(COUNTIF('İş Planı'!$D$5:$D$204,Listeler!$D23)+COUNTIF('İş Planı'!$E$5:$E$204,Listeler!$D23)+COUNTIF('İş Planı'!$F$5:$F$204,Listeler!$D23)+COUNTIF('İş Planı'!$G$5:$G$204,Listeler!$D23)=0,"",ROW()-3))</f>
        <v/>
      </c>
    </row>
    <row r="24">
      <c r="AB24" s="63" t="n">
        <v>46183</v>
      </c>
      <c r="AC24">
        <f>SUMPRODUCT(('İş Planı'!$C$5:$C$204&lt;&gt;"")*('İş Planı'!$M$5:$M$204&lt;&gt;"")*('İş Planı'!$M$5:$M$204&lt;=AB24))</f>
        <v>0</v>
      </c>
      <c r="AD24">
        <f>SUMPRODUCT(('İş Planı'!$C$5:$C$204&lt;&gt;"")*('İş Planı'!$M$5:$M$204&lt;&gt;"")*('İş Planı'!$M$5:$M$204&lt;=AB24)*('İş Planı'!$O$5:$O$204="Tamamlandı"))</f>
        <v>0</v>
      </c>
      <c r="BB24">
        <f>IF(Listeler!$B24="","",IF(COUNTIF('İş Planı'!$B$5:$B$204,Listeler!$B24)=0,"",ROW()-3))</f>
        <v/>
      </c>
      <c r="BD24">
        <f>IF(Listeler!$D24="","",IF(COUNTIF('İş Planı'!$D$5:$D$204,Listeler!$D24)+COUNTIF('İş Planı'!$E$5:$E$204,Listeler!$D24)+COUNTIF('İş Planı'!$F$5:$F$204,Listeler!$D24)+COUNTIF('İş Planı'!$G$5:$G$204,Listeler!$D24)=0,"",ROW()-3))</f>
        <v/>
      </c>
    </row>
    <row r="25">
      <c r="AB25" s="63" t="n">
        <v>46190</v>
      </c>
      <c r="AC25">
        <f>SUMPRODUCT(('İş Planı'!$C$5:$C$204&lt;&gt;"")*('İş Planı'!$M$5:$M$204&lt;&gt;"")*('İş Planı'!$M$5:$M$204&lt;=AB25))</f>
        <v>0</v>
      </c>
      <c r="AD25">
        <f>SUMPRODUCT(('İş Planı'!$C$5:$C$204&lt;&gt;"")*('İş Planı'!$M$5:$M$204&lt;&gt;"")*('İş Planı'!$M$5:$M$204&lt;=AB25)*('İş Planı'!$O$5:$O$204="Tamamlandı"))</f>
        <v>0</v>
      </c>
      <c r="BB25">
        <f>IF(Listeler!$B25="","",IF(COUNTIF('İş Planı'!$B$5:$B$204,Listeler!$B25)=0,"",ROW()-3))</f>
        <v/>
      </c>
      <c r="BD25">
        <f>IF(Listeler!$D25="","",IF(COUNTIF('İş Planı'!$D$5:$D$204,Listeler!$D25)+COUNTIF('İş Planı'!$E$5:$E$204,Listeler!$D25)+COUNTIF('İş Planı'!$F$5:$F$204,Listeler!$D25)+COUNTIF('İş Planı'!$G$5:$G$204,Listeler!$D25)=0,"",ROW()-3))</f>
        <v/>
      </c>
    </row>
    <row r="26">
      <c r="AB26" s="63" t="n">
        <v>46197</v>
      </c>
      <c r="AC26">
        <f>SUMPRODUCT(('İş Planı'!$C$5:$C$204&lt;&gt;"")*('İş Planı'!$M$5:$M$204&lt;&gt;"")*('İş Planı'!$M$5:$M$204&lt;=AB26))</f>
        <v>0</v>
      </c>
      <c r="AD26">
        <f>SUMPRODUCT(('İş Planı'!$C$5:$C$204&lt;&gt;"")*('İş Planı'!$M$5:$M$204&lt;&gt;"")*('İş Planı'!$M$5:$M$204&lt;=AB26)*('İş Planı'!$O$5:$O$204="Tamamlandı"))</f>
        <v>0</v>
      </c>
      <c r="BB26">
        <f>IF(Listeler!$B26="","",IF(COUNTIF('İş Planı'!$B$5:$B$204,Listeler!$B26)=0,"",ROW()-3))</f>
        <v/>
      </c>
      <c r="BD26">
        <f>IF(Listeler!$D26="","",IF(COUNTIF('İş Planı'!$D$5:$D$204,Listeler!$D26)+COUNTIF('İş Planı'!$E$5:$E$204,Listeler!$D26)+COUNTIF('İş Planı'!$F$5:$F$204,Listeler!$D26)+COUNTIF('İş Planı'!$G$5:$G$204,Listeler!$D26)=0,"",ROW()-3))</f>
        <v/>
      </c>
    </row>
    <row r="27">
      <c r="AB27" s="63" t="n">
        <v>46204</v>
      </c>
      <c r="AC27">
        <f>SUMPRODUCT(('İş Planı'!$C$5:$C$204&lt;&gt;"")*('İş Planı'!$M$5:$M$204&lt;&gt;"")*('İş Planı'!$M$5:$M$204&lt;=AB27))</f>
        <v>0</v>
      </c>
      <c r="AD27">
        <f>SUMPRODUCT(('İş Planı'!$C$5:$C$204&lt;&gt;"")*('İş Planı'!$M$5:$M$204&lt;&gt;"")*('İş Planı'!$M$5:$M$204&lt;=AB27)*('İş Planı'!$O$5:$O$204="Tamamlandı"))</f>
        <v>0</v>
      </c>
      <c r="BB27">
        <f>IF(Listeler!$B27="","",IF(COUNTIF('İş Planı'!$B$5:$B$204,Listeler!$B27)=0,"",ROW()-3))</f>
        <v/>
      </c>
      <c r="BD27">
        <f>IF(Listeler!$D27="","",IF(COUNTIF('İş Planı'!$D$5:$D$204,Listeler!$D27)+COUNTIF('İş Planı'!$E$5:$E$204,Listeler!$D27)+COUNTIF('İş Planı'!$F$5:$F$204,Listeler!$D27)+COUNTIF('İş Planı'!$G$5:$G$204,Listeler!$D27)=0,"",ROW()-3))</f>
        <v/>
      </c>
    </row>
    <row r="28">
      <c r="AB28" s="63" t="n">
        <v>46211</v>
      </c>
      <c r="AC28">
        <f>SUMPRODUCT(('İş Planı'!$C$5:$C$204&lt;&gt;"")*('İş Planı'!$M$5:$M$204&lt;&gt;"")*('İş Planı'!$M$5:$M$204&lt;=AB28))</f>
        <v>0</v>
      </c>
      <c r="AD28">
        <f>SUMPRODUCT(('İş Planı'!$C$5:$C$204&lt;&gt;"")*('İş Planı'!$M$5:$M$204&lt;&gt;"")*('İş Planı'!$M$5:$M$204&lt;=AB28)*('İş Planı'!$O$5:$O$204="Tamamlandı"))</f>
        <v>0</v>
      </c>
      <c r="BB28">
        <f>IF(Listeler!$B28="","",IF(COUNTIF('İş Planı'!$B$5:$B$204,Listeler!$B28)=0,"",ROW()-3))</f>
        <v/>
      </c>
      <c r="BD28">
        <f>IF(Listeler!$D28="","",IF(COUNTIF('İş Planı'!$D$5:$D$204,Listeler!$D28)+COUNTIF('İş Planı'!$E$5:$E$204,Listeler!$D28)+COUNTIF('İş Planı'!$F$5:$F$204,Listeler!$D28)+COUNTIF('İş Planı'!$G$5:$G$204,Listeler!$D28)=0,"",ROW()-3))</f>
        <v/>
      </c>
    </row>
    <row r="29">
      <c r="AB29" s="63" t="n">
        <v>46218</v>
      </c>
      <c r="AC29">
        <f>SUMPRODUCT(('İş Planı'!$C$5:$C$204&lt;&gt;"")*('İş Planı'!$M$5:$M$204&lt;&gt;"")*('İş Planı'!$M$5:$M$204&lt;=AB29))</f>
        <v>0</v>
      </c>
      <c r="AD29">
        <f>SUMPRODUCT(('İş Planı'!$C$5:$C$204&lt;&gt;"")*('İş Planı'!$M$5:$M$204&lt;&gt;"")*('İş Planı'!$M$5:$M$204&lt;=AB29)*('İş Planı'!$O$5:$O$204="Tamamlandı"))</f>
        <v>0</v>
      </c>
      <c r="BB29">
        <f>IF(Listeler!$B29="","",IF(COUNTIF('İş Planı'!$B$5:$B$204,Listeler!$B29)=0,"",ROW()-3))</f>
        <v/>
      </c>
      <c r="BD29">
        <f>IF(Listeler!$D29="","",IF(COUNTIF('İş Planı'!$D$5:$D$204,Listeler!$D29)+COUNTIF('İş Planı'!$E$5:$E$204,Listeler!$D29)+COUNTIF('İş Planı'!$F$5:$F$204,Listeler!$D29)+COUNTIF('İş Planı'!$G$5:$G$204,Listeler!$D29)=0,"",ROW()-3))</f>
        <v/>
      </c>
    </row>
    <row r="30">
      <c r="AB30" s="63" t="n">
        <v>46225</v>
      </c>
      <c r="AC30">
        <f>SUMPRODUCT(('İş Planı'!$C$5:$C$204&lt;&gt;"")*('İş Planı'!$M$5:$M$204&lt;&gt;"")*('İş Planı'!$M$5:$M$204&lt;=AB30))</f>
        <v>0</v>
      </c>
      <c r="AD30">
        <f>SUMPRODUCT(('İş Planı'!$C$5:$C$204&lt;&gt;"")*('İş Planı'!$M$5:$M$204&lt;&gt;"")*('İş Planı'!$M$5:$M$204&lt;=AB30)*('İş Planı'!$O$5:$O$204="Tamamlandı"))</f>
        <v>0</v>
      </c>
      <c r="BB30">
        <f>IF(Listeler!$B30="","",IF(COUNTIF('İş Planı'!$B$5:$B$204,Listeler!$B30)=0,"",ROW()-3))</f>
        <v/>
      </c>
      <c r="BD30">
        <f>IF(Listeler!$D30="","",IF(COUNTIF('İş Planı'!$D$5:$D$204,Listeler!$D30)+COUNTIF('İş Planı'!$E$5:$E$204,Listeler!$D30)+COUNTIF('İş Planı'!$F$5:$F$204,Listeler!$D30)+COUNTIF('İş Planı'!$G$5:$G$204,Listeler!$D30)=0,"",ROW()-3))</f>
        <v/>
      </c>
    </row>
    <row r="31">
      <c r="AB31" s="63" t="n">
        <v>46232</v>
      </c>
      <c r="AC31">
        <f>SUMPRODUCT(('İş Planı'!$C$5:$C$204&lt;&gt;"")*('İş Planı'!$M$5:$M$204&lt;&gt;"")*('İş Planı'!$M$5:$M$204&lt;=AB31))</f>
        <v>0</v>
      </c>
      <c r="AD31">
        <f>SUMPRODUCT(('İş Planı'!$C$5:$C$204&lt;&gt;"")*('İş Planı'!$M$5:$M$204&lt;&gt;"")*('İş Planı'!$M$5:$M$204&lt;=AB31)*('İş Planı'!$O$5:$O$204="Tamamlandı"))</f>
        <v>0</v>
      </c>
      <c r="BB31">
        <f>IF(Listeler!$B31="","",IF(COUNTIF('İş Planı'!$B$5:$B$204,Listeler!$B31)=0,"",ROW()-3))</f>
        <v/>
      </c>
      <c r="BD31">
        <f>IF(Listeler!$D31="","",IF(COUNTIF('İş Planı'!$D$5:$D$204,Listeler!$D31)+COUNTIF('İş Planı'!$E$5:$E$204,Listeler!$D31)+COUNTIF('İş Planı'!$F$5:$F$204,Listeler!$D31)+COUNTIF('İş Planı'!$G$5:$G$204,Listeler!$D31)=0,"",ROW()-3))</f>
        <v/>
      </c>
    </row>
    <row r="32">
      <c r="AB32" s="63" t="n">
        <v>46239</v>
      </c>
      <c r="AC32">
        <f>SUMPRODUCT(('İş Planı'!$C$5:$C$204&lt;&gt;"")*('İş Planı'!$M$5:$M$204&lt;&gt;"")*('İş Planı'!$M$5:$M$204&lt;=AB32))</f>
        <v>0</v>
      </c>
      <c r="AD32">
        <f>SUMPRODUCT(('İş Planı'!$C$5:$C$204&lt;&gt;"")*('İş Planı'!$M$5:$M$204&lt;&gt;"")*('İş Planı'!$M$5:$M$204&lt;=AB32)*('İş Planı'!$O$5:$O$204="Tamamlandı"))</f>
        <v>0</v>
      </c>
      <c r="BB32">
        <f>IF(Listeler!$B32="","",IF(COUNTIF('İş Planı'!$B$5:$B$204,Listeler!$B32)=0,"",ROW()-3))</f>
        <v/>
      </c>
      <c r="BD32">
        <f>IF(Listeler!$D32="","",IF(COUNTIF('İş Planı'!$D$5:$D$204,Listeler!$D32)+COUNTIF('İş Planı'!$E$5:$E$204,Listeler!$D32)+COUNTIF('İş Planı'!$F$5:$F$204,Listeler!$D32)+COUNTIF('İş Planı'!$G$5:$G$204,Listeler!$D32)=0,"",ROW()-3))</f>
        <v/>
      </c>
    </row>
    <row r="33">
      <c r="AB33" s="63" t="n">
        <v>46246</v>
      </c>
      <c r="AC33">
        <f>SUMPRODUCT(('İş Planı'!$C$5:$C$204&lt;&gt;"")*('İş Planı'!$M$5:$M$204&lt;&gt;"")*('İş Planı'!$M$5:$M$204&lt;=AB33))</f>
        <v>0</v>
      </c>
      <c r="AD33">
        <f>SUMPRODUCT(('İş Planı'!$C$5:$C$204&lt;&gt;"")*('İş Planı'!$M$5:$M$204&lt;&gt;"")*('İş Planı'!$M$5:$M$204&lt;=AB33)*('İş Planı'!$O$5:$O$204="Tamamlandı"))</f>
        <v>0</v>
      </c>
      <c r="BB33">
        <f>IF(Listeler!$B33="","",IF(COUNTIF('İş Planı'!$B$5:$B$204,Listeler!$B33)=0,"",ROW()-3))</f>
        <v/>
      </c>
      <c r="BD33">
        <f>IF(Listeler!$D33="","",IF(COUNTIF('İş Planı'!$D$5:$D$204,Listeler!$D33)+COUNTIF('İş Planı'!$E$5:$E$204,Listeler!$D33)+COUNTIF('İş Planı'!$F$5:$F$204,Listeler!$D33)+COUNTIF('İş Planı'!$G$5:$G$204,Listeler!$D33)=0,"",ROW()-3))</f>
        <v/>
      </c>
    </row>
    <row r="34">
      <c r="AB34" s="63" t="n">
        <v>46253</v>
      </c>
      <c r="AC34">
        <f>SUMPRODUCT(('İş Planı'!$C$5:$C$204&lt;&gt;"")*('İş Planı'!$M$5:$M$204&lt;&gt;"")*('İş Planı'!$M$5:$M$204&lt;=AB34))</f>
        <v>0</v>
      </c>
      <c r="AD34">
        <f>SUMPRODUCT(('İş Planı'!$C$5:$C$204&lt;&gt;"")*('İş Planı'!$M$5:$M$204&lt;&gt;"")*('İş Planı'!$M$5:$M$204&lt;=AB34)*('İş Planı'!$O$5:$O$204="Tamamlandı"))</f>
        <v>0</v>
      </c>
      <c r="BB34">
        <f>IF(Listeler!$B34="","",IF(COUNTIF('İş Planı'!$B$5:$B$204,Listeler!$B34)=0,"",ROW()-3))</f>
        <v/>
      </c>
      <c r="BD34">
        <f>IF(Listeler!$D34="","",IF(COUNTIF('İş Planı'!$D$5:$D$204,Listeler!$D34)+COUNTIF('İş Planı'!$E$5:$E$204,Listeler!$D34)+COUNTIF('İş Planı'!$F$5:$F$204,Listeler!$D34)+COUNTIF('İş Planı'!$G$5:$G$204,Listeler!$D34)=0,"",ROW()-3))</f>
        <v/>
      </c>
    </row>
    <row r="35">
      <c r="AB35" s="63" t="n">
        <v>46260</v>
      </c>
      <c r="AC35">
        <f>SUMPRODUCT(('İş Planı'!$C$5:$C$204&lt;&gt;"")*('İş Planı'!$M$5:$M$204&lt;&gt;"")*('İş Planı'!$M$5:$M$204&lt;=AB35))</f>
        <v>0</v>
      </c>
      <c r="AD35">
        <f>SUMPRODUCT(('İş Planı'!$C$5:$C$204&lt;&gt;"")*('İş Planı'!$M$5:$M$204&lt;&gt;"")*('İş Planı'!$M$5:$M$204&lt;=AB35)*('İş Planı'!$O$5:$O$204="Tamamlandı"))</f>
        <v>0</v>
      </c>
      <c r="BB35">
        <f>IF(Listeler!$B35="","",IF(COUNTIF('İş Planı'!$B$5:$B$204,Listeler!$B35)=0,"",ROW()-3))</f>
        <v/>
      </c>
      <c r="BD35">
        <f>IF(Listeler!$D35="","",IF(COUNTIF('İş Planı'!$D$5:$D$204,Listeler!$D35)+COUNTIF('İş Planı'!$E$5:$E$204,Listeler!$D35)+COUNTIF('İş Planı'!$F$5:$F$204,Listeler!$D35)+COUNTIF('İş Planı'!$G$5:$G$204,Listeler!$D35)=0,"",ROW()-3))</f>
        <v/>
      </c>
    </row>
    <row r="36">
      <c r="AB36" s="63" t="n">
        <v>46267</v>
      </c>
      <c r="AC36">
        <f>SUMPRODUCT(('İş Planı'!$C$5:$C$204&lt;&gt;"")*('İş Planı'!$M$5:$M$204&lt;&gt;"")*('İş Planı'!$M$5:$M$204&lt;=AB36))</f>
        <v>0</v>
      </c>
      <c r="AD36">
        <f>SUMPRODUCT(('İş Planı'!$C$5:$C$204&lt;&gt;"")*('İş Planı'!$M$5:$M$204&lt;&gt;"")*('İş Planı'!$M$5:$M$204&lt;=AB36)*('İş Planı'!$O$5:$O$204="Tamamlandı"))</f>
        <v>0</v>
      </c>
      <c r="BB36">
        <f>IF(Listeler!$B36="","",IF(COUNTIF('İş Planı'!$B$5:$B$204,Listeler!$B36)=0,"",ROW()-3))</f>
        <v/>
      </c>
      <c r="BD36">
        <f>IF(Listeler!$D36="","",IF(COUNTIF('İş Planı'!$D$5:$D$204,Listeler!$D36)+COUNTIF('İş Planı'!$E$5:$E$204,Listeler!$D36)+COUNTIF('İş Planı'!$F$5:$F$204,Listeler!$D36)+COUNTIF('İş Planı'!$G$5:$G$204,Listeler!$D36)=0,"",ROW()-3))</f>
        <v/>
      </c>
    </row>
    <row r="37">
      <c r="AB37" s="63" t="n">
        <v>46274</v>
      </c>
      <c r="AC37">
        <f>SUMPRODUCT(('İş Planı'!$C$5:$C$204&lt;&gt;"")*('İş Planı'!$M$5:$M$204&lt;&gt;"")*('İş Planı'!$M$5:$M$204&lt;=AB37))</f>
        <v>0</v>
      </c>
      <c r="AD37">
        <f>SUMPRODUCT(('İş Planı'!$C$5:$C$204&lt;&gt;"")*('İş Planı'!$M$5:$M$204&lt;&gt;"")*('İş Planı'!$M$5:$M$204&lt;=AB37)*('İş Planı'!$O$5:$O$204="Tamamlandı"))</f>
        <v>0</v>
      </c>
      <c r="BB37">
        <f>IF(Listeler!$B37="","",IF(COUNTIF('İş Planı'!$B$5:$B$204,Listeler!$B37)=0,"",ROW()-3))</f>
        <v/>
      </c>
      <c r="BD37">
        <f>IF(Listeler!$D37="","",IF(COUNTIF('İş Planı'!$D$5:$D$204,Listeler!$D37)+COUNTIF('İş Planı'!$E$5:$E$204,Listeler!$D37)+COUNTIF('İş Planı'!$F$5:$F$204,Listeler!$D37)+COUNTIF('İş Planı'!$G$5:$G$204,Listeler!$D37)=0,"",ROW()-3))</f>
        <v/>
      </c>
    </row>
    <row r="38">
      <c r="AB38" s="63" t="n">
        <v>46281</v>
      </c>
      <c r="AC38">
        <f>SUMPRODUCT(('İş Planı'!$C$5:$C$204&lt;&gt;"")*('İş Planı'!$M$5:$M$204&lt;&gt;"")*('İş Planı'!$M$5:$M$204&lt;=AB38))</f>
        <v>0</v>
      </c>
      <c r="AD38">
        <f>SUMPRODUCT(('İş Planı'!$C$5:$C$204&lt;&gt;"")*('İş Planı'!$M$5:$M$204&lt;&gt;"")*('İş Planı'!$M$5:$M$204&lt;=AB38)*('İş Planı'!$O$5:$O$204="Tamamlandı"))</f>
        <v>0</v>
      </c>
      <c r="BB38">
        <f>IF(Listeler!$B38="","",IF(COUNTIF('İş Planı'!$B$5:$B$204,Listeler!$B38)=0,"",ROW()-3))</f>
        <v/>
      </c>
      <c r="BD38">
        <f>IF(Listeler!$D38="","",IF(COUNTIF('İş Planı'!$D$5:$D$204,Listeler!$D38)+COUNTIF('İş Planı'!$E$5:$E$204,Listeler!$D38)+COUNTIF('İş Planı'!$F$5:$F$204,Listeler!$D38)+COUNTIF('İş Planı'!$G$5:$G$204,Listeler!$D38)=0,"",ROW()-3))</f>
        <v/>
      </c>
    </row>
    <row r="39">
      <c r="AB39" s="63" t="n">
        <v>46288</v>
      </c>
      <c r="AC39">
        <f>SUMPRODUCT(('İş Planı'!$C$5:$C$204&lt;&gt;"")*('İş Planı'!$M$5:$M$204&lt;&gt;"")*('İş Planı'!$M$5:$M$204&lt;=AB39))</f>
        <v>9</v>
      </c>
      <c r="AD39">
        <f>SUMPRODUCT(('İş Planı'!$C$5:$C$204&lt;&gt;"")*('İş Planı'!$M$5:$M$204&lt;&gt;"")*('İş Planı'!$M$5:$M$204&lt;=AB39)*('İş Planı'!$O$5:$O$204="Tamamlandı"))</f>
        <v>3</v>
      </c>
      <c r="BB39">
        <f>IF(Listeler!$B39="","",IF(COUNTIF('İş Planı'!$B$5:$B$204,Listeler!$B39)=0,"",ROW()-3))</f>
        <v/>
      </c>
      <c r="BD39">
        <f>IF(Listeler!$D39="","",IF(COUNTIF('İş Planı'!$D$5:$D$204,Listeler!$D39)+COUNTIF('İş Planı'!$E$5:$E$204,Listeler!$D39)+COUNTIF('İş Planı'!$F$5:$F$204,Listeler!$D39)+COUNTIF('İş Planı'!$G$5:$G$204,Listeler!$D39)=0,"",ROW()-3))</f>
        <v/>
      </c>
    </row>
    <row r="40">
      <c r="AB40" s="63" t="n">
        <v>46295</v>
      </c>
      <c r="AC40">
        <f>SUMPRODUCT(('İş Planı'!$C$5:$C$204&lt;&gt;"")*('İş Planı'!$M$5:$M$204&lt;&gt;"")*('İş Planı'!$M$5:$M$204&lt;=AB40))</f>
        <v>18</v>
      </c>
      <c r="AD40">
        <f>SUMPRODUCT(('İş Planı'!$C$5:$C$204&lt;&gt;"")*('İş Planı'!$M$5:$M$204&lt;&gt;"")*('İş Planı'!$M$5:$M$204&lt;=AB40)*('İş Planı'!$O$5:$O$204="Tamamlandı"))</f>
        <v>3</v>
      </c>
      <c r="BB40">
        <f>IF(Listeler!$B40="","",IF(COUNTIF('İş Planı'!$B$5:$B$204,Listeler!$B40)=0,"",ROW()-3))</f>
        <v/>
      </c>
      <c r="BD40">
        <f>IF(Listeler!$D40="","",IF(COUNTIF('İş Planı'!$D$5:$D$204,Listeler!$D40)+COUNTIF('İş Planı'!$E$5:$E$204,Listeler!$D40)+COUNTIF('İş Planı'!$F$5:$F$204,Listeler!$D40)+COUNTIF('İş Planı'!$G$5:$G$204,Listeler!$D40)=0,"",ROW()-3))</f>
        <v/>
      </c>
    </row>
    <row r="41">
      <c r="AB41" s="63" t="n">
        <v>46302</v>
      </c>
      <c r="AC41">
        <f>SUMPRODUCT(('İş Planı'!$C$5:$C$204&lt;&gt;"")*('İş Planı'!$M$5:$M$204&lt;&gt;"")*('İş Planı'!$M$5:$M$204&lt;=AB41))</f>
        <v>20</v>
      </c>
      <c r="AD41">
        <f>SUMPRODUCT(('İş Planı'!$C$5:$C$204&lt;&gt;"")*('İş Planı'!$M$5:$M$204&lt;&gt;"")*('İş Planı'!$M$5:$M$204&lt;=AB41)*('İş Planı'!$O$5:$O$204="Tamamlandı"))</f>
        <v>5</v>
      </c>
      <c r="BB41">
        <f>IF(Listeler!$B41="","",IF(COUNTIF('İş Planı'!$B$5:$B$204,Listeler!$B41)=0,"",ROW()-3))</f>
        <v/>
      </c>
      <c r="BD41">
        <f>IF(Listeler!$D41="","",IF(COUNTIF('İş Planı'!$D$5:$D$204,Listeler!$D41)+COUNTIF('İş Planı'!$E$5:$E$204,Listeler!$D41)+COUNTIF('İş Planı'!$F$5:$F$204,Listeler!$D41)+COUNTIF('İş Planı'!$G$5:$G$204,Listeler!$D41)=0,"",ROW()-3))</f>
        <v/>
      </c>
    </row>
    <row r="42">
      <c r="AB42" s="63" t="n">
        <v>46309</v>
      </c>
      <c r="AC42">
        <f>SUMPRODUCT(('İş Planı'!$C$5:$C$204&lt;&gt;"")*('İş Planı'!$M$5:$M$204&lt;&gt;"")*('İş Planı'!$M$5:$M$204&lt;=AB42))</f>
        <v>22</v>
      </c>
      <c r="AD42">
        <f>SUMPRODUCT(('İş Planı'!$C$5:$C$204&lt;&gt;"")*('İş Planı'!$M$5:$M$204&lt;&gt;"")*('İş Planı'!$M$5:$M$204&lt;=AB42)*('İş Planı'!$O$5:$O$204="Tamamlandı"))</f>
        <v>5</v>
      </c>
      <c r="BB42">
        <f>IF(Listeler!$B42="","",IF(COUNTIF('İş Planı'!$B$5:$B$204,Listeler!$B42)=0,"",ROW()-3))</f>
        <v/>
      </c>
      <c r="BD42">
        <f>IF(Listeler!$D42="","",IF(COUNTIF('İş Planı'!$D$5:$D$204,Listeler!$D42)+COUNTIF('İş Planı'!$E$5:$E$204,Listeler!$D42)+COUNTIF('İş Planı'!$F$5:$F$204,Listeler!$D42)+COUNTIF('İş Planı'!$G$5:$G$204,Listeler!$D42)=0,"",ROW()-3))</f>
        <v/>
      </c>
    </row>
    <row r="43">
      <c r="AB43" s="63" t="n">
        <v>46316</v>
      </c>
      <c r="AC43">
        <f>SUMPRODUCT(('İş Planı'!$C$5:$C$204&lt;&gt;"")*('İş Planı'!$M$5:$M$204&lt;&gt;"")*('İş Planı'!$M$5:$M$204&lt;=AB43))</f>
        <v>27</v>
      </c>
      <c r="AD43">
        <f>SUMPRODUCT(('İş Planı'!$C$5:$C$204&lt;&gt;"")*('İş Planı'!$M$5:$M$204&lt;&gt;"")*('İş Planı'!$M$5:$M$204&lt;=AB43)*('İş Planı'!$O$5:$O$204="Tamamlandı"))</f>
        <v>5</v>
      </c>
      <c r="BB43">
        <f>IF(Listeler!$B43="","",IF(COUNTIF('İş Planı'!$B$5:$B$204,Listeler!$B43)=0,"",ROW()-3))</f>
        <v/>
      </c>
      <c r="BD43">
        <f>IF(Listeler!$D43="","",IF(COUNTIF('İş Planı'!$D$5:$D$204,Listeler!$D43)+COUNTIF('İş Planı'!$E$5:$E$204,Listeler!$D43)+COUNTIF('İş Planı'!$F$5:$F$204,Listeler!$D43)+COUNTIF('İş Planı'!$G$5:$G$204,Listeler!$D43)=0,"",ROW()-3))</f>
        <v/>
      </c>
    </row>
    <row r="44">
      <c r="AB44" s="63" t="n">
        <v>46323</v>
      </c>
      <c r="AC44">
        <f>SUMPRODUCT(('İş Planı'!$C$5:$C$204&lt;&gt;"")*('İş Planı'!$M$5:$M$204&lt;&gt;"")*('İş Planı'!$M$5:$M$204&lt;=AB44))</f>
        <v>30</v>
      </c>
      <c r="AD44">
        <f>SUMPRODUCT(('İş Planı'!$C$5:$C$204&lt;&gt;"")*('İş Planı'!$M$5:$M$204&lt;&gt;"")*('İş Planı'!$M$5:$M$204&lt;=AB44)*('İş Planı'!$O$5:$O$204="Tamamlandı"))</f>
        <v>5</v>
      </c>
    </row>
    <row r="45">
      <c r="AB45" s="63" t="n">
        <v>46330</v>
      </c>
      <c r="AC45">
        <f>SUMPRODUCT(('İş Planı'!$C$5:$C$204&lt;&gt;"")*('İş Planı'!$M$5:$M$204&lt;&gt;"")*('İş Planı'!$M$5:$M$204&lt;=AB45))</f>
        <v>34</v>
      </c>
      <c r="AD45">
        <f>SUMPRODUCT(('İş Planı'!$C$5:$C$204&lt;&gt;"")*('İş Planı'!$M$5:$M$204&lt;&gt;"")*('İş Planı'!$M$5:$M$204&lt;=AB45)*('İş Planı'!$O$5:$O$204="Tamamlandı"))</f>
        <v>5</v>
      </c>
    </row>
    <row r="46">
      <c r="AB46" s="63" t="n">
        <v>46337</v>
      </c>
      <c r="AC46">
        <f>SUMPRODUCT(('İş Planı'!$C$5:$C$204&lt;&gt;"")*('İş Planı'!$M$5:$M$204&lt;&gt;"")*('İş Planı'!$M$5:$M$204&lt;=AB46))</f>
        <v>38</v>
      </c>
      <c r="AD46">
        <f>SUMPRODUCT(('İş Planı'!$C$5:$C$204&lt;&gt;"")*('İş Planı'!$M$5:$M$204&lt;&gt;"")*('İş Planı'!$M$5:$M$204&lt;=AB46)*('İş Planı'!$O$5:$O$204="Tamamlandı"))</f>
        <v>6</v>
      </c>
    </row>
    <row r="47">
      <c r="AB47" s="63" t="n">
        <v>46344</v>
      </c>
      <c r="AC47">
        <f>SUMPRODUCT(('İş Planı'!$C$5:$C$204&lt;&gt;"")*('İş Planı'!$M$5:$M$204&lt;&gt;"")*('İş Planı'!$M$5:$M$204&lt;=AB47))</f>
        <v>38</v>
      </c>
      <c r="AD47">
        <f>SUMPRODUCT(('İş Planı'!$C$5:$C$204&lt;&gt;"")*('İş Planı'!$M$5:$M$204&lt;&gt;"")*('İş Planı'!$M$5:$M$204&lt;=AB47)*('İş Planı'!$O$5:$O$204="Tamamlandı"))</f>
        <v>6</v>
      </c>
    </row>
    <row r="48">
      <c r="AB48" s="63" t="n">
        <v>46351</v>
      </c>
      <c r="AC48">
        <f>SUMPRODUCT(('İş Planı'!$C$5:$C$204&lt;&gt;"")*('İş Planı'!$M$5:$M$204&lt;&gt;"")*('İş Planı'!$M$5:$M$204&lt;=AB48))</f>
        <v>38</v>
      </c>
      <c r="AD48">
        <f>SUMPRODUCT(('İş Planı'!$C$5:$C$204&lt;&gt;"")*('İş Planı'!$M$5:$M$204&lt;&gt;"")*('İş Planı'!$M$5:$M$204&lt;=AB48)*('İş Planı'!$O$5:$O$204="Tamamlandı"))</f>
        <v>6</v>
      </c>
    </row>
    <row r="49">
      <c r="AB49" s="63" t="n">
        <v>46358</v>
      </c>
      <c r="AC49">
        <f>SUMPRODUCT(('İş Planı'!$C$5:$C$204&lt;&gt;"")*('İş Planı'!$M$5:$M$204&lt;&gt;"")*('İş Planı'!$M$5:$M$204&lt;=AB49))</f>
        <v>38</v>
      </c>
      <c r="AD49">
        <f>SUMPRODUCT(('İş Planı'!$C$5:$C$204&lt;&gt;"")*('İş Planı'!$M$5:$M$204&lt;&gt;"")*('İş Planı'!$M$5:$M$204&lt;=AB49)*('İş Planı'!$O$5:$O$204="Tamamlandı"))</f>
        <v>6</v>
      </c>
    </row>
    <row r="50">
      <c r="AB50" s="63" t="n">
        <v>46365</v>
      </c>
      <c r="AC50">
        <f>SUMPRODUCT(('İş Planı'!$C$5:$C$204&lt;&gt;"")*('İş Planı'!$M$5:$M$204&lt;&gt;"")*('İş Planı'!$M$5:$M$204&lt;=AB50))</f>
        <v>38</v>
      </c>
      <c r="AD50">
        <f>SUMPRODUCT(('İş Planı'!$C$5:$C$204&lt;&gt;"")*('İş Planı'!$M$5:$M$204&lt;&gt;"")*('İş Planı'!$M$5:$M$204&lt;=AB50)*('İş Planı'!$O$5:$O$204="Tamamlandı"))</f>
        <v>6</v>
      </c>
    </row>
    <row r="51">
      <c r="AB51" s="63" t="n">
        <v>46372</v>
      </c>
      <c r="AC51">
        <f>SUMPRODUCT(('İş Planı'!$C$5:$C$204&lt;&gt;"")*('İş Planı'!$M$5:$M$204&lt;&gt;"")*('İş Planı'!$M$5:$M$204&lt;=AB51))</f>
        <v>38</v>
      </c>
      <c r="AD51">
        <f>SUMPRODUCT(('İş Planı'!$C$5:$C$204&lt;&gt;"")*('İş Planı'!$M$5:$M$204&lt;&gt;"")*('İş Planı'!$M$5:$M$204&lt;=AB51)*('İş Planı'!$O$5:$O$204="Tamamlandı"))</f>
        <v>6</v>
      </c>
    </row>
    <row r="52">
      <c r="AB52" s="63" t="n">
        <v>46379</v>
      </c>
      <c r="AC52">
        <f>SUMPRODUCT(('İş Planı'!$C$5:$C$204&lt;&gt;"")*('İş Planı'!$M$5:$M$204&lt;&gt;"")*('İş Planı'!$M$5:$M$204&lt;=AB52))</f>
        <v>38</v>
      </c>
      <c r="AD52">
        <f>SUMPRODUCT(('İş Planı'!$C$5:$C$204&lt;&gt;"")*('İş Planı'!$M$5:$M$204&lt;&gt;"")*('İş Planı'!$M$5:$M$204&lt;=AB52)*('İş Planı'!$O$5:$O$204="Tamamlandı"))</f>
        <v>6</v>
      </c>
    </row>
    <row r="53">
      <c r="AB53" s="63" t="n">
        <v>46386</v>
      </c>
      <c r="AC53">
        <f>SUMPRODUCT(('İş Planı'!$C$5:$C$204&lt;&gt;"")*('İş Planı'!$M$5:$M$204&lt;&gt;"")*('İş Planı'!$M$5:$M$204&lt;=AB53))</f>
        <v>38</v>
      </c>
      <c r="AD53">
        <f>SUMPRODUCT(('İş Planı'!$C$5:$C$204&lt;&gt;"")*('İş Planı'!$M$5:$M$204&lt;&gt;"")*('İş Planı'!$M$5:$M$204&lt;=AB53)*('İş Planı'!$O$5:$O$204="Tamamlandı"))</f>
        <v>6</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Y20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33" customWidth="1" min="2" max="2"/>
    <col width="46" customWidth="1" min="3" max="3"/>
    <col width="20" customWidth="1" min="4" max="4"/>
    <col width="18" customWidth="1" min="5" max="5"/>
    <col width="18" customWidth="1" min="6" max="6"/>
    <col width="18" customWidth="1" min="7" max="7"/>
    <col width="12" customWidth="1" min="8" max="8"/>
    <col width="14" customWidth="1" min="9" max="9"/>
    <col width="13" customWidth="1" min="10" max="10"/>
    <col width="11" customWidth="1" min="11" max="11"/>
    <col width="12" customWidth="1" min="12" max="12"/>
    <col width="13" customWidth="1" min="13" max="13"/>
    <col width="12" customWidth="1" min="14" max="14"/>
    <col width="16" customWidth="1" min="15" max="15"/>
    <col width="32" customWidth="1" min="16" max="16"/>
    <col width="42" customWidth="1" min="17" max="17"/>
    <col width="13" customWidth="1" min="18" max="18"/>
    <col width="12" customWidth="1" min="19" max="19"/>
    <col width="28" customWidth="1" min="20" max="20"/>
    <col width="32" customWidth="1" min="21" max="21"/>
    <col width="20" customWidth="1" min="22" max="22"/>
    <col hidden="1" width="13" customWidth="1" min="23" max="23"/>
    <col hidden="1" width="13" customWidth="1" min="24" max="24"/>
    <col hidden="1" width="13" customWidth="1" min="25" max="25"/>
  </cols>
  <sheetData>
    <row r="1" ht="24" customHeight="1">
      <c r="A1" s="66" t="inlineStr">
        <is>
          <t>2026 YILLIK İŞ PLANI  |  Düzenleyici Uyum ve Denetim Takip Tablosu</t>
        </is>
      </c>
    </row>
    <row r="2" ht="16" customHeight="1"/>
    <row r="3" ht="16" customHeight="1">
      <c r="A3" s="67" t="inlineStr">
        <is>
          <t>Beyaz hücreler giriş alanıdır. Gri hücreler formüllüdür. Mutabakat sütununa mutabakatın fiilen yapıldığı tarihi girin; Bitiş'ten sonraki 7 gün içinde yapılması beklenir. ARAYA SATIR EKLEMEYİN.</t>
        </is>
      </c>
    </row>
    <row r="4" ht="30" customHeight="1">
      <c r="A4" s="54" t="inlineStr">
        <is>
          <t>No</t>
        </is>
      </c>
      <c r="B4" s="54" t="inlineStr">
        <is>
          <t>Grup</t>
        </is>
      </c>
      <c r="C4" s="54" t="inlineStr">
        <is>
          <t>İş Kalemi</t>
        </is>
      </c>
      <c r="D4" s="54" t="inlineStr">
        <is>
          <t>Sorumlu 1</t>
        </is>
      </c>
      <c r="E4" s="54" t="inlineStr">
        <is>
          <t>Sorumlu 2</t>
        </is>
      </c>
      <c r="F4" s="54" t="inlineStr">
        <is>
          <t>Sorumlu 3</t>
        </is>
      </c>
      <c r="G4" s="54" t="inlineStr">
        <is>
          <t>Sorumlu 4</t>
        </is>
      </c>
      <c r="H4" s="54" t="inlineStr">
        <is>
          <t>Öncelik</t>
        </is>
      </c>
      <c r="I4" s="54" t="inlineStr">
        <is>
          <t>Başlangıç</t>
        </is>
      </c>
      <c r="J4" s="54" t="inlineStr">
        <is>
          <t>Bitiş</t>
        </is>
      </c>
      <c r="K4" s="54" t="inlineStr">
        <is>
          <t>Süre (Gün)</t>
        </is>
      </c>
      <c r="L4" s="54" t="inlineStr">
        <is>
          <t>Gecikme (Gün)</t>
        </is>
      </c>
      <c r="M4" s="54" t="inlineStr">
        <is>
          <t>Revize Bitiş</t>
        </is>
      </c>
      <c r="N4" s="54" t="inlineStr">
        <is>
          <t>İlerleme %</t>
        </is>
      </c>
      <c r="O4" s="54" t="inlineStr">
        <is>
          <t>Durum</t>
        </is>
      </c>
      <c r="P4" s="54" t="inlineStr">
        <is>
          <t>Gecikme Sebebi</t>
        </is>
      </c>
      <c r="Q4" s="54" t="inlineStr">
        <is>
          <t>Karar / Not</t>
        </is>
      </c>
      <c r="R4" s="54" t="inlineStr">
        <is>
          <t>Mutabakat</t>
        </is>
      </c>
      <c r="S4" s="54" t="inlineStr">
        <is>
          <t>Mutabakat Gün</t>
        </is>
      </c>
      <c r="T4" s="54" t="inlineStr">
        <is>
          <t>Mutabakat Uyarı</t>
        </is>
      </c>
      <c r="U4" s="54" t="inlineStr">
        <is>
          <t>Projeksiyon Uyarısı</t>
        </is>
      </c>
      <c r="V4" s="54" t="inlineStr">
        <is>
          <t>Uyarı</t>
        </is>
      </c>
      <c r="W4" s="68" t="inlineStr">
        <is>
          <t>yrd: sıralama</t>
        </is>
      </c>
      <c r="X4" s="68" t="inlineStr">
        <is>
          <t>yrd: gecikme</t>
        </is>
      </c>
      <c r="Y4" s="68" t="inlineStr">
        <is>
          <t>yrd: projeksiyon</t>
        </is>
      </c>
    </row>
    <row r="5" ht="18" customHeight="1">
      <c r="A5" s="69">
        <f>IF($C5="","",ROW()-4)</f>
        <v>1</v>
      </c>
      <c r="B5" s="70" t="inlineStr">
        <is>
          <t>Yönetim Beyanı</t>
        </is>
      </c>
      <c r="C5" s="70" t="inlineStr">
        <is>
          <t>Madde 4</t>
        </is>
      </c>
      <c r="D5" s="71" t="inlineStr">
        <is>
          <t>Ornek User1</t>
        </is>
      </c>
      <c r="E5" s="71" t="n"/>
      <c r="F5" s="71" t="n"/>
      <c r="G5" s="71" t="n"/>
      <c r="H5" s="71" t="inlineStr">
        <is>
          <t>Orta</t>
        </is>
      </c>
      <c r="I5" s="72" t="n"/>
      <c r="J5" s="72" t="n"/>
      <c r="K5" s="73">
        <f>IF(OR($I5="",$J5=""),"",$J5-$I5+1)</f>
        <v/>
      </c>
      <c r="L5" s="56" t="n"/>
      <c r="M5" s="74">
        <f>IF($J5="","",$J5+N($L5))</f>
        <v/>
      </c>
      <c r="N5" s="75" t="n"/>
      <c r="O5" s="69" t="str">
        <f>IF($C5="","",IF(N($N5)&gt;=1,"Tamamlandı",IF(AND($J5&lt;&gt;"",$M5&lt;Hesap!$B$3),"Gecikmiş",IF(OR(N($N5)&gt;0,AND($I5&lt;&gt;"",$I5&lt;=Hesap!$B$3)),"Devam Ediyor","Planlanan"))))</f>
        <v>Planlanan</v>
      </c>
      <c r="P5" s="70" t="n"/>
      <c r="Q5" s="70" t="n"/>
      <c r="R5" s="72" t="n"/>
      <c r="S5" s="73">
        <f>IF(OR($J5="",$R5=""),"",$R5-$J5)</f>
        <v/>
      </c>
      <c r="T5" s="76">
        <f>IF($C5="","",IF($J5="","",IF($R5&lt;&gt;"",IF($S5&gt;7,"⚠ "&amp;TEXT($S5,"0")&amp;" günde yapıldı (geç)","✔ "&amp;TEXT($S5,"0")&amp;" günde yapıldı"),IF($J5&gt;Hesap!$B$3,"",IF($J5+7&lt;Hesap!$B$3,"⚠ Mutabakat "&amp;TEXT(Hesap!$B$3-($J5+7),"0")&amp;" gün gecikti","● Mutabakat için "&amp;TEXT($J5+7-Hesap!$B$3,"0")&amp;" gün")))))</f>
        <v/>
      </c>
      <c r="U5" s="76">
        <f>IF($Y5="","",IF($Y5&gt;0.3,"⚠ Gecikebilir (%"&amp;TEXT($Y5*100,"0")&amp;" geride)",""))</f>
        <v/>
      </c>
      <c r="V5" s="76">
        <f>IF($C5="","",IF($O5="Tamamlandı","",IF($M5="","",IF($M5&lt;Hesap!$B$3,"⚠ "&amp;TEXT(Hesap!$B$3-$M5,"0")&amp;" gün gecikme",IF($M5-Hesap!$B$3&lt;=14,"● "&amp;TEXT($M5-Hesap!$B$3,"0")&amp;" gün kaldı","")))))</f>
        <v/>
      </c>
      <c r="W5">
        <f>IF($C5="","",IF($O5="Tamamlandı",N($L5),MAX(N($L5),IF(AND($J5&lt;&gt;"",$J5&lt;Hesap!$B$3),Hesap!$B$3-$J5,0)))+ROW()/1000000)</f>
        <v>0.000005</v>
      </c>
      <c r="X5">
        <f>IF($W5="","",INT($W5))</f>
        <v>0</v>
      </c>
      <c r="Y5">
        <f>IF(OR($C5="",$I5="",$K5="",$K5&lt;=0,$O5="Tamamlandı"),"",IF(Hesap!$B$3&lt;$I5,"",MIN(1,(Hesap!$B$3-$I5+1)/$K5)-N($N5)))</f>
        <v/>
      </c>
    </row>
    <row r="6" ht="18" customHeight="1">
      <c r="A6" s="69">
        <f>IF($C6="","",ROW()-4)</f>
        <v>2</v>
      </c>
      <c r="B6" s="70" t="inlineStr">
        <is>
          <t>Yönetim Beyanı</t>
        </is>
      </c>
      <c r="C6" s="70" t="inlineStr">
        <is>
          <t>Madde 5</t>
        </is>
      </c>
      <c r="D6" s="71" t="inlineStr">
        <is>
          <t>Ornek User1</t>
        </is>
      </c>
      <c r="E6" s="71" t="n"/>
      <c r="F6" s="71" t="n"/>
      <c r="G6" s="71" t="n"/>
      <c r="H6" s="71" t="inlineStr">
        <is>
          <t>Orta</t>
        </is>
      </c>
      <c r="I6" s="72" t="n"/>
      <c r="J6" s="72" t="n"/>
      <c r="K6" s="73">
        <f>IF(OR($I6="",$J6=""),"",$J6-$I6+1)</f>
        <v/>
      </c>
      <c r="L6" s="56" t="n"/>
      <c r="M6" s="74">
        <f>IF($J6="","",$J6+N($L6))</f>
        <v/>
      </c>
      <c r="N6" s="75" t="n"/>
      <c r="O6" s="69" t="str">
        <f>IF($C6="","",IF(N($N6)&gt;=1,"Tamamlandı",IF(AND($J6&lt;&gt;"",$M6&lt;Hesap!$B$3),"Gecikmiş",IF(OR(N($N6)&gt;0,AND($I6&lt;&gt;"",$I6&lt;=Hesap!$B$3)),"Devam Ediyor","Planlanan"))))</f>
        <v>Planlanan</v>
      </c>
      <c r="P6" s="70" t="n"/>
      <c r="Q6" s="70" t="n"/>
      <c r="R6" s="72" t="n"/>
      <c r="S6" s="73">
        <f>IF(OR($J6="",$R6=""),"",$R6-$J6)</f>
        <v/>
      </c>
      <c r="T6" s="76">
        <f>IF($C6="","",IF($J6="","",IF($R6&lt;&gt;"",IF($S6&gt;7,"⚠ "&amp;TEXT($S6,"0")&amp;" günde yapıldı (geç)","✔ "&amp;TEXT($S6,"0")&amp;" günde yapıldı"),IF($J6&gt;Hesap!$B$3,"",IF($J6+7&lt;Hesap!$B$3,"⚠ Mutabakat "&amp;TEXT(Hesap!$B$3-($J6+7),"0")&amp;" gün gecikti","● Mutabakat için "&amp;TEXT($J6+7-Hesap!$B$3,"0")&amp;" gün")))))</f>
        <v/>
      </c>
      <c r="U6" s="76">
        <f>IF($Y6="","",IF($Y6&gt;0.3,"⚠ Gecikebilir (%"&amp;TEXT($Y6*100,"0")&amp;" geride)",""))</f>
        <v/>
      </c>
      <c r="V6" s="76">
        <f>IF($C6="","",IF($O6="Tamamlandı","",IF($M6="","",IF($M6&lt;Hesap!$B$3,"⚠ "&amp;TEXT(Hesap!$B$3-$M6,"0")&amp;" gün gecikme",IF($M6-Hesap!$B$3&lt;=14,"● "&amp;TEXT($M6-Hesap!$B$3,"0")&amp;" gün kaldı","")))))</f>
        <v/>
      </c>
      <c r="W6">
        <f>IF($C6="","",IF($O6="Tamamlandı",N($L6),MAX(N($L6),IF(AND($J6&lt;&gt;"",$J6&lt;Hesap!$B$3),Hesap!$B$3-$J6,0)))+ROW()/1000000)</f>
        <v>0.000006</v>
      </c>
      <c r="X6">
        <f>IF($W6="","",INT($W6))</f>
        <v>0</v>
      </c>
      <c r="Y6">
        <f>IF(OR($C6="",$I6="",$K6="",$K6&lt;=0,$O6="Tamamlandı"),"",IF(Hesap!$B$3&lt;$I6,"",MIN(1,(Hesap!$B$3-$I6+1)/$K6)-N($N6)))</f>
        <v/>
      </c>
    </row>
    <row r="7" ht="18" customHeight="1">
      <c r="A7" s="69">
        <f>IF($C7="","",ROW()-4)</f>
        <v>3</v>
      </c>
      <c r="B7" s="70" t="inlineStr">
        <is>
          <t>Yönetim Beyanı</t>
        </is>
      </c>
      <c r="C7" s="70" t="inlineStr">
        <is>
          <t>Madde 30 Bilgi sistemleri iç kontrol faaliyetleri</t>
        </is>
      </c>
      <c r="D7" s="71" t="inlineStr">
        <is>
          <t>Ornek User13</t>
        </is>
      </c>
      <c r="E7" s="71" t="n"/>
      <c r="F7" s="71" t="n"/>
      <c r="G7" s="71" t="n"/>
      <c r="H7" s="71" t="inlineStr">
        <is>
          <t>Orta</t>
        </is>
      </c>
      <c r="I7" s="72" t="n">
        <v>46279</v>
      </c>
      <c r="J7" s="72" t="n">
        <v>46297</v>
      </c>
      <c r="K7" s="73">
        <f>IF(OR($I7="",$J7=""),"",$J7-$I7+1)</f>
        <v>19</v>
      </c>
      <c r="L7" s="56" t="n"/>
      <c r="M7" s="74">
        <f>IF($J7="","",$J7+N($L7))</f>
        <v>46297</v>
      </c>
      <c r="N7" s="75" t="n">
        <v>1</v>
      </c>
      <c r="O7" s="69" t="str">
        <f>IF($C7="","",IF(N($N7)&gt;=1,"Tamamlandı",IF(AND($J7&lt;&gt;"",$M7&lt;Hesap!$B$3),"Gecikmiş",IF(OR(N($N7)&gt;0,AND($I7&lt;&gt;"",$I7&lt;=Hesap!$B$3)),"Devam Ediyor","Planlanan"))))</f>
        <v>Tamamlandı</v>
      </c>
      <c r="P7" s="70" t="n"/>
      <c r="Q7" s="70" t="n"/>
      <c r="R7" s="72" t="n"/>
      <c r="S7" s="73">
        <f>IF(OR($J7="",$R7=""),"",$R7-$J7)</f>
        <v/>
      </c>
      <c r="T7" s="76" t="str">
        <f>IF($C7="","",IF($J7="","",IF($R7&lt;&gt;"",IF($S7&gt;7,"⚠ "&amp;TEXT($S7,"0")&amp;" günde yapıldı (geç)","✔ "&amp;TEXT($S7,"0")&amp;" günde yapıldı"),IF($J7&gt;Hesap!$B$3,"",IF($J7+7&lt;Hesap!$B$3,"⚠ Mutabakat "&amp;TEXT(Hesap!$B$3-($J7+7),"0")&amp;" gün gecikti","● Mutabakat için "&amp;TEXT($J7+7-Hesap!$B$3,"0")&amp;" gün")))))</f>
        <v>● Mutabakat için 4 gün</v>
      </c>
      <c r="U7" s="76">
        <f>IF($Y7="","",IF($Y7&gt;0.3,"⚠ Gecikebilir (%"&amp;TEXT($Y7*100,"0")&amp;" geride)",""))</f>
        <v/>
      </c>
      <c r="V7" s="76">
        <f>IF($C7="","",IF($O7="Tamamlandı","",IF($M7="","",IF($M7&lt;Hesap!$B$3,"⚠ "&amp;TEXT(Hesap!$B$3-$M7,"0")&amp;" gün gecikme",IF($M7-Hesap!$B$3&lt;=14,"● "&amp;TEXT($M7-Hesap!$B$3,"0")&amp;" gün kaldı","")))))</f>
        <v/>
      </c>
      <c r="W7">
        <f>IF($C7="","",IF($O7="Tamamlandı",N($L7),MAX(N($L7),IF(AND($J7&lt;&gt;"",$J7&lt;Hesap!$B$3),Hesap!$B$3-$J7,0)))+ROW()/1000000)</f>
        <v>0.000007</v>
      </c>
      <c r="X7">
        <f>IF($W7="","",INT($W7))</f>
        <v>0</v>
      </c>
      <c r="Y7">
        <f>IF(OR($C7="",$I7="",$K7="",$K7&lt;=0,$O7="Tamamlandı"),"",IF(Hesap!$B$3&lt;$I7,"",MIN(1,(Hesap!$B$3-$I7+1)/$K7)-N($N7)))</f>
        <v/>
      </c>
    </row>
    <row r="8" ht="18" customHeight="1">
      <c r="A8" s="69">
        <f>IF($C8="","",ROW()-4)</f>
        <v>4</v>
      </c>
      <c r="B8" s="70" t="inlineStr">
        <is>
          <t>Yönetim Beyanı</t>
        </is>
      </c>
      <c r="C8" s="70" t="inlineStr">
        <is>
          <t>Madde 31 Bilgi sistemleri iç denetim faaliyetleri</t>
        </is>
      </c>
      <c r="D8" s="71" t="inlineStr">
        <is>
          <t>Ornek User13</t>
        </is>
      </c>
      <c r="E8" s="71" t="n"/>
      <c r="F8" s="71" t="n"/>
      <c r="G8" s="71" t="n"/>
      <c r="H8" s="71" t="inlineStr">
        <is>
          <t>Orta</t>
        </is>
      </c>
      <c r="I8" s="72" t="n">
        <v>46279</v>
      </c>
      <c r="J8" s="72" t="n">
        <v>46297</v>
      </c>
      <c r="K8" s="73">
        <f>IF(OR($I8="",$J8=""),"",$J8-$I8+1)</f>
        <v>19</v>
      </c>
      <c r="L8" s="56" t="n"/>
      <c r="M8" s="74">
        <f>IF($J8="","",$J8+N($L8))</f>
        <v>46297</v>
      </c>
      <c r="N8" s="75" t="n">
        <v>1</v>
      </c>
      <c r="O8" s="69" t="str">
        <f>IF($C8="","",IF(N($N8)&gt;=1,"Tamamlandı",IF(AND($J8&lt;&gt;"",$M8&lt;Hesap!$B$3),"Gecikmiş",IF(OR(N($N8)&gt;0,AND($I8&lt;&gt;"",$I8&lt;=Hesap!$B$3)),"Devam Ediyor","Planlanan"))))</f>
        <v>Tamamlandı</v>
      </c>
      <c r="P8" s="70" t="n"/>
      <c r="Q8" s="70" t="n"/>
      <c r="R8" s="72" t="n"/>
      <c r="S8" s="73">
        <f>IF(OR($J8="",$R8=""),"",$R8-$J8)</f>
        <v/>
      </c>
      <c r="T8" s="76" t="str">
        <f>IF($C8="","",IF($J8="","",IF($R8&lt;&gt;"",IF($S8&gt;7,"⚠ "&amp;TEXT($S8,"0")&amp;" günde yapıldı (geç)","✔ "&amp;TEXT($S8,"0")&amp;" günde yapıldı"),IF($J8&gt;Hesap!$B$3,"",IF($J8+7&lt;Hesap!$B$3,"⚠ Mutabakat "&amp;TEXT(Hesap!$B$3-($J8+7),"0")&amp;" gün gecikti","● Mutabakat için "&amp;TEXT($J8+7-Hesap!$B$3,"0")&amp;" gün")))))</f>
        <v>● Mutabakat için 4 gün</v>
      </c>
      <c r="U8" s="76">
        <f>IF($Y8="","",IF($Y8&gt;0.3,"⚠ Gecikebilir (%"&amp;TEXT($Y8*100,"0")&amp;" geride)",""))</f>
        <v/>
      </c>
      <c r="V8" s="76">
        <f>IF($C8="","",IF($O8="Tamamlandı","",IF($M8="","",IF($M8&lt;Hesap!$B$3,"⚠ "&amp;TEXT(Hesap!$B$3-$M8,"0")&amp;" gün gecikme",IF($M8-Hesap!$B$3&lt;=14,"● "&amp;TEXT($M8-Hesap!$B$3,"0")&amp;" gün kaldı","")))))</f>
        <v/>
      </c>
      <c r="W8">
        <f>IF($C8="","",IF($O8="Tamamlandı",N($L8),MAX(N($L8),IF(AND($J8&lt;&gt;"",$J8&lt;Hesap!$B$3),Hesap!$B$3-$J8,0)))+ROW()/1000000)</f>
        <v>0.000008</v>
      </c>
      <c r="X8">
        <f>IF($W8="","",INT($W8))</f>
        <v>0</v>
      </c>
      <c r="Y8">
        <f>IF(OR($C8="",$I8="",$K8="",$K8&lt;=0,$O8="Tamamlandı"),"",IF(Hesap!$B$3&lt;$I8,"",MIN(1,(Hesap!$B$3-$I8+1)/$K8)-N($N8)))</f>
        <v/>
      </c>
    </row>
    <row r="9" ht="18" customHeight="1">
      <c r="A9" s="69">
        <f>IF($C9="","",ROW()-4)</f>
        <v>5</v>
      </c>
      <c r="B9" s="70" t="inlineStr">
        <is>
          <t>BIGR</t>
        </is>
      </c>
      <c r="C9" s="70" t="inlineStr">
        <is>
          <t>3.1.13 Felaket Kurtarma ve İş Sürekliliği Yönetimi</t>
        </is>
      </c>
      <c r="D9" s="71" t="inlineStr">
        <is>
          <t>Ornek User9</t>
        </is>
      </c>
      <c r="E9" s="71" t="n"/>
      <c r="F9" s="71" t="n"/>
      <c r="G9" s="71" t="n"/>
      <c r="H9" s="71" t="inlineStr">
        <is>
          <t>Orta</t>
        </is>
      </c>
      <c r="I9" s="72" t="n">
        <v>46314</v>
      </c>
      <c r="J9" s="72" t="n">
        <v>46332</v>
      </c>
      <c r="K9" s="73">
        <f>IF(OR($I9="",$J9=""),"",$J9-$I9+1)</f>
        <v>19</v>
      </c>
      <c r="L9" s="56" t="n"/>
      <c r="M9" s="74">
        <f>IF($J9="","",$J9+N($L9))</f>
        <v>46332</v>
      </c>
      <c r="N9" s="75" t="n">
        <v>1</v>
      </c>
      <c r="O9" s="69" t="str">
        <f>IF($C9="","",IF(N($N9)&gt;=1,"Tamamlandı",IF(AND($J9&lt;&gt;"",$M9&lt;Hesap!$B$3),"Gecikmiş",IF(OR(N($N9)&gt;0,AND($I9&lt;&gt;"",$I9&lt;=Hesap!$B$3)),"Devam Ediyor","Planlanan"))))</f>
        <v>Tamamlandı</v>
      </c>
      <c r="P9" s="70" t="n"/>
      <c r="Q9" s="70" t="n"/>
      <c r="R9" s="72" t="n"/>
      <c r="S9" s="73">
        <f>IF(OR($J9="",$R9=""),"",$R9-$J9)</f>
        <v/>
      </c>
      <c r="T9" s="76">
        <f>IF($C9="","",IF($J9="","",IF($R9&lt;&gt;"",IF($S9&gt;7,"⚠ "&amp;TEXT($S9,"0")&amp;" günde yapıldı (geç)","✔ "&amp;TEXT($S9,"0")&amp;" günde yapıldı"),IF($J9&gt;Hesap!$B$3,"",IF($J9+7&lt;Hesap!$B$3,"⚠ Mutabakat "&amp;TEXT(Hesap!$B$3-($J9+7),"0")&amp;" gün gecikti","● Mutabakat için "&amp;TEXT($J9+7-Hesap!$B$3,"0")&amp;" gün")))))</f>
        <v/>
      </c>
      <c r="U9" s="76">
        <f>IF($Y9="","",IF($Y9&gt;0.3,"⚠ Gecikebilir (%"&amp;TEXT($Y9*100,"0")&amp;" geride)",""))</f>
        <v/>
      </c>
      <c r="V9" s="76">
        <f>IF($C9="","",IF($O9="Tamamlandı","",IF($M9="","",IF($M9&lt;Hesap!$B$3,"⚠ "&amp;TEXT(Hesap!$B$3-$M9,"0")&amp;" gün gecikme",IF($M9-Hesap!$B$3&lt;=14,"● "&amp;TEXT($M9-Hesap!$B$3,"0")&amp;" gün kaldı","")))))</f>
        <v/>
      </c>
      <c r="W9">
        <f>IF($C9="","",IF($O9="Tamamlandı",N($L9),MAX(N($L9),IF(AND($J9&lt;&gt;"",$J9&lt;Hesap!$B$3),Hesap!$B$3-$J9,0)))+ROW()/1000000)</f>
        <v>0.000009</v>
      </c>
      <c r="X9">
        <f>IF($W9="","",INT($W9))</f>
        <v>0</v>
      </c>
      <c r="Y9">
        <f>IF(OR($C9="",$I9="",$K9="",$K9&lt;=0,$O9="Tamamlandı"),"",IF(Hesap!$B$3&lt;$I9,"",MIN(1,(Hesap!$B$3-$I9+1)/$K9)-N($N9)))</f>
        <v/>
      </c>
    </row>
    <row r="10" ht="18" customHeight="1">
      <c r="A10" s="69">
        <f>IF($C10="","",ROW()-4)</f>
        <v>6</v>
      </c>
      <c r="B10" s="70" t="inlineStr">
        <is>
          <t>Dendeks WS Entegrasyon Denetimi</t>
        </is>
      </c>
      <c r="C10" s="70" t="inlineStr">
        <is>
          <t>Workflow Oluşturma</t>
        </is>
      </c>
      <c r="D10" s="71" t="inlineStr">
        <is>
          <t>Ornek User4</t>
        </is>
      </c>
      <c r="E10" s="71" t="inlineStr">
        <is>
          <t>Ornek User11</t>
        </is>
      </c>
      <c r="F10" s="71" t="n"/>
      <c r="G10" s="71" t="n"/>
      <c r="H10" s="71" t="n"/>
      <c r="I10" s="72" t="n">
        <v>46265</v>
      </c>
      <c r="J10" s="72" t="n">
        <v>46286</v>
      </c>
      <c r="K10" s="73">
        <f>IF(OR($I10="",$J10=""),"",$J10-$I10+1)</f>
        <v>22</v>
      </c>
      <c r="L10" s="56" t="n"/>
      <c r="M10" s="74">
        <f>IF($J10="","",$J10+N($L10))</f>
        <v>46286</v>
      </c>
      <c r="N10" s="75" t="n">
        <v>1</v>
      </c>
      <c r="O10" s="69" t="str">
        <f>IF($C10="","",IF(N($N10)&gt;=1,"Tamamlandı",IF(AND($J10&lt;&gt;"",$M10&lt;Hesap!$B$3),"Gecikmiş",IF(OR(N($N10)&gt;0,AND($I10&lt;&gt;"",$I10&lt;=Hesap!$B$3)),"Devam Ediyor","Planlanan"))))</f>
        <v>Tamamlandı</v>
      </c>
      <c r="P10" s="70" t="n"/>
      <c r="Q10" s="70" t="n"/>
      <c r="R10" s="72" t="n"/>
      <c r="S10" s="73">
        <f>IF(OR($J10="",$R10=""),"",$R10-$J10)</f>
        <v/>
      </c>
      <c r="T10" s="76" t="str">
        <f>IF($C10="","",IF($J10="","",IF($R10&lt;&gt;"",IF($S10&gt;7,"⚠ "&amp;TEXT($S10,"0")&amp;" günde yapıldı (geç)","✔ "&amp;TEXT($S10,"0")&amp;" günde yapıldı"),IF($J10&gt;Hesap!$B$3,"",IF($J10+7&lt;Hesap!$B$3,"⚠ Mutabakat "&amp;TEXT(Hesap!$B$3-($J10+7),"0")&amp;" gün gecikti","● Mutabakat için "&amp;TEXT($J10+7-Hesap!$B$3,"0")&amp;" gün")))))</f>
        <v>⚠ Mutabakat 7 gün gecikti</v>
      </c>
      <c r="U10" s="76">
        <f>IF($Y10="","",IF($Y10&gt;0.3,"⚠ Gecikebilir (%"&amp;TEXT($Y10*100,"0")&amp;" geride)",""))</f>
        <v/>
      </c>
      <c r="V10" s="76">
        <f>IF($C10="","",IF($O10="Tamamlandı","",IF($M10="","",IF($M10&lt;Hesap!$B$3,"⚠ "&amp;TEXT(Hesap!$B$3-$M10,"0")&amp;" gün gecikme",IF($M10-Hesap!$B$3&lt;=14,"● "&amp;TEXT($M10-Hesap!$B$3,"0")&amp;" gün kaldı","")))))</f>
        <v/>
      </c>
      <c r="W10">
        <f>IF($C10="","",IF($O10="Tamamlandı",N($L10),MAX(N($L10),IF(AND($J10&lt;&gt;"",$J10&lt;Hesap!$B$3),Hesap!$B$3-$J10,0)))+ROW()/1000000)</f>
        <v>0.00001</v>
      </c>
      <c r="X10">
        <f>IF($W10="","",INT($W10))</f>
        <v>0</v>
      </c>
      <c r="Y10">
        <f>IF(OR($C10="",$I10="",$K10="",$K10&lt;=0,$O10="Tamamlandı"),"",IF(Hesap!$B$3&lt;$I10,"",MIN(1,(Hesap!$B$3-$I10+1)/$K10)-N($N10)))</f>
        <v/>
      </c>
    </row>
    <row r="11" ht="18" customHeight="1">
      <c r="A11" s="69">
        <f>IF($C11="","",ROW()-4)</f>
        <v>7</v>
      </c>
      <c r="B11" s="70" t="inlineStr">
        <is>
          <t>Yönetim Beyanı</t>
        </is>
      </c>
      <c r="C11" s="70" t="inlineStr">
        <is>
          <t>Madde 15</t>
        </is>
      </c>
      <c r="D11" s="71" t="inlineStr">
        <is>
          <t>Ornek User12</t>
        </is>
      </c>
      <c r="E11" s="71" t="inlineStr">
        <is>
          <t>Ornek User11</t>
        </is>
      </c>
      <c r="F11" s="71" t="n"/>
      <c r="G11" s="71" t="n"/>
      <c r="H11" s="71" t="inlineStr">
        <is>
          <t>Orta</t>
        </is>
      </c>
      <c r="I11" s="72" t="n"/>
      <c r="J11" s="72" t="n"/>
      <c r="K11" s="73">
        <f>IF(OR($I11="",$J11=""),"",$J11-$I11+1)</f>
        <v/>
      </c>
      <c r="L11" s="56" t="n"/>
      <c r="M11" s="74">
        <f>IF($J11="","",$J11+N($L11))</f>
        <v/>
      </c>
      <c r="N11" s="75" t="n"/>
      <c r="O11" s="69" t="str">
        <f>IF($C11="","",IF(N($N11)&gt;=1,"Tamamlandı",IF(AND($J11&lt;&gt;"",$M11&lt;Hesap!$B$3),"Gecikmiş",IF(OR(N($N11)&gt;0,AND($I11&lt;&gt;"",$I11&lt;=Hesap!$B$3)),"Devam Ediyor","Planlanan"))))</f>
        <v>Planlanan</v>
      </c>
      <c r="P11" s="70" t="n"/>
      <c r="Q11" s="70" t="n"/>
      <c r="R11" s="72" t="n"/>
      <c r="S11" s="73">
        <f>IF(OR($J11="",$R11=""),"",$R11-$J11)</f>
        <v/>
      </c>
      <c r="T11" s="76">
        <f>IF($C11="","",IF($J11="","",IF($R11&lt;&gt;"",IF($S11&gt;7,"⚠ "&amp;TEXT($S11,"0")&amp;" günde yapıldı (geç)","✔ "&amp;TEXT($S11,"0")&amp;" günde yapıldı"),IF($J11&gt;Hesap!$B$3,"",IF($J11+7&lt;Hesap!$B$3,"⚠ Mutabakat "&amp;TEXT(Hesap!$B$3-($J11+7),"0")&amp;" gün gecikti","● Mutabakat için "&amp;TEXT($J11+7-Hesap!$B$3,"0")&amp;" gün")))))</f>
        <v/>
      </c>
      <c r="U11" s="76">
        <f>IF($Y11="","",IF($Y11&gt;0.3,"⚠ Gecikebilir (%"&amp;TEXT($Y11*100,"0")&amp;" geride)",""))</f>
        <v/>
      </c>
      <c r="V11" s="76">
        <f>IF($C11="","",IF($O11="Tamamlandı","",IF($M11="","",IF($M11&lt;Hesap!$B$3,"⚠ "&amp;TEXT(Hesap!$B$3-$M11,"0")&amp;" gün gecikme",IF($M11-Hesap!$B$3&lt;=14,"● "&amp;TEXT($M11-Hesap!$B$3,"0")&amp;" gün kaldı","")))))</f>
        <v/>
      </c>
      <c r="W11">
        <f>IF($C11="","",IF($O11="Tamamlandı",N($L11),MAX(N($L11),IF(AND($J11&lt;&gt;"",$J11&lt;Hesap!$B$3),Hesap!$B$3-$J11,0)))+ROW()/1000000)</f>
        <v>0.000011</v>
      </c>
      <c r="X11">
        <f>IF($W11="","",INT($W11))</f>
        <v>0</v>
      </c>
      <c r="Y11">
        <f>IF(OR($C11="",$I11="",$K11="",$K11&lt;=0,$O11="Tamamlandı"),"",IF(Hesap!$B$3&lt;$I11,"",MIN(1,(Hesap!$B$3-$I11+1)/$K11)-N($N11)))</f>
        <v/>
      </c>
    </row>
    <row r="12" ht="18" customHeight="1">
      <c r="A12" s="69">
        <f>IF($C12="","",ROW()-4)</f>
        <v>8</v>
      </c>
      <c r="B12" s="70" t="inlineStr">
        <is>
          <t>Yönetim Beyanı</t>
        </is>
      </c>
      <c r="C12" s="70" t="inlineStr">
        <is>
          <t>Madde 16</t>
        </is>
      </c>
      <c r="D12" s="71" t="inlineStr">
        <is>
          <t>Ornek User12</t>
        </is>
      </c>
      <c r="E12" s="71" t="inlineStr">
        <is>
          <t>Ornek User11</t>
        </is>
      </c>
      <c r="F12" s="71" t="n"/>
      <c r="G12" s="71" t="n"/>
      <c r="H12" s="71" t="inlineStr">
        <is>
          <t>Orta</t>
        </is>
      </c>
      <c r="I12" s="72" t="n"/>
      <c r="J12" s="72" t="n"/>
      <c r="K12" s="73">
        <f>IF(OR($I12="",$J12=""),"",$J12-$I12+1)</f>
        <v/>
      </c>
      <c r="L12" s="56" t="n"/>
      <c r="M12" s="74">
        <f>IF($J12="","",$J12+N($L12))</f>
        <v/>
      </c>
      <c r="N12" s="75" t="n"/>
      <c r="O12" s="69" t="str">
        <f>IF($C12="","",IF(N($N12)&gt;=1,"Tamamlandı",IF(AND($J12&lt;&gt;"",$M12&lt;Hesap!$B$3),"Gecikmiş",IF(OR(N($N12)&gt;0,AND($I12&lt;&gt;"",$I12&lt;=Hesap!$B$3)),"Devam Ediyor","Planlanan"))))</f>
        <v>Planlanan</v>
      </c>
      <c r="P12" s="70" t="n"/>
      <c r="Q12" s="70" t="n"/>
      <c r="R12" s="72" t="n"/>
      <c r="S12" s="73">
        <f>IF(OR($J12="",$R12=""),"",$R12-$J12)</f>
        <v/>
      </c>
      <c r="T12" s="76">
        <f>IF($C12="","",IF($J12="","",IF($R12&lt;&gt;"",IF($S12&gt;7,"⚠ "&amp;TEXT($S12,"0")&amp;" günde yapıldı (geç)","✔ "&amp;TEXT($S12,"0")&amp;" günde yapıldı"),IF($J12&gt;Hesap!$B$3,"",IF($J12+7&lt;Hesap!$B$3,"⚠ Mutabakat "&amp;TEXT(Hesap!$B$3-($J12+7),"0")&amp;" gün gecikti","● Mutabakat için "&amp;TEXT($J12+7-Hesap!$B$3,"0")&amp;" gün")))))</f>
        <v/>
      </c>
      <c r="U12" s="76">
        <f>IF($Y12="","",IF($Y12&gt;0.3,"⚠ Gecikebilir (%"&amp;TEXT($Y12*100,"0")&amp;" geride)",""))</f>
        <v/>
      </c>
      <c r="V12" s="76">
        <f>IF($C12="","",IF($O12="Tamamlandı","",IF($M12="","",IF($M12&lt;Hesap!$B$3,"⚠ "&amp;TEXT(Hesap!$B$3-$M12,"0")&amp;" gün gecikme",IF($M12-Hesap!$B$3&lt;=14,"● "&amp;TEXT($M12-Hesap!$B$3,"0")&amp;" gün kaldı","")))))</f>
        <v/>
      </c>
      <c r="W12">
        <f>IF($C12="","",IF($O12="Tamamlandı",N($L12),MAX(N($L12),IF(AND($J12&lt;&gt;"",$J12&lt;Hesap!$B$3),Hesap!$B$3-$J12,0)))+ROW()/1000000)</f>
        <v>0.000012</v>
      </c>
      <c r="X12">
        <f>IF($W12="","",INT($W12))</f>
        <v>0</v>
      </c>
      <c r="Y12">
        <f>IF(OR($C12="",$I12="",$K12="",$K12&lt;=0,$O12="Tamamlandı"),"",IF(Hesap!$B$3&lt;$I12,"",MIN(1,(Hesap!$B$3-$I12+1)/$K12)-N($N12)))</f>
        <v/>
      </c>
    </row>
    <row r="13" ht="18" customHeight="1">
      <c r="A13" s="69">
        <f>IF($C13="","",ROW()-4)</f>
        <v>9</v>
      </c>
      <c r="B13" s="70" t="inlineStr">
        <is>
          <t>Yönetim Beyanı</t>
        </is>
      </c>
      <c r="C13" s="70" t="inlineStr">
        <is>
          <t>Madde 17</t>
        </is>
      </c>
      <c r="D13" s="71" t="inlineStr">
        <is>
          <t>Ornek User1</t>
        </is>
      </c>
      <c r="E13" s="71" t="n"/>
      <c r="F13" s="71" t="n"/>
      <c r="G13" s="71" t="n"/>
      <c r="H13" s="71" t="inlineStr">
        <is>
          <t>Orta</t>
        </is>
      </c>
      <c r="I13" s="72" t="n"/>
      <c r="J13" s="72" t="n"/>
      <c r="K13" s="73">
        <f>IF(OR($I13="",$J13=""),"",$J13-$I13+1)</f>
        <v/>
      </c>
      <c r="L13" s="56" t="n"/>
      <c r="M13" s="74">
        <f>IF($J13="","",$J13+N($L13))</f>
        <v/>
      </c>
      <c r="N13" s="75" t="n"/>
      <c r="O13" s="69" t="str">
        <f>IF($C13="","",IF(N($N13)&gt;=1,"Tamamlandı",IF(AND($J13&lt;&gt;"",$M13&lt;Hesap!$B$3),"Gecikmiş",IF(OR(N($N13)&gt;0,AND($I13&lt;&gt;"",$I13&lt;=Hesap!$B$3)),"Devam Ediyor","Planlanan"))))</f>
        <v>Planlanan</v>
      </c>
      <c r="P13" s="70" t="n"/>
      <c r="Q13" s="70" t="n"/>
      <c r="R13" s="72" t="n"/>
      <c r="S13" s="73">
        <f>IF(OR($J13="",$R13=""),"",$R13-$J13)</f>
        <v/>
      </c>
      <c r="T13" s="76">
        <f>IF($C13="","",IF($J13="","",IF($R13&lt;&gt;"",IF($S13&gt;7,"⚠ "&amp;TEXT($S13,"0")&amp;" günde yapıldı (geç)","✔ "&amp;TEXT($S13,"0")&amp;" günde yapıldı"),IF($J13&gt;Hesap!$B$3,"",IF($J13+7&lt;Hesap!$B$3,"⚠ Mutabakat "&amp;TEXT(Hesap!$B$3-($J13+7),"0")&amp;" gün gecikti","● Mutabakat için "&amp;TEXT($J13+7-Hesap!$B$3,"0")&amp;" gün")))))</f>
        <v/>
      </c>
      <c r="U13" s="76">
        <f>IF($Y13="","",IF($Y13&gt;0.3,"⚠ Gecikebilir (%"&amp;TEXT($Y13*100,"0")&amp;" geride)",""))</f>
        <v/>
      </c>
      <c r="V13" s="76">
        <f>IF($C13="","",IF($O13="Tamamlandı","",IF($M13="","",IF($M13&lt;Hesap!$B$3,"⚠ "&amp;TEXT(Hesap!$B$3-$M13,"0")&amp;" gün gecikme",IF($M13-Hesap!$B$3&lt;=14,"● "&amp;TEXT($M13-Hesap!$B$3,"0")&amp;" gün kaldı","")))))</f>
        <v/>
      </c>
      <c r="W13">
        <f>IF($C13="","",IF($O13="Tamamlandı",N($L13),MAX(N($L13),IF(AND($J13&lt;&gt;"",$J13&lt;Hesap!$B$3),Hesap!$B$3-$J13,0)))+ROW()/1000000)</f>
        <v>0.000013</v>
      </c>
      <c r="X13">
        <f>IF($W13="","",INT($W13))</f>
        <v>0</v>
      </c>
      <c r="Y13">
        <f>IF(OR($C13="",$I13="",$K13="",$K13&lt;=0,$O13="Tamamlandı"),"",IF(Hesap!$B$3&lt;$I13,"",MIN(1,(Hesap!$B$3-$I13+1)/$K13)-N($N13)))</f>
        <v/>
      </c>
    </row>
    <row r="14" ht="18" customHeight="1">
      <c r="A14" s="69">
        <f>IF($C14="","",ROW()-4)</f>
        <v>10</v>
      </c>
      <c r="B14" s="70" t="inlineStr">
        <is>
          <t>Ad-Hoc İşler</t>
        </is>
      </c>
      <c r="C14" s="70" t="inlineStr">
        <is>
          <t>MDM - JAMF kontrolleri, Telefon Testleri</t>
        </is>
      </c>
      <c r="D14" s="71" t="inlineStr">
        <is>
          <t>Ornek User3</t>
        </is>
      </c>
      <c r="E14" s="71" t="inlineStr">
        <is>
          <t>Ornek User9</t>
        </is>
      </c>
      <c r="F14" s="71" t="n"/>
      <c r="G14" s="71" t="n"/>
      <c r="H14" s="71" t="n"/>
      <c r="I14" s="72" t="n">
        <v>46275</v>
      </c>
      <c r="J14" s="72" t="n">
        <v>46287</v>
      </c>
      <c r="K14" s="73">
        <f>IF(OR($I14="",$J14=""),"",$J14-$I14+1)</f>
        <v>13</v>
      </c>
      <c r="L14" s="56" t="n"/>
      <c r="M14" s="74">
        <f>IF($J14="","",$J14+N($L14))</f>
        <v>46287</v>
      </c>
      <c r="N14" s="75" t="n">
        <v>1</v>
      </c>
      <c r="O14" s="69" t="str">
        <f>IF($C14="","",IF(N($N14)&gt;=1,"Tamamlandı",IF(AND($J14&lt;&gt;"",$M14&lt;Hesap!$B$3),"Gecikmiş",IF(OR(N($N14)&gt;0,AND($I14&lt;&gt;"",$I14&lt;=Hesap!$B$3)),"Devam Ediyor","Planlanan"))))</f>
        <v>Tamamlandı</v>
      </c>
      <c r="P14" s="70" t="n"/>
      <c r="Q14" s="70" t="n"/>
      <c r="R14" s="72" t="n"/>
      <c r="S14" s="73">
        <f>IF(OR($J14="",$R14=""),"",$R14-$J14)</f>
        <v/>
      </c>
      <c r="T14" s="76" t="str">
        <f>IF($C14="","",IF($J14="","",IF($R14&lt;&gt;"",IF($S14&gt;7,"⚠ "&amp;TEXT($S14,"0")&amp;" günde yapıldı (geç)","✔ "&amp;TEXT($S14,"0")&amp;" günde yapıldı"),IF($J14&gt;Hesap!$B$3,"",IF($J14+7&lt;Hesap!$B$3,"⚠ Mutabakat "&amp;TEXT(Hesap!$B$3-($J14+7),"0")&amp;" gün gecikti","● Mutabakat için "&amp;TEXT($J14+7-Hesap!$B$3,"0")&amp;" gün")))))</f>
        <v>⚠ Mutabakat 6 gün gecikti</v>
      </c>
      <c r="U14" s="76">
        <f>IF($Y14="","",IF($Y14&gt;0.3,"⚠ Gecikebilir (%"&amp;TEXT($Y14*100,"0")&amp;" geride)",""))</f>
        <v/>
      </c>
      <c r="V14" s="76">
        <f>IF($C14="","",IF($O14="Tamamlandı","",IF($M14="","",IF($M14&lt;Hesap!$B$3,"⚠ "&amp;TEXT(Hesap!$B$3-$M14,"0")&amp;" gün gecikme",IF($M14-Hesap!$B$3&lt;=14,"● "&amp;TEXT($M14-Hesap!$B$3,"0")&amp;" gün kaldı","")))))</f>
        <v/>
      </c>
      <c r="W14">
        <f>IF($C14="","",IF($O14="Tamamlandı",N($L14),MAX(N($L14),IF(AND($J14&lt;&gt;"",$J14&lt;Hesap!$B$3),Hesap!$B$3-$J14,0)))+ROW()/1000000)</f>
        <v>0.000014</v>
      </c>
      <c r="X14">
        <f>IF($W14="","",INT($W14))</f>
        <v>0</v>
      </c>
      <c r="Y14">
        <f>IF(OR($C14="",$I14="",$K14="",$K14&lt;=0,$O14="Tamamlandı"),"",IF(Hesap!$B$3&lt;$I14,"",MIN(1,(Hesap!$B$3-$I14+1)/$K14)-N($N14)))</f>
        <v/>
      </c>
    </row>
    <row r="15" ht="18" customHeight="1">
      <c r="A15" s="69">
        <f>IF($C15="","",ROW()-4)</f>
        <v>11</v>
      </c>
      <c r="B15" s="70" t="inlineStr">
        <is>
          <t>Ad-Hoc İşler</t>
        </is>
      </c>
      <c r="C15" s="70" t="inlineStr">
        <is>
          <t>ABC Networkü ve ADSL Modem üzerinden çıkış yapan cihazların ortak kullanıdıgı subnetler var mı?</t>
        </is>
      </c>
      <c r="D15" s="71" t="inlineStr">
        <is>
          <t>Ornek User3</t>
        </is>
      </c>
      <c r="E15" s="71" t="inlineStr">
        <is>
          <t>Ornek User9</t>
        </is>
      </c>
      <c r="F15" s="71" t="n"/>
      <c r="G15" s="71" t="n"/>
      <c r="H15" s="71" t="n"/>
      <c r="I15" s="72" t="n">
        <v>46272</v>
      </c>
      <c r="J15" s="72" t="n">
        <v>46287</v>
      </c>
      <c r="K15" s="73">
        <f>IF(OR($I15="",$J15=""),"",$J15-$I15+1)</f>
        <v>16</v>
      </c>
      <c r="L15" s="56" t="n"/>
      <c r="M15" s="74">
        <f>IF($J15="","",$J15+N($L15))</f>
        <v>46287</v>
      </c>
      <c r="N15" s="75" t="n">
        <v>1</v>
      </c>
      <c r="O15" s="69" t="str">
        <f>IF($C15="","",IF(N($N15)&gt;=1,"Tamamlandı",IF(AND($J15&lt;&gt;"",$M15&lt;Hesap!$B$3),"Gecikmiş",IF(OR(N($N15)&gt;0,AND($I15&lt;&gt;"",$I15&lt;=Hesap!$B$3)),"Devam Ediyor","Planlanan"))))</f>
        <v>Tamamlandı</v>
      </c>
      <c r="P15" s="70" t="n"/>
      <c r="Q15" s="70" t="n"/>
      <c r="R15" s="72" t="n"/>
      <c r="S15" s="73">
        <f>IF(OR($J15="",$R15=""),"",$R15-$J15)</f>
        <v/>
      </c>
      <c r="T15" s="76" t="str">
        <f>IF($C15="","",IF($J15="","",IF($R15&lt;&gt;"",IF($S15&gt;7,"⚠ "&amp;TEXT($S15,"0")&amp;" günde yapıldı (geç)","✔ "&amp;TEXT($S15,"0")&amp;" günde yapıldı"),IF($J15&gt;Hesap!$B$3,"",IF($J15+7&lt;Hesap!$B$3,"⚠ Mutabakat "&amp;TEXT(Hesap!$B$3-($J15+7),"0")&amp;" gün gecikti","● Mutabakat için "&amp;TEXT($J15+7-Hesap!$B$3,"0")&amp;" gün")))))</f>
        <v>⚠ Mutabakat 6 gün gecikti</v>
      </c>
      <c r="U15" s="76">
        <f>IF($Y15="","",IF($Y15&gt;0.3,"⚠ Gecikebilir (%"&amp;TEXT($Y15*100,"0")&amp;" geride)",""))</f>
        <v/>
      </c>
      <c r="V15" s="76">
        <f>IF($C15="","",IF($O15="Tamamlandı","",IF($M15="","",IF($M15&lt;Hesap!$B$3,"⚠ "&amp;TEXT(Hesap!$B$3-$M15,"0")&amp;" gün gecikme",IF($M15-Hesap!$B$3&lt;=14,"● "&amp;TEXT($M15-Hesap!$B$3,"0")&amp;" gün kaldı","")))))</f>
        <v/>
      </c>
      <c r="W15">
        <f>IF($C15="","",IF($O15="Tamamlandı",N($L15),MAX(N($L15),IF(AND($J15&lt;&gt;"",$J15&lt;Hesap!$B$3),Hesap!$B$3-$J15,0)))+ROW()/1000000)</f>
        <v>0.000015</v>
      </c>
      <c r="X15">
        <f>IF($W15="","",INT($W15))</f>
        <v>0</v>
      </c>
      <c r="Y15">
        <f>IF(OR($C15="",$I15="",$K15="",$K15&lt;=0,$O15="Tamamlandı"),"",IF(Hesap!$B$3&lt;$I15,"",MIN(1,(Hesap!$B$3-$I15+1)/$K15)-N($N15)))</f>
        <v/>
      </c>
    </row>
    <row r="16" ht="18" customHeight="1">
      <c r="A16" s="69">
        <f>IF($C16="","",ROW()-4)</f>
        <v>12</v>
      </c>
      <c r="B16" s="70" t="inlineStr">
        <is>
          <t>Yönetim Beyanı</t>
        </is>
      </c>
      <c r="C16" s="70" t="inlineStr">
        <is>
          <t>Madde 13</t>
        </is>
      </c>
      <c r="D16" s="71" t="inlineStr">
        <is>
          <t>Ornek User4</t>
        </is>
      </c>
      <c r="E16" s="71" t="n"/>
      <c r="F16" s="71" t="n"/>
      <c r="G16" s="71" t="n"/>
      <c r="H16" s="71" t="inlineStr">
        <is>
          <t>Orta</t>
        </is>
      </c>
      <c r="I16" s="72" t="n">
        <v>46265</v>
      </c>
      <c r="J16" s="72" t="n">
        <v>46284</v>
      </c>
      <c r="K16" s="73">
        <f>IF(OR($I16="",$J16=""),"",$J16-$I16+1)</f>
        <v>20</v>
      </c>
      <c r="L16" s="56" t="n"/>
      <c r="M16" s="74">
        <f>IF($J16="","",$J16+N($L16))</f>
        <v>46284</v>
      </c>
      <c r="N16" s="75" t="n">
        <v>0.95</v>
      </c>
      <c r="O16" s="69" t="str">
        <f>IF($C16="","",IF(N($N16)&gt;=1,"Tamamlandı",IF(AND($J16&lt;&gt;"",$M16&lt;Hesap!$B$3),"Gecikmiş",IF(OR(N($N16)&gt;0,AND($I16&lt;&gt;"",$I16&lt;=Hesap!$B$3)),"Devam Ediyor","Planlanan"))))</f>
        <v>Gecikmiş</v>
      </c>
      <c r="P16" s="70" t="inlineStr">
        <is>
          <t>2 Ekimde tamamlanacak</t>
        </is>
      </c>
      <c r="Q16" s="70" t="n"/>
      <c r="R16" s="72" t="n"/>
      <c r="S16" s="73">
        <f>IF(OR($J16="",$R16=""),"",$R16-$J16)</f>
        <v/>
      </c>
      <c r="T16" s="76" t="str">
        <f>IF($C16="","",IF($J16="","",IF($R16&lt;&gt;"",IF($S16&gt;7,"⚠ "&amp;TEXT($S16,"0")&amp;" günde yapıldı (geç)","✔ "&amp;TEXT($S16,"0")&amp;" günde yapıldı"),IF($J16&gt;Hesap!$B$3,"",IF($J16+7&lt;Hesap!$B$3,"⚠ Mutabakat "&amp;TEXT(Hesap!$B$3-($J16+7),"0")&amp;" gün gecikti","● Mutabakat için "&amp;TEXT($J16+7-Hesap!$B$3,"0")&amp;" gün")))))</f>
        <v>⚠ Mutabakat 9 gün gecikti</v>
      </c>
      <c r="U16" s="76">
        <f>IF($Y16="","",IF($Y16&gt;0.3,"⚠ Gecikebilir (%"&amp;TEXT($Y16*100,"0")&amp;" geride)",""))</f>
        <v/>
      </c>
      <c r="V16" s="76" t="str">
        <f>IF($C16="","",IF($O16="Tamamlandı","",IF($M16="","",IF($M16&lt;Hesap!$B$3,"⚠ "&amp;TEXT(Hesap!$B$3-$M16,"0")&amp;" gün gecikme",IF($M16-Hesap!$B$3&lt;=14,"● "&amp;TEXT($M16-Hesap!$B$3,"0")&amp;" gün kaldı","")))))</f>
        <v>⚠ 16 gün gecikme</v>
      </c>
      <c r="W16">
        <f>IF($C16="","",IF($O16="Tamamlandı",N($L16),MAX(N($L16),IF(AND($J16&lt;&gt;"",$J16&lt;Hesap!$B$3),Hesap!$B$3-$J16,0)))+ROW()/1000000)</f>
        <v>16.000016</v>
      </c>
      <c r="X16">
        <f>IF($W16="","",INT($W16))</f>
        <v>16</v>
      </c>
      <c r="Y16">
        <f>IF(OR($C16="",$I16="",$K16="",$K16&lt;=0,$O16="Tamamlandı"),"",IF(Hesap!$B$3&lt;$I16,"",MIN(1,(Hesap!$B$3-$I16+1)/$K16)-N($N16)))</f>
        <v>0.05</v>
      </c>
    </row>
    <row r="17" ht="18" customHeight="1">
      <c r="A17" s="69">
        <f>IF($C17="","",ROW()-4)</f>
        <v>13</v>
      </c>
      <c r="B17" s="70" t="inlineStr">
        <is>
          <t>Yönetim Beyanı</t>
        </is>
      </c>
      <c r="C17" s="70" t="inlineStr">
        <is>
          <t>Madde 24</t>
        </is>
      </c>
      <c r="D17" s="71" t="inlineStr">
        <is>
          <t>Ornek User12</t>
        </is>
      </c>
      <c r="E17" s="71" t="inlineStr">
        <is>
          <t>Ornek User11</t>
        </is>
      </c>
      <c r="F17" s="71" t="n"/>
      <c r="G17" s="71" t="n"/>
      <c r="H17" s="71" t="inlineStr">
        <is>
          <t>Orta</t>
        </is>
      </c>
      <c r="I17" s="72" t="n"/>
      <c r="J17" s="72" t="n"/>
      <c r="K17" s="73">
        <f>IF(OR($I17="",$J17=""),"",$J17-$I17+1)</f>
        <v/>
      </c>
      <c r="L17" s="56" t="n"/>
      <c r="M17" s="74">
        <f>IF($J17="","",$J17+N($L17))</f>
        <v/>
      </c>
      <c r="N17" s="75" t="n"/>
      <c r="O17" s="69" t="str">
        <f>IF($C17="","",IF(N($N17)&gt;=1,"Tamamlandı",IF(AND($J17&lt;&gt;"",$M17&lt;Hesap!$B$3),"Gecikmiş",IF(OR(N($N17)&gt;0,AND($I17&lt;&gt;"",$I17&lt;=Hesap!$B$3)),"Devam Ediyor","Planlanan"))))</f>
        <v>Planlanan</v>
      </c>
      <c r="P17" s="70" t="n"/>
      <c r="Q17" s="70" t="n"/>
      <c r="R17" s="72" t="n"/>
      <c r="S17" s="73">
        <f>IF(OR($J17="",$R17=""),"",$R17-$J17)</f>
        <v/>
      </c>
      <c r="T17" s="76">
        <f>IF($C17="","",IF($J17="","",IF($R17&lt;&gt;"",IF($S17&gt;7,"⚠ "&amp;TEXT($S17,"0")&amp;" günde yapıldı (geç)","✔ "&amp;TEXT($S17,"0")&amp;" günde yapıldı"),IF($J17&gt;Hesap!$B$3,"",IF($J17+7&lt;Hesap!$B$3,"⚠ Mutabakat "&amp;TEXT(Hesap!$B$3-($J17+7),"0")&amp;" gün gecikti","● Mutabakat için "&amp;TEXT($J17+7-Hesap!$B$3,"0")&amp;" gün")))))</f>
        <v/>
      </c>
      <c r="U17" s="76">
        <f>IF($Y17="","",IF($Y17&gt;0.3,"⚠ Gecikebilir (%"&amp;TEXT($Y17*100,"0")&amp;" geride)",""))</f>
        <v/>
      </c>
      <c r="V17" s="76">
        <f>IF($C17="","",IF($O17="Tamamlandı","",IF($M17="","",IF($M17&lt;Hesap!$B$3,"⚠ "&amp;TEXT(Hesap!$B$3-$M17,"0")&amp;" gün gecikme",IF($M17-Hesap!$B$3&lt;=14,"● "&amp;TEXT($M17-Hesap!$B$3,"0")&amp;" gün kaldı","")))))</f>
        <v/>
      </c>
      <c r="W17">
        <f>IF($C17="","",IF($O17="Tamamlandı",N($L17),MAX(N($L17),IF(AND($J17&lt;&gt;"",$J17&lt;Hesap!$B$3),Hesap!$B$3-$J17,0)))+ROW()/1000000)</f>
        <v>0.000017</v>
      </c>
      <c r="X17">
        <f>IF($W17="","",INT($W17))</f>
        <v>0</v>
      </c>
      <c r="Y17">
        <f>IF(OR($C17="",$I17="",$K17="",$K17&lt;=0,$O17="Tamamlandı"),"",IF(Hesap!$B$3&lt;$I17,"",MIN(1,(Hesap!$B$3-$I17+1)/$K17)-N($N17)))</f>
        <v/>
      </c>
    </row>
    <row r="18" ht="18" customHeight="1">
      <c r="A18" s="69">
        <f>IF($C18="","",ROW()-4)</f>
        <v>14</v>
      </c>
      <c r="B18" s="70" t="inlineStr">
        <is>
          <t>Yönetim Beyanı</t>
        </is>
      </c>
      <c r="C18" s="70" t="inlineStr">
        <is>
          <t>Madde 21</t>
        </is>
      </c>
      <c r="D18" s="71" t="inlineStr">
        <is>
          <t>Ornek User13</t>
        </is>
      </c>
      <c r="E18" s="71" t="n"/>
      <c r="F18" s="71" t="n"/>
      <c r="G18" s="71" t="n"/>
      <c r="H18" s="71" t="inlineStr">
        <is>
          <t>Orta</t>
        </is>
      </c>
      <c r="I18" s="72" t="n">
        <v>46255</v>
      </c>
      <c r="J18" s="72" t="n">
        <v>46293</v>
      </c>
      <c r="K18" s="73">
        <f>IF(OR($I18="",$J18=""),"",$J18-$I18+1)</f>
        <v>39</v>
      </c>
      <c r="L18" s="56" t="n"/>
      <c r="M18" s="74">
        <f>IF($J18="","",$J18+N($L18))</f>
        <v>46293</v>
      </c>
      <c r="N18" s="75" t="n">
        <v>0.95</v>
      </c>
      <c r="O18" s="69" t="str">
        <f>IF($C18="","",IF(N($N18)&gt;=1,"Tamamlandı",IF(AND($J18&lt;&gt;"",$M18&lt;Hesap!$B$3),"Gecikmiş",IF(OR(N($N18)&gt;0,AND($I18&lt;&gt;"",$I18&lt;=Hesap!$B$3)),"Devam Ediyor","Planlanan"))))</f>
        <v>Gecikmiş</v>
      </c>
      <c r="P18" s="70" t="n"/>
      <c r="Q18" s="70" t="n"/>
      <c r="R18" s="72" t="n"/>
      <c r="S18" s="73">
        <f>IF(OR($J18="",$R18=""),"",$R18-$J18)</f>
        <v/>
      </c>
      <c r="T18" s="76" t="str">
        <f>IF($C18="","",IF($J18="","",IF($R18&lt;&gt;"",IF($S18&gt;7,"⚠ "&amp;TEXT($S18,"0")&amp;" günde yapıldı (geç)","✔ "&amp;TEXT($S18,"0")&amp;" günde yapıldı"),IF($J18&gt;Hesap!$B$3,"",IF($J18+7&lt;Hesap!$B$3,"⚠ Mutabakat "&amp;TEXT(Hesap!$B$3-($J18+7),"0")&amp;" gün gecikti","● Mutabakat için "&amp;TEXT($J18+7-Hesap!$B$3,"0")&amp;" gün")))))</f>
        <v>● Mutabakat için 0 gün</v>
      </c>
      <c r="U18" s="76">
        <f>IF($Y18="","",IF($Y18&gt;0.3,"⚠ Gecikebilir (%"&amp;TEXT($Y18*100,"0")&amp;" geride)",""))</f>
        <v/>
      </c>
      <c r="V18" s="76" t="str">
        <f>IF($C18="","",IF($O18="Tamamlandı","",IF($M18="","",IF($M18&lt;Hesap!$B$3,"⚠ "&amp;TEXT(Hesap!$B$3-$M18,"0")&amp;" gün gecikme",IF($M18-Hesap!$B$3&lt;=14,"● "&amp;TEXT($M18-Hesap!$B$3,"0")&amp;" gün kaldı","")))))</f>
        <v>⚠ 7 gün gecikme</v>
      </c>
      <c r="W18">
        <f>IF($C18="","",IF($O18="Tamamlandı",N($L18),MAX(N($L18),IF(AND($J18&lt;&gt;"",$J18&lt;Hesap!$B$3),Hesap!$B$3-$J18,0)))+ROW()/1000000)</f>
        <v>7.000018</v>
      </c>
      <c r="X18">
        <f>IF($W18="","",INT($W18))</f>
        <v>7</v>
      </c>
      <c r="Y18">
        <f>IF(OR($C18="",$I18="",$K18="",$K18&lt;=0,$O18="Tamamlandı"),"",IF(Hesap!$B$3&lt;$I18,"",MIN(1,(Hesap!$B$3-$I18+1)/$K18)-N($N18)))</f>
        <v>0.05</v>
      </c>
    </row>
    <row r="19" ht="18" customHeight="1">
      <c r="A19" s="69">
        <f>IF($C19="","",ROW()-4)</f>
        <v>15</v>
      </c>
      <c r="B19" s="70" t="inlineStr">
        <is>
          <t>Yönetim Beyanı</t>
        </is>
      </c>
      <c r="C19" s="70" t="inlineStr">
        <is>
          <t>Madde 26</t>
        </is>
      </c>
      <c r="D19" s="71" t="inlineStr">
        <is>
          <t>Ornek User9</t>
        </is>
      </c>
      <c r="E19" s="71" t="n"/>
      <c r="F19" s="71" t="n"/>
      <c r="G19" s="71" t="n"/>
      <c r="H19" s="71" t="inlineStr">
        <is>
          <t>Orta</t>
        </is>
      </c>
      <c r="I19" s="72" t="n">
        <v>46258</v>
      </c>
      <c r="J19" s="72" t="n">
        <v>46283</v>
      </c>
      <c r="K19" s="73">
        <f>IF(OR($I19="",$J19=""),"",$J19-$I19+1)</f>
        <v>26</v>
      </c>
      <c r="L19" s="56" t="n"/>
      <c r="M19" s="74">
        <f>IF($J19="","",$J19+N($L19))</f>
        <v>46283</v>
      </c>
      <c r="N19" s="75" t="n">
        <v>0.95</v>
      </c>
      <c r="O19" s="69" t="str">
        <f>IF($C19="","",IF(N($N19)&gt;=1,"Tamamlandı",IF(AND($J19&lt;&gt;"",$M19&lt;Hesap!$B$3),"Gecikmiş",IF(OR(N($N19)&gt;0,AND($I19&lt;&gt;"",$I19&lt;=Hesap!$B$3)),"Devam Ediyor","Planlanan"))))</f>
        <v>Gecikmiş</v>
      </c>
      <c r="P19" s="70" t="n"/>
      <c r="Q19" s="70" t="n"/>
      <c r="R19" s="72" t="n"/>
      <c r="S19" s="73">
        <f>IF(OR($J19="",$R19=""),"",$R19-$J19)</f>
        <v/>
      </c>
      <c r="T19" s="76" t="str">
        <f>IF($C19="","",IF($J19="","",IF($R19&lt;&gt;"",IF($S19&gt;7,"⚠ "&amp;TEXT($S19,"0")&amp;" günde yapıldı (geç)","✔ "&amp;TEXT($S19,"0")&amp;" günde yapıldı"),IF($J19&gt;Hesap!$B$3,"",IF($J19+7&lt;Hesap!$B$3,"⚠ Mutabakat "&amp;TEXT(Hesap!$B$3-($J19+7),"0")&amp;" gün gecikti","● Mutabakat için "&amp;TEXT($J19+7-Hesap!$B$3,"0")&amp;" gün")))))</f>
        <v>⚠ Mutabakat 10 gün gecikti</v>
      </c>
      <c r="U19" s="76">
        <f>IF($Y19="","",IF($Y19&gt;0.3,"⚠ Gecikebilir (%"&amp;TEXT($Y19*100,"0")&amp;" geride)",""))</f>
        <v/>
      </c>
      <c r="V19" s="76" t="str">
        <f>IF($C19="","",IF($O19="Tamamlandı","",IF($M19="","",IF($M19&lt;Hesap!$B$3,"⚠ "&amp;TEXT(Hesap!$B$3-$M19,"0")&amp;" gün gecikme",IF($M19-Hesap!$B$3&lt;=14,"● "&amp;TEXT($M19-Hesap!$B$3,"0")&amp;" gün kaldı","")))))</f>
        <v>⚠ 17 gün gecikme</v>
      </c>
      <c r="W19">
        <f>IF($C19="","",IF($O19="Tamamlandı",N($L19),MAX(N($L19),IF(AND($J19&lt;&gt;"",$J19&lt;Hesap!$B$3),Hesap!$B$3-$J19,0)))+ROW()/1000000)</f>
        <v>17.000019</v>
      </c>
      <c r="X19">
        <f>IF($W19="","",INT($W19))</f>
        <v>17</v>
      </c>
      <c r="Y19">
        <f>IF(OR($C19="",$I19="",$K19="",$K19&lt;=0,$O19="Tamamlandı"),"",IF(Hesap!$B$3&lt;$I19,"",MIN(1,(Hesap!$B$3-$I19+1)/$K19)-N($N19)))</f>
        <v>0.05</v>
      </c>
    </row>
    <row r="20" ht="31.5" customHeight="1">
      <c r="A20" s="69">
        <f>IF($C20="","",ROW()-4)</f>
        <v>16</v>
      </c>
      <c r="B20" s="70" t="inlineStr">
        <is>
          <t>BIGR</t>
        </is>
      </c>
      <c r="C20" s="70" t="inlineStr">
        <is>
          <t>3.1.8 İz ve Denetim Kayıtlarının Tutulması ve İzlenmesi</t>
        </is>
      </c>
      <c r="D20" s="71" t="inlineStr">
        <is>
          <t>Ornek User4</t>
        </is>
      </c>
      <c r="E20" s="71" t="n"/>
      <c r="F20" s="71" t="n"/>
      <c r="G20" s="71" t="n"/>
      <c r="H20" s="71" t="inlineStr">
        <is>
          <t>Orta</t>
        </is>
      </c>
      <c r="I20" s="72" t="n">
        <v>46265</v>
      </c>
      <c r="J20" s="72" t="n">
        <v>46284</v>
      </c>
      <c r="K20" s="73">
        <f>IF(OR($I20="",$J20=""),"",$J20-$I20+1)</f>
        <v>20</v>
      </c>
      <c r="L20" s="56" t="n"/>
      <c r="M20" s="74">
        <f>IF($J20="","",$J20+N($L20))</f>
        <v>46284</v>
      </c>
      <c r="N20" s="75" t="n">
        <v>0.95</v>
      </c>
      <c r="O20" s="69" t="str">
        <f>IF($C20="","",IF(N($N20)&gt;=1,"Tamamlandı",IF(AND($J20&lt;&gt;"",$M20&lt;Hesap!$B$3),"Gecikmiş",IF(OR(N($N20)&gt;0,AND($I20&lt;&gt;"",$I20&lt;=Hesap!$B$3)),"Devam Ediyor","Planlanan"))))</f>
        <v>Gecikmiş</v>
      </c>
      <c r="P20" s="70" t="inlineStr">
        <is>
          <t>Cuma günü tamamlancak (2 Ekim)</t>
        </is>
      </c>
      <c r="Q20" s="70" t="n"/>
      <c r="R20" s="72" t="n"/>
      <c r="S20" s="73">
        <f>IF(OR($J20="",$R20=""),"",$R20-$J20)</f>
        <v/>
      </c>
      <c r="T20" s="76" t="str">
        <f>IF($C20="","",IF($J20="","",IF($R20&lt;&gt;"",IF($S20&gt;7,"⚠ "&amp;TEXT($S20,"0")&amp;" günde yapıldı (geç)","✔ "&amp;TEXT($S20,"0")&amp;" günde yapıldı"),IF($J20&gt;Hesap!$B$3,"",IF($J20+7&lt;Hesap!$B$3,"⚠ Mutabakat "&amp;TEXT(Hesap!$B$3-($J20+7),"0")&amp;" gün gecikti","● Mutabakat için "&amp;TEXT($J20+7-Hesap!$B$3,"0")&amp;" gün")))))</f>
        <v>⚠ Mutabakat 9 gün gecikti</v>
      </c>
      <c r="U20" s="76">
        <f>IF($Y20="","",IF($Y20&gt;0.3,"⚠ Gecikebilir (%"&amp;TEXT($Y20*100,"0")&amp;" geride)",""))</f>
        <v/>
      </c>
      <c r="V20" s="76" t="str">
        <f>IF($C20="","",IF($O20="Tamamlandı","",IF($M20="","",IF($M20&lt;Hesap!$B$3,"⚠ "&amp;TEXT(Hesap!$B$3-$M20,"0")&amp;" gün gecikme",IF($M20-Hesap!$B$3&lt;=14,"● "&amp;TEXT($M20-Hesap!$B$3,"0")&amp;" gün kaldı","")))))</f>
        <v>⚠ 16 gün gecikme</v>
      </c>
      <c r="W20">
        <f>IF($C20="","",IF($O20="Tamamlandı",N($L20),MAX(N($L20),IF(AND($J20&lt;&gt;"",$J20&lt;Hesap!$B$3),Hesap!$B$3-$J20,0)))+ROW()/1000000)</f>
        <v>16.00002</v>
      </c>
      <c r="X20">
        <f>IF($W20="","",INT($W20))</f>
        <v>16</v>
      </c>
      <c r="Y20">
        <f>IF(OR($C20="",$I20="",$K20="",$K20&lt;=0,$O20="Tamamlandı"),"",IF(Hesap!$B$3&lt;$I20,"",MIN(1,(Hesap!$B$3-$I20+1)/$K20)-N($N20)))</f>
        <v>0.05</v>
      </c>
    </row>
    <row r="21" ht="153" customHeight="1">
      <c r="A21" s="69">
        <f>IF($C21="","",ROW()-4)</f>
        <v>17</v>
      </c>
      <c r="B21" s="70" t="inlineStr">
        <is>
          <t>Destek Hizmeti Denetimler</t>
        </is>
      </c>
      <c r="C21" s="70" t="inlineStr">
        <is>
          <t xml:space="preserve">İdea Teknoloji Dış Hizmet Denetimi
Firma GİB denetiminden geçmekte (Bağımsız denetim 2 yılda bir)
Bizim taraftaki kontroller GİB kontrolleri ile eşleştirildi. GİB'den dolayı teknik tarafta paylaşılamayan kanıtlar var. Firmanın GRC ekibi ile toplantılarla kontrollere yorum yazarak veya ilgili rapora refarans vererek ilerliyoruz.
ABC verilerine erişim ve kontroller (Faturalar orada) ek olarak yapılacak onun haricinde GİB'e bağlı kalacağız.
</t>
        </is>
      </c>
      <c r="D21" s="71" t="inlineStr">
        <is>
          <t>Ornek User13</t>
        </is>
      </c>
      <c r="E21" s="71" t="n"/>
      <c r="F21" s="71" t="n"/>
      <c r="G21" s="71" t="n"/>
      <c r="H21" s="71" t="inlineStr">
        <is>
          <t>Orta</t>
        </is>
      </c>
      <c r="I21" s="72" t="n">
        <v>46232</v>
      </c>
      <c r="J21" s="72" t="n">
        <v>46322</v>
      </c>
      <c r="K21" s="73">
        <f>IF(OR($I21="",$J21=""),"",$J21-$I21+1)</f>
        <v>91</v>
      </c>
      <c r="L21" s="56" t="n"/>
      <c r="M21" s="74">
        <f>IF($J21="","",$J21+N($L21))</f>
        <v>46322</v>
      </c>
      <c r="N21" s="75" t="n">
        <v>0.8</v>
      </c>
      <c r="O21" s="69" t="str">
        <f>IF($C21="","",IF(N($N21)&gt;=1,"Tamamlandı",IF(AND($J21&lt;&gt;"",$M21&lt;Hesap!$B$3),"Gecikmiş",IF(OR(N($N21)&gt;0,AND($I21&lt;&gt;"",$I21&lt;=Hesap!$B$3)),"Devam Ediyor","Planlanan"))))</f>
        <v>Devam Ediyor</v>
      </c>
      <c r="P21" s="70" t="n"/>
      <c r="Q21" s="70" t="n"/>
      <c r="R21" s="72" t="n"/>
      <c r="S21" s="73">
        <f>IF(OR($J21="",$R21=""),"",$R21-$J21)</f>
        <v/>
      </c>
      <c r="T21" s="76">
        <f>IF($C21="","",IF($J21="","",IF($R21&lt;&gt;"",IF($S21&gt;7,"⚠ "&amp;TEXT($S21,"0")&amp;" günde yapıldı (geç)","✔ "&amp;TEXT($S21,"0")&amp;" günde yapıldı"),IF($J21&gt;Hesap!$B$3,"",IF($J21+7&lt;Hesap!$B$3,"⚠ Mutabakat "&amp;TEXT(Hesap!$B$3-($J21+7),"0")&amp;" gün gecikti","● Mutabakat için "&amp;TEXT($J21+7-Hesap!$B$3,"0")&amp;" gün")))))</f>
        <v/>
      </c>
      <c r="U21" s="76">
        <f>IF($Y21="","",IF($Y21&gt;0.3,"⚠ Gecikebilir (%"&amp;TEXT($Y21*100,"0")&amp;" geride)",""))</f>
        <v/>
      </c>
      <c r="V21" s="76">
        <f>IF($C21="","",IF($O21="Tamamlandı","",IF($M21="","",IF($M21&lt;Hesap!$B$3,"⚠ "&amp;TEXT(Hesap!$B$3-$M21,"0")&amp;" gün gecikme",IF($M21-Hesap!$B$3&lt;=14,"● "&amp;TEXT($M21-Hesap!$B$3,"0")&amp;" gün kaldı","")))))</f>
        <v/>
      </c>
      <c r="W21">
        <f>IF($C21="","",IF($O21="Tamamlandı",N($L21),MAX(N($L21),IF(AND($J21&lt;&gt;"",$J21&lt;Hesap!$B$3),Hesap!$B$3-$J21,0)))+ROW()/1000000)</f>
        <v>0.000021</v>
      </c>
      <c r="X21">
        <f>IF($W21="","",INT($W21))</f>
        <v>0</v>
      </c>
      <c r="Y21">
        <f>IF(OR($C21="",$I21="",$K21="",$K21&lt;=0,$O21="Tamamlandı"),"",IF(Hesap!$B$3&lt;$I21,"",MIN(1,(Hesap!$B$3-$I21+1)/$K21)-N($N21)))</f>
        <v>-0.0417582418</v>
      </c>
    </row>
    <row r="22" ht="38.25" customHeight="1">
      <c r="A22" s="69">
        <f>IF($C22="","",ROW()-4)</f>
        <v>18</v>
      </c>
      <c r="B22" s="70" t="inlineStr">
        <is>
          <t>Buluteks</t>
        </is>
      </c>
      <c r="C22" s="70" t="inlineStr">
        <is>
          <t>Firewall-IPS, VMWare, Active Directory, Exchange , Api GW, Veeam, Splunk, EDR Soru Setlerinin Hazırlanması</t>
        </is>
      </c>
      <c r="D22" s="71" t="inlineStr">
        <is>
          <t>Ornek User3</t>
        </is>
      </c>
      <c r="E22" s="71" t="n"/>
      <c r="F22" s="71" t="n"/>
      <c r="G22" s="71" t="n"/>
      <c r="H22" s="71" t="n"/>
      <c r="I22" s="72" t="n">
        <v>46260</v>
      </c>
      <c r="J22" s="72" t="n">
        <v>46295</v>
      </c>
      <c r="K22" s="73">
        <f>IF(OR($I22="",$J22=""),"",$J22-$I22+1)</f>
        <v>36</v>
      </c>
      <c r="L22" s="56" t="n"/>
      <c r="M22" s="74">
        <f>IF($J22="","",$J22+N($L22))</f>
        <v>46295</v>
      </c>
      <c r="N22" s="75" t="n">
        <v>0.8</v>
      </c>
      <c r="O22" s="69" t="str">
        <f>IF($C22="","",IF(N($N22)&gt;=1,"Tamamlandı",IF(AND($J22&lt;&gt;"",$M22&lt;Hesap!$B$3),"Gecikmiş",IF(OR(N($N22)&gt;0,AND($I22&lt;&gt;"",$I22&lt;=Hesap!$B$3)),"Devam Ediyor","Planlanan"))))</f>
        <v>Gecikmiş</v>
      </c>
      <c r="P22" s="70" t="n"/>
      <c r="Q22" s="70" t="n"/>
      <c r="R22" s="72" t="n"/>
      <c r="S22" s="73">
        <f>IF(OR($J22="",$R22=""),"",$R22-$J22)</f>
        <v/>
      </c>
      <c r="T22" s="76" t="str">
        <f>IF($C22="","",IF($J22="","",IF($R22&lt;&gt;"",IF($S22&gt;7,"⚠ "&amp;TEXT($S22,"0")&amp;" günde yapıldı (geç)","✔ "&amp;TEXT($S22,"0")&amp;" günde yapıldı"),IF($J22&gt;Hesap!$B$3,"",IF($J22+7&lt;Hesap!$B$3,"⚠ Mutabakat "&amp;TEXT(Hesap!$B$3-($J22+7),"0")&amp;" gün gecikti","● Mutabakat için "&amp;TEXT($J22+7-Hesap!$B$3,"0")&amp;" gün")))))</f>
        <v>● Mutabakat için 2 gün</v>
      </c>
      <c r="U22" s="76">
        <f>IF($Y22="","",IF($Y22&gt;0.3,"⚠ Gecikebilir (%"&amp;TEXT($Y22*100,"0")&amp;" geride)",""))</f>
        <v/>
      </c>
      <c r="V22" s="76" t="str">
        <f>IF($C22="","",IF($O22="Tamamlandı","",IF($M22="","",IF($M22&lt;Hesap!$B$3,"⚠ "&amp;TEXT(Hesap!$B$3-$M22,"0")&amp;" gün gecikme",IF($M22-Hesap!$B$3&lt;=14,"● "&amp;TEXT($M22-Hesap!$B$3,"0")&amp;" gün kaldı","")))))</f>
        <v>⚠ 5 gün gecikme</v>
      </c>
      <c r="W22">
        <f>IF($C22="","",IF($O22="Tamamlandı",N($L22),MAX(N($L22),IF(AND($J22&lt;&gt;"",$J22&lt;Hesap!$B$3),Hesap!$B$3-$J22,0)))+ROW()/1000000)</f>
        <v>5.000022</v>
      </c>
      <c r="X22">
        <f>IF($W22="","",INT($W22))</f>
        <v>5</v>
      </c>
      <c r="Y22">
        <f>IF(OR($C22="",$I22="",$K22="",$K22&lt;=0,$O22="Tamamlandı"),"",IF(Hesap!$B$3&lt;$I22,"",MIN(1,(Hesap!$B$3-$I22+1)/$K22)-N($N22)))</f>
        <v>0.2</v>
      </c>
    </row>
    <row r="23" ht="18" customHeight="1">
      <c r="A23" s="69">
        <f>IF($C23="","",ROW()-4)</f>
        <v>19</v>
      </c>
      <c r="B23" s="70" t="inlineStr">
        <is>
          <t>Yönetim Beyanı</t>
        </is>
      </c>
      <c r="C23" s="70" t="inlineStr">
        <is>
          <t>Madde 32</t>
        </is>
      </c>
      <c r="D23" s="71" t="inlineStr">
        <is>
          <t>Ornek User1</t>
        </is>
      </c>
      <c r="E23" s="71" t="n"/>
      <c r="F23" s="71" t="n"/>
      <c r="G23" s="71" t="n"/>
      <c r="H23" s="71" t="inlineStr">
        <is>
          <t>Orta</t>
        </is>
      </c>
      <c r="I23" s="72" t="n"/>
      <c r="J23" s="72" t="n"/>
      <c r="K23" s="73">
        <f>IF(OR($I23="",$J23=""),"",$J23-$I23+1)</f>
        <v/>
      </c>
      <c r="L23" s="56" t="n"/>
      <c r="M23" s="74">
        <f>IF($J23="","",$J23+N($L23))</f>
        <v/>
      </c>
      <c r="N23" s="75" t="n"/>
      <c r="O23" s="69" t="str">
        <f>IF($C23="","",IF(N($N23)&gt;=1,"Tamamlandı",IF(AND($J23&lt;&gt;"",$M23&lt;Hesap!$B$3),"Gecikmiş",IF(OR(N($N23)&gt;0,AND($I23&lt;&gt;"",$I23&lt;=Hesap!$B$3)),"Devam Ediyor","Planlanan"))))</f>
        <v>Planlanan</v>
      </c>
      <c r="P23" s="70" t="n"/>
      <c r="Q23" s="70" t="n"/>
      <c r="R23" s="72" t="n"/>
      <c r="S23" s="73">
        <f>IF(OR($J23="",$R23=""),"",$R23-$J23)</f>
        <v/>
      </c>
      <c r="T23" s="76">
        <f>IF($C23="","",IF($J23="","",IF($R23&lt;&gt;"",IF($S23&gt;7,"⚠ "&amp;TEXT($S23,"0")&amp;" günde yapıldı (geç)","✔ "&amp;TEXT($S23,"0")&amp;" günde yapıldı"),IF($J23&gt;Hesap!$B$3,"",IF($J23+7&lt;Hesap!$B$3,"⚠ Mutabakat "&amp;TEXT(Hesap!$B$3-($J23+7),"0")&amp;" gün gecikti","● Mutabakat için "&amp;TEXT($J23+7-Hesap!$B$3,"0")&amp;" gün")))))</f>
        <v/>
      </c>
      <c r="U23" s="76">
        <f>IF($Y23="","",IF($Y23&gt;0.3,"⚠ Gecikebilir (%"&amp;TEXT($Y23*100,"0")&amp;" geride)",""))</f>
        <v/>
      </c>
      <c r="V23" s="76">
        <f>IF($C23="","",IF($O23="Tamamlandı","",IF($M23="","",IF($M23&lt;Hesap!$B$3,"⚠ "&amp;TEXT(Hesap!$B$3-$M23,"0")&amp;" gün gecikme",IF($M23-Hesap!$B$3&lt;=14,"● "&amp;TEXT($M23-Hesap!$B$3,"0")&amp;" gün kaldı","")))))</f>
        <v/>
      </c>
      <c r="W23">
        <f>IF($C23="","",IF($O23="Tamamlandı",N($L23),MAX(N($L23),IF(AND($J23&lt;&gt;"",$J23&lt;Hesap!$B$3),Hesap!$B$3-$J23,0)))+ROW()/1000000)</f>
        <v>0.000023</v>
      </c>
      <c r="X23">
        <f>IF($W23="","",INT($W23))</f>
        <v>0</v>
      </c>
      <c r="Y23">
        <f>IF(OR($C23="",$I23="",$K23="",$K23&lt;=0,$O23="Tamamlandı"),"",IF(Hesap!$B$3&lt;$I23,"",MIN(1,(Hesap!$B$3-$I23+1)/$K23)-N($N23)))</f>
        <v/>
      </c>
    </row>
    <row r="24" ht="18" customHeight="1">
      <c r="A24" s="69">
        <f>IF($C24="","",ROW()-4)</f>
        <v>20</v>
      </c>
      <c r="B24" s="70" t="inlineStr">
        <is>
          <t>Yönetim Beyanı</t>
        </is>
      </c>
      <c r="C24" s="70" t="inlineStr">
        <is>
          <t>Madde 43</t>
        </is>
      </c>
      <c r="D24" s="71" t="inlineStr">
        <is>
          <t>Ornek User12</t>
        </is>
      </c>
      <c r="E24" s="71" t="n"/>
      <c r="F24" s="71" t="n"/>
      <c r="G24" s="71" t="n"/>
      <c r="H24" s="71" t="inlineStr">
        <is>
          <t>Düşük</t>
        </is>
      </c>
      <c r="I24" s="72" t="n"/>
      <c r="J24" s="72" t="n"/>
      <c r="K24" s="73">
        <f>IF(OR($I24="",$J24=""),"",$J24-$I24+1)</f>
        <v/>
      </c>
      <c r="L24" s="56" t="n"/>
      <c r="M24" s="74">
        <f>IF($J24="","",$J24+N($L24))</f>
        <v/>
      </c>
      <c r="N24" s="75" t="n"/>
      <c r="O24" s="69" t="str">
        <f>IF($C24="","",IF(N($N24)&gt;=1,"Tamamlandı",IF(AND($J24&lt;&gt;"",$M24&lt;Hesap!$B$3),"Gecikmiş",IF(OR(N($N24)&gt;0,AND($I24&lt;&gt;"",$I24&lt;=Hesap!$B$3)),"Devam Ediyor","Planlanan"))))</f>
        <v>Planlanan</v>
      </c>
      <c r="P24" s="70" t="n"/>
      <c r="Q24" s="70" t="n"/>
      <c r="R24" s="72" t="n"/>
      <c r="S24" s="73">
        <f>IF(OR($J24="",$R24=""),"",$R24-$J24)</f>
        <v/>
      </c>
      <c r="T24" s="76">
        <f>IF($C24="","",IF($J24="","",IF($R24&lt;&gt;"",IF($S24&gt;7,"⚠ "&amp;TEXT($S24,"0")&amp;" günde yapıldı (geç)","✔ "&amp;TEXT($S24,"0")&amp;" günde yapıldı"),IF($J24&gt;Hesap!$B$3,"",IF($J24+7&lt;Hesap!$B$3,"⚠ Mutabakat "&amp;TEXT(Hesap!$B$3-($J24+7),"0")&amp;" gün gecikti","● Mutabakat için "&amp;TEXT($J24+7-Hesap!$B$3,"0")&amp;" gün")))))</f>
        <v/>
      </c>
      <c r="U24" s="76">
        <f>IF($Y24="","",IF($Y24&gt;0.3,"⚠ Gecikebilir (%"&amp;TEXT($Y24*100,"0")&amp;" geride)",""))</f>
        <v/>
      </c>
      <c r="V24" s="76">
        <f>IF($C24="","",IF($O24="Tamamlandı","",IF($M24="","",IF($M24&lt;Hesap!$B$3,"⚠ "&amp;TEXT(Hesap!$B$3-$M24,"0")&amp;" gün gecikme",IF($M24-Hesap!$B$3&lt;=14,"● "&amp;TEXT($M24-Hesap!$B$3,"0")&amp;" gün kaldı","")))))</f>
        <v/>
      </c>
      <c r="W24">
        <f>IF($C24="","",IF($O24="Tamamlandı",N($L24),MAX(N($L24),IF(AND($J24&lt;&gt;"",$J24&lt;Hesap!$B$3),Hesap!$B$3-$J24,0)))+ROW()/1000000)</f>
        <v>0.000024</v>
      </c>
      <c r="X24">
        <f>IF($W24="","",INT($W24))</f>
        <v>0</v>
      </c>
      <c r="Y24">
        <f>IF(OR($C24="",$I24="",$K24="",$K24&lt;=0,$O24="Tamamlandı"),"",IF(Hesap!$B$3&lt;$I24,"",MIN(1,(Hesap!$B$3-$I24+1)/$K24)-N($N24)))</f>
        <v/>
      </c>
    </row>
    <row r="25" ht="18" customHeight="1">
      <c r="A25" s="69">
        <f>IF($C25="","",ROW()-4)</f>
        <v>21</v>
      </c>
      <c r="B25" s="70" t="inlineStr">
        <is>
          <t>BIGR (Yönetim Beyanı Ortak Maddeler)</t>
        </is>
      </c>
      <c r="C25" s="70" t="inlineStr">
        <is>
          <t>3.1.1. Donanım Varlıklarının Envanter Yönetimi</t>
        </is>
      </c>
      <c r="D25" s="71" t="inlineStr">
        <is>
          <t>Ornek User1</t>
        </is>
      </c>
      <c r="E25" s="71" t="n"/>
      <c r="F25" s="71" t="n"/>
      <c r="G25" s="71" t="n"/>
      <c r="H25" s="71" t="n"/>
      <c r="I25" s="72" t="n"/>
      <c r="J25" s="72" t="n"/>
      <c r="K25" s="73">
        <f>IF(OR($I25="",$J25=""),"",$J25-$I25+1)</f>
        <v/>
      </c>
      <c r="L25" s="56" t="n"/>
      <c r="M25" s="74">
        <f>IF($J25="","",$J25+N($L25))</f>
        <v/>
      </c>
      <c r="N25" s="75" t="n"/>
      <c r="O25" s="69" t="str">
        <f>IF($C25="","",IF(N($N25)&gt;=1,"Tamamlandı",IF(AND($J25&lt;&gt;"",$M25&lt;Hesap!$B$3),"Gecikmiş",IF(OR(N($N25)&gt;0,AND($I25&lt;&gt;"",$I25&lt;=Hesap!$B$3)),"Devam Ediyor","Planlanan"))))</f>
        <v>Planlanan</v>
      </c>
      <c r="P25" s="70" t="n"/>
      <c r="Q25" s="70" t="n"/>
      <c r="R25" s="72" t="n"/>
      <c r="S25" s="73">
        <f>IF(OR($J25="",$R25=""),"",$R25-$J25)</f>
        <v/>
      </c>
      <c r="T25" s="76">
        <f>IF($C25="","",IF($J25="","",IF($R25&lt;&gt;"",IF($S25&gt;7,"⚠ "&amp;TEXT($S25,"0")&amp;" günde yapıldı (geç)","✔ "&amp;TEXT($S25,"0")&amp;" günde yapıldı"),IF($J25&gt;Hesap!$B$3,"",IF($J25+7&lt;Hesap!$B$3,"⚠ Mutabakat "&amp;TEXT(Hesap!$B$3-($J25+7),"0")&amp;" gün gecikti","● Mutabakat için "&amp;TEXT($J25+7-Hesap!$B$3,"0")&amp;" gün")))))</f>
        <v/>
      </c>
      <c r="U25" s="76">
        <f>IF($Y25="","",IF($Y25&gt;0.3,"⚠ Gecikebilir (%"&amp;TEXT($Y25*100,"0")&amp;" geride)",""))</f>
        <v/>
      </c>
      <c r="V25" s="76">
        <f>IF($C25="","",IF($O25="Tamamlandı","",IF($M25="","",IF($M25&lt;Hesap!$B$3,"⚠ "&amp;TEXT(Hesap!$B$3-$M25,"0")&amp;" gün gecikme",IF($M25-Hesap!$B$3&lt;=14,"● "&amp;TEXT($M25-Hesap!$B$3,"0")&amp;" gün kaldı","")))))</f>
        <v/>
      </c>
      <c r="W25">
        <f>IF($C25="","",IF($O25="Tamamlandı",N($L25),MAX(N($L25),IF(AND($J25&lt;&gt;"",$J25&lt;Hesap!$B$3),Hesap!$B$3-$J25,0)))+ROW()/1000000)</f>
        <v>0.000025</v>
      </c>
      <c r="X25">
        <f>IF($W25="","",INT($W25))</f>
        <v>0</v>
      </c>
      <c r="Y25">
        <f>IF(OR($C25="",$I25="",$K25="",$K25&lt;=0,$O25="Tamamlandı"),"",IF(Hesap!$B$3&lt;$I25,"",MIN(1,(Hesap!$B$3-$I25+1)/$K25)-N($N25)))</f>
        <v/>
      </c>
    </row>
    <row r="26" ht="18" customHeight="1">
      <c r="A26" s="69">
        <f>IF($C26="","",ROW()-4)</f>
        <v>22</v>
      </c>
      <c r="B26" s="70" t="inlineStr">
        <is>
          <t>BIGR (Yönetim Beyanı Ortak Maddeler)</t>
        </is>
      </c>
      <c r="C26" s="70" t="inlineStr">
        <is>
          <t>3.1.2. Yazılım Varlıklarının Envanter Yönetimi</t>
        </is>
      </c>
      <c r="D26" s="71" t="inlineStr">
        <is>
          <t>Ornek User1</t>
        </is>
      </c>
      <c r="E26" s="71" t="n"/>
      <c r="F26" s="71" t="n"/>
      <c r="G26" s="71" t="n"/>
      <c r="H26" s="71" t="n"/>
      <c r="I26" s="72" t="n"/>
      <c r="J26" s="72" t="n"/>
      <c r="K26" s="73">
        <f>IF(OR($I26="",$J26=""),"",$J26-$I26+1)</f>
        <v/>
      </c>
      <c r="L26" s="56" t="n"/>
      <c r="M26" s="74">
        <f>IF($J26="","",$J26+N($L26))</f>
        <v/>
      </c>
      <c r="N26" s="75" t="n"/>
      <c r="O26" s="69" t="str">
        <f>IF($C26="","",IF(N($N26)&gt;=1,"Tamamlandı",IF(AND($J26&lt;&gt;"",$M26&lt;Hesap!$B$3),"Gecikmiş",IF(OR(N($N26)&gt;0,AND($I26&lt;&gt;"",$I26&lt;=Hesap!$B$3)),"Devam Ediyor","Planlanan"))))</f>
        <v>Planlanan</v>
      </c>
      <c r="P26" s="70" t="n"/>
      <c r="Q26" s="70" t="n"/>
      <c r="R26" s="72" t="n"/>
      <c r="S26" s="73">
        <f>IF(OR($J26="",$R26=""),"",$R26-$J26)</f>
        <v/>
      </c>
      <c r="T26" s="76">
        <f>IF($C26="","",IF($J26="","",IF($R26&lt;&gt;"",IF($S26&gt;7,"⚠ "&amp;TEXT($S26,"0")&amp;" günde yapıldı (geç)","✔ "&amp;TEXT($S26,"0")&amp;" günde yapıldı"),IF($J26&gt;Hesap!$B$3,"",IF($J26+7&lt;Hesap!$B$3,"⚠ Mutabakat "&amp;TEXT(Hesap!$B$3-($J26+7),"0")&amp;" gün gecikti","● Mutabakat için "&amp;TEXT($J26+7-Hesap!$B$3,"0")&amp;" gün")))))</f>
        <v/>
      </c>
      <c r="U26" s="76">
        <f>IF($Y26="","",IF($Y26&gt;0.3,"⚠ Gecikebilir (%"&amp;TEXT($Y26*100,"0")&amp;" geride)",""))</f>
        <v/>
      </c>
      <c r="V26" s="76">
        <f>IF($C26="","",IF($O26="Tamamlandı","",IF($M26="","",IF($M26&lt;Hesap!$B$3,"⚠ "&amp;TEXT(Hesap!$B$3-$M26,"0")&amp;" gün gecikme",IF($M26-Hesap!$B$3&lt;=14,"● "&amp;TEXT($M26-Hesap!$B$3,"0")&amp;" gün kaldı","")))))</f>
        <v/>
      </c>
      <c r="W26">
        <f>IF($C26="","",IF($O26="Tamamlandı",N($L26),MAX(N($L26),IF(AND($J26&lt;&gt;"",$J26&lt;Hesap!$B$3),Hesap!$B$3-$J26,0)))+ROW()/1000000)</f>
        <v>0.000026</v>
      </c>
      <c r="X26">
        <f>IF($W26="","",INT($W26))</f>
        <v>0</v>
      </c>
      <c r="Y26">
        <f>IF(OR($C26="",$I26="",$K26="",$K26&lt;=0,$O26="Tamamlandı"),"",IF(Hesap!$B$3&lt;$I26,"",MIN(1,(Hesap!$B$3-$I26+1)/$K26)-N($N26)))</f>
        <v/>
      </c>
    </row>
    <row r="27" ht="18" customHeight="1">
      <c r="A27" s="69">
        <f>IF($C27="","",ROW()-4)</f>
        <v>23</v>
      </c>
      <c r="B27" s="70" t="inlineStr">
        <is>
          <t>BIGR (Yönetim Beyanı Ortak Maddeler)</t>
        </is>
      </c>
      <c r="C27" s="70" t="inlineStr">
        <is>
          <t>3.2.2. Oturum Yönetimi</t>
        </is>
      </c>
      <c r="D27" s="71" t="inlineStr">
        <is>
          <t>Ornek User1</t>
        </is>
      </c>
      <c r="E27" s="71" t="n"/>
      <c r="F27" s="71" t="n"/>
      <c r="G27" s="71" t="n"/>
      <c r="H27" s="71" t="n"/>
      <c r="I27" s="72" t="n"/>
      <c r="J27" s="72" t="n"/>
      <c r="K27" s="73">
        <f>IF(OR($I27="",$J27=""),"",$J27-$I27+1)</f>
        <v/>
      </c>
      <c r="L27" s="56" t="n"/>
      <c r="M27" s="74">
        <f>IF($J27="","",$J27+N($L27))</f>
        <v/>
      </c>
      <c r="N27" s="75" t="n"/>
      <c r="O27" s="69" t="str">
        <f>IF($C27="","",IF(N($N27)&gt;=1,"Tamamlandı",IF(AND($J27&lt;&gt;"",$M27&lt;Hesap!$B$3),"Gecikmiş",IF(OR(N($N27)&gt;0,AND($I27&lt;&gt;"",$I27&lt;=Hesap!$B$3)),"Devam Ediyor","Planlanan"))))</f>
        <v>Planlanan</v>
      </c>
      <c r="P27" s="70" t="n"/>
      <c r="Q27" s="70" t="n"/>
      <c r="R27" s="72" t="n"/>
      <c r="S27" s="73">
        <f>IF(OR($J27="",$R27=""),"",$R27-$J27)</f>
        <v/>
      </c>
      <c r="T27" s="76">
        <f>IF($C27="","",IF($J27="","",IF($R27&lt;&gt;"",IF($S27&gt;7,"⚠ "&amp;TEXT($S27,"0")&amp;" günde yapıldı (geç)","✔ "&amp;TEXT($S27,"0")&amp;" günde yapıldı"),IF($J27&gt;Hesap!$B$3,"",IF($J27+7&lt;Hesap!$B$3,"⚠ Mutabakat "&amp;TEXT(Hesap!$B$3-($J27+7),"0")&amp;" gün gecikti","● Mutabakat için "&amp;TEXT($J27+7-Hesap!$B$3,"0")&amp;" gün")))))</f>
        <v/>
      </c>
      <c r="U27" s="76">
        <f>IF($Y27="","",IF($Y27&gt;0.3,"⚠ Gecikebilir (%"&amp;TEXT($Y27*100,"0")&amp;" geride)",""))</f>
        <v/>
      </c>
      <c r="V27" s="76">
        <f>IF($C27="","",IF($O27="Tamamlandı","",IF($M27="","",IF($M27&lt;Hesap!$B$3,"⚠ "&amp;TEXT(Hesap!$B$3-$M27,"0")&amp;" gün gecikme",IF($M27-Hesap!$B$3&lt;=14,"● "&amp;TEXT($M27-Hesap!$B$3,"0")&amp;" gün kaldı","")))))</f>
        <v/>
      </c>
      <c r="W27">
        <f>IF($C27="","",IF($O27="Tamamlandı",N($L27),MAX(N($L27),IF(AND($J27&lt;&gt;"",$J27&lt;Hesap!$B$3),Hesap!$B$3-$J27,0)))+ROW()/1000000)</f>
        <v>0.000027</v>
      </c>
      <c r="X27">
        <f>IF($W27="","",INT($W27))</f>
        <v>0</v>
      </c>
      <c r="Y27">
        <f>IF(OR($C27="",$I27="",$K27="",$K27&lt;=0,$O27="Tamamlandı"),"",IF(Hesap!$B$3&lt;$I27,"",MIN(1,(Hesap!$B$3-$I27+1)/$K27)-N($N27)))</f>
        <v/>
      </c>
    </row>
    <row r="28" ht="18" customHeight="1">
      <c r="A28" s="69">
        <f>IF($C28="","",ROW()-4)</f>
        <v>24</v>
      </c>
      <c r="B28" s="70" t="inlineStr">
        <is>
          <t>BIGR (Yönetim Beyanı Ortak Maddeler)</t>
        </is>
      </c>
      <c r="C28" s="70" t="inlineStr">
        <is>
          <t>3.5.1. Genel Güvenlik Tedbirleri</t>
        </is>
      </c>
      <c r="D28" s="71" t="inlineStr">
        <is>
          <t>Ornek User1</t>
        </is>
      </c>
      <c r="E28" s="71" t="n"/>
      <c r="F28" s="71" t="n"/>
      <c r="G28" s="71" t="n"/>
      <c r="H28" s="71" t="n"/>
      <c r="I28" s="72" t="n"/>
      <c r="J28" s="72" t="n"/>
      <c r="K28" s="73">
        <f>IF(OR($I28="",$J28=""),"",$J28-$I28+1)</f>
        <v/>
      </c>
      <c r="L28" s="56" t="n"/>
      <c r="M28" s="74">
        <f>IF($J28="","",$J28+N($L28))</f>
        <v/>
      </c>
      <c r="N28" s="75" t="n"/>
      <c r="O28" s="69" t="str">
        <f>IF($C28="","",IF(N($N28)&gt;=1,"Tamamlandı",IF(AND($J28&lt;&gt;"",$M28&lt;Hesap!$B$3),"Gecikmiş",IF(OR(N($N28)&gt;0,AND($I28&lt;&gt;"",$I28&lt;=Hesap!$B$3)),"Devam Ediyor","Planlanan"))))</f>
        <v>Planlanan</v>
      </c>
      <c r="P28" s="70" t="n"/>
      <c r="Q28" s="70" t="n"/>
      <c r="R28" s="72" t="n"/>
      <c r="S28" s="73">
        <f>IF(OR($J28="",$R28=""),"",$R28-$J28)</f>
        <v/>
      </c>
      <c r="T28" s="76">
        <f>IF($C28="","",IF($J28="","",IF($R28&lt;&gt;"",IF($S28&gt;7,"⚠ "&amp;TEXT($S28,"0")&amp;" günde yapıldı (geç)","✔ "&amp;TEXT($S28,"0")&amp;" günde yapıldı"),IF($J28&gt;Hesap!$B$3,"",IF($J28+7&lt;Hesap!$B$3,"⚠ Mutabakat "&amp;TEXT(Hesap!$B$3-($J28+7),"0")&amp;" gün gecikti","● Mutabakat için "&amp;TEXT($J28+7-Hesap!$B$3,"0")&amp;" gün")))))</f>
        <v/>
      </c>
      <c r="U28" s="76">
        <f>IF($Y28="","",IF($Y28&gt;0.3,"⚠ Gecikebilir (%"&amp;TEXT($Y28*100,"0")&amp;" geride)",""))</f>
        <v/>
      </c>
      <c r="V28" s="76">
        <f>IF($C28="","",IF($O28="Tamamlandı","",IF($M28="","",IF($M28&lt;Hesap!$B$3,"⚠ "&amp;TEXT(Hesap!$B$3-$M28,"0")&amp;" gün gecikme",IF($M28-Hesap!$B$3&lt;=14,"● "&amp;TEXT($M28-Hesap!$B$3,"0")&amp;" gün kaldı","")))))</f>
        <v/>
      </c>
      <c r="W28">
        <f>IF($C28="","",IF($O28="Tamamlandı",N($L28),MAX(N($L28),IF(AND($J28&lt;&gt;"",$J28&lt;Hesap!$B$3),Hesap!$B$3-$J28,0)))+ROW()/1000000)</f>
        <v>0.000028</v>
      </c>
      <c r="X28">
        <f>IF($W28="","",INT($W28))</f>
        <v>0</v>
      </c>
      <c r="Y28">
        <f>IF(OR($C28="",$I28="",$K28="",$K28&lt;=0,$O28="Tamamlandı"),"",IF(Hesap!$B$3&lt;$I28,"",MIN(1,(Hesap!$B$3-$I28+1)/$K28)-N($N28)))</f>
        <v/>
      </c>
    </row>
    <row r="29" ht="18" customHeight="1">
      <c r="A29" s="69">
        <f>IF($C29="","",ROW()-4)</f>
        <v>25</v>
      </c>
      <c r="B29" s="70" t="inlineStr">
        <is>
          <t>BIGR (Yönetim Beyanı Ortak Maddeler)</t>
        </is>
      </c>
      <c r="C29" s="70" t="inlineStr">
        <is>
          <t>3.6.1. Genel Güvenlik Tedbirleri</t>
        </is>
      </c>
      <c r="D29" s="71" t="inlineStr">
        <is>
          <t>Ornek User1</t>
        </is>
      </c>
      <c r="E29" s="71" t="n"/>
      <c r="F29" s="71" t="n"/>
      <c r="G29" s="71" t="n"/>
      <c r="H29" s="71" t="n"/>
      <c r="I29" s="72" t="n"/>
      <c r="J29" s="72" t="n"/>
      <c r="K29" s="73">
        <f>IF(OR($I29="",$J29=""),"",$J29-$I29+1)</f>
        <v/>
      </c>
      <c r="L29" s="56" t="n"/>
      <c r="M29" s="74">
        <f>IF($J29="","",$J29+N($L29))</f>
        <v/>
      </c>
      <c r="N29" s="75" t="n"/>
      <c r="O29" s="69" t="str">
        <f>IF($C29="","",IF(N($N29)&gt;=1,"Tamamlandı",IF(AND($J29&lt;&gt;"",$M29&lt;Hesap!$B$3),"Gecikmiş",IF(OR(N($N29)&gt;0,AND($I29&lt;&gt;"",$I29&lt;=Hesap!$B$3)),"Devam Ediyor","Planlanan"))))</f>
        <v>Planlanan</v>
      </c>
      <c r="P29" s="70" t="n"/>
      <c r="Q29" s="70" t="n"/>
      <c r="R29" s="72" t="n"/>
      <c r="S29" s="73">
        <f>IF(OR($J29="",$R29=""),"",$R29-$J29)</f>
        <v/>
      </c>
      <c r="T29" s="76">
        <f>IF($C29="","",IF($J29="","",IF($R29&lt;&gt;"",IF($S29&gt;7,"⚠ "&amp;TEXT($S29,"0")&amp;" günde yapıldı (geç)","✔ "&amp;TEXT($S29,"0")&amp;" günde yapıldı"),IF($J29&gt;Hesap!$B$3,"",IF($J29+7&lt;Hesap!$B$3,"⚠ Mutabakat "&amp;TEXT(Hesap!$B$3-($J29+7),"0")&amp;" gün gecikti","● Mutabakat için "&amp;TEXT($J29+7-Hesap!$B$3,"0")&amp;" gün")))))</f>
        <v/>
      </c>
      <c r="U29" s="76">
        <f>IF($Y29="","",IF($Y29&gt;0.3,"⚠ Gecikebilir (%"&amp;TEXT($Y29*100,"0")&amp;" geride)",""))</f>
        <v/>
      </c>
      <c r="V29" s="76">
        <f>IF($C29="","",IF($O29="Tamamlandı","",IF($M29="","",IF($M29&lt;Hesap!$B$3,"⚠ "&amp;TEXT(Hesap!$B$3-$M29,"0")&amp;" gün gecikme",IF($M29-Hesap!$B$3&lt;=14,"● "&amp;TEXT($M29-Hesap!$B$3,"0")&amp;" gün kaldı","")))))</f>
        <v/>
      </c>
      <c r="W29">
        <f>IF($C29="","",IF($O29="Tamamlandı",N($L29),MAX(N($L29),IF(AND($J29&lt;&gt;"",$J29&lt;Hesap!$B$3),Hesap!$B$3-$J29,0)))+ROW()/1000000)</f>
        <v>0.000029</v>
      </c>
      <c r="X29">
        <f>IF($W29="","",INT($W29))</f>
        <v>0</v>
      </c>
      <c r="Y29">
        <f>IF(OR($C29="",$I29="",$K29="",$K29&lt;=0,$O29="Tamamlandı"),"",IF(Hesap!$B$3&lt;$I29,"",MIN(1,(Hesap!$B$3-$I29+1)/$K29)-N($N29)))</f>
        <v/>
      </c>
    </row>
    <row r="30" ht="18" customHeight="1">
      <c r="A30" s="69">
        <f>IF($C30="","",ROW()-4)</f>
        <v>26</v>
      </c>
      <c r="B30" s="70" t="inlineStr">
        <is>
          <t>BIGR (Yönetim Beyanı Ortak Maddeler)</t>
        </is>
      </c>
      <c r="C30" s="70" t="inlineStr">
        <is>
          <t>3.6.2. Sistem Odası/Veri Merkezine Yönelik Güvenlik Tedbirleri</t>
        </is>
      </c>
      <c r="D30" s="71" t="inlineStr">
        <is>
          <t>Ornek User1</t>
        </is>
      </c>
      <c r="E30" s="71" t="n"/>
      <c r="F30" s="71" t="n"/>
      <c r="G30" s="71" t="n"/>
      <c r="H30" s="71" t="n"/>
      <c r="I30" s="72" t="n"/>
      <c r="J30" s="72" t="n"/>
      <c r="K30" s="73">
        <f>IF(OR($I30="",$J30=""),"",$J30-$I30+1)</f>
        <v/>
      </c>
      <c r="L30" s="56" t="n"/>
      <c r="M30" s="74">
        <f>IF($J30="","",$J30+N($L30))</f>
        <v/>
      </c>
      <c r="N30" s="75" t="n"/>
      <c r="O30" s="69" t="str">
        <f>IF($C30="","",IF(N($N30)&gt;=1,"Tamamlandı",IF(AND($J30&lt;&gt;"",$M30&lt;Hesap!$B$3),"Gecikmiş",IF(OR(N($N30)&gt;0,AND($I30&lt;&gt;"",$I30&lt;=Hesap!$B$3)),"Devam Ediyor","Planlanan"))))</f>
        <v>Planlanan</v>
      </c>
      <c r="P30" s="70" t="n"/>
      <c r="Q30" s="70" t="n"/>
      <c r="R30" s="72" t="n"/>
      <c r="S30" s="73">
        <f>IF(OR($J30="",$R30=""),"",$R30-$J30)</f>
        <v/>
      </c>
      <c r="T30" s="76">
        <f>IF($C30="","",IF($J30="","",IF($R30&lt;&gt;"",IF($S30&gt;7,"⚠ "&amp;TEXT($S30,"0")&amp;" günde yapıldı (geç)","✔ "&amp;TEXT($S30,"0")&amp;" günde yapıldı"),IF($J30&gt;Hesap!$B$3,"",IF($J30+7&lt;Hesap!$B$3,"⚠ Mutabakat "&amp;TEXT(Hesap!$B$3-($J30+7),"0")&amp;" gün gecikti","● Mutabakat için "&amp;TEXT($J30+7-Hesap!$B$3,"0")&amp;" gün")))))</f>
        <v/>
      </c>
      <c r="U30" s="76">
        <f>IF($Y30="","",IF($Y30&gt;0.3,"⚠ Gecikebilir (%"&amp;TEXT($Y30*100,"0")&amp;" geride)",""))</f>
        <v/>
      </c>
      <c r="V30" s="76">
        <f>IF($C30="","",IF($O30="Tamamlandı","",IF($M30="","",IF($M30&lt;Hesap!$B$3,"⚠ "&amp;TEXT(Hesap!$B$3-$M30,"0")&amp;" gün gecikme",IF($M30-Hesap!$B$3&lt;=14,"● "&amp;TEXT($M30-Hesap!$B$3,"0")&amp;" gün kaldı","")))))</f>
        <v/>
      </c>
      <c r="W30">
        <f>IF($C30="","",IF($O30="Tamamlandı",N($L30),MAX(N($L30),IF(AND($J30&lt;&gt;"",$J30&lt;Hesap!$B$3),Hesap!$B$3-$J30,0)))+ROW()/1000000)</f>
        <v>0.00003</v>
      </c>
      <c r="X30">
        <f>IF($W30="","",INT($W30))</f>
        <v>0</v>
      </c>
      <c r="Y30">
        <f>IF(OR($C30="",$I30="",$K30="",$K30&lt;=0,$O30="Tamamlandı"),"",IF(Hesap!$B$3&lt;$I30,"",MIN(1,(Hesap!$B$3-$I30+1)/$K30)-N($N30)))</f>
        <v/>
      </c>
    </row>
    <row r="31" ht="18" customHeight="1">
      <c r="A31" s="69">
        <f>IF($C31="","",ROW()-4)</f>
        <v>27</v>
      </c>
      <c r="B31" s="70" t="inlineStr">
        <is>
          <t>BIGR (Yönetim Beyanı Ortak Maddeler)</t>
        </is>
      </c>
      <c r="C31" s="70" t="inlineStr">
        <is>
          <t>4.2.1. Genel Güvenlik Tedbirleri</t>
        </is>
      </c>
      <c r="D31" s="71" t="inlineStr">
        <is>
          <t>Ornek User1</t>
        </is>
      </c>
      <c r="E31" s="71" t="n"/>
      <c r="F31" s="71" t="n"/>
      <c r="G31" s="71" t="n"/>
      <c r="H31" s="71" t="n"/>
      <c r="I31" s="72" t="n"/>
      <c r="J31" s="72" t="n"/>
      <c r="K31" s="73">
        <f>IF(OR($I31="",$J31=""),"",$J31-$I31+1)</f>
        <v/>
      </c>
      <c r="L31" s="56" t="n"/>
      <c r="M31" s="74">
        <f>IF($J31="","",$J31+N($L31))</f>
        <v/>
      </c>
      <c r="N31" s="75" t="n"/>
      <c r="O31" s="69" t="str">
        <f>IF($C31="","",IF(N($N31)&gt;=1,"Tamamlandı",IF(AND($J31&lt;&gt;"",$M31&lt;Hesap!$B$3),"Gecikmiş",IF(OR(N($N31)&gt;0,AND($I31&lt;&gt;"",$I31&lt;=Hesap!$B$3)),"Devam Ediyor","Planlanan"))))</f>
        <v>Planlanan</v>
      </c>
      <c r="P31" s="70" t="n"/>
      <c r="Q31" s="70" t="n"/>
      <c r="R31" s="72" t="n"/>
      <c r="S31" s="73">
        <f>IF(OR($J31="",$R31=""),"",$R31-$J31)</f>
        <v/>
      </c>
      <c r="T31" s="76">
        <f>IF($C31="","",IF($J31="","",IF($R31&lt;&gt;"",IF($S31&gt;7,"⚠ "&amp;TEXT($S31,"0")&amp;" günde yapıldı (geç)","✔ "&amp;TEXT($S31,"0")&amp;" günde yapıldı"),IF($J31&gt;Hesap!$B$3,"",IF($J31+7&lt;Hesap!$B$3,"⚠ Mutabakat "&amp;TEXT(Hesap!$B$3-($J31+7),"0")&amp;" gün gecikti","● Mutabakat için "&amp;TEXT($J31+7-Hesap!$B$3,"0")&amp;" gün")))))</f>
        <v/>
      </c>
      <c r="U31" s="76">
        <f>IF($Y31="","",IF($Y31&gt;0.3,"⚠ Gecikebilir (%"&amp;TEXT($Y31*100,"0")&amp;" geride)",""))</f>
        <v/>
      </c>
      <c r="V31" s="76">
        <f>IF($C31="","",IF($O31="Tamamlandı","",IF($M31="","",IF($M31&lt;Hesap!$B$3,"⚠ "&amp;TEXT(Hesap!$B$3-$M31,"0")&amp;" gün gecikme",IF($M31-Hesap!$B$3&lt;=14,"● "&amp;TEXT($M31-Hesap!$B$3,"0")&amp;" gün kaldı","")))))</f>
        <v/>
      </c>
      <c r="W31">
        <f>IF($C31="","",IF($O31="Tamamlandı",N($L31),MAX(N($L31),IF(AND($J31&lt;&gt;"",$J31&lt;Hesap!$B$3),Hesap!$B$3-$J31,0)))+ROW()/1000000)</f>
        <v>0.000031</v>
      </c>
      <c r="X31">
        <f>IF($W31="","",INT($W31))</f>
        <v>0</v>
      </c>
      <c r="Y31">
        <f>IF(OR($C31="",$I31="",$K31="",$K31&lt;=0,$O31="Tamamlandı"),"",IF(Hesap!$B$3&lt;$I31,"",MIN(1,(Hesap!$B$3-$I31+1)/$K31)-N($N31)))</f>
        <v/>
      </c>
    </row>
    <row r="32" ht="18" customHeight="1">
      <c r="A32" s="69">
        <f>IF($C32="","",ROW()-4)</f>
        <v>28</v>
      </c>
      <c r="B32" s="70" t="inlineStr">
        <is>
          <t>BIGR (Yönetim Beyanı Ortak Maddeler)</t>
        </is>
      </c>
      <c r="C32" s="70" t="inlineStr">
        <is>
          <t>4.4.2. Şifreleme ve Anahtar Yönetimi</t>
        </is>
      </c>
      <c r="D32" s="71" t="inlineStr">
        <is>
          <t>Ornek User1</t>
        </is>
      </c>
      <c r="E32" s="71" t="n"/>
      <c r="F32" s="71" t="n"/>
      <c r="G32" s="71" t="n"/>
      <c r="H32" s="71" t="n"/>
      <c r="I32" s="72" t="n"/>
      <c r="J32" s="72" t="n"/>
      <c r="K32" s="73">
        <f>IF(OR($I32="",$J32=""),"",$J32-$I32+1)</f>
        <v/>
      </c>
      <c r="L32" s="56" t="n"/>
      <c r="M32" s="74">
        <f>IF($J32="","",$J32+N($L32))</f>
        <v/>
      </c>
      <c r="N32" s="75" t="n"/>
      <c r="O32" s="69" t="str">
        <f>IF($C32="","",IF(N($N32)&gt;=1,"Tamamlandı",IF(AND($J32&lt;&gt;"",$M32&lt;Hesap!$B$3),"Gecikmiş",IF(OR(N($N32)&gt;0,AND($I32&lt;&gt;"",$I32&lt;=Hesap!$B$3)),"Devam Ediyor","Planlanan"))))</f>
        <v>Planlanan</v>
      </c>
      <c r="P32" s="70" t="n"/>
      <c r="Q32" s="70" t="n"/>
      <c r="R32" s="72" t="n"/>
      <c r="S32" s="73">
        <f>IF(OR($J32="",$R32=""),"",$R32-$J32)</f>
        <v/>
      </c>
      <c r="T32" s="76">
        <f>IF($C32="","",IF($J32="","",IF($R32&lt;&gt;"",IF($S32&gt;7,"⚠ "&amp;TEXT($S32,"0")&amp;" günde yapıldı (geç)","✔ "&amp;TEXT($S32,"0")&amp;" günde yapıldı"),IF($J32&gt;Hesap!$B$3,"",IF($J32+7&lt;Hesap!$B$3,"⚠ Mutabakat "&amp;TEXT(Hesap!$B$3-($J32+7),"0")&amp;" gün gecikti","● Mutabakat için "&amp;TEXT($J32+7-Hesap!$B$3,"0")&amp;" gün")))))</f>
        <v/>
      </c>
      <c r="U32" s="76">
        <f>IF($Y32="","",IF($Y32&gt;0.3,"⚠ Gecikebilir (%"&amp;TEXT($Y32*100,"0")&amp;" geride)",""))</f>
        <v/>
      </c>
      <c r="V32" s="76">
        <f>IF($C32="","",IF($O32="Tamamlandı","",IF($M32="","",IF($M32&lt;Hesap!$B$3,"⚠ "&amp;TEXT(Hesap!$B$3-$M32,"0")&amp;" gün gecikme",IF($M32-Hesap!$B$3&lt;=14,"● "&amp;TEXT($M32-Hesap!$B$3,"0")&amp;" gün kaldı","")))))</f>
        <v/>
      </c>
      <c r="W32">
        <f>IF($C32="","",IF($O32="Tamamlandı",N($L32),MAX(N($L32),IF(AND($J32&lt;&gt;"",$J32&lt;Hesap!$B$3),Hesap!$B$3-$J32,0)))+ROW()/1000000)</f>
        <v>0.000032</v>
      </c>
      <c r="X32">
        <f>IF($W32="","",INT($W32))</f>
        <v>0</v>
      </c>
      <c r="Y32">
        <f>IF(OR($C32="",$I32="",$K32="",$K32&lt;=0,$O32="Tamamlandı"),"",IF(Hesap!$B$3&lt;$I32,"",MIN(1,(Hesap!$B$3-$I32+1)/$K32)-N($N32)))</f>
        <v/>
      </c>
    </row>
    <row r="33" ht="18" customHeight="1">
      <c r="A33" s="69">
        <f>IF($C33="","",ROW()-4)</f>
        <v>29</v>
      </c>
      <c r="B33" s="70" t="inlineStr">
        <is>
          <t>BIGR (Yönetim Beyanı Ortak Maddeler)</t>
        </is>
      </c>
      <c r="C33" s="70" t="inlineStr">
        <is>
          <t>4.4.3. Kriptografik Uygulamalar</t>
        </is>
      </c>
      <c r="D33" s="71" t="inlineStr">
        <is>
          <t>Ornek User1</t>
        </is>
      </c>
      <c r="E33" s="71" t="n"/>
      <c r="F33" s="71" t="n"/>
      <c r="G33" s="71" t="n"/>
      <c r="H33" s="71" t="n"/>
      <c r="I33" s="72" t="n"/>
      <c r="J33" s="72" t="n"/>
      <c r="K33" s="73">
        <f>IF(OR($I33="",$J33=""),"",$J33-$I33+1)</f>
        <v/>
      </c>
      <c r="L33" s="56" t="n"/>
      <c r="M33" s="74">
        <f>IF($J33="","",$J33+N($L33))</f>
        <v/>
      </c>
      <c r="N33" s="75" t="n"/>
      <c r="O33" s="69" t="str">
        <f>IF($C33="","",IF(N($N33)&gt;=1,"Tamamlandı",IF(AND($J33&lt;&gt;"",$M33&lt;Hesap!$B$3),"Gecikmiş",IF(OR(N($N33)&gt;0,AND($I33&lt;&gt;"",$I33&lt;=Hesap!$B$3)),"Devam Ediyor","Planlanan"))))</f>
        <v>Planlanan</v>
      </c>
      <c r="P33" s="70" t="n"/>
      <c r="Q33" s="70" t="n"/>
      <c r="R33" s="72" t="n"/>
      <c r="S33" s="73">
        <f>IF(OR($J33="",$R33=""),"",$R33-$J33)</f>
        <v/>
      </c>
      <c r="T33" s="76">
        <f>IF($C33="","",IF($J33="","",IF($R33&lt;&gt;"",IF($S33&gt;7,"⚠ "&amp;TEXT($S33,"0")&amp;" günde yapıldı (geç)","✔ "&amp;TEXT($S33,"0")&amp;" günde yapıldı"),IF($J33&gt;Hesap!$B$3,"",IF($J33+7&lt;Hesap!$B$3,"⚠ Mutabakat "&amp;TEXT(Hesap!$B$3-($J33+7),"0")&amp;" gün gecikti","● Mutabakat için "&amp;TEXT($J33+7-Hesap!$B$3,"0")&amp;" gün")))))</f>
        <v/>
      </c>
      <c r="U33" s="76">
        <f>IF($Y33="","",IF($Y33&gt;0.3,"⚠ Gecikebilir (%"&amp;TEXT($Y33*100,"0")&amp;" geride)",""))</f>
        <v/>
      </c>
      <c r="V33" s="76">
        <f>IF($C33="","",IF($O33="Tamamlandı","",IF($M33="","",IF($M33&lt;Hesap!$B$3,"⚠ "&amp;TEXT(Hesap!$B$3-$M33,"0")&amp;" gün gecikme",IF($M33-Hesap!$B$3&lt;=14,"● "&amp;TEXT($M33-Hesap!$B$3,"0")&amp;" gün kaldı","")))))</f>
        <v/>
      </c>
      <c r="W33">
        <f>IF($C33="","",IF($O33="Tamamlandı",N($L33),MAX(N($L33),IF(AND($J33&lt;&gt;"",$J33&lt;Hesap!$B$3),Hesap!$B$3-$J33,0)))+ROW()/1000000)</f>
        <v>0.000033</v>
      </c>
      <c r="X33">
        <f>IF($W33="","",INT($W33))</f>
        <v>0</v>
      </c>
      <c r="Y33">
        <f>IF(OR($C33="",$I33="",$K33="",$K33&lt;=0,$O33="Tamamlandı"),"",IF(Hesap!$B$3&lt;$I33,"",MIN(1,(Hesap!$B$3-$I33+1)/$K33)-N($N33)))</f>
        <v/>
      </c>
    </row>
    <row r="34" ht="89.25" customHeight="1">
      <c r="A34" s="69">
        <f>IF($C34="","",ROW()-4)</f>
        <v>30</v>
      </c>
      <c r="B34" s="70" t="inlineStr">
        <is>
          <t>Destek Hizmeti Denetimler</t>
        </is>
      </c>
      <c r="C34" s="70" t="inlineStr">
        <is>
          <t>Hesapkurdu firması ağustos ayında Glasshouse'dan Turkcell veri merkezine sunucularını taşımıştır. İlgili değişiklik sonrasında firmaya iletilmesi gereken talepler paylaşılmıştır. Firma tarafından 2 parça halinde kanıtlar iletilmiştir. BT denetim tarafından kanıtlar 24.09.2026 tarihinde incelenmeye başlanmıştır.</t>
        </is>
      </c>
      <c r="D34" s="71" t="inlineStr">
        <is>
          <t>Ornek User4</t>
        </is>
      </c>
      <c r="E34" s="71" t="n"/>
      <c r="F34" s="71" t="n"/>
      <c r="G34" s="71" t="n"/>
      <c r="H34" s="71" t="n"/>
      <c r="I34" s="72" t="n">
        <v>46289</v>
      </c>
      <c r="J34" s="72" t="n">
        <v>46294</v>
      </c>
      <c r="K34" s="73">
        <f>IF(OR($I34="",$J34=""),"",$J34-$I34+1)</f>
        <v>6</v>
      </c>
      <c r="L34" s="56" t="n"/>
      <c r="M34" s="74">
        <f>IF($J34="","",$J34+N($L34))</f>
        <v>46294</v>
      </c>
      <c r="N34" s="75" t="n">
        <v>0.8</v>
      </c>
      <c r="O34" s="69" t="str">
        <f>IF($C34="","",IF(N($N34)&gt;=1,"Tamamlandı",IF(AND($J34&lt;&gt;"",$M34&lt;Hesap!$B$3),"Gecikmiş",IF(OR(N($N34)&gt;0,AND($I34&lt;&gt;"",$I34&lt;=Hesap!$B$3)),"Devam Ediyor","Planlanan"))))</f>
        <v>Gecikmiş</v>
      </c>
      <c r="P34" s="70" t="n"/>
      <c r="Q34" s="70" t="n"/>
      <c r="R34" s="72" t="n"/>
      <c r="S34" s="73">
        <f>IF(OR($J34="",$R34=""),"",$R34-$J34)</f>
        <v/>
      </c>
      <c r="T34" s="76" t="str">
        <f>IF($C34="","",IF($J34="","",IF($R34&lt;&gt;"",IF($S34&gt;7,"⚠ "&amp;TEXT($S34,"0")&amp;" günde yapıldı (geç)","✔ "&amp;TEXT($S34,"0")&amp;" günde yapıldı"),IF($J34&gt;Hesap!$B$3,"",IF($J34+7&lt;Hesap!$B$3,"⚠ Mutabakat "&amp;TEXT(Hesap!$B$3-($J34+7),"0")&amp;" gün gecikti","● Mutabakat için "&amp;TEXT($J34+7-Hesap!$B$3,"0")&amp;" gün")))))</f>
        <v>● Mutabakat için 1 gün</v>
      </c>
      <c r="U34" s="76">
        <f>IF($Y34="","",IF($Y34&gt;0.3,"⚠ Gecikebilir (%"&amp;TEXT($Y34*100,"0")&amp;" geride)",""))</f>
        <v/>
      </c>
      <c r="V34" s="76" t="str">
        <f>IF($C34="","",IF($O34="Tamamlandı","",IF($M34="","",IF($M34&lt;Hesap!$B$3,"⚠ "&amp;TEXT(Hesap!$B$3-$M34,"0")&amp;" gün gecikme",IF($M34-Hesap!$B$3&lt;=14,"● "&amp;TEXT($M34-Hesap!$B$3,"0")&amp;" gün kaldı","")))))</f>
        <v>⚠ 6 gün gecikme</v>
      </c>
      <c r="W34">
        <f>IF($C34="","",IF($O34="Tamamlandı",N($L34),MAX(N($L34),IF(AND($J34&lt;&gt;"",$J34&lt;Hesap!$B$3),Hesap!$B$3-$J34,0)))+ROW()/1000000)</f>
        <v>6.000034</v>
      </c>
      <c r="X34">
        <f>IF($W34="","",INT($W34))</f>
        <v>6</v>
      </c>
      <c r="Y34">
        <f>IF(OR($C34="",$I34="",$K34="",$K34&lt;=0,$O34="Tamamlandı"),"",IF(Hesap!$B$3&lt;$I34,"",MIN(1,(Hesap!$B$3-$I34+1)/$K34)-N($N34)))</f>
        <v>0.2</v>
      </c>
    </row>
    <row r="35" ht="25.5" customHeight="1">
      <c r="A35" s="69">
        <f>IF($C35="","",ROW()-4)</f>
        <v>31</v>
      </c>
      <c r="B35" s="70" t="inlineStr">
        <is>
          <t>Yönetim Beyanı</t>
        </is>
      </c>
      <c r="C35" s="70" t="inlineStr">
        <is>
          <t>Madde 14</t>
        </is>
      </c>
      <c r="D35" s="71" t="inlineStr">
        <is>
          <t>Ornek User9</t>
        </is>
      </c>
      <c r="E35" s="71" t="inlineStr">
        <is>
          <t>Ornek User12</t>
        </is>
      </c>
      <c r="F35" s="71" t="n"/>
      <c r="G35" s="71" t="n"/>
      <c r="H35" s="71" t="inlineStr">
        <is>
          <t>Orta</t>
        </is>
      </c>
      <c r="I35" s="72" t="n">
        <v>46272</v>
      </c>
      <c r="J35" s="72" t="n">
        <v>46315</v>
      </c>
      <c r="K35" s="73">
        <f>IF(OR($I35="",$J35=""),"",$J35-$I35+1)</f>
        <v>44</v>
      </c>
      <c r="L35" s="56" t="n"/>
      <c r="M35" s="74">
        <f>IF($J35="","",$J35+N($L35))</f>
        <v>46315</v>
      </c>
      <c r="N35" s="75" t="n">
        <v>0.6</v>
      </c>
      <c r="O35" s="69" t="str">
        <f>IF($C35="","",IF(N($N35)&gt;=1,"Tamamlandı",IF(AND($J35&lt;&gt;"",$M35&lt;Hesap!$B$3),"Gecikmiş",IF(OR(N($N35)&gt;0,AND($I35&lt;&gt;"",$I35&lt;=Hesap!$B$3)),"Devam Ediyor","Planlanan"))))</f>
        <v>Devam Ediyor</v>
      </c>
      <c r="P35" s="70" t="n"/>
      <c r="Q35" s="70" t="n"/>
      <c r="R35" s="72" t="n"/>
      <c r="S35" s="73">
        <f>IF(OR($J35="",$R35=""),"",$R35-$J35)</f>
        <v/>
      </c>
      <c r="T35" s="76">
        <f>IF($C35="","",IF($J35="","",IF($R35&lt;&gt;"",IF($S35&gt;7,"⚠ "&amp;TEXT($S35,"0")&amp;" günde yapıldı (geç)","✔ "&amp;TEXT($S35,"0")&amp;" günde yapıldı"),IF($J35&gt;Hesap!$B$3,"",IF($J35+7&lt;Hesap!$B$3,"⚠ Mutabakat "&amp;TEXT(Hesap!$B$3-($J35+7),"0")&amp;" gün gecikti","● Mutabakat için "&amp;TEXT($J35+7-Hesap!$B$3,"0")&amp;" gün")))))</f>
        <v/>
      </c>
      <c r="U35" s="76">
        <f>IF($Y35="","",IF($Y35&gt;0.3,"⚠ Gecikebilir (%"&amp;TEXT($Y35*100,"0")&amp;" geride)",""))</f>
        <v/>
      </c>
      <c r="V35" s="76">
        <f>IF($C35="","",IF($O35="Tamamlandı","",IF($M35="","",IF($M35&lt;Hesap!$B$3,"⚠ "&amp;TEXT(Hesap!$B$3-$M35,"0")&amp;" gün gecikme",IF($M35-Hesap!$B$3&lt;=14,"● "&amp;TEXT($M35-Hesap!$B$3,"0")&amp;" gün kaldı","")))))</f>
        <v/>
      </c>
      <c r="W35">
        <f>IF($C35="","",IF($O35="Tamamlandı",N($L35),MAX(N($L35),IF(AND($J35&lt;&gt;"",$J35&lt;Hesap!$B$3),Hesap!$B$3-$J35,0)))+ROW()/1000000)</f>
        <v>0.000035</v>
      </c>
      <c r="X35">
        <f>IF($W35="","",INT($W35))</f>
        <v>0</v>
      </c>
      <c r="Y35">
        <f>IF(OR($C35="",$I35="",$K35="",$K35&lt;=0,$O35="Tamamlandı"),"",IF(Hesap!$B$3&lt;$I35,"",MIN(1,(Hesap!$B$3-$I35+1)/$K35)-N($N35)))</f>
        <v>0.0590909091</v>
      </c>
    </row>
    <row r="36" ht="18" customHeight="1">
      <c r="A36" s="69">
        <f>IF($C36="","",ROW()-4)</f>
        <v>32</v>
      </c>
      <c r="B36" s="70" t="inlineStr">
        <is>
          <t>BIGR</t>
        </is>
      </c>
      <c r="C36" s="70" t="inlineStr">
        <is>
          <t>3.1.4 E-Posta Sunucusu ve İstemcisi Güvenliği</t>
        </is>
      </c>
      <c r="D36" s="71" t="inlineStr">
        <is>
          <t>Ornek User9</t>
        </is>
      </c>
      <c r="E36" s="71" t="n"/>
      <c r="F36" s="71" t="n"/>
      <c r="G36" s="71" t="n"/>
      <c r="H36" s="71" t="inlineStr">
        <is>
          <t>Orta</t>
        </is>
      </c>
      <c r="I36" s="72" t="n">
        <v>46265</v>
      </c>
      <c r="J36" s="72" t="n">
        <v>46284</v>
      </c>
      <c r="K36" s="73">
        <f>IF(OR($I36="",$J36=""),"",$J36-$I36+1)</f>
        <v>20</v>
      </c>
      <c r="L36" s="56" t="n"/>
      <c r="M36" s="74">
        <f>IF($J36="","",$J36+N($L36))</f>
        <v>46284</v>
      </c>
      <c r="N36" s="75" t="n">
        <v>0.6</v>
      </c>
      <c r="O36" s="69" t="str">
        <f>IF($C36="","",IF(N($N36)&gt;=1,"Tamamlandı",IF(AND($J36&lt;&gt;"",$M36&lt;Hesap!$B$3),"Gecikmiş",IF(OR(N($N36)&gt;0,AND($I36&lt;&gt;"",$I36&lt;=Hesap!$B$3)),"Devam Ediyor","Planlanan"))))</f>
        <v>Gecikmiş</v>
      </c>
      <c r="P36" s="70" t="inlineStr">
        <is>
          <t>İlgili ekibin toplantıları ertelemesi kaynaklı</t>
        </is>
      </c>
      <c r="Q36" s="70" t="n"/>
      <c r="R36" s="72" t="n"/>
      <c r="S36" s="73">
        <f>IF(OR($J36="",$R36=""),"",$R36-$J36)</f>
        <v/>
      </c>
      <c r="T36" s="76" t="str">
        <f>IF($C36="","",IF($J36="","",IF($R36&lt;&gt;"",IF($S36&gt;7,"⚠ "&amp;TEXT($S36,"0")&amp;" günde yapıldı (geç)","✔ "&amp;TEXT($S36,"0")&amp;" günde yapıldı"),IF($J36&gt;Hesap!$B$3,"",IF($J36+7&lt;Hesap!$B$3,"⚠ Mutabakat "&amp;TEXT(Hesap!$B$3-($J36+7),"0")&amp;" gün gecikti","● Mutabakat için "&amp;TEXT($J36+7-Hesap!$B$3,"0")&amp;" gün")))))</f>
        <v>⚠ Mutabakat 9 gün gecikti</v>
      </c>
      <c r="U36" s="76" t="str">
        <f>IF($Y36="","",IF($Y36&gt;0.3,"⚠ Gecikebilir (%"&amp;TEXT($Y36*100,"0")&amp;" geride)",""))</f>
        <v>⚠ Gecikebilir (%40 geride)</v>
      </c>
      <c r="V36" s="76" t="str">
        <f>IF($C36="","",IF($O36="Tamamlandı","",IF($M36="","",IF($M36&lt;Hesap!$B$3,"⚠ "&amp;TEXT(Hesap!$B$3-$M36,"0")&amp;" gün gecikme",IF($M36-Hesap!$B$3&lt;=14,"● "&amp;TEXT($M36-Hesap!$B$3,"0")&amp;" gün kaldı","")))))</f>
        <v>⚠ 16 gün gecikme</v>
      </c>
      <c r="W36">
        <f>IF($C36="","",IF($O36="Tamamlandı",N($L36),MAX(N($L36),IF(AND($J36&lt;&gt;"",$J36&lt;Hesap!$B$3),Hesap!$B$3-$J36,0)))+ROW()/1000000)</f>
        <v>16.000036</v>
      </c>
      <c r="X36">
        <f>IF($W36="","",INT($W36))</f>
        <v>16</v>
      </c>
      <c r="Y36">
        <f>IF(OR($C36="",$I36="",$K36="",$K36&lt;=0,$O36="Tamamlandı"),"",IF(Hesap!$B$3&lt;$I36,"",MIN(1,(Hesap!$B$3-$I36+1)/$K36)-N($N36)))</f>
        <v>0.4</v>
      </c>
    </row>
    <row r="37" ht="18" customHeight="1">
      <c r="A37" s="69">
        <f>IF($C37="","",ROW()-4)</f>
        <v>33</v>
      </c>
      <c r="B37" s="70" t="inlineStr">
        <is>
          <t>BIGR</t>
        </is>
      </c>
      <c r="C37" s="70" t="inlineStr">
        <is>
          <t>3.1.5 Zararlı Yazılımlardan Korunma</t>
        </is>
      </c>
      <c r="D37" s="71" t="inlineStr">
        <is>
          <t>Ornek User9</t>
        </is>
      </c>
      <c r="E37" s="71" t="n"/>
      <c r="F37" s="71" t="n"/>
      <c r="G37" s="71" t="n"/>
      <c r="H37" s="71" t="inlineStr">
        <is>
          <t>Orta</t>
        </is>
      </c>
      <c r="I37" s="72" t="n">
        <v>46272</v>
      </c>
      <c r="J37" s="72" t="n">
        <v>46284</v>
      </c>
      <c r="K37" s="73">
        <f>IF(OR($I37="",$J37=""),"",$J37-$I37+1)</f>
        <v>13</v>
      </c>
      <c r="L37" s="56" t="n"/>
      <c r="M37" s="74">
        <f>IF($J37="","",$J37+N($L37))</f>
        <v>46284</v>
      </c>
      <c r="N37" s="75" t="n">
        <v>0.5</v>
      </c>
      <c r="O37" s="69" t="str">
        <f>IF($C37="","",IF(N($N37)&gt;=1,"Tamamlandı",IF(AND($J37&lt;&gt;"",$M37&lt;Hesap!$B$3),"Gecikmiş",IF(OR(N($N37)&gt;0,AND($I37&lt;&gt;"",$I37&lt;=Hesap!$B$3)),"Devam Ediyor","Planlanan"))))</f>
        <v>Gecikmiş</v>
      </c>
      <c r="P37" s="70" t="n"/>
      <c r="Q37" s="70" t="n"/>
      <c r="R37" s="72" t="n"/>
      <c r="S37" s="73">
        <f>IF(OR($J37="",$R37=""),"",$R37-$J37)</f>
        <v/>
      </c>
      <c r="T37" s="76" t="str">
        <f>IF($C37="","",IF($J37="","",IF($R37&lt;&gt;"",IF($S37&gt;7,"⚠ "&amp;TEXT($S37,"0")&amp;" günde yapıldı (geç)","✔ "&amp;TEXT($S37,"0")&amp;" günde yapıldı"),IF($J37&gt;Hesap!$B$3,"",IF($J37+7&lt;Hesap!$B$3,"⚠ Mutabakat "&amp;TEXT(Hesap!$B$3-($J37+7),"0")&amp;" gün gecikti","● Mutabakat için "&amp;TEXT($J37+7-Hesap!$B$3,"0")&amp;" gün")))))</f>
        <v>⚠ Mutabakat 9 gün gecikti</v>
      </c>
      <c r="U37" s="76" t="str">
        <f>IF($Y37="","",IF($Y37&gt;0.3,"⚠ Gecikebilir (%"&amp;TEXT($Y37*100,"0")&amp;" geride)",""))</f>
        <v>⚠ Gecikebilir (%50 geride)</v>
      </c>
      <c r="V37" s="76" t="str">
        <f>IF($C37="","",IF($O37="Tamamlandı","",IF($M37="","",IF($M37&lt;Hesap!$B$3,"⚠ "&amp;TEXT(Hesap!$B$3-$M37,"0")&amp;" gün gecikme",IF($M37-Hesap!$B$3&lt;=14,"● "&amp;TEXT($M37-Hesap!$B$3,"0")&amp;" gün kaldı","")))))</f>
        <v>⚠ 16 gün gecikme</v>
      </c>
      <c r="W37">
        <f>IF($C37="","",IF($O37="Tamamlandı",N($L37),MAX(N($L37),IF(AND($J37&lt;&gt;"",$J37&lt;Hesap!$B$3),Hesap!$B$3-$J37,0)))+ROW()/1000000)</f>
        <v>16.000037</v>
      </c>
      <c r="X37">
        <f>IF($W37="","",INT($W37))</f>
        <v>16</v>
      </c>
      <c r="Y37">
        <f>IF(OR($C37="",$I37="",$K37="",$K37&lt;=0,$O37="Tamamlandı"),"",IF(Hesap!$B$3&lt;$I37,"",MIN(1,(Hesap!$B$3-$I37+1)/$K37)-N($N37)))</f>
        <v>0.5</v>
      </c>
    </row>
    <row r="38" ht="38.25" customHeight="1">
      <c r="A38" s="69">
        <f>IF($C38="","",ROW()-4)</f>
        <v>34</v>
      </c>
      <c r="B38" s="70" t="inlineStr">
        <is>
          <t>Buluteks Dendeks Bulut Altyapı Denetimi</t>
        </is>
      </c>
      <c r="C38" s="70" t="inlineStr">
        <is>
          <t>Bulut Ekibi ile isterler paylaşıldı. (10.08.2026)
Hatırlatma maili atıldı. Dönüş bekleniyor. (24.08.2026)</t>
        </is>
      </c>
      <c r="D38" s="71" t="inlineStr">
        <is>
          <t>Ornek User4</t>
        </is>
      </c>
      <c r="E38" s="71" t="n"/>
      <c r="F38" s="71" t="n"/>
      <c r="G38" s="71" t="n"/>
      <c r="H38" s="71" t="inlineStr">
        <is>
          <t>Orta</t>
        </is>
      </c>
      <c r="I38" s="72" t="n">
        <v>46244</v>
      </c>
      <c r="J38" s="72" t="n">
        <v>46310</v>
      </c>
      <c r="K38" s="73">
        <f>IF(OR($I38="",$J38=""),"",$J38-$I38+1)</f>
        <v>67</v>
      </c>
      <c r="L38" s="56" t="n"/>
      <c r="M38" s="74">
        <f>IF($J38="","",$J38+N($L38))</f>
        <v>46310</v>
      </c>
      <c r="N38" s="75" t="n">
        <v>0.4</v>
      </c>
      <c r="O38" s="69" t="str">
        <f>IF($C38="","",IF(N($N38)&gt;=1,"Tamamlandı",IF(AND($J38&lt;&gt;"",$M38&lt;Hesap!$B$3),"Gecikmiş",IF(OR(N($N38)&gt;0,AND($I38&lt;&gt;"",$I38&lt;=Hesap!$B$3)),"Devam Ediyor","Planlanan"))))</f>
        <v>Devam Ediyor</v>
      </c>
      <c r="P38" s="70" t="n"/>
      <c r="Q38" s="70" t="n"/>
      <c r="R38" s="72" t="n"/>
      <c r="S38" s="73">
        <f>IF(OR($J38="",$R38=""),"",$R38-$J38)</f>
        <v/>
      </c>
      <c r="T38" s="76">
        <f>IF($C38="","",IF($J38="","",IF($R38&lt;&gt;"",IF($S38&gt;7,"⚠ "&amp;TEXT($S38,"0")&amp;" günde yapıldı (geç)","✔ "&amp;TEXT($S38,"0")&amp;" günde yapıldı"),IF($J38&gt;Hesap!$B$3,"",IF($J38+7&lt;Hesap!$B$3,"⚠ Mutabakat "&amp;TEXT(Hesap!$B$3-($J38+7),"0")&amp;" gün gecikti","● Mutabakat için "&amp;TEXT($J38+7-Hesap!$B$3,"0")&amp;" gün")))))</f>
        <v/>
      </c>
      <c r="U38" s="76" t="str">
        <f>IF($Y38="","",IF($Y38&gt;0.3,"⚠ Gecikebilir (%"&amp;TEXT($Y38*100,"0")&amp;" geride)",""))</f>
        <v>⚠ Gecikebilir (%45 geride)</v>
      </c>
      <c r="V38" s="76" t="str">
        <f>IF($C38="","",IF($O38="Tamamlandı","",IF($M38="","",IF($M38&lt;Hesap!$B$3,"⚠ "&amp;TEXT(Hesap!$B$3-$M38,"0")&amp;" gün gecikme",IF($M38-Hesap!$B$3&lt;=14,"● "&amp;TEXT($M38-Hesap!$B$3,"0")&amp;" gün kaldı","")))))</f>
        <v>● 10 gün kaldı</v>
      </c>
      <c r="W38">
        <f>IF($C38="","",IF($O38="Tamamlandı",N($L38),MAX(N($L38),IF(AND($J38&lt;&gt;"",$J38&lt;Hesap!$B$3),Hesap!$B$3-$J38,0)))+ROW()/1000000)</f>
        <v>0.000038</v>
      </c>
      <c r="X38">
        <f>IF($W38="","",INT($W38))</f>
        <v>0</v>
      </c>
      <c r="Y38">
        <f>IF(OR($C38="",$I38="",$K38="",$K38&lt;=0,$O38="Tamamlandı"),"",IF(Hesap!$B$3&lt;$I38,"",MIN(1,(Hesap!$B$3-$I38+1)/$K38)-N($N38)))</f>
        <v>0.4507462687</v>
      </c>
    </row>
    <row r="39" ht="18" customHeight="1">
      <c r="A39" s="69">
        <f>IF($C39="","",ROW()-4)</f>
        <v>35</v>
      </c>
      <c r="B39" s="70" t="inlineStr">
        <is>
          <t>Yönetim Beyanı</t>
        </is>
      </c>
      <c r="C39" s="70" t="inlineStr">
        <is>
          <t>Madde 11</t>
        </is>
      </c>
      <c r="D39" s="71" t="inlineStr">
        <is>
          <t>Ornek User9</t>
        </is>
      </c>
      <c r="E39" s="71" t="inlineStr">
        <is>
          <t>Ornek User11</t>
        </is>
      </c>
      <c r="F39" s="71" t="n"/>
      <c r="G39" s="71" t="n"/>
      <c r="H39" s="71" t="inlineStr">
        <is>
          <t>Orta</t>
        </is>
      </c>
      <c r="I39" s="72" t="n">
        <v>46265</v>
      </c>
      <c r="J39" s="72" t="n">
        <v>46311</v>
      </c>
      <c r="K39" s="73">
        <f>IF(OR($I39="",$J39=""),"",$J39-$I39+1)</f>
        <v>47</v>
      </c>
      <c r="L39" s="56" t="n"/>
      <c r="M39" s="74">
        <f>IF($J39="","",$J39+N($L39))</f>
        <v>46311</v>
      </c>
      <c r="N39" s="75" t="n">
        <v>0.35</v>
      </c>
      <c r="O39" s="69" t="str">
        <f>IF($C39="","",IF(N($N39)&gt;=1,"Tamamlandı",IF(AND($J39&lt;&gt;"",$M39&lt;Hesap!$B$3),"Gecikmiş",IF(OR(N($N39)&gt;0,AND($I39&lt;&gt;"",$I39&lt;=Hesap!$B$3)),"Devam Ediyor","Planlanan"))))</f>
        <v>Devam Ediyor</v>
      </c>
      <c r="P39" s="70" t="inlineStr">
        <is>
          <t>İş yoğunluğu sebebiyle sıra gelmedi</t>
        </is>
      </c>
      <c r="Q39" s="70" t="n"/>
      <c r="R39" s="72" t="n"/>
      <c r="S39" s="73">
        <f>IF(OR($J39="",$R39=""),"",$R39-$J39)</f>
        <v/>
      </c>
      <c r="T39" s="76">
        <f>IF($C39="","",IF($J39="","",IF($R39&lt;&gt;"",IF($S39&gt;7,"⚠ "&amp;TEXT($S39,"0")&amp;" günde yapıldı (geç)","✔ "&amp;TEXT($S39,"0")&amp;" günde yapıldı"),IF($J39&gt;Hesap!$B$3,"",IF($J39+7&lt;Hesap!$B$3,"⚠ Mutabakat "&amp;TEXT(Hesap!$B$3-($J39+7),"0")&amp;" gün gecikti","● Mutabakat için "&amp;TEXT($J39+7-Hesap!$B$3,"0")&amp;" gün")))))</f>
        <v/>
      </c>
      <c r="U39" s="76" t="str">
        <f>IF($Y39="","",IF($Y39&gt;0.3,"⚠ Gecikebilir (%"&amp;TEXT($Y39*100,"0")&amp;" geride)",""))</f>
        <v>⚠ Gecikebilir (%42 geride)</v>
      </c>
      <c r="V39" s="76" t="str">
        <f>IF($C39="","",IF($O39="Tamamlandı","",IF($M39="","",IF($M39&lt;Hesap!$B$3,"⚠ "&amp;TEXT(Hesap!$B$3-$M39,"0")&amp;" gün gecikme",IF($M39-Hesap!$B$3&lt;=14,"● "&amp;TEXT($M39-Hesap!$B$3,"0")&amp;" gün kaldı","")))))</f>
        <v>● 11 gün kaldı</v>
      </c>
      <c r="W39">
        <f>IF($C39="","",IF($O39="Tamamlandı",N($L39),MAX(N($L39),IF(AND($J39&lt;&gt;"",$J39&lt;Hesap!$B$3),Hesap!$B$3-$J39,0)))+ROW()/1000000)</f>
        <v>0.000039</v>
      </c>
      <c r="X39">
        <f>IF($W39="","",INT($W39))</f>
        <v>0</v>
      </c>
      <c r="Y39">
        <f>IF(OR($C39="",$I39="",$K39="",$K39&lt;=0,$O39="Tamamlandı"),"",IF(Hesap!$B$3&lt;$I39,"",MIN(1,(Hesap!$B$3-$I39+1)/$K39)-N($N39)))</f>
        <v>0.4159574468</v>
      </c>
    </row>
    <row r="40" ht="18" customHeight="1">
      <c r="A40" s="69">
        <f>IF($C40="","",ROW()-4)</f>
        <v>36</v>
      </c>
      <c r="B40" s="70" t="inlineStr">
        <is>
          <t>Yönetim Beyanı</t>
        </is>
      </c>
      <c r="C40" s="70" t="inlineStr">
        <is>
          <t>Madde 22</t>
        </is>
      </c>
      <c r="D40" s="71" t="inlineStr">
        <is>
          <t>Ornek User4</t>
        </is>
      </c>
      <c r="E40" s="71" t="inlineStr">
        <is>
          <t>Ornek User11</t>
        </is>
      </c>
      <c r="F40" s="71" t="n"/>
      <c r="G40" s="71" t="n"/>
      <c r="H40" s="71" t="inlineStr">
        <is>
          <t>Orta</t>
        </is>
      </c>
      <c r="I40" s="72" t="n">
        <v>46266</v>
      </c>
      <c r="J40" s="72" t="n">
        <v>46311</v>
      </c>
      <c r="K40" s="73">
        <f>IF(OR($I40="",$J40=""),"",$J40-$I40+1)</f>
        <v>46</v>
      </c>
      <c r="L40" s="56" t="n"/>
      <c r="M40" s="74">
        <f>IF($J40="","",$J40+N($L40))</f>
        <v>46311</v>
      </c>
      <c r="N40" s="75" t="n">
        <v>0.3</v>
      </c>
      <c r="O40" s="69" t="str">
        <f>IF($C40="","",IF(N($N40)&gt;=1,"Tamamlandı",IF(AND($J40&lt;&gt;"",$M40&lt;Hesap!$B$3),"Gecikmiş",IF(OR(N($N40)&gt;0,AND($I40&lt;&gt;"",$I40&lt;=Hesap!$B$3)),"Devam Ediyor","Planlanan"))))</f>
        <v>Devam Ediyor</v>
      </c>
      <c r="P40" s="70" t="n"/>
      <c r="Q40" s="70" t="n"/>
      <c r="R40" s="72" t="n"/>
      <c r="S40" s="73">
        <f>IF(OR($J40="",$R40=""),"",$R40-$J40)</f>
        <v/>
      </c>
      <c r="T40" s="76">
        <f>IF($C40="","",IF($J40="","",IF($R40&lt;&gt;"",IF($S40&gt;7,"⚠ "&amp;TEXT($S40,"0")&amp;" günde yapıldı (geç)","✔ "&amp;TEXT($S40,"0")&amp;" günde yapıldı"),IF($J40&gt;Hesap!$B$3,"",IF($J40+7&lt;Hesap!$B$3,"⚠ Mutabakat "&amp;TEXT(Hesap!$B$3-($J40+7),"0")&amp;" gün gecikti","● Mutabakat için "&amp;TEXT($J40+7-Hesap!$B$3,"0")&amp;" gün")))))</f>
        <v/>
      </c>
      <c r="U40" s="76" t="str">
        <f>IF($Y40="","",IF($Y40&gt;0.3,"⚠ Gecikebilir (%"&amp;TEXT($Y40*100,"0")&amp;" geride)",""))</f>
        <v>⚠ Gecikebilir (%46 geride)</v>
      </c>
      <c r="V40" s="76" t="str">
        <f>IF($C40="","",IF($O40="Tamamlandı","",IF($M40="","",IF($M40&lt;Hesap!$B$3,"⚠ "&amp;TEXT(Hesap!$B$3-$M40,"0")&amp;" gün gecikme",IF($M40-Hesap!$B$3&lt;=14,"● "&amp;TEXT($M40-Hesap!$B$3,"0")&amp;" gün kaldı","")))))</f>
        <v>● 11 gün kaldı</v>
      </c>
      <c r="W40">
        <f>IF($C40="","",IF($O40="Tamamlandı",N($L40),MAX(N($L40),IF(AND($J40&lt;&gt;"",$J40&lt;Hesap!$B$3),Hesap!$B$3-$J40,0)))+ROW()/1000000)</f>
        <v>0.00004</v>
      </c>
      <c r="X40">
        <f>IF($W40="","",INT($W40))</f>
        <v>0</v>
      </c>
      <c r="Y40">
        <f>IF(OR($C40="",$I40="",$K40="",$K40&lt;=0,$O40="Tamamlandı"),"",IF(Hesap!$B$3&lt;$I40,"",MIN(1,(Hesap!$B$3-$I40+1)/$K40)-N($N40)))</f>
        <v>0.4608695652</v>
      </c>
    </row>
    <row r="41" ht="38.25" customHeight="1">
      <c r="A41" s="69">
        <f>IF($C41="","",ROW()-4)</f>
        <v>37</v>
      </c>
      <c r="B41" s="70" t="inlineStr">
        <is>
          <t>Buluteks</t>
        </is>
      </c>
      <c r="C41" s="70" t="inlineStr">
        <is>
          <t>Buluteks Denetimi</t>
        </is>
      </c>
      <c r="D41" s="71" t="inlineStr">
        <is>
          <t>Ornek User3</t>
        </is>
      </c>
      <c r="E41" s="71" t="inlineStr">
        <is>
          <t>Ornek User12</t>
        </is>
      </c>
      <c r="F41" s="71" t="inlineStr">
        <is>
          <t>Ornek User11</t>
        </is>
      </c>
      <c r="G41" s="71" t="n"/>
      <c r="H41" s="71" t="inlineStr">
        <is>
          <t>Orta</t>
        </is>
      </c>
      <c r="I41" s="72" t="n">
        <v>46260</v>
      </c>
      <c r="J41" s="72" t="n">
        <v>46295</v>
      </c>
      <c r="K41" s="73">
        <f>IF(OR($I41="",$J41=""),"",$J41-$I41+1)</f>
        <v>36</v>
      </c>
      <c r="L41" s="56" t="n"/>
      <c r="M41" s="74">
        <f>IF($J41="","",$J41+N($L41))</f>
        <v>46295</v>
      </c>
      <c r="N41" s="75" t="n">
        <v>0.25</v>
      </c>
      <c r="O41" s="69" t="str">
        <f>IF($C41="","",IF(N($N41)&gt;=1,"Tamamlandı",IF(AND($J41&lt;&gt;"",$M41&lt;Hesap!$B$3),"Gecikmiş",IF(OR(N($N41)&gt;0,AND($I41&lt;&gt;"",$I41&lt;=Hesap!$B$3)),"Devam Ediyor","Planlanan"))))</f>
        <v>Gecikmiş</v>
      </c>
      <c r="P41" s="70" t="n"/>
      <c r="Q41" s="70" t="inlineStr">
        <is>
          <t>Teleperformance denetimi için 11 Eylül Cuma gününe 14-15 arası için toplantı planlaması yapıldı.</t>
        </is>
      </c>
      <c r="R41" s="72" t="n"/>
      <c r="S41" s="73">
        <f>IF(OR($J41="",$R41=""),"",$R41-$J41)</f>
        <v/>
      </c>
      <c r="T41" s="76" t="str">
        <f>IF($C41="","",IF($J41="","",IF($R41&lt;&gt;"",IF($S41&gt;7,"⚠ "&amp;TEXT($S41,"0")&amp;" günde yapıldı (geç)","✔ "&amp;TEXT($S41,"0")&amp;" günde yapıldı"),IF($J41&gt;Hesap!$B$3,"",IF($J41+7&lt;Hesap!$B$3,"⚠ Mutabakat "&amp;TEXT(Hesap!$B$3-($J41+7),"0")&amp;" gün gecikti","● Mutabakat için "&amp;TEXT($J41+7-Hesap!$B$3,"0")&amp;" gün")))))</f>
        <v>● Mutabakat için 2 gün</v>
      </c>
      <c r="U41" s="76" t="str">
        <f>IF($Y41="","",IF($Y41&gt;0.3,"⚠ Gecikebilir (%"&amp;TEXT($Y41*100,"0")&amp;" geride)",""))</f>
        <v>⚠ Gecikebilir (%75 geride)</v>
      </c>
      <c r="V41" s="76" t="str">
        <f>IF($C41="","",IF($O41="Tamamlandı","",IF($M41="","",IF($M41&lt;Hesap!$B$3,"⚠ "&amp;TEXT(Hesap!$B$3-$M41,"0")&amp;" gün gecikme",IF($M41-Hesap!$B$3&lt;=14,"● "&amp;TEXT($M41-Hesap!$B$3,"0")&amp;" gün kaldı","")))))</f>
        <v>⚠ 5 gün gecikme</v>
      </c>
      <c r="W41">
        <f>IF($C41="","",IF($O41="Tamamlandı",N($L41),MAX(N($L41),IF(AND($J41&lt;&gt;"",$J41&lt;Hesap!$B$3),Hesap!$B$3-$J41,0)))+ROW()/1000000)</f>
        <v>5.000041</v>
      </c>
      <c r="X41">
        <f>IF($W41="","",INT($W41))</f>
        <v>5</v>
      </c>
      <c r="Y41">
        <f>IF(OR($C41="",$I41="",$K41="",$K41&lt;=0,$O41="Tamamlandı"),"",IF(Hesap!$B$3&lt;$I41,"",MIN(1,(Hesap!$B$3-$I41+1)/$K41)-N($N41)))</f>
        <v>0.75</v>
      </c>
    </row>
    <row r="42" ht="18" customHeight="1">
      <c r="A42" s="69">
        <f>IF($C42="","",ROW()-4)</f>
        <v>38</v>
      </c>
      <c r="B42" s="70" t="inlineStr">
        <is>
          <t>BIGR</t>
        </is>
      </c>
      <c r="C42" s="70" t="inlineStr">
        <is>
          <t>3.2.4 Dosyaların ve Kaynakların Güvenliği</t>
        </is>
      </c>
      <c r="D42" s="71" t="inlineStr">
        <is>
          <t>Ornek User4</t>
        </is>
      </c>
      <c r="E42" s="71" t="n"/>
      <c r="F42" s="71" t="n"/>
      <c r="G42" s="71" t="n"/>
      <c r="H42" s="71" t="inlineStr">
        <is>
          <t>Orta</t>
        </is>
      </c>
      <c r="I42" s="72" t="n">
        <v>46279</v>
      </c>
      <c r="J42" s="72" t="n">
        <v>46295</v>
      </c>
      <c r="K42" s="73">
        <f>IF(OR($I42="",$J42=""),"",$J42-$I42+1)</f>
        <v>17</v>
      </c>
      <c r="L42" s="56" t="n"/>
      <c r="M42" s="74">
        <f>IF($J42="","",$J42+N($L42))</f>
        <v>46295</v>
      </c>
      <c r="N42" s="75" t="n">
        <v>0.2</v>
      </c>
      <c r="O42" s="69" t="str">
        <f>IF($C42="","",IF(N($N42)&gt;=1,"Tamamlandı",IF(AND($J42&lt;&gt;"",$M42&lt;Hesap!$B$3),"Gecikmiş",IF(OR(N($N42)&gt;0,AND($I42&lt;&gt;"",$I42&lt;=Hesap!$B$3)),"Devam Ediyor","Planlanan"))))</f>
        <v>Gecikmiş</v>
      </c>
      <c r="P42" s="70" t="n"/>
      <c r="Q42" s="70" t="n"/>
      <c r="R42" s="72" t="n"/>
      <c r="S42" s="73">
        <f>IF(OR($J42="",$R42=""),"",$R42-$J42)</f>
        <v/>
      </c>
      <c r="T42" s="76" t="str">
        <f>IF($C42="","",IF($J42="","",IF($R42&lt;&gt;"",IF($S42&gt;7,"⚠ "&amp;TEXT($S42,"0")&amp;" günde yapıldı (geç)","✔ "&amp;TEXT($S42,"0")&amp;" günde yapıldı"),IF($J42&gt;Hesap!$B$3,"",IF($J42+7&lt;Hesap!$B$3,"⚠ Mutabakat "&amp;TEXT(Hesap!$B$3-($J42+7),"0")&amp;" gün gecikti","● Mutabakat için "&amp;TEXT($J42+7-Hesap!$B$3,"0")&amp;" gün")))))</f>
        <v>● Mutabakat için 2 gün</v>
      </c>
      <c r="U42" s="76" t="str">
        <f>IF($Y42="","",IF($Y42&gt;0.3,"⚠ Gecikebilir (%"&amp;TEXT($Y42*100,"0")&amp;" geride)",""))</f>
        <v>⚠ Gecikebilir (%80 geride)</v>
      </c>
      <c r="V42" s="76" t="str">
        <f>IF($C42="","",IF($O42="Tamamlandı","",IF($M42="","",IF($M42&lt;Hesap!$B$3,"⚠ "&amp;TEXT(Hesap!$B$3-$M42,"0")&amp;" gün gecikme",IF($M42-Hesap!$B$3&lt;=14,"● "&amp;TEXT($M42-Hesap!$B$3,"0")&amp;" gün kaldı","")))))</f>
        <v>⚠ 5 gün gecikme</v>
      </c>
      <c r="W42">
        <f>IF($C42="","",IF($O42="Tamamlandı",N($L42),MAX(N($L42),IF(AND($J42&lt;&gt;"",$J42&lt;Hesap!$B$3),Hesap!$B$3-$J42,0)))+ROW()/1000000)</f>
        <v>5.000042</v>
      </c>
      <c r="X42">
        <f>IF($W42="","",INT($W42))</f>
        <v>5</v>
      </c>
      <c r="Y42">
        <f>IF(OR($C42="",$I42="",$K42="",$K42&lt;=0,$O42="Tamamlandı"),"",IF(Hesap!$B$3&lt;$I42,"",MIN(1,(Hesap!$B$3-$I42+1)/$K42)-N($N42)))</f>
        <v>0.8</v>
      </c>
    </row>
    <row r="43" ht="18" customHeight="1">
      <c r="A43" s="69">
        <f>IF($C43="","",ROW()-4)</f>
        <v>39</v>
      </c>
      <c r="B43" s="70" t="inlineStr">
        <is>
          <t>BIGR</t>
        </is>
      </c>
      <c r="C43" s="70" t="inlineStr">
        <is>
          <t>3.2.7 Veri Tabanı ve Kayıt Yönetimi</t>
        </is>
      </c>
      <c r="D43" s="71" t="inlineStr">
        <is>
          <t>Ornek User4</t>
        </is>
      </c>
      <c r="E43" s="71" t="n"/>
      <c r="F43" s="71" t="n"/>
      <c r="G43" s="71" t="n"/>
      <c r="H43" s="71" t="inlineStr">
        <is>
          <t>Orta</t>
        </is>
      </c>
      <c r="I43" s="72" t="n">
        <v>46279</v>
      </c>
      <c r="J43" s="72" t="n">
        <v>46295</v>
      </c>
      <c r="K43" s="73">
        <f>IF(OR($I43="",$J43=""),"",$J43-$I43+1)</f>
        <v>17</v>
      </c>
      <c r="L43" s="56" t="n"/>
      <c r="M43" s="74">
        <f>IF($J43="","",$J43+N($L43))</f>
        <v>46295</v>
      </c>
      <c r="N43" s="75" t="n">
        <v>0.2</v>
      </c>
      <c r="O43" s="69" t="str">
        <f>IF($C43="","",IF(N($N43)&gt;=1,"Tamamlandı",IF(AND($J43&lt;&gt;"",$M43&lt;Hesap!$B$3),"Gecikmiş",IF(OR(N($N43)&gt;0,AND($I43&lt;&gt;"",$I43&lt;=Hesap!$B$3)),"Devam Ediyor","Planlanan"))))</f>
        <v>Gecikmiş</v>
      </c>
      <c r="P43" s="70" t="n"/>
      <c r="Q43" s="70" t="n"/>
      <c r="R43" s="72" t="n"/>
      <c r="S43" s="73">
        <f>IF(OR($J43="",$R43=""),"",$R43-$J43)</f>
        <v/>
      </c>
      <c r="T43" s="76" t="str">
        <f>IF($C43="","",IF($J43="","",IF($R43&lt;&gt;"",IF($S43&gt;7,"⚠ "&amp;TEXT($S43,"0")&amp;" günde yapıldı (geç)","✔ "&amp;TEXT($S43,"0")&amp;" günde yapıldı"),IF($J43&gt;Hesap!$B$3,"",IF($J43+7&lt;Hesap!$B$3,"⚠ Mutabakat "&amp;TEXT(Hesap!$B$3-($J43+7),"0")&amp;" gün gecikti","● Mutabakat için "&amp;TEXT($J43+7-Hesap!$B$3,"0")&amp;" gün")))))</f>
        <v>● Mutabakat için 2 gün</v>
      </c>
      <c r="U43" s="76" t="str">
        <f>IF($Y43="","",IF($Y43&gt;0.3,"⚠ Gecikebilir (%"&amp;TEXT($Y43*100,"0")&amp;" geride)",""))</f>
        <v>⚠ Gecikebilir (%80 geride)</v>
      </c>
      <c r="V43" s="76" t="str">
        <f>IF($C43="","",IF($O43="Tamamlandı","",IF($M43="","",IF($M43&lt;Hesap!$B$3,"⚠ "&amp;TEXT(Hesap!$B$3-$M43,"0")&amp;" gün gecikme",IF($M43-Hesap!$B$3&lt;=14,"● "&amp;TEXT($M43-Hesap!$B$3,"0")&amp;" gün kaldı","")))))</f>
        <v>⚠ 5 gün gecikme</v>
      </c>
      <c r="W43">
        <f>IF($C43="","",IF($O43="Tamamlandı",N($L43),MAX(N($L43),IF(AND($J43&lt;&gt;"",$J43&lt;Hesap!$B$3),Hesap!$B$3-$J43,0)))+ROW()/1000000)</f>
        <v>5.000043</v>
      </c>
      <c r="X43">
        <f>IF($W43="","",INT($W43))</f>
        <v>5</v>
      </c>
      <c r="Y43">
        <f>IF(OR($C43="",$I43="",$K43="",$K43&lt;=0,$O43="Tamamlandı"),"",IF(Hesap!$B$3&lt;$I43,"",MIN(1,(Hesap!$B$3-$I43+1)/$K43)-N($N43)))</f>
        <v>0.8</v>
      </c>
    </row>
    <row r="44" ht="29.25" customHeight="1">
      <c r="A44" s="69">
        <f>IF($C44="","",ROW()-4)</f>
        <v>40</v>
      </c>
      <c r="B44" s="70" t="inlineStr">
        <is>
          <t>Yönetim Beyanı</t>
        </is>
      </c>
      <c r="C44" s="70" t="inlineStr">
        <is>
          <t>Madde 10</t>
        </is>
      </c>
      <c r="D44" s="71" t="inlineStr">
        <is>
          <t>Ornek User13</t>
        </is>
      </c>
      <c r="E44" s="71" t="n"/>
      <c r="F44" s="71" t="n"/>
      <c r="G44" s="71" t="n"/>
      <c r="H44" s="71" t="inlineStr">
        <is>
          <t>Orta</t>
        </is>
      </c>
      <c r="I44" s="72" t="n">
        <v>46260</v>
      </c>
      <c r="J44" s="72" t="n">
        <v>46293</v>
      </c>
      <c r="K44" s="73">
        <f>IF(OR($I44="",$J44=""),"",$J44-$I44+1)</f>
        <v>34</v>
      </c>
      <c r="L44" s="56" t="n"/>
      <c r="M44" s="74">
        <f>IF($J44="","",$J44+N($L44))</f>
        <v>46293</v>
      </c>
      <c r="N44" s="75" t="n">
        <v>0.15</v>
      </c>
      <c r="O44" s="69" t="str">
        <f>IF($C44="","",IF(N($N44)&gt;=1,"Tamamlandı",IF(AND($J44&lt;&gt;"",$M44&lt;Hesap!$B$3),"Gecikmiş",IF(OR(N($N44)&gt;0,AND($I44&lt;&gt;"",$I44&lt;=Hesap!$B$3)),"Devam Ediyor","Planlanan"))))</f>
        <v>Gecikmiş</v>
      </c>
      <c r="P44" s="70" t="n"/>
      <c r="Q44" s="70" t="n"/>
      <c r="R44" s="72" t="n"/>
      <c r="S44" s="73">
        <f>IF(OR($J44="",$R44=""),"",$R44-$J44)</f>
        <v/>
      </c>
      <c r="T44" s="76" t="str">
        <f>IF($C44="","",IF($J44="","",IF($R44&lt;&gt;"",IF($S44&gt;7,"⚠ "&amp;TEXT($S44,"0")&amp;" günde yapıldı (geç)","✔ "&amp;TEXT($S44,"0")&amp;" günde yapıldı"),IF($J44&gt;Hesap!$B$3,"",IF($J44+7&lt;Hesap!$B$3,"⚠ Mutabakat "&amp;TEXT(Hesap!$B$3-($J44+7),"0")&amp;" gün gecikti","● Mutabakat için "&amp;TEXT($J44+7-Hesap!$B$3,"0")&amp;" gün")))))</f>
        <v>● Mutabakat için 0 gün</v>
      </c>
      <c r="U44" s="76" t="str">
        <f>IF($Y44="","",IF($Y44&gt;0.3,"⚠ Gecikebilir (%"&amp;TEXT($Y44*100,"0")&amp;" geride)",""))</f>
        <v>⚠ Gecikebilir (%85 geride)</v>
      </c>
      <c r="V44" s="76" t="str">
        <f>IF($C44="","",IF($O44="Tamamlandı","",IF($M44="","",IF($M44&lt;Hesap!$B$3,"⚠ "&amp;TEXT(Hesap!$B$3-$M44,"0")&amp;" gün gecikme",IF($M44-Hesap!$B$3&lt;=14,"● "&amp;TEXT($M44-Hesap!$B$3,"0")&amp;" gün kaldı","")))))</f>
        <v>⚠ 7 gün gecikme</v>
      </c>
      <c r="W44">
        <f>IF($C44="","",IF($O44="Tamamlandı",N($L44),MAX(N($L44),IF(AND($J44&lt;&gt;"",$J44&lt;Hesap!$B$3),Hesap!$B$3-$J44,0)))+ROW()/1000000)</f>
        <v>7.000044</v>
      </c>
      <c r="X44">
        <f>IF($W44="","",INT($W44))</f>
        <v>7</v>
      </c>
      <c r="Y44">
        <f>IF(OR($C44="",$I44="",$K44="",$K44&lt;=0,$O44="Tamamlandı"),"",IF(Hesap!$B$3&lt;$I44,"",MIN(1,(Hesap!$B$3-$I44+1)/$K44)-N($N44)))</f>
        <v>0.85</v>
      </c>
    </row>
    <row r="45" ht="18" customHeight="1">
      <c r="A45" s="69">
        <f>IF($C45="","",ROW()-4)</f>
        <v>41</v>
      </c>
      <c r="B45" s="70" t="inlineStr">
        <is>
          <t>Yönetim Beyanı</t>
        </is>
      </c>
      <c r="C45" s="70" t="inlineStr">
        <is>
          <t>Madde 23</t>
        </is>
      </c>
      <c r="D45" s="71" t="inlineStr">
        <is>
          <t>Ornek User9</t>
        </is>
      </c>
      <c r="E45" s="71" t="n"/>
      <c r="F45" s="71" t="n"/>
      <c r="G45" s="71" t="n"/>
      <c r="H45" s="71" t="inlineStr">
        <is>
          <t>Orta</t>
        </is>
      </c>
      <c r="I45" s="72" t="n">
        <v>46286</v>
      </c>
      <c r="J45" s="72" t="n">
        <v>46318</v>
      </c>
      <c r="K45" s="73">
        <f>IF(OR($I45="",$J45=""),"",$J45-$I45+1)</f>
        <v>33</v>
      </c>
      <c r="L45" s="56" t="n"/>
      <c r="M45" s="74">
        <f>IF($J45="","",$J45+N($L45))</f>
        <v>46318</v>
      </c>
      <c r="N45" s="75" t="n">
        <v>0.1</v>
      </c>
      <c r="O45" s="69" t="str">
        <f>IF($C45="","",IF(N($N45)&gt;=1,"Tamamlandı",IF(AND($J45&lt;&gt;"",$M45&lt;Hesap!$B$3),"Gecikmiş",IF(OR(N($N45)&gt;0,AND($I45&lt;&gt;"",$I45&lt;=Hesap!$B$3)),"Devam Ediyor","Planlanan"))))</f>
        <v>Devam Ediyor</v>
      </c>
      <c r="P45" s="70" t="n"/>
      <c r="Q45" s="70" t="n"/>
      <c r="R45" s="72" t="n"/>
      <c r="S45" s="73">
        <f>IF(OR($J45="",$R45=""),"",$R45-$J45)</f>
        <v/>
      </c>
      <c r="T45" s="76">
        <f>IF($C45="","",IF($J45="","",IF($R45&lt;&gt;"",IF($S45&gt;7,"⚠ "&amp;TEXT($S45,"0")&amp;" günde yapıldı (geç)","✔ "&amp;TEXT($S45,"0")&amp;" günde yapıldı"),IF($J45&gt;Hesap!$B$3,"",IF($J45+7&lt;Hesap!$B$3,"⚠ Mutabakat "&amp;TEXT(Hesap!$B$3-($J45+7),"0")&amp;" gün gecikti","● Mutabakat için "&amp;TEXT($J45+7-Hesap!$B$3,"0")&amp;" gün")))))</f>
        <v/>
      </c>
      <c r="U45" s="76" t="str">
        <f>IF($Y45="","",IF($Y45&gt;0.3,"⚠ Gecikebilir (%"&amp;TEXT($Y45*100,"0")&amp;" geride)",""))</f>
        <v>⚠ Gecikebilir (%35 geride)</v>
      </c>
      <c r="V45" s="76">
        <f>IF($C45="","",IF($O45="Tamamlandı","",IF($M45="","",IF($M45&lt;Hesap!$B$3,"⚠ "&amp;TEXT(Hesap!$B$3-$M45,"0")&amp;" gün gecikme",IF($M45-Hesap!$B$3&lt;=14,"● "&amp;TEXT($M45-Hesap!$B$3,"0")&amp;" gün kaldı","")))))</f>
        <v/>
      </c>
      <c r="W45">
        <f>IF($C45="","",IF($O45="Tamamlandı",N($L45),MAX(N($L45),IF(AND($J45&lt;&gt;"",$J45&lt;Hesap!$B$3),Hesap!$B$3-$J45,0)))+ROW()/1000000)</f>
        <v>0.000045</v>
      </c>
      <c r="X45">
        <f>IF($W45="","",INT($W45))</f>
        <v>0</v>
      </c>
      <c r="Y45">
        <f>IF(OR($C45="",$I45="",$K45="",$K45&lt;=0,$O45="Tamamlandı"),"",IF(Hesap!$B$3&lt;$I45,"",MIN(1,(Hesap!$B$3-$I45+1)/$K45)-N($N45)))</f>
        <v>0.3545454545</v>
      </c>
    </row>
    <row r="46" ht="18" customHeight="1">
      <c r="A46" s="69">
        <f>IF($C46="","",ROW()-4)</f>
        <v>42</v>
      </c>
      <c r="B46" s="70" t="inlineStr">
        <is>
          <t>BIGR</t>
        </is>
      </c>
      <c r="C46" s="70" t="inlineStr">
        <is>
          <t>3.1.7 Veri Sızıntısı Önleme</t>
        </is>
      </c>
      <c r="D46" s="71" t="inlineStr">
        <is>
          <t>Ornek User4</t>
        </is>
      </c>
      <c r="E46" s="71" t="n"/>
      <c r="F46" s="71" t="n"/>
      <c r="G46" s="71" t="n"/>
      <c r="H46" s="71" t="inlineStr">
        <is>
          <t>Orta</t>
        </is>
      </c>
      <c r="I46" s="72" t="n">
        <v>46274</v>
      </c>
      <c r="J46" s="72" t="n">
        <v>46288</v>
      </c>
      <c r="K46" s="73">
        <f>IF(OR($I46="",$J46=""),"",$J46-$I46+1)</f>
        <v>15</v>
      </c>
      <c r="L46" s="56" t="n"/>
      <c r="M46" s="74">
        <f>IF($J46="","",$J46+N($L46))</f>
        <v>46288</v>
      </c>
      <c r="N46" s="75" t="n">
        <v>0.1</v>
      </c>
      <c r="O46" s="69" t="str">
        <f>IF($C46="","",IF(N($N46)&gt;=1,"Tamamlandı",IF(AND($J46&lt;&gt;"",$M46&lt;Hesap!$B$3),"Gecikmiş",IF(OR(N($N46)&gt;0,AND($I46&lt;&gt;"",$I46&lt;=Hesap!$B$3)),"Devam Ediyor","Planlanan"))))</f>
        <v>Gecikmiş</v>
      </c>
      <c r="P46" s="70" t="n"/>
      <c r="Q46" s="70" t="n"/>
      <c r="R46" s="72" t="n"/>
      <c r="S46" s="73">
        <f>IF(OR($J46="",$R46=""),"",$R46-$J46)</f>
        <v/>
      </c>
      <c r="T46" s="76" t="str">
        <f>IF($C46="","",IF($J46="","",IF($R46&lt;&gt;"",IF($S46&gt;7,"⚠ "&amp;TEXT($S46,"0")&amp;" günde yapıldı (geç)","✔ "&amp;TEXT($S46,"0")&amp;" günde yapıldı"),IF($J46&gt;Hesap!$B$3,"",IF($J46+7&lt;Hesap!$B$3,"⚠ Mutabakat "&amp;TEXT(Hesap!$B$3-($J46+7),"0")&amp;" gün gecikti","● Mutabakat için "&amp;TEXT($J46+7-Hesap!$B$3,"0")&amp;" gün")))))</f>
        <v>⚠ Mutabakat 5 gün gecikti</v>
      </c>
      <c r="U46" s="76" t="str">
        <f>IF($Y46="","",IF($Y46&gt;0.3,"⚠ Gecikebilir (%"&amp;TEXT($Y46*100,"0")&amp;" geride)",""))</f>
        <v>⚠ Gecikebilir (%90 geride)</v>
      </c>
      <c r="V46" s="76" t="str">
        <f>IF($C46="","",IF($O46="Tamamlandı","",IF($M46="","",IF($M46&lt;Hesap!$B$3,"⚠ "&amp;TEXT(Hesap!$B$3-$M46,"0")&amp;" gün gecikme",IF($M46-Hesap!$B$3&lt;=14,"● "&amp;TEXT($M46-Hesap!$B$3,"0")&amp;" gün kaldı","")))))</f>
        <v>⚠ 12 gün gecikme</v>
      </c>
      <c r="W46">
        <f>IF($C46="","",IF($O46="Tamamlandı",N($L46),MAX(N($L46),IF(AND($J46&lt;&gt;"",$J46&lt;Hesap!$B$3),Hesap!$B$3-$J46,0)))+ROW()/1000000)</f>
        <v>12.000046</v>
      </c>
      <c r="X46">
        <f>IF($W46="","",INT($W46))</f>
        <v>12</v>
      </c>
      <c r="Y46">
        <f>IF(OR($C46="",$I46="",$K46="",$K46&lt;=0,$O46="Tamamlandı"),"",IF(Hesap!$B$3&lt;$I46,"",MIN(1,(Hesap!$B$3-$I46+1)/$K46)-N($N46)))</f>
        <v>0.9</v>
      </c>
    </row>
    <row r="47" ht="18" customHeight="1">
      <c r="A47" s="69">
        <f>IF($C47="","",ROW()-4)</f>
        <v>43</v>
      </c>
      <c r="B47" s="70" t="inlineStr">
        <is>
          <t>Yönetim Beyanı</t>
        </is>
      </c>
      <c r="C47" s="70" t="inlineStr">
        <is>
          <t>Madde 28</t>
        </is>
      </c>
      <c r="D47" s="71" t="inlineStr">
        <is>
          <t>Ornek User13</t>
        </is>
      </c>
      <c r="E47" s="71" t="n"/>
      <c r="F47" s="71" t="n"/>
      <c r="G47" s="71" t="n"/>
      <c r="H47" s="71" t="inlineStr">
        <is>
          <t>Orta</t>
        </is>
      </c>
      <c r="I47" s="72" t="n">
        <v>46314</v>
      </c>
      <c r="J47" s="72" t="n">
        <v>46332</v>
      </c>
      <c r="K47" s="73">
        <f>IF(OR($I47="",$J47=""),"",$J47-$I47+1)</f>
        <v>19</v>
      </c>
      <c r="L47" s="56" t="n"/>
      <c r="M47" s="74">
        <f>IF($J47="","",$J47+N($L47))</f>
        <v>46332</v>
      </c>
      <c r="N47" s="75" t="n"/>
      <c r="O47" s="69" t="str">
        <f>IF($C47="","",IF(N($N47)&gt;=1,"Tamamlandı",IF(AND($J47&lt;&gt;"",$M47&lt;Hesap!$B$3),"Gecikmiş",IF(OR(N($N47)&gt;0,AND($I47&lt;&gt;"",$I47&lt;=Hesap!$B$3)),"Devam Ediyor","Planlanan"))))</f>
        <v>Planlanan</v>
      </c>
      <c r="P47" s="70" t="n"/>
      <c r="Q47" s="70" t="n"/>
      <c r="R47" s="72" t="n"/>
      <c r="S47" s="73">
        <f>IF(OR($J47="",$R47=""),"",$R47-$J47)</f>
        <v/>
      </c>
      <c r="T47" s="76">
        <f>IF($C47="","",IF($J47="","",IF($R47&lt;&gt;"",IF($S47&gt;7,"⚠ "&amp;TEXT($S47,"0")&amp;" günde yapıldı (geç)","✔ "&amp;TEXT($S47,"0")&amp;" günde yapıldı"),IF($J47&gt;Hesap!$B$3,"",IF($J47+7&lt;Hesap!$B$3,"⚠ Mutabakat "&amp;TEXT(Hesap!$B$3-($J47+7),"0")&amp;" gün gecikti","● Mutabakat için "&amp;TEXT($J47+7-Hesap!$B$3,"0")&amp;" gün")))))</f>
        <v/>
      </c>
      <c r="U47" s="76">
        <f>IF($Y47="","",IF($Y47&gt;0.3,"⚠ Gecikebilir (%"&amp;TEXT($Y47*100,"0")&amp;" geride)",""))</f>
        <v/>
      </c>
      <c r="V47" s="76">
        <f>IF($C47="","",IF($O47="Tamamlandı","",IF($M47="","",IF($M47&lt;Hesap!$B$3,"⚠ "&amp;TEXT(Hesap!$B$3-$M47,"0")&amp;" gün gecikme",IF($M47-Hesap!$B$3&lt;=14,"● "&amp;TEXT($M47-Hesap!$B$3,"0")&amp;" gün kaldı","")))))</f>
        <v/>
      </c>
      <c r="W47">
        <f>IF($C47="","",IF($O47="Tamamlandı",N($L47),MAX(N($L47),IF(AND($J47&lt;&gt;"",$J47&lt;Hesap!$B$3),Hesap!$B$3-$J47,0)))+ROW()/1000000)</f>
        <v>0.000047</v>
      </c>
      <c r="X47">
        <f>IF($W47="","",INT($W47))</f>
        <v>0</v>
      </c>
      <c r="Y47">
        <f>IF(OR($C47="",$I47="",$K47="",$K47&lt;=0,$O47="Tamamlandı"),"",IF(Hesap!$B$3&lt;$I47,"",MIN(1,(Hesap!$B$3-$I47+1)/$K47)-N($N47)))</f>
        <v/>
      </c>
    </row>
    <row r="48" ht="18" customHeight="1">
      <c r="A48" s="69">
        <f>IF($C48="","",ROW()-4)</f>
        <v>44</v>
      </c>
      <c r="B48" s="70" t="inlineStr">
        <is>
          <t>Yönetim Beyanı</t>
        </is>
      </c>
      <c r="C48" s="70" t="inlineStr">
        <is>
          <t>Madde 29</t>
        </is>
      </c>
      <c r="D48" s="71" t="inlineStr">
        <is>
          <t>Ornek User13</t>
        </is>
      </c>
      <c r="E48" s="71" t="n"/>
      <c r="F48" s="71" t="n"/>
      <c r="G48" s="71" t="n"/>
      <c r="H48" s="71" t="inlineStr">
        <is>
          <t>Orta</t>
        </is>
      </c>
      <c r="I48" s="72" t="n">
        <v>46300</v>
      </c>
      <c r="J48" s="72" t="n">
        <v>46318</v>
      </c>
      <c r="K48" s="73">
        <f>IF(OR($I48="",$J48=""),"",$J48-$I48+1)</f>
        <v>19</v>
      </c>
      <c r="L48" s="56" t="n"/>
      <c r="M48" s="74">
        <f>IF($J48="","",$J48+N($L48))</f>
        <v>46318</v>
      </c>
      <c r="N48" s="75" t="n"/>
      <c r="O48" s="69" t="str">
        <f>IF($C48="","",IF(N($N48)&gt;=1,"Tamamlandı",IF(AND($J48&lt;&gt;"",$M48&lt;Hesap!$B$3),"Gecikmiş",IF(OR(N($N48)&gt;0,AND($I48&lt;&gt;"",$I48&lt;=Hesap!$B$3)),"Devam Ediyor","Planlanan"))))</f>
        <v>Devam Ediyor</v>
      </c>
      <c r="P48" s="70" t="n"/>
      <c r="Q48" s="70" t="n"/>
      <c r="R48" s="72" t="n"/>
      <c r="S48" s="73">
        <f>IF(OR($J48="",$R48=""),"",$R48-$J48)</f>
        <v/>
      </c>
      <c r="T48" s="76">
        <f>IF($C48="","",IF($J48="","",IF($R48&lt;&gt;"",IF($S48&gt;7,"⚠ "&amp;TEXT($S48,"0")&amp;" günde yapıldı (geç)","✔ "&amp;TEXT($S48,"0")&amp;" günde yapıldı"),IF($J48&gt;Hesap!$B$3,"",IF($J48+7&lt;Hesap!$B$3,"⚠ Mutabakat "&amp;TEXT(Hesap!$B$3-($J48+7),"0")&amp;" gün gecikti","● Mutabakat için "&amp;TEXT($J48+7-Hesap!$B$3,"0")&amp;" gün")))))</f>
        <v/>
      </c>
      <c r="U48" s="76">
        <f>IF($Y48="","",IF($Y48&gt;0.3,"⚠ Gecikebilir (%"&amp;TEXT($Y48*100,"0")&amp;" geride)",""))</f>
        <v/>
      </c>
      <c r="V48" s="76">
        <f>IF($C48="","",IF($O48="Tamamlandı","",IF($M48="","",IF($M48&lt;Hesap!$B$3,"⚠ "&amp;TEXT(Hesap!$B$3-$M48,"0")&amp;" gün gecikme",IF($M48-Hesap!$B$3&lt;=14,"● "&amp;TEXT($M48-Hesap!$B$3,"0")&amp;" gün kaldı","")))))</f>
        <v/>
      </c>
      <c r="W48">
        <f>IF($C48="","",IF($O48="Tamamlandı",N($L48),MAX(N($L48),IF(AND($J48&lt;&gt;"",$J48&lt;Hesap!$B$3),Hesap!$B$3-$J48,0)))+ROW()/1000000)</f>
        <v>0.000048</v>
      </c>
      <c r="X48">
        <f>IF($W48="","",INT($W48))</f>
        <v>0</v>
      </c>
      <c r="Y48">
        <f>IF(OR($C48="",$I48="",$K48="",$K48&lt;=0,$O48="Tamamlandı"),"",IF(Hesap!$B$3&lt;$I48,"",MIN(1,(Hesap!$B$3-$I48+1)/$K48)-N($N48)))</f>
        <v>0.0526315789</v>
      </c>
    </row>
    <row r="49" ht="18" customHeight="1">
      <c r="A49" s="69">
        <f>IF($C49="","",ROW()-4)</f>
        <v>45</v>
      </c>
      <c r="B49" s="70" t="inlineStr">
        <is>
          <t>BIGR (Yönetim Beyanı Ortak Maddeler)</t>
        </is>
      </c>
      <c r="C49" s="70" t="inlineStr">
        <is>
          <t>3.1.7. Veri Sızıntısı Önleme</t>
        </is>
      </c>
      <c r="D49" s="71" t="inlineStr">
        <is>
          <t>Ornek User4</t>
        </is>
      </c>
      <c r="E49" s="71" t="n"/>
      <c r="F49" s="71" t="n"/>
      <c r="G49" s="71" t="n"/>
      <c r="H49" s="71" t="n"/>
      <c r="I49" s="72" t="n"/>
      <c r="J49" s="72" t="n"/>
      <c r="K49" s="73">
        <f>IF(OR($I49="",$J49=""),"",$J49-$I49+1)</f>
        <v/>
      </c>
      <c r="L49" s="56" t="n"/>
      <c r="M49" s="74">
        <f>IF($J49="","",$J49+N($L49))</f>
        <v/>
      </c>
      <c r="N49" s="75" t="n"/>
      <c r="O49" s="69" t="str">
        <f>IF($C49="","",IF(N($N49)&gt;=1,"Tamamlandı",IF(AND($J49&lt;&gt;"",$M49&lt;Hesap!$B$3),"Gecikmiş",IF(OR(N($N49)&gt;0,AND($I49&lt;&gt;"",$I49&lt;=Hesap!$B$3)),"Devam Ediyor","Planlanan"))))</f>
        <v>Planlanan</v>
      </c>
      <c r="P49" s="70" t="n"/>
      <c r="Q49" s="70" t="n"/>
      <c r="R49" s="72" t="n"/>
      <c r="S49" s="73">
        <f>IF(OR($J49="",$R49=""),"",$R49-$J49)</f>
        <v/>
      </c>
      <c r="T49" s="76">
        <f>IF($C49="","",IF($J49="","",IF($R49&lt;&gt;"",IF($S49&gt;7,"⚠ "&amp;TEXT($S49,"0")&amp;" günde yapıldı (geç)","✔ "&amp;TEXT($S49,"0")&amp;" günde yapıldı"),IF($J49&gt;Hesap!$B$3,"",IF($J49+7&lt;Hesap!$B$3,"⚠ Mutabakat "&amp;TEXT(Hesap!$B$3-($J49+7),"0")&amp;" gün gecikti","● Mutabakat için "&amp;TEXT($J49+7-Hesap!$B$3,"0")&amp;" gün")))))</f>
        <v/>
      </c>
      <c r="U49" s="76">
        <f>IF($Y49="","",IF($Y49&gt;0.3,"⚠ Gecikebilir (%"&amp;TEXT($Y49*100,"0")&amp;" geride)",""))</f>
        <v/>
      </c>
      <c r="V49" s="76">
        <f>IF($C49="","",IF($O49="Tamamlandı","",IF($M49="","",IF($M49&lt;Hesap!$B$3,"⚠ "&amp;TEXT(Hesap!$B$3-$M49,"0")&amp;" gün gecikme",IF($M49-Hesap!$B$3&lt;=14,"● "&amp;TEXT($M49-Hesap!$B$3,"0")&amp;" gün kaldı","")))))</f>
        <v/>
      </c>
      <c r="W49">
        <f>IF($C49="","",IF($O49="Tamamlandı",N($L49),MAX(N($L49),IF(AND($J49&lt;&gt;"",$J49&lt;Hesap!$B$3),Hesap!$B$3-$J49,0)))+ROW()/1000000)</f>
        <v>0.000049</v>
      </c>
      <c r="X49">
        <f>IF($W49="","",INT($W49))</f>
        <v>0</v>
      </c>
      <c r="Y49">
        <f>IF(OR($C49="",$I49="",$K49="",$K49&lt;=0,$O49="Tamamlandı"),"",IF(Hesap!$B$3&lt;$I49,"",MIN(1,(Hesap!$B$3-$I49+1)/$K49)-N($N49)))</f>
        <v/>
      </c>
    </row>
    <row r="50" ht="25.5" customHeight="1">
      <c r="A50" s="69">
        <f>IF($C50="","",ROW()-4)</f>
        <v>46</v>
      </c>
      <c r="B50" s="70" t="inlineStr">
        <is>
          <t>BIGR (Yönetim Beyanı Ortak Maddeler)</t>
        </is>
      </c>
      <c r="C50" s="70" t="inlineStr">
        <is>
          <t>3.1.8. İz ve Denetim Kayıtlarının Tutulması ve İzlenmesi</t>
        </is>
      </c>
      <c r="D50" s="71" t="inlineStr">
        <is>
          <t>Ornek User4</t>
        </is>
      </c>
      <c r="E50" s="71" t="n"/>
      <c r="F50" s="71" t="n"/>
      <c r="G50" s="71" t="n"/>
      <c r="H50" s="71" t="n"/>
      <c r="I50" s="72" t="n"/>
      <c r="J50" s="72" t="n"/>
      <c r="K50" s="73">
        <f>IF(OR($I50="",$J50=""),"",$J50-$I50+1)</f>
        <v/>
      </c>
      <c r="L50" s="56" t="n"/>
      <c r="M50" s="74">
        <f>IF($J50="","",$J50+N($L50))</f>
        <v/>
      </c>
      <c r="N50" s="75" t="n"/>
      <c r="O50" s="69" t="str">
        <f>IF($C50="","",IF(N($N50)&gt;=1,"Tamamlandı",IF(AND($J50&lt;&gt;"",$M50&lt;Hesap!$B$3),"Gecikmiş",IF(OR(N($N50)&gt;0,AND($I50&lt;&gt;"",$I50&lt;=Hesap!$B$3)),"Devam Ediyor","Planlanan"))))</f>
        <v>Planlanan</v>
      </c>
      <c r="P50" s="70" t="n"/>
      <c r="Q50" s="70" t="n"/>
      <c r="R50" s="72" t="n"/>
      <c r="S50" s="73">
        <f>IF(OR($J50="",$R50=""),"",$R50-$J50)</f>
        <v/>
      </c>
      <c r="T50" s="76">
        <f>IF($C50="","",IF($J50="","",IF($R50&lt;&gt;"",IF($S50&gt;7,"⚠ "&amp;TEXT($S50,"0")&amp;" günde yapıldı (geç)","✔ "&amp;TEXT($S50,"0")&amp;" günde yapıldı"),IF($J50&gt;Hesap!$B$3,"",IF($J50+7&lt;Hesap!$B$3,"⚠ Mutabakat "&amp;TEXT(Hesap!$B$3-($J50+7),"0")&amp;" gün gecikti","● Mutabakat için "&amp;TEXT($J50+7-Hesap!$B$3,"0")&amp;" gün")))))</f>
        <v/>
      </c>
      <c r="U50" s="76">
        <f>IF($Y50="","",IF($Y50&gt;0.3,"⚠ Gecikebilir (%"&amp;TEXT($Y50*100,"0")&amp;" geride)",""))</f>
        <v/>
      </c>
      <c r="V50" s="76">
        <f>IF($C50="","",IF($O50="Tamamlandı","",IF($M50="","",IF($M50&lt;Hesap!$B$3,"⚠ "&amp;TEXT(Hesap!$B$3-$M50,"0")&amp;" gün gecikme",IF($M50-Hesap!$B$3&lt;=14,"● "&amp;TEXT($M50-Hesap!$B$3,"0")&amp;" gün kaldı","")))))</f>
        <v/>
      </c>
      <c r="W50">
        <f>IF($C50="","",IF($O50="Tamamlandı",N($L50),MAX(N($L50),IF(AND($J50&lt;&gt;"",$J50&lt;Hesap!$B$3),Hesap!$B$3-$J50,0)))+ROW()/1000000)</f>
        <v>0.00005</v>
      </c>
      <c r="X50">
        <f>IF($W50="","",INT($W50))</f>
        <v>0</v>
      </c>
      <c r="Y50">
        <f>IF(OR($C50="",$I50="",$K50="",$K50&lt;=0,$O50="Tamamlandı"),"",IF(Hesap!$B$3&lt;$I50,"",MIN(1,(Hesap!$B$3-$I50+1)/$K50)-N($N50)))</f>
        <v/>
      </c>
    </row>
    <row r="51" ht="18" customHeight="1">
      <c r="A51" s="69">
        <f>IF($C51="","",ROW()-4)</f>
        <v>47</v>
      </c>
      <c r="B51" s="70" t="inlineStr">
        <is>
          <t>BIGR (Yönetim Beyanı Ortak Maddeler)</t>
        </is>
      </c>
      <c r="C51" s="70" t="inlineStr">
        <is>
          <t>3.2.10. Kötücül İşlemleri Engelleme</t>
        </is>
      </c>
      <c r="D51" s="71" t="inlineStr">
        <is>
          <t>Ornek User4</t>
        </is>
      </c>
      <c r="E51" s="71" t="n"/>
      <c r="F51" s="71" t="n"/>
      <c r="G51" s="71" t="n"/>
      <c r="H51" s="71" t="n"/>
      <c r="I51" s="72" t="n"/>
      <c r="J51" s="72" t="n"/>
      <c r="K51" s="73">
        <f>IF(OR($I51="",$J51=""),"",$J51-$I51+1)</f>
        <v/>
      </c>
      <c r="L51" s="56" t="n"/>
      <c r="M51" s="74">
        <f>IF($J51="","",$J51+N($L51))</f>
        <v/>
      </c>
      <c r="N51" s="75" t="n"/>
      <c r="O51" s="69" t="str">
        <f>IF($C51="","",IF(N($N51)&gt;=1,"Tamamlandı",IF(AND($J51&lt;&gt;"",$M51&lt;Hesap!$B$3),"Gecikmiş",IF(OR(N($N51)&gt;0,AND($I51&lt;&gt;"",$I51&lt;=Hesap!$B$3)),"Devam Ediyor","Planlanan"))))</f>
        <v>Planlanan</v>
      </c>
      <c r="P51" s="70" t="n"/>
      <c r="Q51" s="70" t="n"/>
      <c r="R51" s="72" t="n"/>
      <c r="S51" s="73">
        <f>IF(OR($J51="",$R51=""),"",$R51-$J51)</f>
        <v/>
      </c>
      <c r="T51" s="76">
        <f>IF($C51="","",IF($J51="","",IF($R51&lt;&gt;"",IF($S51&gt;7,"⚠ "&amp;TEXT($S51,"0")&amp;" günde yapıldı (geç)","✔ "&amp;TEXT($S51,"0")&amp;" günde yapıldı"),IF($J51&gt;Hesap!$B$3,"",IF($J51+7&lt;Hesap!$B$3,"⚠ Mutabakat "&amp;TEXT(Hesap!$B$3-($J51+7),"0")&amp;" gün gecikti","● Mutabakat için "&amp;TEXT($J51+7-Hesap!$B$3,"0")&amp;" gün")))))</f>
        <v/>
      </c>
      <c r="U51" s="76">
        <f>IF($Y51="","",IF($Y51&gt;0.3,"⚠ Gecikebilir (%"&amp;TEXT($Y51*100,"0")&amp;" geride)",""))</f>
        <v/>
      </c>
      <c r="V51" s="76">
        <f>IF($C51="","",IF($O51="Tamamlandı","",IF($M51="","",IF($M51&lt;Hesap!$B$3,"⚠ "&amp;TEXT(Hesap!$B$3-$M51,"0")&amp;" gün gecikme",IF($M51-Hesap!$B$3&lt;=14,"● "&amp;TEXT($M51-Hesap!$B$3,"0")&amp;" gün kaldı","")))))</f>
        <v/>
      </c>
      <c r="W51">
        <f>IF($C51="","",IF($O51="Tamamlandı",N($L51),MAX(N($L51),IF(AND($J51&lt;&gt;"",$J51&lt;Hesap!$B$3),Hesap!$B$3-$J51,0)))+ROW()/1000000)</f>
        <v>0.000051</v>
      </c>
      <c r="X51">
        <f>IF($W51="","",INT($W51))</f>
        <v>0</v>
      </c>
      <c r="Y51">
        <f>IF(OR($C51="",$I51="",$K51="",$K51&lt;=0,$O51="Tamamlandı"),"",IF(Hesap!$B$3&lt;$I51,"",MIN(1,(Hesap!$B$3-$I51+1)/$K51)-N($N51)))</f>
        <v/>
      </c>
    </row>
    <row r="52" ht="18" customHeight="1">
      <c r="A52" s="69">
        <f>IF($C52="","",ROW()-4)</f>
        <v>48</v>
      </c>
      <c r="B52" s="70" t="inlineStr">
        <is>
          <t>BIGR (Yönetim Beyanı Ortak Maddeler)</t>
        </is>
      </c>
      <c r="C52" s="70" t="inlineStr">
        <is>
          <t>3.1.12. Kimlik Doğrulama ve Erişim Yönetimi</t>
        </is>
      </c>
      <c r="D52" s="71" t="inlineStr">
        <is>
          <t>Ornek User11</t>
        </is>
      </c>
      <c r="E52" s="71" t="n"/>
      <c r="F52" s="71" t="n"/>
      <c r="G52" s="71" t="n"/>
      <c r="H52" s="71" t="n"/>
      <c r="I52" s="72" t="n"/>
      <c r="J52" s="72" t="n"/>
      <c r="K52" s="73">
        <f>IF(OR($I52="",$J52=""),"",$J52-$I52+1)</f>
        <v/>
      </c>
      <c r="L52" s="56" t="n"/>
      <c r="M52" s="74">
        <f>IF($J52="","",$J52+N($L52))</f>
        <v/>
      </c>
      <c r="N52" s="75" t="n"/>
      <c r="O52" s="69" t="str">
        <f>IF($C52="","",IF(N($N52)&gt;=1,"Tamamlandı",IF(AND($J52&lt;&gt;"",$M52&lt;Hesap!$B$3),"Gecikmiş",IF(OR(N($N52)&gt;0,AND($I52&lt;&gt;"",$I52&lt;=Hesap!$B$3)),"Devam Ediyor","Planlanan"))))</f>
        <v>Planlanan</v>
      </c>
      <c r="P52" s="70" t="n"/>
      <c r="Q52" s="70" t="n"/>
      <c r="R52" s="72" t="n"/>
      <c r="S52" s="73">
        <f>IF(OR($J52="",$R52=""),"",$R52-$J52)</f>
        <v/>
      </c>
      <c r="T52" s="76">
        <f>IF($C52="","",IF($J52="","",IF($R52&lt;&gt;"",IF($S52&gt;7,"⚠ "&amp;TEXT($S52,"0")&amp;" günde yapıldı (geç)","✔ "&amp;TEXT($S52,"0")&amp;" günde yapıldı"),IF($J52&gt;Hesap!$B$3,"",IF($J52+7&lt;Hesap!$B$3,"⚠ Mutabakat "&amp;TEXT(Hesap!$B$3-($J52+7),"0")&amp;" gün gecikti","● Mutabakat için "&amp;TEXT($J52+7-Hesap!$B$3,"0")&amp;" gün")))))</f>
        <v/>
      </c>
      <c r="U52" s="76">
        <f>IF($Y52="","",IF($Y52&gt;0.3,"⚠ Gecikebilir (%"&amp;TEXT($Y52*100,"0")&amp;" geride)",""))</f>
        <v/>
      </c>
      <c r="V52" s="76">
        <f>IF($C52="","",IF($O52="Tamamlandı","",IF($M52="","",IF($M52&lt;Hesap!$B$3,"⚠ "&amp;TEXT(Hesap!$B$3-$M52,"0")&amp;" gün gecikme",IF($M52-Hesap!$B$3&lt;=14,"● "&amp;TEXT($M52-Hesap!$B$3,"0")&amp;" gün kaldı","")))))</f>
        <v/>
      </c>
      <c r="W52">
        <f>IF($C52="","",IF($O52="Tamamlandı",N($L52),MAX(N($L52),IF(AND($J52&lt;&gt;"",$J52&lt;Hesap!$B$3),Hesap!$B$3-$J52,0)))+ROW()/1000000)</f>
        <v>0.000052</v>
      </c>
      <c r="X52">
        <f>IF($W52="","",INT($W52))</f>
        <v>0</v>
      </c>
      <c r="Y52">
        <f>IF(OR($C52="",$I52="",$K52="",$K52&lt;=0,$O52="Tamamlandı"),"",IF(Hesap!$B$3&lt;$I52,"",MIN(1,(Hesap!$B$3-$I52+1)/$K52)-N($N52)))</f>
        <v/>
      </c>
    </row>
    <row r="53" ht="18" customHeight="1">
      <c r="A53" s="69">
        <f>IF($C53="","",ROW()-4)</f>
        <v>49</v>
      </c>
      <c r="B53" s="70" t="inlineStr">
        <is>
          <t>BIGR (Yönetim Beyanı Ortak Maddeler)</t>
        </is>
      </c>
      <c r="C53" s="70" t="inlineStr">
        <is>
          <t>3.1.9. Sanallaştırma Güvenliği</t>
        </is>
      </c>
      <c r="D53" s="71" t="inlineStr">
        <is>
          <t>Ornek User11</t>
        </is>
      </c>
      <c r="E53" s="71" t="n"/>
      <c r="F53" s="71" t="n"/>
      <c r="G53" s="71" t="n"/>
      <c r="H53" s="71" t="n"/>
      <c r="I53" s="72" t="n"/>
      <c r="J53" s="72" t="n"/>
      <c r="K53" s="73">
        <f>IF(OR($I53="",$J53=""),"",$J53-$I53+1)</f>
        <v/>
      </c>
      <c r="L53" s="56" t="n"/>
      <c r="M53" s="74">
        <f>IF($J53="","",$J53+N($L53))</f>
        <v/>
      </c>
      <c r="N53" s="75" t="n"/>
      <c r="O53" s="69" t="str">
        <f>IF($C53="","",IF(N($N53)&gt;=1,"Tamamlandı",IF(AND($J53&lt;&gt;"",$M53&lt;Hesap!$B$3),"Gecikmiş",IF(OR(N($N53)&gt;0,AND($I53&lt;&gt;"",$I53&lt;=Hesap!$B$3)),"Devam Ediyor","Planlanan"))))</f>
        <v>Planlanan</v>
      </c>
      <c r="P53" s="70" t="n"/>
      <c r="Q53" s="70" t="n"/>
      <c r="R53" s="72" t="n"/>
      <c r="S53" s="73">
        <f>IF(OR($J53="",$R53=""),"",$R53-$J53)</f>
        <v/>
      </c>
      <c r="T53" s="76">
        <f>IF($C53="","",IF($J53="","",IF($R53&lt;&gt;"",IF($S53&gt;7,"⚠ "&amp;TEXT($S53,"0")&amp;" günde yapıldı (geç)","✔ "&amp;TEXT($S53,"0")&amp;" günde yapıldı"),IF($J53&gt;Hesap!$B$3,"",IF($J53+7&lt;Hesap!$B$3,"⚠ Mutabakat "&amp;TEXT(Hesap!$B$3-($J53+7),"0")&amp;" gün gecikti","● Mutabakat için "&amp;TEXT($J53+7-Hesap!$B$3,"0")&amp;" gün")))))</f>
        <v/>
      </c>
      <c r="U53" s="76">
        <f>IF($Y53="","",IF($Y53&gt;0.3,"⚠ Gecikebilir (%"&amp;TEXT($Y53*100,"0")&amp;" geride)",""))</f>
        <v/>
      </c>
      <c r="V53" s="76">
        <f>IF($C53="","",IF($O53="Tamamlandı","",IF($M53="","",IF($M53&lt;Hesap!$B$3,"⚠ "&amp;TEXT(Hesap!$B$3-$M53,"0")&amp;" gün gecikme",IF($M53-Hesap!$B$3&lt;=14,"● "&amp;TEXT($M53-Hesap!$B$3,"0")&amp;" gün kaldı","")))))</f>
        <v/>
      </c>
      <c r="W53">
        <f>IF($C53="","",IF($O53="Tamamlandı",N($L53),MAX(N($L53),IF(AND($J53&lt;&gt;"",$J53&lt;Hesap!$B$3),Hesap!$B$3-$J53,0)))+ROW()/1000000)</f>
        <v>0.000053</v>
      </c>
      <c r="X53">
        <f>IF($W53="","",INT($W53))</f>
        <v>0</v>
      </c>
      <c r="Y53">
        <f>IF(OR($C53="",$I53="",$K53="",$K53&lt;=0,$O53="Tamamlandı"),"",IF(Hesap!$B$3&lt;$I53,"",MIN(1,(Hesap!$B$3-$I53+1)/$K53)-N($N53)))</f>
        <v/>
      </c>
    </row>
    <row r="54" ht="18" customHeight="1">
      <c r="A54" s="69">
        <f>IF($C54="","",ROW()-4)</f>
        <v>50</v>
      </c>
      <c r="B54" s="70" t="inlineStr">
        <is>
          <t>BIGR (Yönetim Beyanı Ortak Maddeler)</t>
        </is>
      </c>
      <c r="C54" s="70" t="inlineStr">
        <is>
          <t>3.2.1. Kimlik Doğrulama</t>
        </is>
      </c>
      <c r="D54" s="71" t="inlineStr">
        <is>
          <t>Ornek User11</t>
        </is>
      </c>
      <c r="E54" s="71" t="n"/>
      <c r="F54" s="71" t="n"/>
      <c r="G54" s="71" t="n"/>
      <c r="H54" s="71" t="n"/>
      <c r="I54" s="72" t="n"/>
      <c r="J54" s="72" t="n"/>
      <c r="K54" s="73">
        <f>IF(OR($I54="",$J54=""),"",$J54-$I54+1)</f>
        <v/>
      </c>
      <c r="L54" s="56" t="n"/>
      <c r="M54" s="74">
        <f>IF($J54="","",$J54+N($L54))</f>
        <v/>
      </c>
      <c r="N54" s="75" t="n"/>
      <c r="O54" s="69" t="str">
        <f>IF($C54="","",IF(N($N54)&gt;=1,"Tamamlandı",IF(AND($J54&lt;&gt;"",$M54&lt;Hesap!$B$3),"Gecikmiş",IF(OR(N($N54)&gt;0,AND($I54&lt;&gt;"",$I54&lt;=Hesap!$B$3)),"Devam Ediyor","Planlanan"))))</f>
        <v>Planlanan</v>
      </c>
      <c r="P54" s="70" t="n"/>
      <c r="Q54" s="70" t="n"/>
      <c r="R54" s="72" t="n"/>
      <c r="S54" s="73">
        <f>IF(OR($J54="",$R54=""),"",$R54-$J54)</f>
        <v/>
      </c>
      <c r="T54" s="76">
        <f>IF($C54="","",IF($J54="","",IF($R54&lt;&gt;"",IF($S54&gt;7,"⚠ "&amp;TEXT($S54,"0")&amp;" günde yapıldı (geç)","✔ "&amp;TEXT($S54,"0")&amp;" günde yapıldı"),IF($J54&gt;Hesap!$B$3,"",IF($J54+7&lt;Hesap!$B$3,"⚠ Mutabakat "&amp;TEXT(Hesap!$B$3-($J54+7),"0")&amp;" gün gecikti","● Mutabakat için "&amp;TEXT($J54+7-Hesap!$B$3,"0")&amp;" gün")))))</f>
        <v/>
      </c>
      <c r="U54" s="76">
        <f>IF($Y54="","",IF($Y54&gt;0.3,"⚠ Gecikebilir (%"&amp;TEXT($Y54*100,"0")&amp;" geride)",""))</f>
        <v/>
      </c>
      <c r="V54" s="76">
        <f>IF($C54="","",IF($O54="Tamamlandı","",IF($M54="","",IF($M54&lt;Hesap!$B$3,"⚠ "&amp;TEXT(Hesap!$B$3-$M54,"0")&amp;" gün gecikme",IF($M54-Hesap!$B$3&lt;=14,"● "&amp;TEXT($M54-Hesap!$B$3,"0")&amp;" gün kaldı","")))))</f>
        <v/>
      </c>
      <c r="W54">
        <f>IF($C54="","",IF($O54="Tamamlandı",N($L54),MAX(N($L54),IF(AND($J54&lt;&gt;"",$J54&lt;Hesap!$B$3),Hesap!$B$3-$J54,0)))+ROW()/1000000)</f>
        <v>0.000054</v>
      </c>
      <c r="X54">
        <f>IF($W54="","",INT($W54))</f>
        <v>0</v>
      </c>
      <c r="Y54">
        <f>IF(OR($C54="",$I54="",$K54="",$K54&lt;=0,$O54="Tamamlandı"),"",IF(Hesap!$B$3&lt;$I54,"",MIN(1,(Hesap!$B$3-$I54+1)/$K54)-N($N54)))</f>
        <v/>
      </c>
    </row>
    <row r="55" ht="18" customHeight="1">
      <c r="A55" s="69">
        <f>IF($C55="","",ROW()-4)</f>
        <v>51</v>
      </c>
      <c r="B55" s="70" t="inlineStr">
        <is>
          <t>BIGR (Yönetim Beyanı Ortak Maddeler)</t>
        </is>
      </c>
      <c r="C55" s="70" t="inlineStr">
        <is>
          <t>3.2.11. Dış Sistem Entegrasyonlarının Güvenliği</t>
        </is>
      </c>
      <c r="D55" s="71" t="inlineStr">
        <is>
          <t>Ornek User11</t>
        </is>
      </c>
      <c r="E55" s="71" t="n"/>
      <c r="F55" s="71" t="n"/>
      <c r="G55" s="71" t="n"/>
      <c r="H55" s="71" t="n"/>
      <c r="I55" s="72" t="n"/>
      <c r="J55" s="72" t="n"/>
      <c r="K55" s="73">
        <f>IF(OR($I55="",$J55=""),"",$J55-$I55+1)</f>
        <v/>
      </c>
      <c r="L55" s="56" t="n"/>
      <c r="M55" s="74">
        <f>IF($J55="","",$J55+N($L55))</f>
        <v/>
      </c>
      <c r="N55" s="75" t="n"/>
      <c r="O55" s="69" t="str">
        <f>IF($C55="","",IF(N($N55)&gt;=1,"Tamamlandı",IF(AND($J55&lt;&gt;"",$M55&lt;Hesap!$B$3),"Gecikmiş",IF(OR(N($N55)&gt;0,AND($I55&lt;&gt;"",$I55&lt;=Hesap!$B$3)),"Devam Ediyor","Planlanan"))))</f>
        <v>Planlanan</v>
      </c>
      <c r="P55" s="70" t="n"/>
      <c r="Q55" s="70" t="n"/>
      <c r="R55" s="72" t="n"/>
      <c r="S55" s="73">
        <f>IF(OR($J55="",$R55=""),"",$R55-$J55)</f>
        <v/>
      </c>
      <c r="T55" s="76">
        <f>IF($C55="","",IF($J55="","",IF($R55&lt;&gt;"",IF($S55&gt;7,"⚠ "&amp;TEXT($S55,"0")&amp;" günde yapıldı (geç)","✔ "&amp;TEXT($S55,"0")&amp;" günde yapıldı"),IF($J55&gt;Hesap!$B$3,"",IF($J55+7&lt;Hesap!$B$3,"⚠ Mutabakat "&amp;TEXT(Hesap!$B$3-($J55+7),"0")&amp;" gün gecikti","● Mutabakat için "&amp;TEXT($J55+7-Hesap!$B$3,"0")&amp;" gün")))))</f>
        <v/>
      </c>
      <c r="U55" s="76">
        <f>IF($Y55="","",IF($Y55&gt;0.3,"⚠ Gecikebilir (%"&amp;TEXT($Y55*100,"0")&amp;" geride)",""))</f>
        <v/>
      </c>
      <c r="V55" s="76">
        <f>IF($C55="","",IF($O55="Tamamlandı","",IF($M55="","",IF($M55&lt;Hesap!$B$3,"⚠ "&amp;TEXT(Hesap!$B$3-$M55,"0")&amp;" gün gecikme",IF($M55-Hesap!$B$3&lt;=14,"● "&amp;TEXT($M55-Hesap!$B$3,"0")&amp;" gün kaldı","")))))</f>
        <v/>
      </c>
      <c r="W55">
        <f>IF($C55="","",IF($O55="Tamamlandı",N($L55),MAX(N($L55),IF(AND($J55&lt;&gt;"",$J55&lt;Hesap!$B$3),Hesap!$B$3-$J55,0)))+ROW()/1000000)</f>
        <v>0.000055</v>
      </c>
      <c r="X55">
        <f>IF($W55="","",INT($W55))</f>
        <v>0</v>
      </c>
      <c r="Y55">
        <f>IF(OR($C55="",$I55="",$K55="",$K55&lt;=0,$O55="Tamamlandı"),"",IF(Hesap!$B$3&lt;$I55,"",MIN(1,(Hesap!$B$3-$I55+1)/$K55)-N($N55)))</f>
        <v/>
      </c>
    </row>
    <row r="56" ht="18" customHeight="1">
      <c r="A56" s="69">
        <f>IF($C56="","",ROW()-4)</f>
        <v>52</v>
      </c>
      <c r="B56" s="70" t="inlineStr">
        <is>
          <t>BIGR (Yönetim Beyanı Ortak Maddeler)</t>
        </is>
      </c>
      <c r="C56" s="70" t="inlineStr">
        <is>
          <t>3.2.5. Güvenli Kurulum ve Yapılandırma</t>
        </is>
      </c>
      <c r="D56" s="71" t="inlineStr">
        <is>
          <t>Ornek User11</t>
        </is>
      </c>
      <c r="E56" s="71" t="n"/>
      <c r="F56" s="71" t="n"/>
      <c r="G56" s="71" t="n"/>
      <c r="H56" s="71" t="n"/>
      <c r="I56" s="72" t="n"/>
      <c r="J56" s="72" t="n"/>
      <c r="K56" s="73">
        <f>IF(OR($I56="",$J56=""),"",$J56-$I56+1)</f>
        <v/>
      </c>
      <c r="L56" s="56" t="n"/>
      <c r="M56" s="74">
        <f>IF($J56="","",$J56+N($L56))</f>
        <v/>
      </c>
      <c r="N56" s="75" t="n"/>
      <c r="O56" s="69" t="str">
        <f>IF($C56="","",IF(N($N56)&gt;=1,"Tamamlandı",IF(AND($J56&lt;&gt;"",$M56&lt;Hesap!$B$3),"Gecikmiş",IF(OR(N($N56)&gt;0,AND($I56&lt;&gt;"",$I56&lt;=Hesap!$B$3)),"Devam Ediyor","Planlanan"))))</f>
        <v>Planlanan</v>
      </c>
      <c r="P56" s="70" t="n"/>
      <c r="Q56" s="70" t="n"/>
      <c r="R56" s="72" t="n"/>
      <c r="S56" s="73">
        <f>IF(OR($J56="",$R56=""),"",$R56-$J56)</f>
        <v/>
      </c>
      <c r="T56" s="76">
        <f>IF($C56="","",IF($J56="","",IF($R56&lt;&gt;"",IF($S56&gt;7,"⚠ "&amp;TEXT($S56,"0")&amp;" günde yapıldı (geç)","✔ "&amp;TEXT($S56,"0")&amp;" günde yapıldı"),IF($J56&gt;Hesap!$B$3,"",IF($J56+7&lt;Hesap!$B$3,"⚠ Mutabakat "&amp;TEXT(Hesap!$B$3-($J56+7),"0")&amp;" gün gecikti","● Mutabakat için "&amp;TEXT($J56+7-Hesap!$B$3,"0")&amp;" gün")))))</f>
        <v/>
      </c>
      <c r="U56" s="76">
        <f>IF($Y56="","",IF($Y56&gt;0.3,"⚠ Gecikebilir (%"&amp;TEXT($Y56*100,"0")&amp;" geride)",""))</f>
        <v/>
      </c>
      <c r="V56" s="76">
        <f>IF($C56="","",IF($O56="Tamamlandı","",IF($M56="","",IF($M56&lt;Hesap!$B$3,"⚠ "&amp;TEXT(Hesap!$B$3-$M56,"0")&amp;" gün gecikme",IF($M56-Hesap!$B$3&lt;=14,"● "&amp;TEXT($M56-Hesap!$B$3,"0")&amp;" gün kaldı","")))))</f>
        <v/>
      </c>
      <c r="W56">
        <f>IF($C56="","",IF($O56="Tamamlandı",N($L56),MAX(N($L56),IF(AND($J56&lt;&gt;"",$J56&lt;Hesap!$B$3),Hesap!$B$3-$J56,0)))+ROW()/1000000)</f>
        <v>0.000056</v>
      </c>
      <c r="X56">
        <f>IF($W56="","",INT($W56))</f>
        <v>0</v>
      </c>
      <c r="Y56">
        <f>IF(OR($C56="",$I56="",$K56="",$K56&lt;=0,$O56="Tamamlandı"),"",IF(Hesap!$B$3&lt;$I56,"",MIN(1,(Hesap!$B$3-$I56+1)/$K56)-N($N56)))</f>
        <v/>
      </c>
    </row>
    <row r="57" ht="18" customHeight="1">
      <c r="A57" s="69">
        <f>IF($C57="","",ROW()-4)</f>
        <v>53</v>
      </c>
      <c r="B57" s="70" t="inlineStr">
        <is>
          <t>BIGR (Yönetim Beyanı Ortak Maddeler)</t>
        </is>
      </c>
      <c r="C57" s="70" t="inlineStr">
        <is>
          <t>4.6.1. Genel Güvenlik Tedbirleri</t>
        </is>
      </c>
      <c r="D57" s="71" t="inlineStr">
        <is>
          <t>Ornek User11</t>
        </is>
      </c>
      <c r="E57" s="71" t="n"/>
      <c r="F57" s="71" t="n"/>
      <c r="G57" s="71" t="n"/>
      <c r="H57" s="71" t="n"/>
      <c r="I57" s="72" t="n"/>
      <c r="J57" s="72" t="n"/>
      <c r="K57" s="73">
        <f>IF(OR($I57="",$J57=""),"",$J57-$I57+1)</f>
        <v/>
      </c>
      <c r="L57" s="56" t="n"/>
      <c r="M57" s="74">
        <f>IF($J57="","",$J57+N($L57))</f>
        <v/>
      </c>
      <c r="N57" s="75" t="n"/>
      <c r="O57" s="69" t="str">
        <f>IF($C57="","",IF(N($N57)&gt;=1,"Tamamlandı",IF(AND($J57&lt;&gt;"",$M57&lt;Hesap!$B$3),"Gecikmiş",IF(OR(N($N57)&gt;0,AND($I57&lt;&gt;"",$I57&lt;=Hesap!$B$3)),"Devam Ediyor","Planlanan"))))</f>
        <v>Planlanan</v>
      </c>
      <c r="P57" s="70" t="n"/>
      <c r="Q57" s="70" t="n"/>
      <c r="R57" s="72" t="n"/>
      <c r="S57" s="73">
        <f>IF(OR($J57="",$R57=""),"",$R57-$J57)</f>
        <v/>
      </c>
      <c r="T57" s="76">
        <f>IF($C57="","",IF($J57="","",IF($R57&lt;&gt;"",IF($S57&gt;7,"⚠ "&amp;TEXT($S57,"0")&amp;" günde yapıldı (geç)","✔ "&amp;TEXT($S57,"0")&amp;" günde yapıldı"),IF($J57&gt;Hesap!$B$3,"",IF($J57+7&lt;Hesap!$B$3,"⚠ Mutabakat "&amp;TEXT(Hesap!$B$3-($J57+7),"0")&amp;" gün gecikti","● Mutabakat için "&amp;TEXT($J57+7-Hesap!$B$3,"0")&amp;" gün")))))</f>
        <v/>
      </c>
      <c r="U57" s="76">
        <f>IF($Y57="","",IF($Y57&gt;0.3,"⚠ Gecikebilir (%"&amp;TEXT($Y57*100,"0")&amp;" geride)",""))</f>
        <v/>
      </c>
      <c r="V57" s="76">
        <f>IF($C57="","",IF($O57="Tamamlandı","",IF($M57="","",IF($M57&lt;Hesap!$B$3,"⚠ "&amp;TEXT(Hesap!$B$3-$M57,"0")&amp;" gün gecikme",IF($M57-Hesap!$B$3&lt;=14,"● "&amp;TEXT($M57-Hesap!$B$3,"0")&amp;" gün kaldı","")))))</f>
        <v/>
      </c>
      <c r="W57">
        <f>IF($C57="","",IF($O57="Tamamlandı",N($L57),MAX(N($L57),IF(AND($J57&lt;&gt;"",$J57&lt;Hesap!$B$3),Hesap!$B$3-$J57,0)))+ROW()/1000000)</f>
        <v>0.000057</v>
      </c>
      <c r="X57">
        <f>IF($W57="","",INT($W57))</f>
        <v>0</v>
      </c>
      <c r="Y57">
        <f>IF(OR($C57="",$I57="",$K57="",$K57&lt;=0,$O57="Tamamlandı"),"",IF(Hesap!$B$3&lt;$I57,"",MIN(1,(Hesap!$B$3-$I57+1)/$K57)-N($N57)))</f>
        <v/>
      </c>
    </row>
    <row r="58" ht="18" customHeight="1">
      <c r="A58" s="69">
        <f>IF($C58="","",ROW()-4)</f>
        <v>54</v>
      </c>
      <c r="B58" s="70" t="inlineStr">
        <is>
          <t>BIGR (Yönetim Beyanı Ortak Maddeler)</t>
        </is>
      </c>
      <c r="C58" s="70" t="inlineStr">
        <is>
          <t>5.1.1. Genel Sıkılaştırma Tedbirleri</t>
        </is>
      </c>
      <c r="D58" s="71" t="inlineStr">
        <is>
          <t>Ornek User11</t>
        </is>
      </c>
      <c r="E58" s="71" t="n"/>
      <c r="F58" s="71" t="n"/>
      <c r="G58" s="71" t="n"/>
      <c r="H58" s="71" t="n"/>
      <c r="I58" s="72" t="n"/>
      <c r="J58" s="72" t="n"/>
      <c r="K58" s="73">
        <f>IF(OR($I58="",$J58=""),"",$J58-$I58+1)</f>
        <v/>
      </c>
      <c r="L58" s="56" t="n"/>
      <c r="M58" s="74">
        <f>IF($J58="","",$J58+N($L58))</f>
        <v/>
      </c>
      <c r="N58" s="75" t="n"/>
      <c r="O58" s="69" t="str">
        <f>IF($C58="","",IF(N($N58)&gt;=1,"Tamamlandı",IF(AND($J58&lt;&gt;"",$M58&lt;Hesap!$B$3),"Gecikmiş",IF(OR(N($N58)&gt;0,AND($I58&lt;&gt;"",$I58&lt;=Hesap!$B$3)),"Devam Ediyor","Planlanan"))))</f>
        <v>Planlanan</v>
      </c>
      <c r="P58" s="70" t="n"/>
      <c r="Q58" s="70" t="n"/>
      <c r="R58" s="72" t="n"/>
      <c r="S58" s="73">
        <f>IF(OR($J58="",$R58=""),"",$R58-$J58)</f>
        <v/>
      </c>
      <c r="T58" s="76">
        <f>IF($C58="","",IF($J58="","",IF($R58&lt;&gt;"",IF($S58&gt;7,"⚠ "&amp;TEXT($S58,"0")&amp;" günde yapıldı (geç)","✔ "&amp;TEXT($S58,"0")&amp;" günde yapıldı"),IF($J58&gt;Hesap!$B$3,"",IF($J58+7&lt;Hesap!$B$3,"⚠ Mutabakat "&amp;TEXT(Hesap!$B$3-($J58+7),"0")&amp;" gün gecikti","● Mutabakat için "&amp;TEXT($J58+7-Hesap!$B$3,"0")&amp;" gün")))))</f>
        <v/>
      </c>
      <c r="U58" s="76">
        <f>IF($Y58="","",IF($Y58&gt;0.3,"⚠ Gecikebilir (%"&amp;TEXT($Y58*100,"0")&amp;" geride)",""))</f>
        <v/>
      </c>
      <c r="V58" s="76">
        <f>IF($C58="","",IF($O58="Tamamlandı","",IF($M58="","",IF($M58&lt;Hesap!$B$3,"⚠ "&amp;TEXT(Hesap!$B$3-$M58,"0")&amp;" gün gecikme",IF($M58-Hesap!$B$3&lt;=14,"● "&amp;TEXT($M58-Hesap!$B$3,"0")&amp;" gün kaldı","")))))</f>
        <v/>
      </c>
      <c r="W58">
        <f>IF($C58="","",IF($O58="Tamamlandı",N($L58),MAX(N($L58),IF(AND($J58&lt;&gt;"",$J58&lt;Hesap!$B$3),Hesap!$B$3-$J58,0)))+ROW()/1000000)</f>
        <v>0.000058</v>
      </c>
      <c r="X58">
        <f>IF($W58="","",INT($W58))</f>
        <v>0</v>
      </c>
      <c r="Y58">
        <f>IF(OR($C58="",$I58="",$K58="",$K58&lt;=0,$O58="Tamamlandı"),"",IF(Hesap!$B$3&lt;$I58,"",MIN(1,(Hesap!$B$3-$I58+1)/$K58)-N($N58)))</f>
        <v/>
      </c>
    </row>
    <row r="59" ht="18" customHeight="1">
      <c r="A59" s="69">
        <f>IF($C59="","",ROW()-4)</f>
        <v>55</v>
      </c>
      <c r="B59" s="70" t="inlineStr">
        <is>
          <t>BIGR (Yönetim Beyanı Ortak Maddeler)</t>
        </is>
      </c>
      <c r="C59" s="70" t="inlineStr">
        <is>
          <t>5.1.2. Linux İşletim Sistemi Sıkılaştırma Tedbirleri</t>
        </is>
      </c>
      <c r="D59" s="71" t="inlineStr">
        <is>
          <t>Ornek User11</t>
        </is>
      </c>
      <c r="E59" s="71" t="n"/>
      <c r="F59" s="71" t="n"/>
      <c r="G59" s="71" t="n"/>
      <c r="H59" s="71" t="n"/>
      <c r="I59" s="72" t="n"/>
      <c r="J59" s="72" t="n"/>
      <c r="K59" s="73">
        <f>IF(OR($I59="",$J59=""),"",$J59-$I59+1)</f>
        <v/>
      </c>
      <c r="L59" s="56" t="n"/>
      <c r="M59" s="74">
        <f>IF($J59="","",$J59+N($L59))</f>
        <v/>
      </c>
      <c r="N59" s="75" t="n"/>
      <c r="O59" s="69" t="str">
        <f>IF($C59="","",IF(N($N59)&gt;=1,"Tamamlandı",IF(AND($J59&lt;&gt;"",$M59&lt;Hesap!$B$3),"Gecikmiş",IF(OR(N($N59)&gt;0,AND($I59&lt;&gt;"",$I59&lt;=Hesap!$B$3)),"Devam Ediyor","Planlanan"))))</f>
        <v>Planlanan</v>
      </c>
      <c r="P59" s="70" t="n"/>
      <c r="Q59" s="70" t="n"/>
      <c r="R59" s="72" t="n"/>
      <c r="S59" s="73">
        <f>IF(OR($J59="",$R59=""),"",$R59-$J59)</f>
        <v/>
      </c>
      <c r="T59" s="76">
        <f>IF($C59="","",IF($J59="","",IF($R59&lt;&gt;"",IF($S59&gt;7,"⚠ "&amp;TEXT($S59,"0")&amp;" günde yapıldı (geç)","✔ "&amp;TEXT($S59,"0")&amp;" günde yapıldı"),IF($J59&gt;Hesap!$B$3,"",IF($J59+7&lt;Hesap!$B$3,"⚠ Mutabakat "&amp;TEXT(Hesap!$B$3-($J59+7),"0")&amp;" gün gecikti","● Mutabakat için "&amp;TEXT($J59+7-Hesap!$B$3,"0")&amp;" gün")))))</f>
        <v/>
      </c>
      <c r="U59" s="76">
        <f>IF($Y59="","",IF($Y59&gt;0.3,"⚠ Gecikebilir (%"&amp;TEXT($Y59*100,"0")&amp;" geride)",""))</f>
        <v/>
      </c>
      <c r="V59" s="76">
        <f>IF($C59="","",IF($O59="Tamamlandı","",IF($M59="","",IF($M59&lt;Hesap!$B$3,"⚠ "&amp;TEXT(Hesap!$B$3-$M59,"0")&amp;" gün gecikme",IF($M59-Hesap!$B$3&lt;=14,"● "&amp;TEXT($M59-Hesap!$B$3,"0")&amp;" gün kaldı","")))))</f>
        <v/>
      </c>
      <c r="W59">
        <f>IF($C59="","",IF($O59="Tamamlandı",N($L59),MAX(N($L59),IF(AND($J59&lt;&gt;"",$J59&lt;Hesap!$B$3),Hesap!$B$3-$J59,0)))+ROW()/1000000)</f>
        <v>0.000059</v>
      </c>
      <c r="X59">
        <f>IF($W59="","",INT($W59))</f>
        <v>0</v>
      </c>
      <c r="Y59">
        <f>IF(OR($C59="",$I59="",$K59="",$K59&lt;=0,$O59="Tamamlandı"),"",IF(Hesap!$B$3&lt;$I59,"",MIN(1,(Hesap!$B$3-$I59+1)/$K59)-N($N59)))</f>
        <v/>
      </c>
    </row>
    <row r="60" ht="18" customHeight="1">
      <c r="A60" s="69">
        <f>IF($C60="","",ROW()-4)</f>
        <v>56</v>
      </c>
      <c r="B60" s="70" t="inlineStr">
        <is>
          <t>BIGR (Yönetim Beyanı Ortak Maddeler)</t>
        </is>
      </c>
      <c r="C60" s="70" t="inlineStr">
        <is>
          <t>3.1.14. Uzaktan Çalışma</t>
        </is>
      </c>
      <c r="D60" s="71" t="inlineStr">
        <is>
          <t>Ornek User12</t>
        </is>
      </c>
      <c r="E60" s="71" t="n"/>
      <c r="F60" s="71" t="n"/>
      <c r="G60" s="71" t="n"/>
      <c r="H60" s="71" t="n"/>
      <c r="I60" s="72" t="n"/>
      <c r="J60" s="72" t="n"/>
      <c r="K60" s="73">
        <f>IF(OR($I60="",$J60=""),"",$J60-$I60+1)</f>
        <v/>
      </c>
      <c r="L60" s="56" t="n"/>
      <c r="M60" s="74">
        <f>IF($J60="","",$J60+N($L60))</f>
        <v/>
      </c>
      <c r="N60" s="75" t="n"/>
      <c r="O60" s="69" t="str">
        <f>IF($C60="","",IF(N($N60)&gt;=1,"Tamamlandı",IF(AND($J60&lt;&gt;"",$M60&lt;Hesap!$B$3),"Gecikmiş",IF(OR(N($N60)&gt;0,AND($I60&lt;&gt;"",$I60&lt;=Hesap!$B$3)),"Devam Ediyor","Planlanan"))))</f>
        <v>Planlanan</v>
      </c>
      <c r="P60" s="70" t="n"/>
      <c r="Q60" s="70" t="n"/>
      <c r="R60" s="72" t="n"/>
      <c r="S60" s="73">
        <f>IF(OR($J60="",$R60=""),"",$R60-$J60)</f>
        <v/>
      </c>
      <c r="T60" s="76">
        <f>IF($C60="","",IF($J60="","",IF($R60&lt;&gt;"",IF($S60&gt;7,"⚠ "&amp;TEXT($S60,"0")&amp;" günde yapıldı (geç)","✔ "&amp;TEXT($S60,"0")&amp;" günde yapıldı"),IF($J60&gt;Hesap!$B$3,"",IF($J60+7&lt;Hesap!$B$3,"⚠ Mutabakat "&amp;TEXT(Hesap!$B$3-($J60+7),"0")&amp;" gün gecikti","● Mutabakat için "&amp;TEXT($J60+7-Hesap!$B$3,"0")&amp;" gün")))))</f>
        <v/>
      </c>
      <c r="U60" s="76">
        <f>IF($Y60="","",IF($Y60&gt;0.3,"⚠ Gecikebilir (%"&amp;TEXT($Y60*100,"0")&amp;" geride)",""))</f>
        <v/>
      </c>
      <c r="V60" s="76">
        <f>IF($C60="","",IF($O60="Tamamlandı","",IF($M60="","",IF($M60&lt;Hesap!$B$3,"⚠ "&amp;TEXT(Hesap!$B$3-$M60,"0")&amp;" gün gecikme",IF($M60-Hesap!$B$3&lt;=14,"● "&amp;TEXT($M60-Hesap!$B$3,"0")&amp;" gün kaldı","")))))</f>
        <v/>
      </c>
      <c r="W60">
        <f>IF($C60="","",IF($O60="Tamamlandı",N($L60),MAX(N($L60),IF(AND($J60&lt;&gt;"",$J60&lt;Hesap!$B$3),Hesap!$B$3-$J60,0)))+ROW()/1000000)</f>
        <v>0.00006</v>
      </c>
      <c r="X60">
        <f>IF($W60="","",INT($W60))</f>
        <v>0</v>
      </c>
      <c r="Y60">
        <f>IF(OR($C60="",$I60="",$K60="",$K60&lt;=0,$O60="Tamamlandı"),"",IF(Hesap!$B$3&lt;$I60,"",MIN(1,(Hesap!$B$3-$I60+1)/$K60)-N($N60)))</f>
        <v/>
      </c>
    </row>
    <row r="61" ht="18" customHeight="1">
      <c r="A61" s="69">
        <f>IF($C61="","",ROW()-4)</f>
        <v>57</v>
      </c>
      <c r="B61" s="70" t="inlineStr">
        <is>
          <t>BIGR (Yönetim Beyanı Ortak Maddeler)</t>
        </is>
      </c>
      <c r="C61" s="70" t="inlineStr">
        <is>
          <t>3.1.3. Tehdit ve Zafiyet Yönetimi</t>
        </is>
      </c>
      <c r="D61" s="71" t="inlineStr">
        <is>
          <t>Ornek User12</t>
        </is>
      </c>
      <c r="E61" s="71" t="n"/>
      <c r="F61" s="71" t="n"/>
      <c r="G61" s="71" t="n"/>
      <c r="H61" s="71" t="n"/>
      <c r="I61" s="72" t="n"/>
      <c r="J61" s="72" t="n"/>
      <c r="K61" s="73">
        <f>IF(OR($I61="",$J61=""),"",$J61-$I61+1)</f>
        <v/>
      </c>
      <c r="L61" s="56" t="n"/>
      <c r="M61" s="74">
        <f>IF($J61="","",$J61+N($L61))</f>
        <v/>
      </c>
      <c r="N61" s="75" t="n"/>
      <c r="O61" s="69" t="str">
        <f>IF($C61="","",IF(N($N61)&gt;=1,"Tamamlandı",IF(AND($J61&lt;&gt;"",$M61&lt;Hesap!$B$3),"Gecikmiş",IF(OR(N($N61)&gt;0,AND($I61&lt;&gt;"",$I61&lt;=Hesap!$B$3)),"Devam Ediyor","Planlanan"))))</f>
        <v>Planlanan</v>
      </c>
      <c r="P61" s="70" t="n"/>
      <c r="Q61" s="70" t="n"/>
      <c r="R61" s="72" t="n"/>
      <c r="S61" s="73">
        <f>IF(OR($J61="",$R61=""),"",$R61-$J61)</f>
        <v/>
      </c>
      <c r="T61" s="76">
        <f>IF($C61="","",IF($J61="","",IF($R61&lt;&gt;"",IF($S61&gt;7,"⚠ "&amp;TEXT($S61,"0")&amp;" günde yapıldı (geç)","✔ "&amp;TEXT($S61,"0")&amp;" günde yapıldı"),IF($J61&gt;Hesap!$B$3,"",IF($J61+7&lt;Hesap!$B$3,"⚠ Mutabakat "&amp;TEXT(Hesap!$B$3-($J61+7),"0")&amp;" gün gecikti","● Mutabakat için "&amp;TEXT($J61+7-Hesap!$B$3,"0")&amp;" gün")))))</f>
        <v/>
      </c>
      <c r="U61" s="76">
        <f>IF($Y61="","",IF($Y61&gt;0.3,"⚠ Gecikebilir (%"&amp;TEXT($Y61*100,"0")&amp;" geride)",""))</f>
        <v/>
      </c>
      <c r="V61" s="76">
        <f>IF($C61="","",IF($O61="Tamamlandı","",IF($M61="","",IF($M61&lt;Hesap!$B$3,"⚠ "&amp;TEXT(Hesap!$B$3-$M61,"0")&amp;" gün gecikme",IF($M61-Hesap!$B$3&lt;=14,"● "&amp;TEXT($M61-Hesap!$B$3,"0")&amp;" gün kaldı","")))))</f>
        <v/>
      </c>
      <c r="W61">
        <f>IF($C61="","",IF($O61="Tamamlandı",N($L61),MAX(N($L61),IF(AND($J61&lt;&gt;"",$J61&lt;Hesap!$B$3),Hesap!$B$3-$J61,0)))+ROW()/1000000)</f>
        <v>0.000061</v>
      </c>
      <c r="X61">
        <f>IF($W61="","",INT($W61))</f>
        <v>0</v>
      </c>
      <c r="Y61">
        <f>IF(OR($C61="",$I61="",$K61="",$K61&lt;=0,$O61="Tamamlandı"),"",IF(Hesap!$B$3&lt;$I61,"",MIN(1,(Hesap!$B$3-$I61+1)/$K61)-N($N61)))</f>
        <v/>
      </c>
    </row>
    <row r="62" ht="18" customHeight="1">
      <c r="A62" s="69">
        <f>IF($C62="","",ROW()-4)</f>
        <v>58</v>
      </c>
      <c r="B62" s="70" t="inlineStr">
        <is>
          <t>BIGR (Yönetim Beyanı Ortak Maddeler)</t>
        </is>
      </c>
      <c r="C62" s="70" t="inlineStr">
        <is>
          <t>3.1.6. Ağ Güvenliği</t>
        </is>
      </c>
      <c r="D62" s="71" t="inlineStr">
        <is>
          <t>Ornek User12</t>
        </is>
      </c>
      <c r="E62" s="71" t="n"/>
      <c r="F62" s="71" t="n"/>
      <c r="G62" s="71" t="n"/>
      <c r="H62" s="71" t="n"/>
      <c r="I62" s="72" t="n"/>
      <c r="J62" s="72" t="n"/>
      <c r="K62" s="73">
        <f>IF(OR($I62="",$J62=""),"",$J62-$I62+1)</f>
        <v/>
      </c>
      <c r="L62" s="56" t="n"/>
      <c r="M62" s="74">
        <f>IF($J62="","",$J62+N($L62))</f>
        <v/>
      </c>
      <c r="N62" s="75" t="n"/>
      <c r="O62" s="69" t="str">
        <f>IF($C62="","",IF(N($N62)&gt;=1,"Tamamlandı",IF(AND($J62&lt;&gt;"",$M62&lt;Hesap!$B$3),"Gecikmiş",IF(OR(N($N62)&gt;0,AND($I62&lt;&gt;"",$I62&lt;=Hesap!$B$3)),"Devam Ediyor","Planlanan"))))</f>
        <v>Planlanan</v>
      </c>
      <c r="P62" s="70" t="n"/>
      <c r="Q62" s="70" t="n"/>
      <c r="R62" s="72" t="n"/>
      <c r="S62" s="73">
        <f>IF(OR($J62="",$R62=""),"",$R62-$J62)</f>
        <v/>
      </c>
      <c r="T62" s="76">
        <f>IF($C62="","",IF($J62="","",IF($R62&lt;&gt;"",IF($S62&gt;7,"⚠ "&amp;TEXT($S62,"0")&amp;" günde yapıldı (geç)","✔ "&amp;TEXT($S62,"0")&amp;" günde yapıldı"),IF($J62&gt;Hesap!$B$3,"",IF($J62+7&lt;Hesap!$B$3,"⚠ Mutabakat "&amp;TEXT(Hesap!$B$3-($J62+7),"0")&amp;" gün gecikti","● Mutabakat için "&amp;TEXT($J62+7-Hesap!$B$3,"0")&amp;" gün")))))</f>
        <v/>
      </c>
      <c r="U62" s="76">
        <f>IF($Y62="","",IF($Y62&gt;0.3,"⚠ Gecikebilir (%"&amp;TEXT($Y62*100,"0")&amp;" geride)",""))</f>
        <v/>
      </c>
      <c r="V62" s="76">
        <f>IF($C62="","",IF($O62="Tamamlandı","",IF($M62="","",IF($M62&lt;Hesap!$B$3,"⚠ "&amp;TEXT(Hesap!$B$3-$M62,"0")&amp;" gün gecikme",IF($M62-Hesap!$B$3&lt;=14,"● "&amp;TEXT($M62-Hesap!$B$3,"0")&amp;" gün kaldı","")))))</f>
        <v/>
      </c>
      <c r="W62">
        <f>IF($C62="","",IF($O62="Tamamlandı",N($L62),MAX(N($L62),IF(AND($J62&lt;&gt;"",$J62&lt;Hesap!$B$3),Hesap!$B$3-$J62,0)))+ROW()/1000000)</f>
        <v>0.000062</v>
      </c>
      <c r="X62">
        <f>IF($W62="","",INT($W62))</f>
        <v>0</v>
      </c>
      <c r="Y62">
        <f>IF(OR($C62="",$I62="",$K62="",$K62&lt;=0,$O62="Tamamlandı"),"",IF(Hesap!$B$3&lt;$I62,"",MIN(1,(Hesap!$B$3-$I62+1)/$K62)-N($N62)))</f>
        <v/>
      </c>
    </row>
    <row r="63" ht="18" customHeight="1">
      <c r="A63" s="69">
        <f>IF($C63="","",ROW()-4)</f>
        <v>59</v>
      </c>
      <c r="B63" s="70" t="inlineStr">
        <is>
          <t>BIGR (Yönetim Beyanı Ortak Maddeler)</t>
        </is>
      </c>
      <c r="C63" s="70" t="inlineStr">
        <is>
          <t>5.1.3. Windows İşletim Sistemi Sıkılaştırma Tedbirleri</t>
        </is>
      </c>
      <c r="D63" s="71" t="inlineStr">
        <is>
          <t>Ornek User12</t>
        </is>
      </c>
      <c r="E63" s="71" t="n"/>
      <c r="F63" s="71" t="n"/>
      <c r="G63" s="71" t="n"/>
      <c r="H63" s="71" t="n"/>
      <c r="I63" s="72" t="n"/>
      <c r="J63" s="72" t="n"/>
      <c r="K63" s="73">
        <f>IF(OR($I63="",$J63=""),"",$J63-$I63+1)</f>
        <v/>
      </c>
      <c r="L63" s="56" t="n"/>
      <c r="M63" s="74">
        <f>IF($J63="","",$J63+N($L63))</f>
        <v/>
      </c>
      <c r="N63" s="75" t="n"/>
      <c r="O63" s="69" t="str">
        <f>IF($C63="","",IF(N($N63)&gt;=1,"Tamamlandı",IF(AND($J63&lt;&gt;"",$M63&lt;Hesap!$B$3),"Gecikmiş",IF(OR(N($N63)&gt;0,AND($I63&lt;&gt;"",$I63&lt;=Hesap!$B$3)),"Devam Ediyor","Planlanan"))))</f>
        <v>Planlanan</v>
      </c>
      <c r="P63" s="70" t="n"/>
      <c r="Q63" s="70" t="n"/>
      <c r="R63" s="72" t="n"/>
      <c r="S63" s="73">
        <f>IF(OR($J63="",$R63=""),"",$R63-$J63)</f>
        <v/>
      </c>
      <c r="T63" s="76">
        <f>IF($C63="","",IF($J63="","",IF($R63&lt;&gt;"",IF($S63&gt;7,"⚠ "&amp;TEXT($S63,"0")&amp;" günde yapıldı (geç)","✔ "&amp;TEXT($S63,"0")&amp;" günde yapıldı"),IF($J63&gt;Hesap!$B$3,"",IF($J63+7&lt;Hesap!$B$3,"⚠ Mutabakat "&amp;TEXT(Hesap!$B$3-($J63+7),"0")&amp;" gün gecikti","● Mutabakat için "&amp;TEXT($J63+7-Hesap!$B$3,"0")&amp;" gün")))))</f>
        <v/>
      </c>
      <c r="U63" s="76">
        <f>IF($Y63="","",IF($Y63&gt;0.3,"⚠ Gecikebilir (%"&amp;TEXT($Y63*100,"0")&amp;" geride)",""))</f>
        <v/>
      </c>
      <c r="V63" s="76">
        <f>IF($C63="","",IF($O63="Tamamlandı","",IF($M63="","",IF($M63&lt;Hesap!$B$3,"⚠ "&amp;TEXT(Hesap!$B$3-$M63,"0")&amp;" gün gecikme",IF($M63-Hesap!$B$3&lt;=14,"● "&amp;TEXT($M63-Hesap!$B$3,"0")&amp;" gün kaldı","")))))</f>
        <v/>
      </c>
      <c r="W63">
        <f>IF($C63="","",IF($O63="Tamamlandı",N($L63),MAX(N($L63),IF(AND($J63&lt;&gt;"",$J63&lt;Hesap!$B$3),Hesap!$B$3-$J63,0)))+ROW()/1000000)</f>
        <v>0.000063</v>
      </c>
      <c r="X63">
        <f>IF($W63="","",INT($W63))</f>
        <v>0</v>
      </c>
      <c r="Y63">
        <f>IF(OR($C63="",$I63="",$K63="",$K63&lt;=0,$O63="Tamamlandı"),"",IF(Hesap!$B$3&lt;$I63,"",MIN(1,(Hesap!$B$3-$I63+1)/$K63)-N($N63)))</f>
        <v/>
      </c>
    </row>
    <row r="64" ht="18" customHeight="1">
      <c r="A64" s="69">
        <f>IF($C64="","",ROW()-4)</f>
        <v>60</v>
      </c>
      <c r="B64" s="70" t="inlineStr">
        <is>
          <t>BIGR (Yönetim Beyanı Ortak Maddeler)</t>
        </is>
      </c>
      <c r="C64" s="70" t="inlineStr">
        <is>
          <t>5.2.1. Genel Sıkılaştırma Tedbirleri</t>
        </is>
      </c>
      <c r="D64" s="71" t="inlineStr">
        <is>
          <t>Ornek User12</t>
        </is>
      </c>
      <c r="E64" s="71" t="n"/>
      <c r="F64" s="71" t="n"/>
      <c r="G64" s="71" t="n"/>
      <c r="H64" s="71" t="n"/>
      <c r="I64" s="72" t="n"/>
      <c r="J64" s="72" t="n"/>
      <c r="K64" s="73">
        <f>IF(OR($I64="",$J64=""),"",$J64-$I64+1)</f>
        <v/>
      </c>
      <c r="L64" s="56" t="n"/>
      <c r="M64" s="74">
        <f>IF($J64="","",$J64+N($L64))</f>
        <v/>
      </c>
      <c r="N64" s="75" t="n"/>
      <c r="O64" s="69" t="str">
        <f>IF($C64="","",IF(N($N64)&gt;=1,"Tamamlandı",IF(AND($J64&lt;&gt;"",$M64&lt;Hesap!$B$3),"Gecikmiş",IF(OR(N($N64)&gt;0,AND($I64&lt;&gt;"",$I64&lt;=Hesap!$B$3)),"Devam Ediyor","Planlanan"))))</f>
        <v>Planlanan</v>
      </c>
      <c r="P64" s="70" t="n"/>
      <c r="Q64" s="70" t="n"/>
      <c r="R64" s="72" t="n"/>
      <c r="S64" s="73">
        <f>IF(OR($J64="",$R64=""),"",$R64-$J64)</f>
        <v/>
      </c>
      <c r="T64" s="76">
        <f>IF($C64="","",IF($J64="","",IF($R64&lt;&gt;"",IF($S64&gt;7,"⚠ "&amp;TEXT($S64,"0")&amp;" günde yapıldı (geç)","✔ "&amp;TEXT($S64,"0")&amp;" günde yapıldı"),IF($J64&gt;Hesap!$B$3,"",IF($J64+7&lt;Hesap!$B$3,"⚠ Mutabakat "&amp;TEXT(Hesap!$B$3-($J64+7),"0")&amp;" gün gecikti","● Mutabakat için "&amp;TEXT($J64+7-Hesap!$B$3,"0")&amp;" gün")))))</f>
        <v/>
      </c>
      <c r="U64" s="76">
        <f>IF($Y64="","",IF($Y64&gt;0.3,"⚠ Gecikebilir (%"&amp;TEXT($Y64*100,"0")&amp;" geride)",""))</f>
        <v/>
      </c>
      <c r="V64" s="76">
        <f>IF($C64="","",IF($O64="Tamamlandı","",IF($M64="","",IF($M64&lt;Hesap!$B$3,"⚠ "&amp;TEXT(Hesap!$B$3-$M64,"0")&amp;" gün gecikme",IF($M64-Hesap!$B$3&lt;=14,"● "&amp;TEXT($M64-Hesap!$B$3,"0")&amp;" gün kaldı","")))))</f>
        <v/>
      </c>
      <c r="W64">
        <f>IF($C64="","",IF($O64="Tamamlandı",N($L64),MAX(N($L64),IF(AND($J64&lt;&gt;"",$J64&lt;Hesap!$B$3),Hesap!$B$3-$J64,0)))+ROW()/1000000)</f>
        <v>0.000064</v>
      </c>
      <c r="X64">
        <f>IF($W64="","",INT($W64))</f>
        <v>0</v>
      </c>
      <c r="Y64">
        <f>IF(OR($C64="",$I64="",$K64="",$K64&lt;=0,$O64="Tamamlandı"),"",IF(Hesap!$B$3&lt;$I64,"",MIN(1,(Hesap!$B$3-$I64+1)/$K64)-N($N64)))</f>
        <v/>
      </c>
    </row>
    <row r="65" ht="18" customHeight="1">
      <c r="A65" s="69">
        <f>IF($C65="","",ROW()-4)</f>
        <v>61</v>
      </c>
      <c r="B65" s="70" t="inlineStr">
        <is>
          <t>BIGR (Yönetim Beyanı Ortak Maddeler)</t>
        </is>
      </c>
      <c r="C65" s="70" t="inlineStr">
        <is>
          <t>3.2.4. Dosyaların ve Kaynakların Güvenliği</t>
        </is>
      </c>
      <c r="D65" s="71" t="inlineStr">
        <is>
          <t>Ornek User4</t>
        </is>
      </c>
      <c r="E65" s="71" t="n"/>
      <c r="F65" s="71" t="n"/>
      <c r="G65" s="71" t="n"/>
      <c r="H65" s="71" t="n"/>
      <c r="I65" s="72" t="n"/>
      <c r="J65" s="72" t="n"/>
      <c r="K65" s="73">
        <f>IF(OR($I65="",$J65=""),"",$J65-$I65+1)</f>
        <v/>
      </c>
      <c r="L65" s="56" t="n"/>
      <c r="M65" s="74">
        <f>IF($J65="","",$J65+N($L65))</f>
        <v/>
      </c>
      <c r="N65" s="75" t="n"/>
      <c r="O65" s="69" t="str">
        <f>IF($C65="","",IF(N($N65)&gt;=1,"Tamamlandı",IF(AND($J65&lt;&gt;"",$M65&lt;Hesap!$B$3),"Gecikmiş",IF(OR(N($N65)&gt;0,AND($I65&lt;&gt;"",$I65&lt;=Hesap!$B$3)),"Devam Ediyor","Planlanan"))))</f>
        <v>Planlanan</v>
      </c>
      <c r="P65" s="70" t="n"/>
      <c r="Q65" s="70" t="n"/>
      <c r="R65" s="72" t="n"/>
      <c r="S65" s="73">
        <f>IF(OR($J65="",$R65=""),"",$R65-$J65)</f>
        <v/>
      </c>
      <c r="T65" s="76">
        <f>IF($C65="","",IF($J65="","",IF($R65&lt;&gt;"",IF($S65&gt;7,"⚠ "&amp;TEXT($S65,"0")&amp;" günde yapıldı (geç)","✔ "&amp;TEXT($S65,"0")&amp;" günde yapıldı"),IF($J65&gt;Hesap!$B$3,"",IF($J65+7&lt;Hesap!$B$3,"⚠ Mutabakat "&amp;TEXT(Hesap!$B$3-($J65+7),"0")&amp;" gün gecikti","● Mutabakat için "&amp;TEXT($J65+7-Hesap!$B$3,"0")&amp;" gün")))))</f>
        <v/>
      </c>
      <c r="U65" s="76">
        <f>IF($Y65="","",IF($Y65&gt;0.3,"⚠ Gecikebilir (%"&amp;TEXT($Y65*100,"0")&amp;" geride)",""))</f>
        <v/>
      </c>
      <c r="V65" s="76">
        <f>IF($C65="","",IF($O65="Tamamlandı","",IF($M65="","",IF($M65&lt;Hesap!$B$3,"⚠ "&amp;TEXT(Hesap!$B$3-$M65,"0")&amp;" gün gecikme",IF($M65-Hesap!$B$3&lt;=14,"● "&amp;TEXT($M65-Hesap!$B$3,"0")&amp;" gün kaldı","")))))</f>
        <v/>
      </c>
      <c r="W65">
        <f>IF($C65="","",IF($O65="Tamamlandı",N($L65),MAX(N($L65),IF(AND($J65&lt;&gt;"",$J65&lt;Hesap!$B$3),Hesap!$B$3-$J65,0)))+ROW()/1000000)</f>
        <v>0.000065</v>
      </c>
      <c r="X65">
        <f>IF($W65="","",INT($W65))</f>
        <v>0</v>
      </c>
      <c r="Y65">
        <f>IF(OR($C65="",$I65="",$K65="",$K65&lt;=0,$O65="Tamamlandı"),"",IF(Hesap!$B$3&lt;$I65,"",MIN(1,(Hesap!$B$3-$I65+1)/$K65)-N($N65)))</f>
        <v/>
      </c>
    </row>
    <row r="66" ht="18" customHeight="1">
      <c r="A66" s="69">
        <f>IF($C66="","",ROW()-4)</f>
        <v>62</v>
      </c>
      <c r="B66" s="70" t="inlineStr">
        <is>
          <t>BIGR (Yönetim Beyanı Ortak Maddeler)</t>
        </is>
      </c>
      <c r="C66" s="70" t="inlineStr">
        <is>
          <t>3.2.7. Veri Tabanı ve Kayıt Yönetimi</t>
        </is>
      </c>
      <c r="D66" s="71" t="inlineStr">
        <is>
          <t>Ornek User4</t>
        </is>
      </c>
      <c r="E66" s="71" t="n"/>
      <c r="F66" s="71" t="n"/>
      <c r="G66" s="71" t="n"/>
      <c r="H66" s="71" t="n"/>
      <c r="I66" s="72" t="n"/>
      <c r="J66" s="72" t="n"/>
      <c r="K66" s="73">
        <f>IF(OR($I66="",$J66=""),"",$J66-$I66+1)</f>
        <v/>
      </c>
      <c r="L66" s="56" t="n"/>
      <c r="M66" s="74">
        <f>IF($J66="","",$J66+N($L66))</f>
        <v/>
      </c>
      <c r="N66" s="75" t="n"/>
      <c r="O66" s="69" t="str">
        <f>IF($C66="","",IF(N($N66)&gt;=1,"Tamamlandı",IF(AND($J66&lt;&gt;"",$M66&lt;Hesap!$B$3),"Gecikmiş",IF(OR(N($N66)&gt;0,AND($I66&lt;&gt;"",$I66&lt;=Hesap!$B$3)),"Devam Ediyor","Planlanan"))))</f>
        <v>Planlanan</v>
      </c>
      <c r="P66" s="70" t="n"/>
      <c r="Q66" s="70" t="n"/>
      <c r="R66" s="72" t="n"/>
      <c r="S66" s="73">
        <f>IF(OR($J66="",$R66=""),"",$R66-$J66)</f>
        <v/>
      </c>
      <c r="T66" s="76">
        <f>IF($C66="","",IF($J66="","",IF($R66&lt;&gt;"",IF($S66&gt;7,"⚠ "&amp;TEXT($S66,"0")&amp;" günde yapıldı (geç)","✔ "&amp;TEXT($S66,"0")&amp;" günde yapıldı"),IF($J66&gt;Hesap!$B$3,"",IF($J66+7&lt;Hesap!$B$3,"⚠ Mutabakat "&amp;TEXT(Hesap!$B$3-($J66+7),"0")&amp;" gün gecikti","● Mutabakat için "&amp;TEXT($J66+7-Hesap!$B$3,"0")&amp;" gün")))))</f>
        <v/>
      </c>
      <c r="U66" s="76">
        <f>IF($Y66="","",IF($Y66&gt;0.3,"⚠ Gecikebilir (%"&amp;TEXT($Y66*100,"0")&amp;" geride)",""))</f>
        <v/>
      </c>
      <c r="V66" s="76">
        <f>IF($C66="","",IF($O66="Tamamlandı","",IF($M66="","",IF($M66&lt;Hesap!$B$3,"⚠ "&amp;TEXT(Hesap!$B$3-$M66,"0")&amp;" gün gecikme",IF($M66-Hesap!$B$3&lt;=14,"● "&amp;TEXT($M66-Hesap!$B$3,"0")&amp;" gün kaldı","")))))</f>
        <v/>
      </c>
      <c r="W66">
        <f>IF($C66="","",IF($O66="Tamamlandı",N($L66),MAX(N($L66),IF(AND($J66&lt;&gt;"",$J66&lt;Hesap!$B$3),Hesap!$B$3-$J66,0)))+ROW()/1000000)</f>
        <v>0.000066</v>
      </c>
      <c r="X66">
        <f>IF($W66="","",INT($W66))</f>
        <v>0</v>
      </c>
      <c r="Y66">
        <f>IF(OR($C66="",$I66="",$K66="",$K66&lt;=0,$O66="Tamamlandı"),"",IF(Hesap!$B$3&lt;$I66,"",MIN(1,(Hesap!$B$3-$I66+1)/$K66)-N($N66)))</f>
        <v/>
      </c>
    </row>
    <row r="67" ht="18" customHeight="1">
      <c r="A67" s="69">
        <f>IF($C67="","",ROW()-4)</f>
        <v>63</v>
      </c>
      <c r="B67" s="70" t="inlineStr">
        <is>
          <t>BIGR (Yönetim Beyanı Ortak Maddeler)</t>
        </is>
      </c>
      <c r="C67" s="70" t="inlineStr">
        <is>
          <t>3.2.8. Hata Ele Alma ve Kayıt Yönetimi</t>
        </is>
      </c>
      <c r="D67" s="71" t="inlineStr">
        <is>
          <t>Ornek User4</t>
        </is>
      </c>
      <c r="E67" s="71" t="n"/>
      <c r="F67" s="71" t="n"/>
      <c r="G67" s="71" t="n"/>
      <c r="H67" s="71" t="n"/>
      <c r="I67" s="72" t="n"/>
      <c r="J67" s="72" t="n"/>
      <c r="K67" s="73">
        <f>IF(OR($I67="",$J67=""),"",$J67-$I67+1)</f>
        <v/>
      </c>
      <c r="L67" s="56" t="n"/>
      <c r="M67" s="74">
        <f>IF($J67="","",$J67+N($L67))</f>
        <v/>
      </c>
      <c r="N67" s="75" t="n"/>
      <c r="O67" s="69" t="str">
        <f>IF($C67="","",IF(N($N67)&gt;=1,"Tamamlandı",IF(AND($J67&lt;&gt;"",$M67&lt;Hesap!$B$3),"Gecikmiş",IF(OR(N($N67)&gt;0,AND($I67&lt;&gt;"",$I67&lt;=Hesap!$B$3)),"Devam Ediyor","Planlanan"))))</f>
        <v>Planlanan</v>
      </c>
      <c r="P67" s="70" t="n"/>
      <c r="Q67" s="70" t="n"/>
      <c r="R67" s="72" t="n"/>
      <c r="S67" s="73">
        <f>IF(OR($J67="",$R67=""),"",$R67-$J67)</f>
        <v/>
      </c>
      <c r="T67" s="76">
        <f>IF($C67="","",IF($J67="","",IF($R67&lt;&gt;"",IF($S67&gt;7,"⚠ "&amp;TEXT($S67,"0")&amp;" günde yapıldı (geç)","✔ "&amp;TEXT($S67,"0")&amp;" günde yapıldı"),IF($J67&gt;Hesap!$B$3,"",IF($J67+7&lt;Hesap!$B$3,"⚠ Mutabakat "&amp;TEXT(Hesap!$B$3-($J67+7),"0")&amp;" gün gecikti","● Mutabakat için "&amp;TEXT($J67+7-Hesap!$B$3,"0")&amp;" gün")))))</f>
        <v/>
      </c>
      <c r="U67" s="76">
        <f>IF($Y67="","",IF($Y67&gt;0.3,"⚠ Gecikebilir (%"&amp;TEXT($Y67*100,"0")&amp;" geride)",""))</f>
        <v/>
      </c>
      <c r="V67" s="76">
        <f>IF($C67="","",IF($O67="Tamamlandı","",IF($M67="","",IF($M67&lt;Hesap!$B$3,"⚠ "&amp;TEXT(Hesap!$B$3-$M67,"0")&amp;" gün gecikme",IF($M67-Hesap!$B$3&lt;=14,"● "&amp;TEXT($M67-Hesap!$B$3,"0")&amp;" gün kaldı","")))))</f>
        <v/>
      </c>
      <c r="W67">
        <f>IF($C67="","",IF($O67="Tamamlandı",N($L67),MAX(N($L67),IF(AND($J67&lt;&gt;"",$J67&lt;Hesap!$B$3),Hesap!$B$3-$J67,0)))+ROW()/1000000)</f>
        <v>0.000067</v>
      </c>
      <c r="X67">
        <f>IF($W67="","",INT($W67))</f>
        <v>0</v>
      </c>
      <c r="Y67">
        <f>IF(OR($C67="",$I67="",$K67="",$K67&lt;=0,$O67="Tamamlandı"),"",IF(Hesap!$B$3&lt;$I67,"",MIN(1,(Hesap!$B$3-$I67+1)/$K67)-N($N67)))</f>
        <v/>
      </c>
    </row>
    <row r="68" ht="18" customHeight="1">
      <c r="A68" s="69">
        <f>IF($C68="","",ROW()-4)</f>
        <v>64</v>
      </c>
      <c r="B68" s="70" t="inlineStr">
        <is>
          <t>BIGR (Yönetim Beyanı Ortak Maddeler)</t>
        </is>
      </c>
      <c r="C68" s="70" t="inlineStr">
        <is>
          <t>4.1.1. Kayıt Yönetimi</t>
        </is>
      </c>
      <c r="D68" s="71" t="inlineStr">
        <is>
          <t>Ornek User4</t>
        </is>
      </c>
      <c r="E68" s="71" t="n"/>
      <c r="F68" s="71" t="n"/>
      <c r="G68" s="71" t="n"/>
      <c r="H68" s="71" t="n"/>
      <c r="I68" s="72" t="n"/>
      <c r="J68" s="72" t="n"/>
      <c r="K68" s="73">
        <f>IF(OR($I68="",$J68=""),"",$J68-$I68+1)</f>
        <v/>
      </c>
      <c r="L68" s="56" t="n"/>
      <c r="M68" s="74">
        <f>IF($J68="","",$J68+N($L68))</f>
        <v/>
      </c>
      <c r="N68" s="75" t="n"/>
      <c r="O68" s="69" t="str">
        <f>IF($C68="","",IF(N($N68)&gt;=1,"Tamamlandı",IF(AND($J68&lt;&gt;"",$M68&lt;Hesap!$B$3),"Gecikmiş",IF(OR(N($N68)&gt;0,AND($I68&lt;&gt;"",$I68&lt;=Hesap!$B$3)),"Devam Ediyor","Planlanan"))))</f>
        <v>Planlanan</v>
      </c>
      <c r="P68" s="70" t="n"/>
      <c r="Q68" s="70" t="n"/>
      <c r="R68" s="72" t="n"/>
      <c r="S68" s="73">
        <f>IF(OR($J68="",$R68=""),"",$R68-$J68)</f>
        <v/>
      </c>
      <c r="T68" s="76">
        <f>IF($C68="","",IF($J68="","",IF($R68&lt;&gt;"",IF($S68&gt;7,"⚠ "&amp;TEXT($S68,"0")&amp;" günde yapıldı (geç)","✔ "&amp;TEXT($S68,"0")&amp;" günde yapıldı"),IF($J68&gt;Hesap!$B$3,"",IF($J68+7&lt;Hesap!$B$3,"⚠ Mutabakat "&amp;TEXT(Hesap!$B$3-($J68+7),"0")&amp;" gün gecikti","● Mutabakat için "&amp;TEXT($J68+7-Hesap!$B$3,"0")&amp;" gün")))))</f>
        <v/>
      </c>
      <c r="U68" s="76">
        <f>IF($Y68="","",IF($Y68&gt;0.3,"⚠ Gecikebilir (%"&amp;TEXT($Y68*100,"0")&amp;" geride)",""))</f>
        <v/>
      </c>
      <c r="V68" s="76">
        <f>IF($C68="","",IF($O68="Tamamlandı","",IF($M68="","",IF($M68&lt;Hesap!$B$3,"⚠ "&amp;TEXT(Hesap!$B$3-$M68,"0")&amp;" gün gecikme",IF($M68-Hesap!$B$3&lt;=14,"● "&amp;TEXT($M68-Hesap!$B$3,"0")&amp;" gün kaldı","")))))</f>
        <v/>
      </c>
      <c r="W68">
        <f>IF($C68="","",IF($O68="Tamamlandı",N($L68),MAX(N($L68),IF(AND($J68&lt;&gt;"",$J68&lt;Hesap!$B$3),Hesap!$B$3-$J68,0)))+ROW()/1000000)</f>
        <v>0.000068</v>
      </c>
      <c r="X68">
        <f>IF($W68="","",INT($W68))</f>
        <v>0</v>
      </c>
      <c r="Y68">
        <f>IF(OR($C68="",$I68="",$K68="",$K68&lt;=0,$O68="Tamamlandı"),"",IF(Hesap!$B$3&lt;$I68,"",MIN(1,(Hesap!$B$3-$I68+1)/$K68)-N($N68)))</f>
        <v/>
      </c>
    </row>
    <row r="69" ht="18" customHeight="1">
      <c r="A69" s="69">
        <f>IF($C69="","",ROW()-4)</f>
        <v>65</v>
      </c>
      <c r="B69" s="70" t="inlineStr">
        <is>
          <t>BIGR (Yönetim Beyanı Ortak Maddeler)</t>
        </is>
      </c>
      <c r="C69" s="70" t="inlineStr">
        <is>
          <t>4.1.2. Erişim Kayıtları Yönetimi</t>
        </is>
      </c>
      <c r="D69" s="71" t="inlineStr">
        <is>
          <t>Ornek User4</t>
        </is>
      </c>
      <c r="E69" s="71" t="n"/>
      <c r="F69" s="71" t="n"/>
      <c r="G69" s="71" t="n"/>
      <c r="H69" s="71" t="n"/>
      <c r="I69" s="72" t="n"/>
      <c r="J69" s="72" t="n"/>
      <c r="K69" s="73">
        <f>IF(OR($I69="",$J69=""),"",$J69-$I69+1)</f>
        <v/>
      </c>
      <c r="L69" s="56" t="n"/>
      <c r="M69" s="74">
        <f>IF($J69="","",$J69+N($L69))</f>
        <v/>
      </c>
      <c r="N69" s="75" t="n"/>
      <c r="O69" s="69" t="str">
        <f>IF($C69="","",IF(N($N69)&gt;=1,"Tamamlandı",IF(AND($J69&lt;&gt;"",$M69&lt;Hesap!$B$3),"Gecikmiş",IF(OR(N($N69)&gt;0,AND($I69&lt;&gt;"",$I69&lt;=Hesap!$B$3)),"Devam Ediyor","Planlanan"))))</f>
        <v>Planlanan</v>
      </c>
      <c r="P69" s="70" t="n"/>
      <c r="Q69" s="70" t="n"/>
      <c r="R69" s="72" t="n"/>
      <c r="S69" s="73">
        <f>IF(OR($J69="",$R69=""),"",$R69-$J69)</f>
        <v/>
      </c>
      <c r="T69" s="76">
        <f>IF($C69="","",IF($J69="","",IF($R69&lt;&gt;"",IF($S69&gt;7,"⚠ "&amp;TEXT($S69,"0")&amp;" günde yapıldı (geç)","✔ "&amp;TEXT($S69,"0")&amp;" günde yapıldı"),IF($J69&gt;Hesap!$B$3,"",IF($J69+7&lt;Hesap!$B$3,"⚠ Mutabakat "&amp;TEXT(Hesap!$B$3-($J69+7),"0")&amp;" gün gecikti","● Mutabakat için "&amp;TEXT($J69+7-Hesap!$B$3,"0")&amp;" gün")))))</f>
        <v/>
      </c>
      <c r="U69" s="76">
        <f>IF($Y69="","",IF($Y69&gt;0.3,"⚠ Gecikebilir (%"&amp;TEXT($Y69*100,"0")&amp;" geride)",""))</f>
        <v/>
      </c>
      <c r="V69" s="76">
        <f>IF($C69="","",IF($O69="Tamamlandı","",IF($M69="","",IF($M69&lt;Hesap!$B$3,"⚠ "&amp;TEXT(Hesap!$B$3-$M69,"0")&amp;" gün gecikme",IF($M69-Hesap!$B$3&lt;=14,"● "&amp;TEXT($M69-Hesap!$B$3,"0")&amp;" gün kaldı","")))))</f>
        <v/>
      </c>
      <c r="W69">
        <f>IF($C69="","",IF($O69="Tamamlandı",N($L69),MAX(N($L69),IF(AND($J69&lt;&gt;"",$J69&lt;Hesap!$B$3),Hesap!$B$3-$J69,0)))+ROW()/1000000)</f>
        <v>0.000069</v>
      </c>
      <c r="X69">
        <f>IF($W69="","",INT($W69))</f>
        <v>0</v>
      </c>
      <c r="Y69">
        <f>IF(OR($C69="",$I69="",$K69="",$K69&lt;=0,$O69="Tamamlandı"),"",IF(Hesap!$B$3&lt;$I69,"",MIN(1,(Hesap!$B$3-$I69+1)/$K69)-N($N69)))</f>
        <v/>
      </c>
    </row>
    <row r="70" ht="18" customHeight="1">
      <c r="A70" s="69">
        <f>IF($C70="","",ROW()-4)</f>
        <v>66</v>
      </c>
      <c r="B70" s="70" t="inlineStr">
        <is>
          <t>BIGR (Yönetim Beyanı Ortak Maddeler)</t>
        </is>
      </c>
      <c r="C70" s="70" t="inlineStr">
        <is>
          <t>4.1.3. Yetkilendirme</t>
        </is>
      </c>
      <c r="D70" s="71" t="inlineStr">
        <is>
          <t>Ornek User4</t>
        </is>
      </c>
      <c r="E70" s="71" t="n"/>
      <c r="F70" s="71" t="n"/>
      <c r="G70" s="71" t="n"/>
      <c r="H70" s="71" t="n"/>
      <c r="I70" s="72" t="n"/>
      <c r="J70" s="72" t="n"/>
      <c r="K70" s="73">
        <f>IF(OR($I70="",$J70=""),"",$J70-$I70+1)</f>
        <v/>
      </c>
      <c r="L70" s="56" t="n"/>
      <c r="M70" s="74">
        <f>IF($J70="","",$J70+N($L70))</f>
        <v/>
      </c>
      <c r="N70" s="75" t="n"/>
      <c r="O70" s="69" t="str">
        <f>IF($C70="","",IF(N($N70)&gt;=1,"Tamamlandı",IF(AND($J70&lt;&gt;"",$M70&lt;Hesap!$B$3),"Gecikmiş",IF(OR(N($N70)&gt;0,AND($I70&lt;&gt;"",$I70&lt;=Hesap!$B$3)),"Devam Ediyor","Planlanan"))))</f>
        <v>Planlanan</v>
      </c>
      <c r="P70" s="70" t="n"/>
      <c r="Q70" s="70" t="n"/>
      <c r="R70" s="72" t="n"/>
      <c r="S70" s="73">
        <f>IF(OR($J70="",$R70=""),"",$R70-$J70)</f>
        <v/>
      </c>
      <c r="T70" s="76">
        <f>IF($C70="","",IF($J70="","",IF($R70&lt;&gt;"",IF($S70&gt;7,"⚠ "&amp;TEXT($S70,"0")&amp;" günde yapıldı (geç)","✔ "&amp;TEXT($S70,"0")&amp;" günde yapıldı"),IF($J70&gt;Hesap!$B$3,"",IF($J70+7&lt;Hesap!$B$3,"⚠ Mutabakat "&amp;TEXT(Hesap!$B$3-($J70+7),"0")&amp;" gün gecikti","● Mutabakat için "&amp;TEXT($J70+7-Hesap!$B$3,"0")&amp;" gün")))))</f>
        <v/>
      </c>
      <c r="U70" s="76">
        <f>IF($Y70="","",IF($Y70&gt;0.3,"⚠ Gecikebilir (%"&amp;TEXT($Y70*100,"0")&amp;" geride)",""))</f>
        <v/>
      </c>
      <c r="V70" s="76">
        <f>IF($C70="","",IF($O70="Tamamlandı","",IF($M70="","",IF($M70&lt;Hesap!$B$3,"⚠ "&amp;TEXT(Hesap!$B$3-$M70,"0")&amp;" gün gecikme",IF($M70-Hesap!$B$3&lt;=14,"● "&amp;TEXT($M70-Hesap!$B$3,"0")&amp;" gün kaldı","")))))</f>
        <v/>
      </c>
      <c r="W70">
        <f>IF($C70="","",IF($O70="Tamamlandı",N($L70),MAX(N($L70),IF(AND($J70&lt;&gt;"",$J70&lt;Hesap!$B$3),Hesap!$B$3-$J70,0)))+ROW()/1000000)</f>
        <v>0.00007</v>
      </c>
      <c r="X70">
        <f>IF($W70="","",INT($W70))</f>
        <v>0</v>
      </c>
      <c r="Y70">
        <f>IF(OR($C70="",$I70="",$K70="",$K70&lt;=0,$O70="Tamamlandı"),"",IF(Hesap!$B$3&lt;$I70,"",MIN(1,(Hesap!$B$3-$I70+1)/$K70)-N($N70)))</f>
        <v/>
      </c>
    </row>
    <row r="71" ht="18" customHeight="1">
      <c r="A71" s="69">
        <f>IF($C71="","",ROW()-4)</f>
        <v>67</v>
      </c>
      <c r="B71" s="70" t="inlineStr">
        <is>
          <t>BIGR (Yönetim Beyanı Ortak Maddeler)</t>
        </is>
      </c>
      <c r="C71" s="70" t="inlineStr">
        <is>
          <t>4.1.4. Şifreleme</t>
        </is>
      </c>
      <c r="D71" s="71" t="inlineStr">
        <is>
          <t>Ornek User4</t>
        </is>
      </c>
      <c r="E71" s="71" t="n"/>
      <c r="F71" s="71" t="n"/>
      <c r="G71" s="71" t="n"/>
      <c r="H71" s="71" t="n"/>
      <c r="I71" s="72" t="n"/>
      <c r="J71" s="72" t="n"/>
      <c r="K71" s="73">
        <f>IF(OR($I71="",$J71=""),"",$J71-$I71+1)</f>
        <v/>
      </c>
      <c r="L71" s="56" t="n"/>
      <c r="M71" s="74">
        <f>IF($J71="","",$J71+N($L71))</f>
        <v/>
      </c>
      <c r="N71" s="75" t="n"/>
      <c r="O71" s="69" t="str">
        <f>IF($C71="","",IF(N($N71)&gt;=1,"Tamamlandı",IF(AND($J71&lt;&gt;"",$M71&lt;Hesap!$B$3),"Gecikmiş",IF(OR(N($N71)&gt;0,AND($I71&lt;&gt;"",$I71&lt;=Hesap!$B$3)),"Devam Ediyor","Planlanan"))))</f>
        <v>Planlanan</v>
      </c>
      <c r="P71" s="70" t="n"/>
      <c r="Q71" s="70" t="n"/>
      <c r="R71" s="72" t="n"/>
      <c r="S71" s="73">
        <f>IF(OR($J71="",$R71=""),"",$R71-$J71)</f>
        <v/>
      </c>
      <c r="T71" s="76">
        <f>IF($C71="","",IF($J71="","",IF($R71&lt;&gt;"",IF($S71&gt;7,"⚠ "&amp;TEXT($S71,"0")&amp;" günde yapıldı (geç)","✔ "&amp;TEXT($S71,"0")&amp;" günde yapıldı"),IF($J71&gt;Hesap!$B$3,"",IF($J71+7&lt;Hesap!$B$3,"⚠ Mutabakat "&amp;TEXT(Hesap!$B$3-($J71+7),"0")&amp;" gün gecikti","● Mutabakat için "&amp;TEXT($J71+7-Hesap!$B$3,"0")&amp;" gün")))))</f>
        <v/>
      </c>
      <c r="U71" s="76">
        <f>IF($Y71="","",IF($Y71&gt;0.3,"⚠ Gecikebilir (%"&amp;TEXT($Y71*100,"0")&amp;" geride)",""))</f>
        <v/>
      </c>
      <c r="V71" s="76">
        <f>IF($C71="","",IF($O71="Tamamlandı","",IF($M71="","",IF($M71&lt;Hesap!$B$3,"⚠ "&amp;TEXT(Hesap!$B$3-$M71,"0")&amp;" gün gecikme",IF($M71-Hesap!$B$3&lt;=14,"● "&amp;TEXT($M71-Hesap!$B$3,"0")&amp;" gün kaldı","")))))</f>
        <v/>
      </c>
      <c r="W71">
        <f>IF($C71="","",IF($O71="Tamamlandı",N($L71),MAX(N($L71),IF(AND($J71&lt;&gt;"",$J71&lt;Hesap!$B$3),Hesap!$B$3-$J71,0)))+ROW()/1000000)</f>
        <v>0.000071</v>
      </c>
      <c r="X71">
        <f>IF($W71="","",INT($W71))</f>
        <v>0</v>
      </c>
      <c r="Y71">
        <f>IF(OR($C71="",$I71="",$K71="",$K71&lt;=0,$O71="Tamamlandı"),"",IF(Hesap!$B$3&lt;$I71,"",MIN(1,(Hesap!$B$3-$I71+1)/$K71)-N($N71)))</f>
        <v/>
      </c>
    </row>
    <row r="72" ht="18" customHeight="1">
      <c r="A72" s="69">
        <f>IF($C72="","",ROW()-4)</f>
        <v>68</v>
      </c>
      <c r="B72" s="70" t="inlineStr">
        <is>
          <t>BIGR (Yönetim Beyanı Ortak Maddeler)</t>
        </is>
      </c>
      <c r="C72" s="70" t="inlineStr">
        <is>
          <t>4.1.5. Yedekleme, Silme, Yok Etme ve Anonim Hale Getirme</t>
        </is>
      </c>
      <c r="D72" s="71" t="inlineStr">
        <is>
          <t>Ornek User4</t>
        </is>
      </c>
      <c r="E72" s="71" t="n"/>
      <c r="F72" s="71" t="n"/>
      <c r="G72" s="71" t="n"/>
      <c r="H72" s="71" t="n"/>
      <c r="I72" s="72" t="n"/>
      <c r="J72" s="72" t="n"/>
      <c r="K72" s="73">
        <f>IF(OR($I72="",$J72=""),"",$J72-$I72+1)</f>
        <v/>
      </c>
      <c r="L72" s="56" t="n"/>
      <c r="M72" s="74">
        <f>IF($J72="","",$J72+N($L72))</f>
        <v/>
      </c>
      <c r="N72" s="75" t="n"/>
      <c r="O72" s="69" t="str">
        <f>IF($C72="","",IF(N($N72)&gt;=1,"Tamamlandı",IF(AND($J72&lt;&gt;"",$M72&lt;Hesap!$B$3),"Gecikmiş",IF(OR(N($N72)&gt;0,AND($I72&lt;&gt;"",$I72&lt;=Hesap!$B$3)),"Devam Ediyor","Planlanan"))))</f>
        <v>Planlanan</v>
      </c>
      <c r="P72" s="70" t="n"/>
      <c r="Q72" s="70" t="n"/>
      <c r="R72" s="72" t="n"/>
      <c r="S72" s="73">
        <f>IF(OR($J72="",$R72=""),"",$R72-$J72)</f>
        <v/>
      </c>
      <c r="T72" s="76">
        <f>IF($C72="","",IF($J72="","",IF($R72&lt;&gt;"",IF($S72&gt;7,"⚠ "&amp;TEXT($S72,"0")&amp;" günde yapıldı (geç)","✔ "&amp;TEXT($S72,"0")&amp;" günde yapıldı"),IF($J72&gt;Hesap!$B$3,"",IF($J72+7&lt;Hesap!$B$3,"⚠ Mutabakat "&amp;TEXT(Hesap!$B$3-($J72+7),"0")&amp;" gün gecikti","● Mutabakat için "&amp;TEXT($J72+7-Hesap!$B$3,"0")&amp;" gün")))))</f>
        <v/>
      </c>
      <c r="U72" s="76">
        <f>IF($Y72="","",IF($Y72&gt;0.3,"⚠ Gecikebilir (%"&amp;TEXT($Y72*100,"0")&amp;" geride)",""))</f>
        <v/>
      </c>
      <c r="V72" s="76">
        <f>IF($C72="","",IF($O72="Tamamlandı","",IF($M72="","",IF($M72&lt;Hesap!$B$3,"⚠ "&amp;TEXT(Hesap!$B$3-$M72,"0")&amp;" gün gecikme",IF($M72-Hesap!$B$3&lt;=14,"● "&amp;TEXT($M72-Hesap!$B$3,"0")&amp;" gün kaldı","")))))</f>
        <v/>
      </c>
      <c r="W72">
        <f>IF($C72="","",IF($O72="Tamamlandı",N($L72),MAX(N($L72),IF(AND($J72&lt;&gt;"",$J72&lt;Hesap!$B$3),Hesap!$B$3-$J72,0)))+ROW()/1000000)</f>
        <v>0.000072</v>
      </c>
      <c r="X72">
        <f>IF($W72="","",INT($W72))</f>
        <v>0</v>
      </c>
      <c r="Y72">
        <f>IF(OR($C72="",$I72="",$K72="",$K72&lt;=0,$O72="Tamamlandı"),"",IF(Hesap!$B$3&lt;$I72,"",MIN(1,(Hesap!$B$3-$I72+1)/$K72)-N($N72)))</f>
        <v/>
      </c>
    </row>
    <row r="73" ht="18" customHeight="1">
      <c r="A73" s="69">
        <f>IF($C73="","",ROW()-4)</f>
        <v>69</v>
      </c>
      <c r="B73" s="70" t="inlineStr">
        <is>
          <t>BIGR (Yönetim Beyanı Ortak Maddeler)</t>
        </is>
      </c>
      <c r="C73" s="70" t="inlineStr">
        <is>
          <t>3.1.13. Felaket Kurtarma ve İş Sürekliliği Yönetimi</t>
        </is>
      </c>
      <c r="D73" s="71" t="inlineStr">
        <is>
          <t>Ornek User9</t>
        </is>
      </c>
      <c r="E73" s="71" t="n"/>
      <c r="F73" s="71" t="n"/>
      <c r="G73" s="71" t="n"/>
      <c r="H73" s="71" t="n"/>
      <c r="I73" s="72" t="n"/>
      <c r="J73" s="72" t="n"/>
      <c r="K73" s="73">
        <f>IF(OR($I73="",$J73=""),"",$J73-$I73+1)</f>
        <v/>
      </c>
      <c r="L73" s="56" t="n"/>
      <c r="M73" s="74">
        <f>IF($J73="","",$J73+N($L73))</f>
        <v/>
      </c>
      <c r="N73" s="75" t="n"/>
      <c r="O73" s="69" t="str">
        <f>IF($C73="","",IF(N($N73)&gt;=1,"Tamamlandı",IF(AND($J73&lt;&gt;"",$M73&lt;Hesap!$B$3),"Gecikmiş",IF(OR(N($N73)&gt;0,AND($I73&lt;&gt;"",$I73&lt;=Hesap!$B$3)),"Devam Ediyor","Planlanan"))))</f>
        <v>Planlanan</v>
      </c>
      <c r="P73" s="70" t="n"/>
      <c r="Q73" s="70" t="n"/>
      <c r="R73" s="72" t="n"/>
      <c r="S73" s="73">
        <f>IF(OR($J73="",$R73=""),"",$R73-$J73)</f>
        <v/>
      </c>
      <c r="T73" s="76">
        <f>IF($C73="","",IF($J73="","",IF($R73&lt;&gt;"",IF($S73&gt;7,"⚠ "&amp;TEXT($S73,"0")&amp;" günde yapıldı (geç)","✔ "&amp;TEXT($S73,"0")&amp;" günde yapıldı"),IF($J73&gt;Hesap!$B$3,"",IF($J73+7&lt;Hesap!$B$3,"⚠ Mutabakat "&amp;TEXT(Hesap!$B$3-($J73+7),"0")&amp;" gün gecikti","● Mutabakat için "&amp;TEXT($J73+7-Hesap!$B$3,"0")&amp;" gün")))))</f>
        <v/>
      </c>
      <c r="U73" s="76">
        <f>IF($Y73="","",IF($Y73&gt;0.3,"⚠ Gecikebilir (%"&amp;TEXT($Y73*100,"0")&amp;" geride)",""))</f>
        <v/>
      </c>
      <c r="V73" s="76">
        <f>IF($C73="","",IF($O73="Tamamlandı","",IF($M73="","",IF($M73&lt;Hesap!$B$3,"⚠ "&amp;TEXT(Hesap!$B$3-$M73,"0")&amp;" gün gecikme",IF($M73-Hesap!$B$3&lt;=14,"● "&amp;TEXT($M73-Hesap!$B$3,"0")&amp;" gün kaldı","")))))</f>
        <v/>
      </c>
      <c r="W73">
        <f>IF($C73="","",IF($O73="Tamamlandı",N($L73),MAX(N($L73),IF(AND($J73&lt;&gt;"",$J73&lt;Hesap!$B$3),Hesap!$B$3-$J73,0)))+ROW()/1000000)</f>
        <v>0.000073</v>
      </c>
      <c r="X73">
        <f>IF($W73="","",INT($W73))</f>
        <v>0</v>
      </c>
      <c r="Y73">
        <f>IF(OR($C73="",$I73="",$K73="",$K73&lt;=0,$O73="Tamamlandı"),"",IF(Hesap!$B$3&lt;$I73,"",MIN(1,(Hesap!$B$3-$I73+1)/$K73)-N($N73)))</f>
        <v/>
      </c>
    </row>
    <row r="74" ht="18" customHeight="1">
      <c r="A74" s="69">
        <f>IF($C74="","",ROW()-4)</f>
        <v>70</v>
      </c>
      <c r="B74" s="70" t="inlineStr">
        <is>
          <t>BIGR (Yönetim Beyanı Ortak Maddeler)</t>
        </is>
      </c>
      <c r="C74" s="70" t="inlineStr">
        <is>
          <t>3.1.4. E-Posta Sunucusu ve İstemcisi Güvenliği</t>
        </is>
      </c>
      <c r="D74" s="71" t="inlineStr">
        <is>
          <t>Ornek User9</t>
        </is>
      </c>
      <c r="E74" s="71" t="n"/>
      <c r="F74" s="71" t="n"/>
      <c r="G74" s="71" t="n"/>
      <c r="H74" s="71" t="n"/>
      <c r="I74" s="72" t="n"/>
      <c r="J74" s="72" t="n"/>
      <c r="K74" s="73">
        <f>IF(OR($I74="",$J74=""),"",$J74-$I74+1)</f>
        <v/>
      </c>
      <c r="L74" s="56" t="n"/>
      <c r="M74" s="74">
        <f>IF($J74="","",$J74+N($L74))</f>
        <v/>
      </c>
      <c r="N74" s="75" t="n"/>
      <c r="O74" s="69" t="str">
        <f>IF($C74="","",IF(N($N74)&gt;=1,"Tamamlandı",IF(AND($J74&lt;&gt;"",$M74&lt;Hesap!$B$3),"Gecikmiş",IF(OR(N($N74)&gt;0,AND($I74&lt;&gt;"",$I74&lt;=Hesap!$B$3)),"Devam Ediyor","Planlanan"))))</f>
        <v>Planlanan</v>
      </c>
      <c r="P74" s="70" t="n"/>
      <c r="Q74" s="70" t="n"/>
      <c r="R74" s="72" t="n"/>
      <c r="S74" s="73">
        <f>IF(OR($J74="",$R74=""),"",$R74-$J74)</f>
        <v/>
      </c>
      <c r="T74" s="76">
        <f>IF($C74="","",IF($J74="","",IF($R74&lt;&gt;"",IF($S74&gt;7,"⚠ "&amp;TEXT($S74,"0")&amp;" günde yapıldı (geç)","✔ "&amp;TEXT($S74,"0")&amp;" günde yapıldı"),IF($J74&gt;Hesap!$B$3,"",IF($J74+7&lt;Hesap!$B$3,"⚠ Mutabakat "&amp;TEXT(Hesap!$B$3-($J74+7),"0")&amp;" gün gecikti","● Mutabakat için "&amp;TEXT($J74+7-Hesap!$B$3,"0")&amp;" gün")))))</f>
        <v/>
      </c>
      <c r="U74" s="76">
        <f>IF($Y74="","",IF($Y74&gt;0.3,"⚠ Gecikebilir (%"&amp;TEXT($Y74*100,"0")&amp;" geride)",""))</f>
        <v/>
      </c>
      <c r="V74" s="76">
        <f>IF($C74="","",IF($O74="Tamamlandı","",IF($M74="","",IF($M74&lt;Hesap!$B$3,"⚠ "&amp;TEXT(Hesap!$B$3-$M74,"0")&amp;" gün gecikme",IF($M74-Hesap!$B$3&lt;=14,"● "&amp;TEXT($M74-Hesap!$B$3,"0")&amp;" gün kaldı","")))))</f>
        <v/>
      </c>
      <c r="W74">
        <f>IF($C74="","",IF($O74="Tamamlandı",N($L74),MAX(N($L74),IF(AND($J74&lt;&gt;"",$J74&lt;Hesap!$B$3),Hesap!$B$3-$J74,0)))+ROW()/1000000)</f>
        <v>0.000074</v>
      </c>
      <c r="X74">
        <f>IF($W74="","",INT($W74))</f>
        <v>0</v>
      </c>
      <c r="Y74">
        <f>IF(OR($C74="",$I74="",$K74="",$K74&lt;=0,$O74="Tamamlandı"),"",IF(Hesap!$B$3&lt;$I74,"",MIN(1,(Hesap!$B$3-$I74+1)/$K74)-N($N74)))</f>
        <v/>
      </c>
    </row>
    <row r="75" ht="18" customHeight="1">
      <c r="A75" s="69">
        <f>IF($C75="","",ROW()-4)</f>
        <v>71</v>
      </c>
      <c r="B75" s="70" t="inlineStr">
        <is>
          <t>BIGR (Yönetim Beyanı Ortak Maddeler)</t>
        </is>
      </c>
      <c r="C75" s="70" t="inlineStr">
        <is>
          <t>3.1.5. Zararlı Yazılımlardan Korunma</t>
        </is>
      </c>
      <c r="D75" s="71" t="inlineStr">
        <is>
          <t>Ornek User9</t>
        </is>
      </c>
      <c r="E75" s="71" t="n"/>
      <c r="F75" s="71" t="n"/>
      <c r="G75" s="71" t="n"/>
      <c r="H75" s="71" t="n"/>
      <c r="I75" s="72" t="n"/>
      <c r="J75" s="72" t="n"/>
      <c r="K75" s="73">
        <f>IF(OR($I75="",$J75=""),"",$J75-$I75+1)</f>
        <v/>
      </c>
      <c r="L75" s="56" t="n"/>
      <c r="M75" s="74">
        <f>IF($J75="","",$J75+N($L75))</f>
        <v/>
      </c>
      <c r="N75" s="75" t="n"/>
      <c r="O75" s="69" t="str">
        <f>IF($C75="","",IF(N($N75)&gt;=1,"Tamamlandı",IF(AND($J75&lt;&gt;"",$M75&lt;Hesap!$B$3),"Gecikmiş",IF(OR(N($N75)&gt;0,AND($I75&lt;&gt;"",$I75&lt;=Hesap!$B$3)),"Devam Ediyor","Planlanan"))))</f>
        <v>Planlanan</v>
      </c>
      <c r="P75" s="70" t="n"/>
      <c r="Q75" s="70" t="n"/>
      <c r="R75" s="72" t="n"/>
      <c r="S75" s="73">
        <f>IF(OR($J75="",$R75=""),"",$R75-$J75)</f>
        <v/>
      </c>
      <c r="T75" s="76">
        <f>IF($C75="","",IF($J75="","",IF($R75&lt;&gt;"",IF($S75&gt;7,"⚠ "&amp;TEXT($S75,"0")&amp;" günde yapıldı (geç)","✔ "&amp;TEXT($S75,"0")&amp;" günde yapıldı"),IF($J75&gt;Hesap!$B$3,"",IF($J75+7&lt;Hesap!$B$3,"⚠ Mutabakat "&amp;TEXT(Hesap!$B$3-($J75+7),"0")&amp;" gün gecikti","● Mutabakat için "&amp;TEXT($J75+7-Hesap!$B$3,"0")&amp;" gün")))))</f>
        <v/>
      </c>
      <c r="U75" s="76">
        <f>IF($Y75="","",IF($Y75&gt;0.3,"⚠ Gecikebilir (%"&amp;TEXT($Y75*100,"0")&amp;" geride)",""))</f>
        <v/>
      </c>
      <c r="V75" s="76">
        <f>IF($C75="","",IF($O75="Tamamlandı","",IF($M75="","",IF($M75&lt;Hesap!$B$3,"⚠ "&amp;TEXT(Hesap!$B$3-$M75,"0")&amp;" gün gecikme",IF($M75-Hesap!$B$3&lt;=14,"● "&amp;TEXT($M75-Hesap!$B$3,"0")&amp;" gün kaldı","")))))</f>
        <v/>
      </c>
      <c r="W75">
        <f>IF($C75="","",IF($O75="Tamamlandı",N($L75),MAX(N($L75),IF(AND($J75&lt;&gt;"",$J75&lt;Hesap!$B$3),Hesap!$B$3-$J75,0)))+ROW()/1000000)</f>
        <v>0.000075</v>
      </c>
      <c r="X75">
        <f>IF($W75="","",INT($W75))</f>
        <v>0</v>
      </c>
      <c r="Y75">
        <f>IF(OR($C75="",$I75="",$K75="",$K75&lt;=0,$O75="Tamamlandı"),"",IF(Hesap!$B$3&lt;$I75,"",MIN(1,(Hesap!$B$3-$I75+1)/$K75)-N($N75)))</f>
        <v/>
      </c>
    </row>
    <row r="76" ht="30.75" customHeight="1">
      <c r="A76" s="69">
        <f>IF($C76="","",ROW()-4)</f>
        <v>72</v>
      </c>
      <c r="B76" s="70" t="inlineStr">
        <is>
          <t>BIGR (Yönetim Beyanı Ortak Maddeler)</t>
        </is>
      </c>
      <c r="C76" s="70" t="inlineStr">
        <is>
          <t>3.2.3. Yetkilendirme</t>
        </is>
      </c>
      <c r="D76" s="71" t="inlineStr">
        <is>
          <t>Ornek User9</t>
        </is>
      </c>
      <c r="E76" s="71" t="n"/>
      <c r="F76" s="71" t="n"/>
      <c r="G76" s="71" t="n"/>
      <c r="H76" s="71" t="n"/>
      <c r="I76" s="72" t="n"/>
      <c r="J76" s="72" t="n"/>
      <c r="K76" s="73">
        <f>IF(OR($I76="",$J76=""),"",$J76-$I76+1)</f>
        <v/>
      </c>
      <c r="L76" s="56" t="n"/>
      <c r="M76" s="74">
        <f>IF($J76="","",$J76+N($L76))</f>
        <v/>
      </c>
      <c r="N76" s="75" t="n"/>
      <c r="O76" s="69" t="str">
        <f>IF($C76="","",IF(N($N76)&gt;=1,"Tamamlandı",IF(AND($J76&lt;&gt;"",$M76&lt;Hesap!$B$3),"Gecikmiş",IF(OR(N($N76)&gt;0,AND($I76&lt;&gt;"",$I76&lt;=Hesap!$B$3)),"Devam Ediyor","Planlanan"))))</f>
        <v>Planlanan</v>
      </c>
      <c r="P76" s="70" t="n"/>
      <c r="Q76" s="70" t="n"/>
      <c r="R76" s="72" t="n"/>
      <c r="S76" s="73">
        <f>IF(OR($J76="",$R76=""),"",$R76-$J76)</f>
        <v/>
      </c>
      <c r="T76" s="76">
        <f>IF($C76="","",IF($J76="","",IF($R76&lt;&gt;"",IF($S76&gt;7,"⚠ "&amp;TEXT($S76,"0")&amp;" günde yapıldı (geç)","✔ "&amp;TEXT($S76,"0")&amp;" günde yapıldı"),IF($J76&gt;Hesap!$B$3,"",IF($J76+7&lt;Hesap!$B$3,"⚠ Mutabakat "&amp;TEXT(Hesap!$B$3-($J76+7),"0")&amp;" gün gecikti","● Mutabakat için "&amp;TEXT($J76+7-Hesap!$B$3,"0")&amp;" gün")))))</f>
        <v/>
      </c>
      <c r="U76" s="76">
        <f>IF($Y76="","",IF($Y76&gt;0.3,"⚠ Gecikebilir (%"&amp;TEXT($Y76*100,"0")&amp;" geride)",""))</f>
        <v/>
      </c>
      <c r="V76" s="76">
        <f>IF($C76="","",IF($O76="Tamamlandı","",IF($M76="","",IF($M76&lt;Hesap!$B$3,"⚠ "&amp;TEXT(Hesap!$B$3-$M76,"0")&amp;" gün gecikme",IF($M76-Hesap!$B$3&lt;=14,"● "&amp;TEXT($M76-Hesap!$B$3,"0")&amp;" gün kaldı","")))))</f>
        <v/>
      </c>
      <c r="W76">
        <f>IF($C76="","",IF($O76="Tamamlandı",N($L76),MAX(N($L76),IF(AND($J76&lt;&gt;"",$J76&lt;Hesap!$B$3),Hesap!$B$3-$J76,0)))+ROW()/1000000)</f>
        <v>0.000076</v>
      </c>
      <c r="X76">
        <f>IF($W76="","",INT($W76))</f>
        <v>0</v>
      </c>
      <c r="Y76">
        <f>IF(OR($C76="",$I76="",$K76="",$K76&lt;=0,$O76="Tamamlandı"),"",IF(Hesap!$B$3&lt;$I76,"",MIN(1,(Hesap!$B$3-$I76+1)/$K76)-N($N76)))</f>
        <v/>
      </c>
    </row>
    <row r="77" ht="18" customHeight="1">
      <c r="A77" s="69">
        <f>IF($C77="","",ROW()-4)</f>
        <v>73</v>
      </c>
      <c r="B77" s="70" t="inlineStr">
        <is>
          <t>BIGR (Yönetim Beyanı Ortak Maddeler)</t>
        </is>
      </c>
      <c r="C77" s="70" t="inlineStr">
        <is>
          <t>3.2.9. İletişim Güvenliği</t>
        </is>
      </c>
      <c r="D77" s="71" t="inlineStr">
        <is>
          <t>Ornek User9</t>
        </is>
      </c>
      <c r="E77" s="71" t="n"/>
      <c r="F77" s="71" t="n"/>
      <c r="G77" s="71" t="n"/>
      <c r="H77" s="71" t="n"/>
      <c r="I77" s="72" t="n"/>
      <c r="J77" s="72" t="n"/>
      <c r="K77" s="73">
        <f>IF(OR($I77="",$J77=""),"",$J77-$I77+1)</f>
        <v/>
      </c>
      <c r="L77" s="56" t="n"/>
      <c r="M77" s="74">
        <f>IF($J77="","",$J77+N($L77))</f>
        <v/>
      </c>
      <c r="N77" s="75" t="n"/>
      <c r="O77" s="69" t="str">
        <f>IF($C77="","",IF(N($N77)&gt;=1,"Tamamlandı",IF(AND($J77&lt;&gt;"",$M77&lt;Hesap!$B$3),"Gecikmiş",IF(OR(N($N77)&gt;0,AND($I77&lt;&gt;"",$I77&lt;=Hesap!$B$3)),"Devam Ediyor","Planlanan"))))</f>
        <v>Planlanan</v>
      </c>
      <c r="P77" s="70" t="n"/>
      <c r="Q77" s="70" t="n"/>
      <c r="R77" s="72" t="n"/>
      <c r="S77" s="73">
        <f>IF(OR($J77="",$R77=""),"",$R77-$J77)</f>
        <v/>
      </c>
      <c r="T77" s="76">
        <f>IF($C77="","",IF($J77="","",IF($R77&lt;&gt;"",IF($S77&gt;7,"⚠ "&amp;TEXT($S77,"0")&amp;" günde yapıldı (geç)","✔ "&amp;TEXT($S77,"0")&amp;" günde yapıldı"),IF($J77&gt;Hesap!$B$3,"",IF($J77+7&lt;Hesap!$B$3,"⚠ Mutabakat "&amp;TEXT(Hesap!$B$3-($J77+7),"0")&amp;" gün gecikti","● Mutabakat için "&amp;TEXT($J77+7-Hesap!$B$3,"0")&amp;" gün")))))</f>
        <v/>
      </c>
      <c r="U77" s="76">
        <f>IF($Y77="","",IF($Y77&gt;0.3,"⚠ Gecikebilir (%"&amp;TEXT($Y77*100,"0")&amp;" geride)",""))</f>
        <v/>
      </c>
      <c r="V77" s="76">
        <f>IF($C77="","",IF($O77="Tamamlandı","",IF($M77="","",IF($M77&lt;Hesap!$B$3,"⚠ "&amp;TEXT(Hesap!$B$3-$M77,"0")&amp;" gün gecikme",IF($M77-Hesap!$B$3&lt;=14,"● "&amp;TEXT($M77-Hesap!$B$3,"0")&amp;" gün kaldı","")))))</f>
        <v/>
      </c>
      <c r="W77">
        <f>IF($C77="","",IF($O77="Tamamlandı",N($L77),MAX(N($L77),IF(AND($J77&lt;&gt;"",$J77&lt;Hesap!$B$3),Hesap!$B$3-$J77,0)))+ROW()/1000000)</f>
        <v>0.000077</v>
      </c>
      <c r="X77">
        <f>IF($W77="","",INT($W77))</f>
        <v>0</v>
      </c>
      <c r="Y77">
        <f>IF(OR($C77="",$I77="",$K77="",$K77&lt;=0,$O77="Tamamlandı"),"",IF(Hesap!$B$3&lt;$I77,"",MIN(1,(Hesap!$B$3-$I77+1)/$K77)-N($N77)))</f>
        <v/>
      </c>
    </row>
    <row r="78" ht="18" customHeight="1">
      <c r="A78" s="69">
        <f>IF($C78="","",ROW()-4)</f>
        <v>74</v>
      </c>
      <c r="B78" s="70" t="inlineStr">
        <is>
          <t>BIGR (Yönetim Beyanı Ortak Maddeler)</t>
        </is>
      </c>
      <c r="C78" s="70" t="inlineStr">
        <is>
          <t>5.3.1. Web Sunucusu Sıkılaştırma Tedbirler</t>
        </is>
      </c>
      <c r="D78" s="71" t="inlineStr">
        <is>
          <t>Ornek User9</t>
        </is>
      </c>
      <c r="E78" s="71" t="n"/>
      <c r="F78" s="71" t="n"/>
      <c r="G78" s="71" t="n"/>
      <c r="H78" s="71" t="n"/>
      <c r="I78" s="72" t="n"/>
      <c r="J78" s="72" t="n"/>
      <c r="K78" s="73">
        <f>IF(OR($I78="",$J78=""),"",$J78-$I78+1)</f>
        <v/>
      </c>
      <c r="L78" s="56" t="n"/>
      <c r="M78" s="74">
        <f>IF($J78="","",$J78+N($L78))</f>
        <v/>
      </c>
      <c r="N78" s="75" t="n"/>
      <c r="O78" s="69" t="str">
        <f>IF($C78="","",IF(N($N78)&gt;=1,"Tamamlandı",IF(AND($J78&lt;&gt;"",$M78&lt;Hesap!$B$3),"Gecikmiş",IF(OR(N($N78)&gt;0,AND($I78&lt;&gt;"",$I78&lt;=Hesap!$B$3)),"Devam Ediyor","Planlanan"))))</f>
        <v>Planlanan</v>
      </c>
      <c r="P78" s="70" t="n"/>
      <c r="Q78" s="70" t="n"/>
      <c r="R78" s="72" t="n"/>
      <c r="S78" s="73">
        <f>IF(OR($J78="",$R78=""),"",$R78-$J78)</f>
        <v/>
      </c>
      <c r="T78" s="76">
        <f>IF($C78="","",IF($J78="","",IF($R78&lt;&gt;"",IF($S78&gt;7,"⚠ "&amp;TEXT($S78,"0")&amp;" günde yapıldı (geç)","✔ "&amp;TEXT($S78,"0")&amp;" günde yapıldı"),IF($J78&gt;Hesap!$B$3,"",IF($J78+7&lt;Hesap!$B$3,"⚠ Mutabakat "&amp;TEXT(Hesap!$B$3-($J78+7),"0")&amp;" gün gecikti","● Mutabakat için "&amp;TEXT($J78+7-Hesap!$B$3,"0")&amp;" gün")))))</f>
        <v/>
      </c>
      <c r="U78" s="76">
        <f>IF($Y78="","",IF($Y78&gt;0.3,"⚠ Gecikebilir (%"&amp;TEXT($Y78*100,"0")&amp;" geride)",""))</f>
        <v/>
      </c>
      <c r="V78" s="76">
        <f>IF($C78="","",IF($O78="Tamamlandı","",IF($M78="","",IF($M78&lt;Hesap!$B$3,"⚠ "&amp;TEXT(Hesap!$B$3-$M78,"0")&amp;" gün gecikme",IF($M78-Hesap!$B$3&lt;=14,"● "&amp;TEXT($M78-Hesap!$B$3,"0")&amp;" gün kaldı","")))))</f>
        <v/>
      </c>
      <c r="W78">
        <f>IF($C78="","",IF($O78="Tamamlandı",N($L78),MAX(N($L78),IF(AND($J78&lt;&gt;"",$J78&lt;Hesap!$B$3),Hesap!$B$3-$J78,0)))+ROW()/1000000)</f>
        <v>0.000078</v>
      </c>
      <c r="X78">
        <f>IF($W78="","",INT($W78))</f>
        <v>0</v>
      </c>
      <c r="Y78">
        <f>IF(OR($C78="",$I78="",$K78="",$K78&lt;=0,$O78="Tamamlandı"),"",IF(Hesap!$B$3&lt;$I78,"",MIN(1,(Hesap!$B$3-$I78+1)/$K78)-N($N78)))</f>
        <v/>
      </c>
    </row>
    <row r="79" ht="18" customHeight="1">
      <c r="A79" s="69">
        <f>IF($C79="","",ROW()-4)</f>
        <v>75</v>
      </c>
      <c r="B79" s="70" t="inlineStr">
        <is>
          <t>BIGR (Yönetim Beyanı Ortak Maddeler)</t>
        </is>
      </c>
      <c r="C79" s="70" t="inlineStr">
        <is>
          <t>5.3.2. Sanallaştırma Sunucusu Sıkılaştırma Tedbirleri</t>
        </is>
      </c>
      <c r="D79" s="71" t="inlineStr">
        <is>
          <t>Ornek User9</t>
        </is>
      </c>
      <c r="E79" s="71" t="n"/>
      <c r="F79" s="71" t="n"/>
      <c r="G79" s="71" t="n"/>
      <c r="H79" s="71" t="n"/>
      <c r="I79" s="72" t="n"/>
      <c r="J79" s="72" t="n"/>
      <c r="K79" s="73">
        <f>IF(OR($I79="",$J79=""),"",$J79-$I79+1)</f>
        <v/>
      </c>
      <c r="L79" s="56" t="n"/>
      <c r="M79" s="74">
        <f>IF($J79="","",$J79+N($L79))</f>
        <v/>
      </c>
      <c r="N79" s="75" t="n"/>
      <c r="O79" s="69" t="str">
        <f>IF($C79="","",IF(N($N79)&gt;=1,"Tamamlandı",IF(AND($J79&lt;&gt;"",$M79&lt;Hesap!$B$3),"Gecikmiş",IF(OR(N($N79)&gt;0,AND($I79&lt;&gt;"",$I79&lt;=Hesap!$B$3)),"Devam Ediyor","Planlanan"))))</f>
        <v>Planlanan</v>
      </c>
      <c r="P79" s="70" t="n"/>
      <c r="Q79" s="70" t="n"/>
      <c r="R79" s="72" t="n"/>
      <c r="S79" s="73">
        <f>IF(OR($J79="",$R79=""),"",$R79-$J79)</f>
        <v/>
      </c>
      <c r="T79" s="76">
        <f>IF($C79="","",IF($J79="","",IF($R79&lt;&gt;"",IF($S79&gt;7,"⚠ "&amp;TEXT($S79,"0")&amp;" günde yapıldı (geç)","✔ "&amp;TEXT($S79,"0")&amp;" günde yapıldı"),IF($J79&gt;Hesap!$B$3,"",IF($J79+7&lt;Hesap!$B$3,"⚠ Mutabakat "&amp;TEXT(Hesap!$B$3-($J79+7),"0")&amp;" gün gecikti","● Mutabakat için "&amp;TEXT($J79+7-Hesap!$B$3,"0")&amp;" gün")))))</f>
        <v/>
      </c>
      <c r="U79" s="76">
        <f>IF($Y79="","",IF($Y79&gt;0.3,"⚠ Gecikebilir (%"&amp;TEXT($Y79*100,"0")&amp;" geride)",""))</f>
        <v/>
      </c>
      <c r="V79" s="76">
        <f>IF($C79="","",IF($O79="Tamamlandı","",IF($M79="","",IF($M79&lt;Hesap!$B$3,"⚠ "&amp;TEXT(Hesap!$B$3-$M79,"0")&amp;" gün gecikme",IF($M79-Hesap!$B$3&lt;=14,"● "&amp;TEXT($M79-Hesap!$B$3,"0")&amp;" gün kaldı","")))))</f>
        <v/>
      </c>
      <c r="W79">
        <f>IF($C79="","",IF($O79="Tamamlandı",N($L79),MAX(N($L79),IF(AND($J79&lt;&gt;"",$J79&lt;Hesap!$B$3),Hesap!$B$3-$J79,0)))+ROW()/1000000)</f>
        <v>0.000079</v>
      </c>
      <c r="X79">
        <f>IF($W79="","",INT($W79))</f>
        <v>0</v>
      </c>
      <c r="Y79">
        <f>IF(OR($C79="",$I79="",$K79="",$K79&lt;=0,$O79="Tamamlandı"),"",IF(Hesap!$B$3&lt;$I79,"",MIN(1,(Hesap!$B$3-$I79+1)/$K79)-N($N79)))</f>
        <v/>
      </c>
    </row>
    <row r="80" ht="18" customHeight="1">
      <c r="A80" s="69">
        <f>IF($C80="","",ROW()-4)</f>
        <v>76</v>
      </c>
      <c r="B80" s="70" t="inlineStr">
        <is>
          <t>BIGR (Yönetim Beyanı Ortak Maddeler)</t>
        </is>
      </c>
      <c r="C80" s="70" t="inlineStr">
        <is>
          <t>3.1.10. Siber Güvenlik Olay Yönetimi</t>
        </is>
      </c>
      <c r="D80" s="71" t="inlineStr">
        <is>
          <t>Ornek User13</t>
        </is>
      </c>
      <c r="E80" s="71" t="n"/>
      <c r="F80" s="71" t="n"/>
      <c r="G80" s="71" t="n"/>
      <c r="H80" s="71" t="n"/>
      <c r="I80" s="72" t="n"/>
      <c r="J80" s="72" t="n"/>
      <c r="K80" s="73">
        <f>IF(OR($I80="",$J80=""),"",$J80-$I80+1)</f>
        <v/>
      </c>
      <c r="L80" s="56" t="n"/>
      <c r="M80" s="74">
        <f>IF($J80="","",$J80+N($L80))</f>
        <v/>
      </c>
      <c r="N80" s="75" t="n"/>
      <c r="O80" s="69" t="str">
        <f>IF($C80="","",IF(N($N80)&gt;=1,"Tamamlandı",IF(AND($J80&lt;&gt;"",$M80&lt;Hesap!$B$3),"Gecikmiş",IF(OR(N($N80)&gt;0,AND($I80&lt;&gt;"",$I80&lt;=Hesap!$B$3)),"Devam Ediyor","Planlanan"))))</f>
        <v>Planlanan</v>
      </c>
      <c r="P80" s="70" t="n"/>
      <c r="Q80" s="70" t="n"/>
      <c r="R80" s="72" t="n"/>
      <c r="S80" s="73">
        <f>IF(OR($J80="",$R80=""),"",$R80-$J80)</f>
        <v/>
      </c>
      <c r="T80" s="76">
        <f>IF($C80="","",IF($J80="","",IF($R80&lt;&gt;"",IF($S80&gt;7,"⚠ "&amp;TEXT($S80,"0")&amp;" günde yapıldı (geç)","✔ "&amp;TEXT($S80,"0")&amp;" günde yapıldı"),IF($J80&gt;Hesap!$B$3,"",IF($J80+7&lt;Hesap!$B$3,"⚠ Mutabakat "&amp;TEXT(Hesap!$B$3-($J80+7),"0")&amp;" gün gecikti","● Mutabakat için "&amp;TEXT($J80+7-Hesap!$B$3,"0")&amp;" gün")))))</f>
        <v/>
      </c>
      <c r="U80" s="76">
        <f>IF($Y80="","",IF($Y80&gt;0.3,"⚠ Gecikebilir (%"&amp;TEXT($Y80*100,"0")&amp;" geride)",""))</f>
        <v/>
      </c>
      <c r="V80" s="76">
        <f>IF($C80="","",IF($O80="Tamamlandı","",IF($M80="","",IF($M80&lt;Hesap!$B$3,"⚠ "&amp;TEXT(Hesap!$B$3-$M80,"0")&amp;" gün gecikme",IF($M80-Hesap!$B$3&lt;=14,"● "&amp;TEXT($M80-Hesap!$B$3,"0")&amp;" gün kaldı","")))))</f>
        <v/>
      </c>
      <c r="W80">
        <f>IF($C80="","",IF($O80="Tamamlandı",N($L80),MAX(N($L80),IF(AND($J80&lt;&gt;"",$J80&lt;Hesap!$B$3),Hesap!$B$3-$J80,0)))+ROW()/1000000)</f>
        <v>0.00008</v>
      </c>
      <c r="X80">
        <f>IF($W80="","",INT($W80))</f>
        <v>0</v>
      </c>
      <c r="Y80">
        <f>IF(OR($C80="",$I80="",$K80="",$K80&lt;=0,$O80="Tamamlandı"),"",IF(Hesap!$B$3&lt;$I80,"",MIN(1,(Hesap!$B$3-$I80+1)/$K80)-N($N80)))</f>
        <v/>
      </c>
    </row>
    <row r="81" ht="18" customHeight="1">
      <c r="A81" s="69">
        <f>IF($C81="","",ROW()-4)</f>
        <v>77</v>
      </c>
      <c r="B81" s="70" t="inlineStr">
        <is>
          <t>BIGR (Yönetim Beyanı Ortak Maddeler)</t>
        </is>
      </c>
      <c r="C81" s="70" t="inlineStr">
        <is>
          <t>3.1.11. Sızma Testleri ve Güvenlik Denetimleri</t>
        </is>
      </c>
      <c r="D81" s="71" t="inlineStr">
        <is>
          <t>Ornek User13</t>
        </is>
      </c>
      <c r="E81" s="71" t="n"/>
      <c r="F81" s="71" t="n"/>
      <c r="G81" s="71" t="n"/>
      <c r="H81" s="71" t="n"/>
      <c r="I81" s="72" t="n"/>
      <c r="J81" s="72" t="n"/>
      <c r="K81" s="73">
        <f>IF(OR($I81="",$J81=""),"",$J81-$I81+1)</f>
        <v/>
      </c>
      <c r="L81" s="56" t="n"/>
      <c r="M81" s="74">
        <f>IF($J81="","",$J81+N($L81))</f>
        <v/>
      </c>
      <c r="N81" s="75" t="n"/>
      <c r="O81" s="69" t="str">
        <f>IF($C81="","",IF(N($N81)&gt;=1,"Tamamlandı",IF(AND($J81&lt;&gt;"",$M81&lt;Hesap!$B$3),"Gecikmiş",IF(OR(N($N81)&gt;0,AND($I81&lt;&gt;"",$I81&lt;=Hesap!$B$3)),"Devam Ediyor","Planlanan"))))</f>
        <v>Planlanan</v>
      </c>
      <c r="P81" s="70" t="n"/>
      <c r="Q81" s="70" t="n"/>
      <c r="R81" s="72" t="n"/>
      <c r="S81" s="73">
        <f>IF(OR($J81="",$R81=""),"",$R81-$J81)</f>
        <v/>
      </c>
      <c r="T81" s="76">
        <f>IF($C81="","",IF($J81="","",IF($R81&lt;&gt;"",IF($S81&gt;7,"⚠ "&amp;TEXT($S81,"0")&amp;" günde yapıldı (geç)","✔ "&amp;TEXT($S81,"0")&amp;" günde yapıldı"),IF($J81&gt;Hesap!$B$3,"",IF($J81+7&lt;Hesap!$B$3,"⚠ Mutabakat "&amp;TEXT(Hesap!$B$3-($J81+7),"0")&amp;" gün gecikti","● Mutabakat için "&amp;TEXT($J81+7-Hesap!$B$3,"0")&amp;" gün")))))</f>
        <v/>
      </c>
      <c r="U81" s="76">
        <f>IF($Y81="","",IF($Y81&gt;0.3,"⚠ Gecikebilir (%"&amp;TEXT($Y81*100,"0")&amp;" geride)",""))</f>
        <v/>
      </c>
      <c r="V81" s="76">
        <f>IF($C81="","",IF($O81="Tamamlandı","",IF($M81="","",IF($M81&lt;Hesap!$B$3,"⚠ "&amp;TEXT(Hesap!$B$3-$M81,"0")&amp;" gün gecikme",IF($M81-Hesap!$B$3&lt;=14,"● "&amp;TEXT($M81-Hesap!$B$3,"0")&amp;" gün kaldı","")))))</f>
        <v/>
      </c>
      <c r="W81">
        <f>IF($C81="","",IF($O81="Tamamlandı",N($L81),MAX(N($L81),IF(AND($J81&lt;&gt;"",$J81&lt;Hesap!$B$3),Hesap!$B$3-$J81,0)))+ROW()/1000000)</f>
        <v>0.000081</v>
      </c>
      <c r="X81">
        <f>IF($W81="","",INT($W81))</f>
        <v>0</v>
      </c>
      <c r="Y81">
        <f>IF(OR($C81="",$I81="",$K81="",$K81&lt;=0,$O81="Tamamlandı"),"",IF(Hesap!$B$3&lt;$I81,"",MIN(1,(Hesap!$B$3-$I81+1)/$K81)-N($N81)))</f>
        <v/>
      </c>
    </row>
    <row r="82" ht="18" customHeight="1">
      <c r="A82" s="69">
        <f>IF($C82="","",ROW()-4)</f>
        <v>78</v>
      </c>
      <c r="B82" s="70" t="inlineStr">
        <is>
          <t>BIGR (Yönetim Beyanı Ortak Maddeler)</t>
        </is>
      </c>
      <c r="C82" s="70" t="inlineStr">
        <is>
          <t>3.1.13. Felaket Kurtarma ve İş Sürekliliği Yönetimi</t>
        </is>
      </c>
      <c r="D82" s="71" t="inlineStr">
        <is>
          <t>Ornek User13</t>
        </is>
      </c>
      <c r="E82" s="71" t="n"/>
      <c r="F82" s="71" t="n"/>
      <c r="G82" s="71" t="n"/>
      <c r="H82" s="71" t="n"/>
      <c r="I82" s="72" t="n"/>
      <c r="J82" s="72" t="n"/>
      <c r="K82" s="73">
        <f>IF(OR($I82="",$J82=""),"",$J82-$I82+1)</f>
        <v/>
      </c>
      <c r="L82" s="56" t="n"/>
      <c r="M82" s="74">
        <f>IF($J82="","",$J82+N($L82))</f>
        <v/>
      </c>
      <c r="N82" s="75" t="n"/>
      <c r="O82" s="69" t="str">
        <f>IF($C82="","",IF(N($N82)&gt;=1,"Tamamlandı",IF(AND($J82&lt;&gt;"",$M82&lt;Hesap!$B$3),"Gecikmiş",IF(OR(N($N82)&gt;0,AND($I82&lt;&gt;"",$I82&lt;=Hesap!$B$3)),"Devam Ediyor","Planlanan"))))</f>
        <v>Planlanan</v>
      </c>
      <c r="P82" s="70" t="n"/>
      <c r="Q82" s="70" t="n"/>
      <c r="R82" s="72" t="n"/>
      <c r="S82" s="73">
        <f>IF(OR($J82="",$R82=""),"",$R82-$J82)</f>
        <v/>
      </c>
      <c r="T82" s="76">
        <f>IF($C82="","",IF($J82="","",IF($R82&lt;&gt;"",IF($S82&gt;7,"⚠ "&amp;TEXT($S82,"0")&amp;" günde yapıldı (geç)","✔ "&amp;TEXT($S82,"0")&amp;" günde yapıldı"),IF($J82&gt;Hesap!$B$3,"",IF($J82+7&lt;Hesap!$B$3,"⚠ Mutabakat "&amp;TEXT(Hesap!$B$3-($J82+7),"0")&amp;" gün gecikti","● Mutabakat için "&amp;TEXT($J82+7-Hesap!$B$3,"0")&amp;" gün")))))</f>
        <v/>
      </c>
      <c r="U82" s="76">
        <f>IF($Y82="","",IF($Y82&gt;0.3,"⚠ Gecikebilir (%"&amp;TEXT($Y82*100,"0")&amp;" geride)",""))</f>
        <v/>
      </c>
      <c r="V82" s="76">
        <f>IF($C82="","",IF($O82="Tamamlandı","",IF($M82="","",IF($M82&lt;Hesap!$B$3,"⚠ "&amp;TEXT(Hesap!$B$3-$M82,"0")&amp;" gün gecikme",IF($M82-Hesap!$B$3&lt;=14,"● "&amp;TEXT($M82-Hesap!$B$3,"0")&amp;" gün kaldı","")))))</f>
        <v/>
      </c>
      <c r="W82">
        <f>IF($C82="","",IF($O82="Tamamlandı",N($L82),MAX(N($L82),IF(AND($J82&lt;&gt;"",$J82&lt;Hesap!$B$3),Hesap!$B$3-$J82,0)))+ROW()/1000000)</f>
        <v>0.000082</v>
      </c>
      <c r="X82">
        <f>IF($W82="","",INT($W82))</f>
        <v>0</v>
      </c>
      <c r="Y82">
        <f>IF(OR($C82="",$I82="",$K82="",$K82&lt;=0,$O82="Tamamlandı"),"",IF(Hesap!$B$3&lt;$I82,"",MIN(1,(Hesap!$B$3-$I82+1)/$K82)-N($N82)))</f>
        <v/>
      </c>
    </row>
    <row r="83" ht="18" customHeight="1">
      <c r="A83" s="69">
        <f>IF($C83="","",ROW()-4)</f>
        <v>79</v>
      </c>
      <c r="B83" s="70" t="inlineStr">
        <is>
          <t>BIGR (Yönetim Beyanı Ortak Maddeler)</t>
        </is>
      </c>
      <c r="C83" s="70" t="inlineStr">
        <is>
          <t>3.2.6. Güvenli Yazılım Geliştirme</t>
        </is>
      </c>
      <c r="D83" s="71" t="inlineStr">
        <is>
          <t>Ornek User13</t>
        </is>
      </c>
      <c r="E83" s="71" t="n"/>
      <c r="F83" s="71" t="n"/>
      <c r="G83" s="71" t="n"/>
      <c r="H83" s="71" t="n"/>
      <c r="I83" s="72" t="n"/>
      <c r="J83" s="72" t="n"/>
      <c r="K83" s="73">
        <f>IF(OR($I83="",$J83=""),"",$J83-$I83+1)</f>
        <v/>
      </c>
      <c r="L83" s="56" t="n"/>
      <c r="M83" s="74">
        <f>IF($J83="","",$J83+N($L83))</f>
        <v/>
      </c>
      <c r="N83" s="75" t="n"/>
      <c r="O83" s="69" t="str">
        <f>IF($C83="","",IF(N($N83)&gt;=1,"Tamamlandı",IF(AND($J83&lt;&gt;"",$M83&lt;Hesap!$B$3),"Gecikmiş",IF(OR(N($N83)&gt;0,AND($I83&lt;&gt;"",$I83&lt;=Hesap!$B$3)),"Devam Ediyor","Planlanan"))))</f>
        <v>Planlanan</v>
      </c>
      <c r="P83" s="70" t="n"/>
      <c r="Q83" s="70" t="n"/>
      <c r="R83" s="72" t="n"/>
      <c r="S83" s="73">
        <f>IF(OR($J83="",$R83=""),"",$R83-$J83)</f>
        <v/>
      </c>
      <c r="T83" s="76">
        <f>IF($C83="","",IF($J83="","",IF($R83&lt;&gt;"",IF($S83&gt;7,"⚠ "&amp;TEXT($S83,"0")&amp;" günde yapıldı (geç)","✔ "&amp;TEXT($S83,"0")&amp;" günde yapıldı"),IF($J83&gt;Hesap!$B$3,"",IF($J83+7&lt;Hesap!$B$3,"⚠ Mutabakat "&amp;TEXT(Hesap!$B$3-($J83+7),"0")&amp;" gün gecikti","● Mutabakat için "&amp;TEXT($J83+7-Hesap!$B$3,"0")&amp;" gün")))))</f>
        <v/>
      </c>
      <c r="U83" s="76">
        <f>IF($Y83="","",IF($Y83&gt;0.3,"⚠ Gecikebilir (%"&amp;TEXT($Y83*100,"0")&amp;" geride)",""))</f>
        <v/>
      </c>
      <c r="V83" s="76">
        <f>IF($C83="","",IF($O83="Tamamlandı","",IF($M83="","",IF($M83&lt;Hesap!$B$3,"⚠ "&amp;TEXT(Hesap!$B$3-$M83,"0")&amp;" gün gecikme",IF($M83-Hesap!$B$3&lt;=14,"● "&amp;TEXT($M83-Hesap!$B$3,"0")&amp;" gün kaldı","")))))</f>
        <v/>
      </c>
      <c r="W83">
        <f>IF($C83="","",IF($O83="Tamamlandı",N($L83),MAX(N($L83),IF(AND($J83&lt;&gt;"",$J83&lt;Hesap!$B$3),Hesap!$B$3-$J83,0)))+ROW()/1000000)</f>
        <v>0.000083</v>
      </c>
      <c r="X83">
        <f>IF($W83="","",INT($W83))</f>
        <v>0</v>
      </c>
      <c r="Y83">
        <f>IF(OR($C83="",$I83="",$K83="",$K83&lt;=0,$O83="Tamamlandı"),"",IF(Hesap!$B$3&lt;$I83,"",MIN(1,(Hesap!$B$3-$I83+1)/$K83)-N($N83)))</f>
        <v/>
      </c>
    </row>
    <row r="84" ht="18" customHeight="1">
      <c r="A84" s="69">
        <f>IF($C84="","",ROW()-4)</f>
        <v>80</v>
      </c>
      <c r="B84" s="70" t="inlineStr">
        <is>
          <t>BIGR (Yönetim Beyanı Ortak Maddeler)</t>
        </is>
      </c>
      <c r="C84" s="70" t="inlineStr">
        <is>
          <t>3.3.1. Akıllı Telefon ve Tablet Güvenliği</t>
        </is>
      </c>
      <c r="D84" s="71" t="inlineStr">
        <is>
          <t>Ornek User13</t>
        </is>
      </c>
      <c r="E84" s="71" t="n"/>
      <c r="F84" s="71" t="n"/>
      <c r="G84" s="71" t="n"/>
      <c r="H84" s="71" t="n"/>
      <c r="I84" s="72" t="n"/>
      <c r="J84" s="72" t="n"/>
      <c r="K84" s="73">
        <f>IF(OR($I84="",$J84=""),"",$J84-$I84+1)</f>
        <v/>
      </c>
      <c r="L84" s="56" t="n"/>
      <c r="M84" s="74">
        <f>IF($J84="","",$J84+N($L84))</f>
        <v/>
      </c>
      <c r="N84" s="75" t="n"/>
      <c r="O84" s="69" t="str">
        <f>IF($C84="","",IF(N($N84)&gt;=1,"Tamamlandı",IF(AND($J84&lt;&gt;"",$M84&lt;Hesap!$B$3),"Gecikmiş",IF(OR(N($N84)&gt;0,AND($I84&lt;&gt;"",$I84&lt;=Hesap!$B$3)),"Devam Ediyor","Planlanan"))))</f>
        <v>Planlanan</v>
      </c>
      <c r="P84" s="70" t="n"/>
      <c r="Q84" s="70" t="n"/>
      <c r="R84" s="72" t="n"/>
      <c r="S84" s="73">
        <f>IF(OR($J84="",$R84=""),"",$R84-$J84)</f>
        <v/>
      </c>
      <c r="T84" s="76">
        <f>IF($C84="","",IF($J84="","",IF($R84&lt;&gt;"",IF($S84&gt;7,"⚠ "&amp;TEXT($S84,"0")&amp;" günde yapıldı (geç)","✔ "&amp;TEXT($S84,"0")&amp;" günde yapıldı"),IF($J84&gt;Hesap!$B$3,"",IF($J84+7&lt;Hesap!$B$3,"⚠ Mutabakat "&amp;TEXT(Hesap!$B$3-($J84+7),"0")&amp;" gün gecikti","● Mutabakat için "&amp;TEXT($J84+7-Hesap!$B$3,"0")&amp;" gün")))))</f>
        <v/>
      </c>
      <c r="U84" s="76">
        <f>IF($Y84="","",IF($Y84&gt;0.3,"⚠ Gecikebilir (%"&amp;TEXT($Y84*100,"0")&amp;" geride)",""))</f>
        <v/>
      </c>
      <c r="V84" s="76">
        <f>IF($C84="","",IF($O84="Tamamlandı","",IF($M84="","",IF($M84&lt;Hesap!$B$3,"⚠ "&amp;TEXT(Hesap!$B$3-$M84,"0")&amp;" gün gecikme",IF($M84-Hesap!$B$3&lt;=14,"● "&amp;TEXT($M84-Hesap!$B$3,"0")&amp;" gün kaldı","")))))</f>
        <v/>
      </c>
      <c r="W84">
        <f>IF($C84="","",IF($O84="Tamamlandı",N($L84),MAX(N($L84),IF(AND($J84&lt;&gt;"",$J84&lt;Hesap!$B$3),Hesap!$B$3-$J84,0)))+ROW()/1000000)</f>
        <v>0.000084</v>
      </c>
      <c r="X84">
        <f>IF($W84="","",INT($W84))</f>
        <v>0</v>
      </c>
      <c r="Y84">
        <f>IF(OR($C84="",$I84="",$K84="",$K84&lt;=0,$O84="Tamamlandı"),"",IF(Hesap!$B$3&lt;$I84,"",MIN(1,(Hesap!$B$3-$I84+1)/$K84)-N($N84)))</f>
        <v/>
      </c>
    </row>
    <row r="85" ht="18" customHeight="1">
      <c r="A85" s="69">
        <f>IF($C85="","",ROW()-4)</f>
        <v>81</v>
      </c>
      <c r="B85" s="70" t="inlineStr">
        <is>
          <t>BIGR (Yönetim Beyanı Ortak Maddeler)</t>
        </is>
      </c>
      <c r="C85" s="70" t="inlineStr">
        <is>
          <t>3.3.2. Taşınabilir Bilgisayar Güvenliği</t>
        </is>
      </c>
      <c r="D85" s="71" t="inlineStr">
        <is>
          <t>Ornek User13</t>
        </is>
      </c>
      <c r="E85" s="71" t="n"/>
      <c r="F85" s="71" t="n"/>
      <c r="G85" s="71" t="n"/>
      <c r="H85" s="71" t="n"/>
      <c r="I85" s="72" t="n"/>
      <c r="J85" s="72" t="n"/>
      <c r="K85" s="73">
        <f>IF(OR($I85="",$J85=""),"",$J85-$I85+1)</f>
        <v/>
      </c>
      <c r="L85" s="56" t="n"/>
      <c r="M85" s="74">
        <f>IF($J85="","",$J85+N($L85))</f>
        <v/>
      </c>
      <c r="N85" s="75" t="n"/>
      <c r="O85" s="69" t="str">
        <f>IF($C85="","",IF(N($N85)&gt;=1,"Tamamlandı",IF(AND($J85&lt;&gt;"",$M85&lt;Hesap!$B$3),"Gecikmiş",IF(OR(N($N85)&gt;0,AND($I85&lt;&gt;"",$I85&lt;=Hesap!$B$3)),"Devam Ediyor","Planlanan"))))</f>
        <v>Planlanan</v>
      </c>
      <c r="P85" s="70" t="n"/>
      <c r="Q85" s="70" t="n"/>
      <c r="R85" s="72" t="n"/>
      <c r="S85" s="73">
        <f>IF(OR($J85="",$R85=""),"",$R85-$J85)</f>
        <v/>
      </c>
      <c r="T85" s="76">
        <f>IF($C85="","",IF($J85="","",IF($R85&lt;&gt;"",IF($S85&gt;7,"⚠ "&amp;TEXT($S85,"0")&amp;" günde yapıldı (geç)","✔ "&amp;TEXT($S85,"0")&amp;" günde yapıldı"),IF($J85&gt;Hesap!$B$3,"",IF($J85+7&lt;Hesap!$B$3,"⚠ Mutabakat "&amp;TEXT(Hesap!$B$3-($J85+7),"0")&amp;" gün gecikti","● Mutabakat için "&amp;TEXT($J85+7-Hesap!$B$3,"0")&amp;" gün")))))</f>
        <v/>
      </c>
      <c r="U85" s="76">
        <f>IF($Y85="","",IF($Y85&gt;0.3,"⚠ Gecikebilir (%"&amp;TEXT($Y85*100,"0")&amp;" geride)",""))</f>
        <v/>
      </c>
      <c r="V85" s="76">
        <f>IF($C85="","",IF($O85="Tamamlandı","",IF($M85="","",IF($M85&lt;Hesap!$B$3,"⚠ "&amp;TEXT(Hesap!$B$3-$M85,"0")&amp;" gün gecikme",IF($M85-Hesap!$B$3&lt;=14,"● "&amp;TEXT($M85-Hesap!$B$3,"0")&amp;" gün kaldı","")))))</f>
        <v/>
      </c>
      <c r="W85">
        <f>IF($C85="","",IF($O85="Tamamlandı",N($L85),MAX(N($L85),IF(AND($J85&lt;&gt;"",$J85&lt;Hesap!$B$3),Hesap!$B$3-$J85,0)))+ROW()/1000000)</f>
        <v>0.000085</v>
      </c>
      <c r="X85">
        <f>IF($W85="","",INT($W85))</f>
        <v>0</v>
      </c>
      <c r="Y85">
        <f>IF(OR($C85="",$I85="",$K85="",$K85&lt;=0,$O85="Tamamlandı"),"",IF(Hesap!$B$3&lt;$I85,"",MIN(1,(Hesap!$B$3-$I85+1)/$K85)-N($N85)))</f>
        <v/>
      </c>
    </row>
    <row r="86" ht="18" customHeight="1">
      <c r="A86" s="69">
        <f>IF($C86="","",ROW()-4)</f>
        <v>82</v>
      </c>
      <c r="B86" s="70" t="inlineStr">
        <is>
          <t>BIGR (Yönetim Beyanı Ortak Maddeler)</t>
        </is>
      </c>
      <c r="C86" s="70" t="inlineStr">
        <is>
          <t>3.5.3. Tedarikçi İlişkileri Güvenliği</t>
        </is>
      </c>
      <c r="D86" s="71" t="inlineStr">
        <is>
          <t>Ornek User13</t>
        </is>
      </c>
      <c r="E86" s="71" t="n"/>
      <c r="F86" s="71" t="n"/>
      <c r="G86" s="71" t="n"/>
      <c r="H86" s="71" t="n"/>
      <c r="I86" s="72" t="n"/>
      <c r="J86" s="72" t="n"/>
      <c r="K86" s="73">
        <f>IF(OR($I86="",$J86=""),"",$J86-$I86+1)</f>
        <v/>
      </c>
      <c r="L86" s="56" t="n"/>
      <c r="M86" s="74">
        <f>IF($J86="","",$J86+N($L86))</f>
        <v/>
      </c>
      <c r="N86" s="75" t="n"/>
      <c r="O86" s="69" t="str">
        <f>IF($C86="","",IF(N($N86)&gt;=1,"Tamamlandı",IF(AND($J86&lt;&gt;"",$M86&lt;Hesap!$B$3),"Gecikmiş",IF(OR(N($N86)&gt;0,AND($I86&lt;&gt;"",$I86&lt;=Hesap!$B$3)),"Devam Ediyor","Planlanan"))))</f>
        <v>Planlanan</v>
      </c>
      <c r="P86" s="70" t="n"/>
      <c r="Q86" s="70" t="n"/>
      <c r="R86" s="72" t="n"/>
      <c r="S86" s="73">
        <f>IF(OR($J86="",$R86=""),"",$R86-$J86)</f>
        <v/>
      </c>
      <c r="T86" s="76">
        <f>IF($C86="","",IF($J86="","",IF($R86&lt;&gt;"",IF($S86&gt;7,"⚠ "&amp;TEXT($S86,"0")&amp;" günde yapıldı (geç)","✔ "&amp;TEXT($S86,"0")&amp;" günde yapıldı"),IF($J86&gt;Hesap!$B$3,"",IF($J86+7&lt;Hesap!$B$3,"⚠ Mutabakat "&amp;TEXT(Hesap!$B$3-($J86+7),"0")&amp;" gün gecikti","● Mutabakat için "&amp;TEXT($J86+7-Hesap!$B$3,"0")&amp;" gün")))))</f>
        <v/>
      </c>
      <c r="U86" s="76">
        <f>IF($Y86="","",IF($Y86&gt;0.3,"⚠ Gecikebilir (%"&amp;TEXT($Y86*100,"0")&amp;" geride)",""))</f>
        <v/>
      </c>
      <c r="V86" s="76">
        <f>IF($C86="","",IF($O86="Tamamlandı","",IF($M86="","",IF($M86&lt;Hesap!$B$3,"⚠ "&amp;TEXT(Hesap!$B$3-$M86,"0")&amp;" gün gecikme",IF($M86-Hesap!$B$3&lt;=14,"● "&amp;TEXT($M86-Hesap!$B$3,"0")&amp;" gün kaldı","")))))</f>
        <v/>
      </c>
      <c r="W86">
        <f>IF($C86="","",IF($O86="Tamamlandı",N($L86),MAX(N($L86),IF(AND($J86&lt;&gt;"",$J86&lt;Hesap!$B$3),Hesap!$B$3-$J86,0)))+ROW()/1000000)</f>
        <v>0.000086</v>
      </c>
      <c r="X86">
        <f>IF($W86="","",INT($W86))</f>
        <v>0</v>
      </c>
      <c r="Y86">
        <f>IF(OR($C86="",$I86="",$K86="",$K86&lt;=0,$O86="Tamamlandı"),"",IF(Hesap!$B$3&lt;$I86,"",MIN(1,(Hesap!$B$3-$I86+1)/$K86)-N($N86)))</f>
        <v/>
      </c>
    </row>
    <row r="87" ht="28.5" customHeight="1">
      <c r="A87" s="69">
        <f>IF($C87="","",ROW()-4)</f>
        <v>83</v>
      </c>
      <c r="B87" s="70" t="inlineStr">
        <is>
          <t>BIGR (Yönetim Beyanı Ortak Maddeler)</t>
        </is>
      </c>
      <c r="C87" s="70" t="inlineStr">
        <is>
          <t>4.1.7. Açık Rıza Yönetimi</t>
        </is>
      </c>
      <c r="D87" s="71" t="inlineStr">
        <is>
          <t>Ornek User13</t>
        </is>
      </c>
      <c r="E87" s="71" t="n"/>
      <c r="F87" s="71" t="n"/>
      <c r="G87" s="71" t="n"/>
      <c r="H87" s="71" t="n"/>
      <c r="I87" s="72" t="n"/>
      <c r="J87" s="72" t="n"/>
      <c r="K87" s="73">
        <f>IF(OR($I87="",$J87=""),"",$J87-$I87+1)</f>
        <v/>
      </c>
      <c r="L87" s="56" t="n"/>
      <c r="M87" s="74">
        <f>IF($J87="","",$J87+N($L87))</f>
        <v/>
      </c>
      <c r="N87" s="75" t="n"/>
      <c r="O87" s="69" t="str">
        <f>IF($C87="","",IF(N($N87)&gt;=1,"Tamamlandı",IF(AND($J87&lt;&gt;"",$M87&lt;Hesap!$B$3),"Gecikmiş",IF(OR(N($N87)&gt;0,AND($I87&lt;&gt;"",$I87&lt;=Hesap!$B$3)),"Devam Ediyor","Planlanan"))))</f>
        <v>Planlanan</v>
      </c>
      <c r="P87" s="70" t="n"/>
      <c r="Q87" s="70" t="n"/>
      <c r="R87" s="72" t="n"/>
      <c r="S87" s="73">
        <f>IF(OR($J87="",$R87=""),"",$R87-$J87)</f>
        <v/>
      </c>
      <c r="T87" s="76">
        <f>IF($C87="","",IF($J87="","",IF($R87&lt;&gt;"",IF($S87&gt;7,"⚠ "&amp;TEXT($S87,"0")&amp;" günde yapıldı (geç)","✔ "&amp;TEXT($S87,"0")&amp;" günde yapıldı"),IF($J87&gt;Hesap!$B$3,"",IF($J87+7&lt;Hesap!$B$3,"⚠ Mutabakat "&amp;TEXT(Hesap!$B$3-($J87+7),"0")&amp;" gün gecikti","● Mutabakat için "&amp;TEXT($J87+7-Hesap!$B$3,"0")&amp;" gün")))))</f>
        <v/>
      </c>
      <c r="U87" s="76">
        <f>IF($Y87="","",IF($Y87&gt;0.3,"⚠ Gecikebilir (%"&amp;TEXT($Y87*100,"0")&amp;" geride)",""))</f>
        <v/>
      </c>
      <c r="V87" s="76">
        <f>IF($C87="","",IF($O87="Tamamlandı","",IF($M87="","",IF($M87&lt;Hesap!$B$3,"⚠ "&amp;TEXT(Hesap!$B$3-$M87,"0")&amp;" gün gecikme",IF($M87-Hesap!$B$3&lt;=14,"● "&amp;TEXT($M87-Hesap!$B$3,"0")&amp;" gün kaldı","")))))</f>
        <v/>
      </c>
      <c r="W87">
        <f>IF($C87="","",IF($O87="Tamamlandı",N($L87),MAX(N($L87),IF(AND($J87&lt;&gt;"",$J87&lt;Hesap!$B$3),Hesap!$B$3-$J87,0)))+ROW()/1000000)</f>
        <v>0.000087</v>
      </c>
      <c r="X87">
        <f>IF($W87="","",INT($W87))</f>
        <v>0</v>
      </c>
      <c r="Y87">
        <f>IF(OR($C87="",$I87="",$K87="",$K87&lt;=0,$O87="Tamamlandı"),"",IF(Hesap!$B$3&lt;$I87,"",MIN(1,(Hesap!$B$3-$I87+1)/$K87)-N($N87)))</f>
        <v/>
      </c>
    </row>
    <row r="88" ht="18" customHeight="1">
      <c r="A88" s="69">
        <f>IF($C88="","",ROW()-4)</f>
        <v>84</v>
      </c>
      <c r="B88" s="70" t="inlineStr">
        <is>
          <t>BIGR</t>
        </is>
      </c>
      <c r="C88" s="70" t="inlineStr">
        <is>
          <t>3.2.3 Yetkilendirme</t>
        </is>
      </c>
      <c r="D88" s="71" t="inlineStr">
        <is>
          <t>Ornek User9</t>
        </is>
      </c>
      <c r="E88" s="71" t="inlineStr">
        <is>
          <t>Ornek User4</t>
        </is>
      </c>
      <c r="F88" s="71" t="n"/>
      <c r="G88" s="71" t="n"/>
      <c r="H88" s="71" t="inlineStr">
        <is>
          <t>Orta</t>
        </is>
      </c>
      <c r="I88" s="72" t="n">
        <v>46283</v>
      </c>
      <c r="J88" s="72" t="n">
        <v>46295</v>
      </c>
      <c r="K88" s="73">
        <f>IF(OR($I88="",$J88=""),"",$J88-$I88+1)</f>
        <v>13</v>
      </c>
      <c r="L88" s="56" t="n"/>
      <c r="M88" s="74">
        <f>IF($J88="","",$J88+N($L88))</f>
        <v>46295</v>
      </c>
      <c r="N88" s="75" t="n"/>
      <c r="O88" s="69" t="str">
        <f>IF($C88="","",IF(N($N88)&gt;=1,"Tamamlandı",IF(AND($J88&lt;&gt;"",$M88&lt;Hesap!$B$3),"Gecikmiş",IF(OR(N($N88)&gt;0,AND($I88&lt;&gt;"",$I88&lt;=Hesap!$B$3)),"Devam Ediyor","Planlanan"))))</f>
        <v>Gecikmiş</v>
      </c>
      <c r="P88" s="70" t="n"/>
      <c r="Q88" s="70" t="n"/>
      <c r="R88" s="72" t="n"/>
      <c r="S88" s="73">
        <f>IF(OR($J88="",$R88=""),"",$R88-$J88)</f>
        <v/>
      </c>
      <c r="T88" s="76" t="str">
        <f>IF($C88="","",IF($J88="","",IF($R88&lt;&gt;"",IF($S88&gt;7,"⚠ "&amp;TEXT($S88,"0")&amp;" günde yapıldı (geç)","✔ "&amp;TEXT($S88,"0")&amp;" günde yapıldı"),IF($J88&gt;Hesap!$B$3,"",IF($J88+7&lt;Hesap!$B$3,"⚠ Mutabakat "&amp;TEXT(Hesap!$B$3-($J88+7),"0")&amp;" gün gecikti","● Mutabakat için "&amp;TEXT($J88+7-Hesap!$B$3,"0")&amp;" gün")))))</f>
        <v>● Mutabakat için 2 gün</v>
      </c>
      <c r="U88" s="76" t="str">
        <f>IF($Y88="","",IF($Y88&gt;0.3,"⚠ Gecikebilir (%"&amp;TEXT($Y88*100,"0")&amp;" geride)",""))</f>
        <v>⚠ Gecikebilir (%100 geride)</v>
      </c>
      <c r="V88" s="76" t="str">
        <f>IF($C88="","",IF($O88="Tamamlandı","",IF($M88="","",IF($M88&lt;Hesap!$B$3,"⚠ "&amp;TEXT(Hesap!$B$3-$M88,"0")&amp;" gün gecikme",IF($M88-Hesap!$B$3&lt;=14,"● "&amp;TEXT($M88-Hesap!$B$3,"0")&amp;" gün kaldı","")))))</f>
        <v>⚠ 5 gün gecikme</v>
      </c>
      <c r="W88">
        <f>IF($C88="","",IF($O88="Tamamlandı",N($L88),MAX(N($L88),IF(AND($J88&lt;&gt;"",$J88&lt;Hesap!$B$3),Hesap!$B$3-$J88,0)))+ROW()/1000000)</f>
        <v>5.000088</v>
      </c>
      <c r="X88">
        <f>IF($W88="","",INT($W88))</f>
        <v>5</v>
      </c>
      <c r="Y88">
        <f>IF(OR($C88="",$I88="",$K88="",$K88&lt;=0,$O88="Tamamlandı"),"",IF(Hesap!$B$3&lt;$I88,"",MIN(1,(Hesap!$B$3-$I88+1)/$K88)-N($N88)))</f>
        <v>1</v>
      </c>
    </row>
    <row r="89" ht="18" customHeight="1">
      <c r="A89" s="69">
        <f>IF($C89="","",ROW()-4)</f>
        <v>85</v>
      </c>
      <c r="B89" s="70" t="inlineStr">
        <is>
          <t>BIGR</t>
        </is>
      </c>
      <c r="C89" s="70" t="inlineStr">
        <is>
          <t>3.2.8 Hata Ele Alma ve Kayıt Yönetimi</t>
        </is>
      </c>
      <c r="D89" s="71" t="inlineStr">
        <is>
          <t>Ornek User4</t>
        </is>
      </c>
      <c r="E89" s="71" t="n"/>
      <c r="F89" s="71" t="n"/>
      <c r="G89" s="71" t="n"/>
      <c r="H89" s="71" t="inlineStr">
        <is>
          <t>Orta</t>
        </is>
      </c>
      <c r="I89" s="72" t="n">
        <v>46296</v>
      </c>
      <c r="J89" s="72" t="n">
        <v>46308</v>
      </c>
      <c r="K89" s="73">
        <f>IF(OR($I89="",$J89=""),"",$J89-$I89+1)</f>
        <v>13</v>
      </c>
      <c r="L89" s="56" t="n"/>
      <c r="M89" s="74">
        <f>IF($J89="","",$J89+N($L89))</f>
        <v>46308</v>
      </c>
      <c r="N89" s="75" t="n"/>
      <c r="O89" s="69" t="str">
        <f>IF($C89="","",IF(N($N89)&gt;=1,"Tamamlandı",IF(AND($J89&lt;&gt;"",$M89&lt;Hesap!$B$3),"Gecikmiş",IF(OR(N($N89)&gt;0,AND($I89&lt;&gt;"",$I89&lt;=Hesap!$B$3)),"Devam Ediyor","Planlanan"))))</f>
        <v>Devam Ediyor</v>
      </c>
      <c r="P89" s="70" t="n"/>
      <c r="Q89" s="70" t="n"/>
      <c r="R89" s="72" t="n"/>
      <c r="S89" s="73">
        <f>IF(OR($J89="",$R89=""),"",$R89-$J89)</f>
        <v/>
      </c>
      <c r="T89" s="76">
        <f>IF($C89="","",IF($J89="","",IF($R89&lt;&gt;"",IF($S89&gt;7,"⚠ "&amp;TEXT($S89,"0")&amp;" günde yapıldı (geç)","✔ "&amp;TEXT($S89,"0")&amp;" günde yapıldı"),IF($J89&gt;Hesap!$B$3,"",IF($J89+7&lt;Hesap!$B$3,"⚠ Mutabakat "&amp;TEXT(Hesap!$B$3-($J89+7),"0")&amp;" gün gecikti","● Mutabakat için "&amp;TEXT($J89+7-Hesap!$B$3,"0")&amp;" gün")))))</f>
        <v/>
      </c>
      <c r="U89" s="76" t="str">
        <f>IF($Y89="","",IF($Y89&gt;0.3,"⚠ Gecikebilir (%"&amp;TEXT($Y89*100,"0")&amp;" geride)",""))</f>
        <v>⚠ Gecikebilir (%38 geride)</v>
      </c>
      <c r="V89" s="76" t="str">
        <f>IF($C89="","",IF($O89="Tamamlandı","",IF($M89="","",IF($M89&lt;Hesap!$B$3,"⚠ "&amp;TEXT(Hesap!$B$3-$M89,"0")&amp;" gün gecikme",IF($M89-Hesap!$B$3&lt;=14,"● "&amp;TEXT($M89-Hesap!$B$3,"0")&amp;" gün kaldı","")))))</f>
        <v>● 8 gün kaldı</v>
      </c>
      <c r="W89">
        <f>IF($C89="","",IF($O89="Tamamlandı",N($L89),MAX(N($L89),IF(AND($J89&lt;&gt;"",$J89&lt;Hesap!$B$3),Hesap!$B$3-$J89,0)))+ROW()/1000000)</f>
        <v>0.000089</v>
      </c>
      <c r="X89">
        <f>IF($W89="","",INT($W89))</f>
        <v>0</v>
      </c>
      <c r="Y89">
        <f>IF(OR($C89="",$I89="",$K89="",$K89&lt;=0,$O89="Tamamlandı"),"",IF(Hesap!$B$3&lt;$I89,"",MIN(1,(Hesap!$B$3-$I89+1)/$K89)-N($N89)))</f>
        <v>0.3846153846</v>
      </c>
    </row>
    <row r="90" ht="27" customHeight="1">
      <c r="A90" s="69">
        <f>IF($C90="","",ROW()-4)</f>
        <v>86</v>
      </c>
      <c r="B90" s="70" t="inlineStr">
        <is>
          <t>BIGR</t>
        </is>
      </c>
      <c r="C90" s="70" t="inlineStr">
        <is>
          <t>3.2.10 Kötücül İşlemleri Engelleme</t>
        </is>
      </c>
      <c r="D90" s="71" t="inlineStr">
        <is>
          <t>Ornek User4</t>
        </is>
      </c>
      <c r="E90" s="71" t="n"/>
      <c r="F90" s="71" t="n"/>
      <c r="G90" s="71" t="n"/>
      <c r="H90" s="71" t="inlineStr">
        <is>
          <t>Orta</t>
        </is>
      </c>
      <c r="I90" s="72" t="n">
        <v>46296</v>
      </c>
      <c r="J90" s="72" t="n">
        <v>46309</v>
      </c>
      <c r="K90" s="73">
        <f>IF(OR($I90="",$J90=""),"",$J90-$I90+1)</f>
        <v>14</v>
      </c>
      <c r="L90" s="56" t="n"/>
      <c r="M90" s="74">
        <f>IF($J90="","",$J90+N($L90))</f>
        <v>46309</v>
      </c>
      <c r="N90" s="75" t="n"/>
      <c r="O90" s="69" t="str">
        <f>IF($C90="","",IF(N($N90)&gt;=1,"Tamamlandı",IF(AND($J90&lt;&gt;"",$M90&lt;Hesap!$B$3),"Gecikmiş",IF(OR(N($N90)&gt;0,AND($I90&lt;&gt;"",$I90&lt;=Hesap!$B$3)),"Devam Ediyor","Planlanan"))))</f>
        <v>Devam Ediyor</v>
      </c>
      <c r="P90" s="70" t="n"/>
      <c r="Q90" s="70" t="n"/>
      <c r="R90" s="72" t="n"/>
      <c r="S90" s="73">
        <f>IF(OR($J90="",$R90=""),"",$R90-$J90)</f>
        <v/>
      </c>
      <c r="T90" s="76">
        <f>IF($C90="","",IF($J90="","",IF($R90&lt;&gt;"",IF($S90&gt;7,"⚠ "&amp;TEXT($S90,"0")&amp;" günde yapıldı (geç)","✔ "&amp;TEXT($S90,"0")&amp;" günde yapıldı"),IF($J90&gt;Hesap!$B$3,"",IF($J90+7&lt;Hesap!$B$3,"⚠ Mutabakat "&amp;TEXT(Hesap!$B$3-($J90+7),"0")&amp;" gün gecikti","● Mutabakat için "&amp;TEXT($J90+7-Hesap!$B$3,"0")&amp;" gün")))))</f>
        <v/>
      </c>
      <c r="U90" s="76" t="str">
        <f>IF($Y90="","",IF($Y90&gt;0.3,"⚠ Gecikebilir (%"&amp;TEXT($Y90*100,"0")&amp;" geride)",""))</f>
        <v>⚠ Gecikebilir (%36 geride)</v>
      </c>
      <c r="V90" s="76" t="str">
        <f>IF($C90="","",IF($O90="Tamamlandı","",IF($M90="","",IF($M90&lt;Hesap!$B$3,"⚠ "&amp;TEXT(Hesap!$B$3-$M90,"0")&amp;" gün gecikme",IF($M90-Hesap!$B$3&lt;=14,"● "&amp;TEXT($M90-Hesap!$B$3,"0")&amp;" gün kaldı","")))))</f>
        <v>● 9 gün kaldı</v>
      </c>
      <c r="W90">
        <f>IF($C90="","",IF($O90="Tamamlandı",N($L90),MAX(N($L90),IF(AND($J90&lt;&gt;"",$J90&lt;Hesap!$B$3),Hesap!$B$3-$J90,0)))+ROW()/1000000)</f>
        <v>0.00009</v>
      </c>
      <c r="X90">
        <f>IF($W90="","",INT($W90))</f>
        <v>0</v>
      </c>
      <c r="Y90">
        <f>IF(OR($C90="",$I90="",$K90="",$K90&lt;=0,$O90="Tamamlandı"),"",IF(Hesap!$B$3&lt;$I90,"",MIN(1,(Hesap!$B$3-$I90+1)/$K90)-N($N90)))</f>
        <v>0.3571428571</v>
      </c>
    </row>
    <row r="91" ht="48.75" customHeight="1">
      <c r="A91" s="69">
        <f>IF($C91="","",ROW()-4)</f>
        <v>87</v>
      </c>
      <c r="B91" s="70" t="inlineStr">
        <is>
          <t>BIGR</t>
        </is>
      </c>
      <c r="C91" s="70" t="inlineStr">
        <is>
          <t>4.1.1 Kayıt Yönetimi</t>
        </is>
      </c>
      <c r="D91" s="71" t="inlineStr">
        <is>
          <t>Ornek User4</t>
        </is>
      </c>
      <c r="E91" s="71" t="n"/>
      <c r="F91" s="71" t="n"/>
      <c r="G91" s="71" t="n"/>
      <c r="H91" s="71" t="inlineStr">
        <is>
          <t>Orta</t>
        </is>
      </c>
      <c r="I91" s="72" t="n">
        <v>46296</v>
      </c>
      <c r="J91" s="72" t="n">
        <v>46310</v>
      </c>
      <c r="K91" s="73">
        <f>IF(OR($I91="",$J91=""),"",$J91-$I91+1)</f>
        <v>15</v>
      </c>
      <c r="L91" s="56" t="n"/>
      <c r="M91" s="74">
        <f>IF($J91="","",$J91+N($L91))</f>
        <v>46310</v>
      </c>
      <c r="N91" s="75" t="n"/>
      <c r="O91" s="69" t="str">
        <f>IF($C91="","",IF(N($N91)&gt;=1,"Tamamlandı",IF(AND($J91&lt;&gt;"",$M91&lt;Hesap!$B$3),"Gecikmiş",IF(OR(N($N91)&gt;0,AND($I91&lt;&gt;"",$I91&lt;=Hesap!$B$3)),"Devam Ediyor","Planlanan"))))</f>
        <v>Devam Ediyor</v>
      </c>
      <c r="P91" s="70" t="n"/>
      <c r="Q91" s="70" t="n"/>
      <c r="R91" s="72" t="n"/>
      <c r="S91" s="73">
        <f>IF(OR($J91="",$R91=""),"",$R91-$J91)</f>
        <v/>
      </c>
      <c r="T91" s="76">
        <f>IF($C91="","",IF($J91="","",IF($R91&lt;&gt;"",IF($S91&gt;7,"⚠ "&amp;TEXT($S91,"0")&amp;" günde yapıldı (geç)","✔ "&amp;TEXT($S91,"0")&amp;" günde yapıldı"),IF($J91&gt;Hesap!$B$3,"",IF($J91+7&lt;Hesap!$B$3,"⚠ Mutabakat "&amp;TEXT(Hesap!$B$3-($J91+7),"0")&amp;" gün gecikti","● Mutabakat için "&amp;TEXT($J91+7-Hesap!$B$3,"0")&amp;" gün")))))</f>
        <v/>
      </c>
      <c r="U91" s="76" t="str">
        <f>IF($Y91="","",IF($Y91&gt;0.3,"⚠ Gecikebilir (%"&amp;TEXT($Y91*100,"0")&amp;" geride)",""))</f>
        <v>⚠ Gecikebilir (%33 geride)</v>
      </c>
      <c r="V91" s="76" t="str">
        <f>IF($C91="","",IF($O91="Tamamlandı","",IF($M91="","",IF($M91&lt;Hesap!$B$3,"⚠ "&amp;TEXT(Hesap!$B$3-$M91,"0")&amp;" gün gecikme",IF($M91-Hesap!$B$3&lt;=14,"● "&amp;TEXT($M91-Hesap!$B$3,"0")&amp;" gün kaldı","")))))</f>
        <v>● 10 gün kaldı</v>
      </c>
      <c r="W91">
        <f>IF($C91="","",IF($O91="Tamamlandı",N($L91),MAX(N($L91),IF(AND($J91&lt;&gt;"",$J91&lt;Hesap!$B$3),Hesap!$B$3-$J91,0)))+ROW()/1000000)</f>
        <v>0.000091</v>
      </c>
      <c r="X91">
        <f>IF($W91="","",INT($W91))</f>
        <v>0</v>
      </c>
      <c r="Y91">
        <f>IF(OR($C91="",$I91="",$K91="",$K91&lt;=0,$O91="Tamamlandı"),"",IF(Hesap!$B$3&lt;$I91,"",MIN(1,(Hesap!$B$3-$I91+1)/$K91)-N($N91)))</f>
        <v>0.3333333333</v>
      </c>
    </row>
    <row r="92" ht="61.5" customHeight="1">
      <c r="A92" s="69">
        <f>IF($C92="","",ROW()-4)</f>
        <v>88</v>
      </c>
      <c r="B92" s="70" t="inlineStr">
        <is>
          <t>BIGR</t>
        </is>
      </c>
      <c r="C92" s="70" t="inlineStr">
        <is>
          <t>4.1.2  Erişim Kayıtları Yönetimi</t>
        </is>
      </c>
      <c r="D92" s="71" t="inlineStr">
        <is>
          <t>Ornek User4</t>
        </is>
      </c>
      <c r="E92" s="71" t="n"/>
      <c r="F92" s="71" t="n"/>
      <c r="G92" s="71" t="n"/>
      <c r="H92" s="71" t="inlineStr">
        <is>
          <t>Orta</t>
        </is>
      </c>
      <c r="I92" s="72" t="n">
        <v>46307</v>
      </c>
      <c r="J92" s="72" t="n">
        <v>46328</v>
      </c>
      <c r="K92" s="73">
        <f>IF(OR($I92="",$J92=""),"",$J92-$I92+1)</f>
        <v>22</v>
      </c>
      <c r="L92" s="56" t="n"/>
      <c r="M92" s="74">
        <f>IF($J92="","",$J92+N($L92))</f>
        <v>46328</v>
      </c>
      <c r="N92" s="75" t="n"/>
      <c r="O92" s="69" t="str">
        <f>IF($C92="","",IF(N($N92)&gt;=1,"Tamamlandı",IF(AND($J92&lt;&gt;"",$M92&lt;Hesap!$B$3),"Gecikmiş",IF(OR(N($N92)&gt;0,AND($I92&lt;&gt;"",$I92&lt;=Hesap!$B$3)),"Devam Ediyor","Planlanan"))))</f>
        <v>Planlanan</v>
      </c>
      <c r="P92" s="70" t="n"/>
      <c r="Q92" s="70" t="n"/>
      <c r="R92" s="72" t="n"/>
      <c r="S92" s="73">
        <f>IF(OR($J92="",$R92=""),"",$R92-$J92)</f>
        <v/>
      </c>
      <c r="T92" s="76">
        <f>IF($C92="","",IF($J92="","",IF($R92&lt;&gt;"",IF($S92&gt;7,"⚠ "&amp;TEXT($S92,"0")&amp;" günde yapıldı (geç)","✔ "&amp;TEXT($S92,"0")&amp;" günde yapıldı"),IF($J92&gt;Hesap!$B$3,"",IF($J92+7&lt;Hesap!$B$3,"⚠ Mutabakat "&amp;TEXT(Hesap!$B$3-($J92+7),"0")&amp;" gün gecikti","● Mutabakat için "&amp;TEXT($J92+7-Hesap!$B$3,"0")&amp;" gün")))))</f>
        <v/>
      </c>
      <c r="U92" s="76">
        <f>IF($Y92="","",IF($Y92&gt;0.3,"⚠ Gecikebilir (%"&amp;TEXT($Y92*100,"0")&amp;" geride)",""))</f>
        <v/>
      </c>
      <c r="V92" s="76">
        <f>IF($C92="","",IF($O92="Tamamlandı","",IF($M92="","",IF($M92&lt;Hesap!$B$3,"⚠ "&amp;TEXT(Hesap!$B$3-$M92,"0")&amp;" gün gecikme",IF($M92-Hesap!$B$3&lt;=14,"● "&amp;TEXT($M92-Hesap!$B$3,"0")&amp;" gün kaldı","")))))</f>
        <v/>
      </c>
      <c r="W92">
        <f>IF($C92="","",IF($O92="Tamamlandı",N($L92),MAX(N($L92),IF(AND($J92&lt;&gt;"",$J92&lt;Hesap!$B$3),Hesap!$B$3-$J92,0)))+ROW()/1000000)</f>
        <v>0.000092</v>
      </c>
      <c r="X92">
        <f>IF($W92="","",INT($W92))</f>
        <v>0</v>
      </c>
      <c r="Y92">
        <f>IF(OR($C92="",$I92="",$K92="",$K92&lt;=0,$O92="Tamamlandı"),"",IF(Hesap!$B$3&lt;$I92,"",MIN(1,(Hesap!$B$3-$I92+1)/$K92)-N($N92)))</f>
        <v/>
      </c>
    </row>
    <row r="93" ht="136.5" customHeight="1">
      <c r="A93" s="69">
        <f>IF($C93="","",ROW()-4)</f>
        <v>89</v>
      </c>
      <c r="B93" s="70" t="inlineStr">
        <is>
          <t>BIGR</t>
        </is>
      </c>
      <c r="C93" s="70" t="inlineStr">
        <is>
          <t>4.1.3 Yetkilendirme</t>
        </is>
      </c>
      <c r="D93" s="71" t="inlineStr">
        <is>
          <t>Ornek User4</t>
        </is>
      </c>
      <c r="E93" s="71" t="inlineStr">
        <is>
          <t>Ornek User9</t>
        </is>
      </c>
      <c r="F93" s="71" t="n"/>
      <c r="G93" s="71" t="n"/>
      <c r="H93" s="71" t="inlineStr">
        <is>
          <t>Orta</t>
        </is>
      </c>
      <c r="I93" s="72" t="n">
        <v>46283</v>
      </c>
      <c r="J93" s="72" t="n">
        <v>46295</v>
      </c>
      <c r="K93" s="73">
        <f>IF(OR($I93="",$J93=""),"",$J93-$I93+1)</f>
        <v>13</v>
      </c>
      <c r="L93" s="56" t="n"/>
      <c r="M93" s="74">
        <f>IF($J93="","",$J93+N($L93))</f>
        <v>46295</v>
      </c>
      <c r="N93" s="75" t="n"/>
      <c r="O93" s="69" t="str">
        <f>IF($C93="","",IF(N($N93)&gt;=1,"Tamamlandı",IF(AND($J93&lt;&gt;"",$M93&lt;Hesap!$B$3),"Gecikmiş",IF(OR(N($N93)&gt;0,AND($I93&lt;&gt;"",$I93&lt;=Hesap!$B$3)),"Devam Ediyor","Planlanan"))))</f>
        <v>Gecikmiş</v>
      </c>
      <c r="P93" s="70" t="n"/>
      <c r="Q93" s="70" t="n"/>
      <c r="R93" s="72" t="n"/>
      <c r="S93" s="73">
        <f>IF(OR($J93="",$R93=""),"",$R93-$J93)</f>
        <v/>
      </c>
      <c r="T93" s="76" t="str">
        <f>IF($C93="","",IF($J93="","",IF($R93&lt;&gt;"",IF($S93&gt;7,"⚠ "&amp;TEXT($S93,"0")&amp;" günde yapıldı (geç)","✔ "&amp;TEXT($S93,"0")&amp;" günde yapıldı"),IF($J93&gt;Hesap!$B$3,"",IF($J93+7&lt;Hesap!$B$3,"⚠ Mutabakat "&amp;TEXT(Hesap!$B$3-($J93+7),"0")&amp;" gün gecikti","● Mutabakat için "&amp;TEXT($J93+7-Hesap!$B$3,"0")&amp;" gün")))))</f>
        <v>● Mutabakat için 2 gün</v>
      </c>
      <c r="U93" s="76" t="str">
        <f>IF($Y93="","",IF($Y93&gt;0.3,"⚠ Gecikebilir (%"&amp;TEXT($Y93*100,"0")&amp;" geride)",""))</f>
        <v>⚠ Gecikebilir (%100 geride)</v>
      </c>
      <c r="V93" s="76" t="str">
        <f>IF($C93="","",IF($O93="Tamamlandı","",IF($M93="","",IF($M93&lt;Hesap!$B$3,"⚠ "&amp;TEXT(Hesap!$B$3-$M93,"0")&amp;" gün gecikme",IF($M93-Hesap!$B$3&lt;=14,"● "&amp;TEXT($M93-Hesap!$B$3,"0")&amp;" gün kaldı","")))))</f>
        <v>⚠ 5 gün gecikme</v>
      </c>
      <c r="W93">
        <f>IF($C93="","",IF($O93="Tamamlandı",N($L93),MAX(N($L93),IF(AND($J93&lt;&gt;"",$J93&lt;Hesap!$B$3),Hesap!$B$3-$J93,0)))+ROW()/1000000)</f>
        <v>5.000093</v>
      </c>
      <c r="X93">
        <f>IF($W93="","",INT($W93))</f>
        <v>5</v>
      </c>
      <c r="Y93">
        <f>IF(OR($C93="",$I93="",$K93="",$K93&lt;=0,$O93="Tamamlandı"),"",IF(Hesap!$B$3&lt;$I93,"",MIN(1,(Hesap!$B$3-$I93+1)/$K93)-N($N93)))</f>
        <v>1</v>
      </c>
    </row>
    <row r="94" ht="18" customHeight="1">
      <c r="A94" s="69">
        <f>IF($C94="","",ROW()-4)</f>
        <v>90</v>
      </c>
      <c r="B94" s="70" t="inlineStr">
        <is>
          <t>BIGR</t>
        </is>
      </c>
      <c r="C94" s="70" t="inlineStr">
        <is>
          <t>4.1.4 Şifreleme</t>
        </is>
      </c>
      <c r="D94" s="71" t="inlineStr">
        <is>
          <t>Ornek User4</t>
        </is>
      </c>
      <c r="E94" s="71" t="n"/>
      <c r="F94" s="71" t="n"/>
      <c r="G94" s="71" t="n"/>
      <c r="H94" s="71" t="inlineStr">
        <is>
          <t>Orta</t>
        </is>
      </c>
      <c r="I94" s="72" t="n">
        <v>46307</v>
      </c>
      <c r="J94" s="72" t="n">
        <v>46331</v>
      </c>
      <c r="K94" s="73">
        <f>IF(OR($I94="",$J94=""),"",$J94-$I94+1)</f>
        <v>25</v>
      </c>
      <c r="L94" s="56" t="n"/>
      <c r="M94" s="74">
        <f>IF($J94="","",$J94+N($L94))</f>
        <v>46331</v>
      </c>
      <c r="N94" s="75" t="n"/>
      <c r="O94" s="69" t="str">
        <f>IF($C94="","",IF(N($N94)&gt;=1,"Tamamlandı",IF(AND($J94&lt;&gt;"",$M94&lt;Hesap!$B$3),"Gecikmiş",IF(OR(N($N94)&gt;0,AND($I94&lt;&gt;"",$I94&lt;=Hesap!$B$3)),"Devam Ediyor","Planlanan"))))</f>
        <v>Planlanan</v>
      </c>
      <c r="P94" s="70" t="n"/>
      <c r="Q94" s="70" t="n"/>
      <c r="R94" s="72" t="n"/>
      <c r="S94" s="73">
        <f>IF(OR($J94="",$R94=""),"",$R94-$J94)</f>
        <v/>
      </c>
      <c r="T94" s="76">
        <f>IF($C94="","",IF($J94="","",IF($R94&lt;&gt;"",IF($S94&gt;7,"⚠ "&amp;TEXT($S94,"0")&amp;" günde yapıldı (geç)","✔ "&amp;TEXT($S94,"0")&amp;" günde yapıldı"),IF($J94&gt;Hesap!$B$3,"",IF($J94+7&lt;Hesap!$B$3,"⚠ Mutabakat "&amp;TEXT(Hesap!$B$3-($J94+7),"0")&amp;" gün gecikti","● Mutabakat için "&amp;TEXT($J94+7-Hesap!$B$3,"0")&amp;" gün")))))</f>
        <v/>
      </c>
      <c r="U94" s="76">
        <f>IF($Y94="","",IF($Y94&gt;0.3,"⚠ Gecikebilir (%"&amp;TEXT($Y94*100,"0")&amp;" geride)",""))</f>
        <v/>
      </c>
      <c r="V94" s="76">
        <f>IF($C94="","",IF($O94="Tamamlandı","",IF($M94="","",IF($M94&lt;Hesap!$B$3,"⚠ "&amp;TEXT(Hesap!$B$3-$M94,"0")&amp;" gün gecikme",IF($M94-Hesap!$B$3&lt;=14,"● "&amp;TEXT($M94-Hesap!$B$3,"0")&amp;" gün kaldı","")))))</f>
        <v/>
      </c>
      <c r="W94">
        <f>IF($C94="","",IF($O94="Tamamlandı",N($L94),MAX(N($L94),IF(AND($J94&lt;&gt;"",$J94&lt;Hesap!$B$3),Hesap!$B$3-$J94,0)))+ROW()/1000000)</f>
        <v>0.000094</v>
      </c>
      <c r="X94">
        <f>IF($W94="","",INT($W94))</f>
        <v>0</v>
      </c>
      <c r="Y94">
        <f>IF(OR($C94="",$I94="",$K94="",$K94&lt;=0,$O94="Tamamlandı"),"",IF(Hesap!$B$3&lt;$I94,"",MIN(1,(Hesap!$B$3-$I94+1)/$K94)-N($N94)))</f>
        <v/>
      </c>
    </row>
    <row r="95" ht="25.5" customHeight="1">
      <c r="A95" s="69">
        <f>IF($C95="","",ROW()-4)</f>
        <v>91</v>
      </c>
      <c r="B95" s="70" t="inlineStr">
        <is>
          <t>BIGR</t>
        </is>
      </c>
      <c r="C95" s="70" t="inlineStr">
        <is>
          <t>4.1.5 Yedekleme, Silme, Yok Etme ve Anonim Hale Getirme</t>
        </is>
      </c>
      <c r="D95" s="71" t="inlineStr">
        <is>
          <t>Ornek User4</t>
        </is>
      </c>
      <c r="E95" s="71" t="n"/>
      <c r="F95" s="71" t="n"/>
      <c r="G95" s="71" t="n"/>
      <c r="H95" s="71" t="inlineStr">
        <is>
          <t>Orta</t>
        </is>
      </c>
      <c r="I95" s="72" t="n">
        <v>46307</v>
      </c>
      <c r="J95" s="72" t="n">
        <v>46331</v>
      </c>
      <c r="K95" s="73">
        <f>IF(OR($I95="",$J95=""),"",$J95-$I95+1)</f>
        <v>25</v>
      </c>
      <c r="L95" s="56" t="n"/>
      <c r="M95" s="74">
        <f>IF($J95="","",$J95+N($L95))</f>
        <v>46331</v>
      </c>
      <c r="N95" s="75" t="n"/>
      <c r="O95" s="69" t="str">
        <f>IF($C95="","",IF(N($N95)&gt;=1,"Tamamlandı",IF(AND($J95&lt;&gt;"",$M95&lt;Hesap!$B$3),"Gecikmiş",IF(OR(N($N95)&gt;0,AND($I95&lt;&gt;"",$I95&lt;=Hesap!$B$3)),"Devam Ediyor","Planlanan"))))</f>
        <v>Planlanan</v>
      </c>
      <c r="P95" s="70" t="n"/>
      <c r="Q95" s="70" t="n"/>
      <c r="R95" s="72" t="n"/>
      <c r="S95" s="73">
        <f>IF(OR($J95="",$R95=""),"",$R95-$J95)</f>
        <v/>
      </c>
      <c r="T95" s="76">
        <f>IF($C95="","",IF($J95="","",IF($R95&lt;&gt;"",IF($S95&gt;7,"⚠ "&amp;TEXT($S95,"0")&amp;" günde yapıldı (geç)","✔ "&amp;TEXT($S95,"0")&amp;" günde yapıldı"),IF($J95&gt;Hesap!$B$3,"",IF($J95+7&lt;Hesap!$B$3,"⚠ Mutabakat "&amp;TEXT(Hesap!$B$3-($J95+7),"0")&amp;" gün gecikti","● Mutabakat için "&amp;TEXT($J95+7-Hesap!$B$3,"0")&amp;" gün")))))</f>
        <v/>
      </c>
      <c r="U95" s="76">
        <f>IF($Y95="","",IF($Y95&gt;0.3,"⚠ Gecikebilir (%"&amp;TEXT($Y95*100,"0")&amp;" geride)",""))</f>
        <v/>
      </c>
      <c r="V95" s="76">
        <f>IF($C95="","",IF($O95="Tamamlandı","",IF($M95="","",IF($M95&lt;Hesap!$B$3,"⚠ "&amp;TEXT(Hesap!$B$3-$M95,"0")&amp;" gün gecikme",IF($M95-Hesap!$B$3&lt;=14,"● "&amp;TEXT($M95-Hesap!$B$3,"0")&amp;" gün kaldı","")))))</f>
        <v/>
      </c>
      <c r="W95">
        <f>IF($C95="","",IF($O95="Tamamlandı",N($L95),MAX(N($L95),IF(AND($J95&lt;&gt;"",$J95&lt;Hesap!$B$3),Hesap!$B$3-$J95,0)))+ROW()/1000000)</f>
        <v>0.000095</v>
      </c>
      <c r="X95">
        <f>IF($W95="","",INT($W95))</f>
        <v>0</v>
      </c>
      <c r="Y95">
        <f>IF(OR($C95="",$I95="",$K95="",$K95&lt;=0,$O95="Tamamlandı"),"",IF(Hesap!$B$3&lt;$I95,"",MIN(1,(Hesap!$B$3-$I95+1)/$K95)-N($N95)))</f>
        <v/>
      </c>
    </row>
    <row r="96" ht="18" customHeight="1">
      <c r="A96" s="69">
        <f>IF($C96="","",ROW()-4)</f>
        <v>92</v>
      </c>
      <c r="B96" s="70" t="inlineStr">
        <is>
          <t>BIGR</t>
        </is>
      </c>
      <c r="C96" s="70" t="inlineStr">
        <is>
          <t>5.3.1 Web Sunucusu Sıkılaştırma Tedbirler</t>
        </is>
      </c>
      <c r="D96" s="71" t="inlineStr">
        <is>
          <t>Ornek User9</t>
        </is>
      </c>
      <c r="E96" s="71" t="n"/>
      <c r="F96" s="71" t="n"/>
      <c r="G96" s="71" t="n"/>
      <c r="H96" s="71" t="inlineStr">
        <is>
          <t>Orta</t>
        </is>
      </c>
      <c r="I96" s="72" t="n">
        <v>46314</v>
      </c>
      <c r="J96" s="72" t="n">
        <v>46328</v>
      </c>
      <c r="K96" s="73">
        <f>IF(OR($I96="",$J96=""),"",$J96-$I96+1)</f>
        <v>15</v>
      </c>
      <c r="L96" s="56" t="n"/>
      <c r="M96" s="74">
        <f>IF($J96="","",$J96+N($L96))</f>
        <v>46328</v>
      </c>
      <c r="N96" s="75" t="n"/>
      <c r="O96" s="69" t="str">
        <f>IF($C96="","",IF(N($N96)&gt;=1,"Tamamlandı",IF(AND($J96&lt;&gt;"",$M96&lt;Hesap!$B$3),"Gecikmiş",IF(OR(N($N96)&gt;0,AND($I96&lt;&gt;"",$I96&lt;=Hesap!$B$3)),"Devam Ediyor","Planlanan"))))</f>
        <v>Planlanan</v>
      </c>
      <c r="P96" s="70" t="n"/>
      <c r="Q96" s="70" t="n"/>
      <c r="R96" s="72" t="n"/>
      <c r="S96" s="73">
        <f>IF(OR($J96="",$R96=""),"",$R96-$J96)</f>
        <v/>
      </c>
      <c r="T96" s="76">
        <f>IF($C96="","",IF($J96="","",IF($R96&lt;&gt;"",IF($S96&gt;7,"⚠ "&amp;TEXT($S96,"0")&amp;" günde yapıldı (geç)","✔ "&amp;TEXT($S96,"0")&amp;" günde yapıldı"),IF($J96&gt;Hesap!$B$3,"",IF($J96+7&lt;Hesap!$B$3,"⚠ Mutabakat "&amp;TEXT(Hesap!$B$3-($J96+7),"0")&amp;" gün gecikti","● Mutabakat için "&amp;TEXT($J96+7-Hesap!$B$3,"0")&amp;" gün")))))</f>
        <v/>
      </c>
      <c r="U96" s="76">
        <f>IF($Y96="","",IF($Y96&gt;0.3,"⚠ Gecikebilir (%"&amp;TEXT($Y96*100,"0")&amp;" geride)",""))</f>
        <v/>
      </c>
      <c r="V96" s="76">
        <f>IF($C96="","",IF($O96="Tamamlandı","",IF($M96="","",IF($M96&lt;Hesap!$B$3,"⚠ "&amp;TEXT(Hesap!$B$3-$M96,"0")&amp;" gün gecikme",IF($M96-Hesap!$B$3&lt;=14,"● "&amp;TEXT($M96-Hesap!$B$3,"0")&amp;" gün kaldı","")))))</f>
        <v/>
      </c>
      <c r="W96">
        <f>IF($C96="","",IF($O96="Tamamlandı",N($L96),MAX(N($L96),IF(AND($J96&lt;&gt;"",$J96&lt;Hesap!$B$3),Hesap!$B$3-$J96,0)))+ROW()/1000000)</f>
        <v>0.000096</v>
      </c>
      <c r="X96">
        <f>IF($W96="","",INT($W96))</f>
        <v>0</v>
      </c>
      <c r="Y96">
        <f>IF(OR($C96="",$I96="",$K96="",$K96&lt;=0,$O96="Tamamlandı"),"",IF(Hesap!$B$3&lt;$I96,"",MIN(1,(Hesap!$B$3-$I96+1)/$K96)-N($N96)))</f>
        <v/>
      </c>
    </row>
    <row r="97" ht="18" customHeight="1">
      <c r="A97" s="69">
        <f>IF($C97="","",ROW()-4)</f>
        <v>93</v>
      </c>
      <c r="B97" s="70" t="inlineStr">
        <is>
          <t>BIGR</t>
        </is>
      </c>
      <c r="C97" s="70" t="inlineStr">
        <is>
          <t>5.3.2 Sanallaştırma Sunucusu Sıkılaştırma Tedbirleri</t>
        </is>
      </c>
      <c r="D97" s="71" t="inlineStr">
        <is>
          <t>Ornek User9</t>
        </is>
      </c>
      <c r="E97" s="71" t="n"/>
      <c r="F97" s="71" t="n"/>
      <c r="G97" s="71" t="n"/>
      <c r="H97" s="71" t="inlineStr">
        <is>
          <t>Orta</t>
        </is>
      </c>
      <c r="I97" s="72" t="n">
        <v>46314</v>
      </c>
      <c r="J97" s="72" t="n">
        <v>46328</v>
      </c>
      <c r="K97" s="73">
        <f>IF(OR($I97="",$J97=""),"",$J97-$I97+1)</f>
        <v>15</v>
      </c>
      <c r="L97" s="56" t="n"/>
      <c r="M97" s="74">
        <f>IF($J97="","",$J97+N($L97))</f>
        <v>46328</v>
      </c>
      <c r="N97" s="75" t="n"/>
      <c r="O97" s="69" t="str">
        <f>IF($C97="","",IF(N($N97)&gt;=1,"Tamamlandı",IF(AND($J97&lt;&gt;"",$M97&lt;Hesap!$B$3),"Gecikmiş",IF(OR(N($N97)&gt;0,AND($I97&lt;&gt;"",$I97&lt;=Hesap!$B$3)),"Devam Ediyor","Planlanan"))))</f>
        <v>Planlanan</v>
      </c>
      <c r="P97" s="70" t="n"/>
      <c r="Q97" s="70" t="n"/>
      <c r="R97" s="72" t="n"/>
      <c r="S97" s="73">
        <f>IF(OR($J97="",$R97=""),"",$R97-$J97)</f>
        <v/>
      </c>
      <c r="T97" s="76">
        <f>IF($C97="","",IF($J97="","",IF($R97&lt;&gt;"",IF($S97&gt;7,"⚠ "&amp;TEXT($S97,"0")&amp;" günde yapıldı (geç)","✔ "&amp;TEXT($S97,"0")&amp;" günde yapıldı"),IF($J97&gt;Hesap!$B$3,"",IF($J97+7&lt;Hesap!$B$3,"⚠ Mutabakat "&amp;TEXT(Hesap!$B$3-($J97+7),"0")&amp;" gün gecikti","● Mutabakat için "&amp;TEXT($J97+7-Hesap!$B$3,"0")&amp;" gün")))))</f>
        <v/>
      </c>
      <c r="U97" s="76">
        <f>IF($Y97="","",IF($Y97&gt;0.3,"⚠ Gecikebilir (%"&amp;TEXT($Y97*100,"0")&amp;" geride)",""))</f>
        <v/>
      </c>
      <c r="V97" s="76">
        <f>IF($C97="","",IF($O97="Tamamlandı","",IF($M97="","",IF($M97&lt;Hesap!$B$3,"⚠ "&amp;TEXT(Hesap!$B$3-$M97,"0")&amp;" gün gecikme",IF($M97-Hesap!$B$3&lt;=14,"● "&amp;TEXT($M97-Hesap!$B$3,"0")&amp;" gün kaldı","")))))</f>
        <v/>
      </c>
      <c r="W97">
        <f>IF($C97="","",IF($O97="Tamamlandı",N($L97),MAX(N($L97),IF(AND($J97&lt;&gt;"",$J97&lt;Hesap!$B$3),Hesap!$B$3-$J97,0)))+ROW()/1000000)</f>
        <v>0.000097</v>
      </c>
      <c r="X97">
        <f>IF($W97="","",INT($W97))</f>
        <v>0</v>
      </c>
      <c r="Y97">
        <f>IF(OR($C97="",$I97="",$K97="",$K97&lt;=0,$O97="Tamamlandı"),"",IF(Hesap!$B$3&lt;$I97,"",MIN(1,(Hesap!$B$3-$I97+1)/$K97)-N($N97)))</f>
        <v/>
      </c>
    </row>
    <row r="98" ht="38.25" customHeight="1">
      <c r="A98" s="69">
        <f>IF($C98="","",ROW()-4)</f>
        <v>94</v>
      </c>
      <c r="B98" s="70" t="inlineStr">
        <is>
          <t>Destek Hizmeti Denetimler</t>
        </is>
      </c>
      <c r="C98" s="70" t="inlineStr">
        <is>
          <t>Teleperformance Dış Hizmet Denetimi
Sözleşmeye uyum ve yasal durumu incelenecek. RM hizmeti de olduğu için ek konular çıkabilir.</t>
        </is>
      </c>
      <c r="D98" s="71" t="inlineStr">
        <is>
          <t>Ornek User13</t>
        </is>
      </c>
      <c r="E98" s="71" t="n"/>
      <c r="F98" s="71" t="n"/>
      <c r="G98" s="71" t="n"/>
      <c r="H98" s="71" t="inlineStr">
        <is>
          <t>Orta</t>
        </is>
      </c>
      <c r="I98" s="72" t="n">
        <v>46276</v>
      </c>
      <c r="J98" s="72" t="n">
        <v>46328</v>
      </c>
      <c r="K98" s="73">
        <f>IF(OR($I98="",$J98=""),"",$J98-$I98+1)</f>
        <v>53</v>
      </c>
      <c r="L98" s="56" t="n"/>
      <c r="M98" s="74">
        <f>IF($J98="","",$J98+N($L98))</f>
        <v>46328</v>
      </c>
      <c r="N98" s="75" t="n"/>
      <c r="O98" s="69" t="str">
        <f>IF($C98="","",IF(N($N98)&gt;=1,"Tamamlandı",IF(AND($J98&lt;&gt;"",$M98&lt;Hesap!$B$3),"Gecikmiş",IF(OR(N($N98)&gt;0,AND($I98&lt;&gt;"",$I98&lt;=Hesap!$B$3)),"Devam Ediyor","Planlanan"))))</f>
        <v>Devam Ediyor</v>
      </c>
      <c r="P98" s="70" t="n"/>
      <c r="Q98" s="70" t="n"/>
      <c r="R98" s="72" t="n"/>
      <c r="S98" s="73">
        <f>IF(OR($J98="",$R98=""),"",$R98-$J98)</f>
        <v/>
      </c>
      <c r="T98" s="76">
        <f>IF($C98="","",IF($J98="","",IF($R98&lt;&gt;"",IF($S98&gt;7,"⚠ "&amp;TEXT($S98,"0")&amp;" günde yapıldı (geç)","✔ "&amp;TEXT($S98,"0")&amp;" günde yapıldı"),IF($J98&gt;Hesap!$B$3,"",IF($J98+7&lt;Hesap!$B$3,"⚠ Mutabakat "&amp;TEXT(Hesap!$B$3-($J98+7),"0")&amp;" gün gecikti","● Mutabakat için "&amp;TEXT($J98+7-Hesap!$B$3,"0")&amp;" gün")))))</f>
        <v/>
      </c>
      <c r="U98" s="76" t="str">
        <f>IF($Y98="","",IF($Y98&gt;0.3,"⚠ Gecikebilir (%"&amp;TEXT($Y98*100,"0")&amp;" geride)",""))</f>
        <v>⚠ Gecikebilir (%47 geride)</v>
      </c>
      <c r="V98" s="76">
        <f>IF($C98="","",IF($O98="Tamamlandı","",IF($M98="","",IF($M98&lt;Hesap!$B$3,"⚠ "&amp;TEXT(Hesap!$B$3-$M98,"0")&amp;" gün gecikme",IF($M98-Hesap!$B$3&lt;=14,"● "&amp;TEXT($M98-Hesap!$B$3,"0")&amp;" gün kaldı","")))))</f>
        <v/>
      </c>
      <c r="W98">
        <f>IF($C98="","",IF($O98="Tamamlandı",N($L98),MAX(N($L98),IF(AND($J98&lt;&gt;"",$J98&lt;Hesap!$B$3),Hesap!$B$3-$J98,0)))+ROW()/1000000)</f>
        <v>0.000098</v>
      </c>
      <c r="X98">
        <f>IF($W98="","",INT($W98))</f>
        <v>0</v>
      </c>
      <c r="Y98">
        <f>IF(OR($C98="",$I98="",$K98="",$K98&lt;=0,$O98="Tamamlandı"),"",IF(Hesap!$B$3&lt;$I98,"",MIN(1,(Hesap!$B$3-$I98+1)/$K98)-N($N98)))</f>
        <v>0.4716981132</v>
      </c>
    </row>
    <row r="99" ht="89.25" customHeight="1">
      <c r="A99" s="69">
        <f>IF($C99="","",ROW()-4)</f>
        <v>95</v>
      </c>
      <c r="B99" s="70" t="inlineStr">
        <is>
          <t>Ad-Hoc İşler</t>
        </is>
      </c>
      <c r="C99" s="70" t="inlineStr">
        <is>
          <t>Faaliyet İzni İptal Edilen Kurumlara İlişkin Yetki İptal Sürecinin İncelenmesi
Finans ve İş Birimleri Ekibi'ne denetim sürecinde destek olunacaktır.
30.09.2026 tarihinde Yetkilendirme Yönetimi Ekibi ile toplantı yapılmıştır.</t>
        </is>
      </c>
      <c r="D99" s="71" t="inlineStr">
        <is>
          <t>Ornek User4</t>
        </is>
      </c>
      <c r="E99" s="71" t="n"/>
      <c r="F99" s="71" t="n"/>
      <c r="G99" s="71" t="n"/>
      <c r="H99" s="71" t="inlineStr">
        <is>
          <t>Orta</t>
        </is>
      </c>
      <c r="I99" s="72" t="n">
        <v>46295</v>
      </c>
      <c r="J99" s="72" t="n"/>
      <c r="K99" s="73">
        <f>IF(OR($I99="",$J99=""),"",$J99-$I99+1)</f>
        <v/>
      </c>
      <c r="L99" s="56" t="n"/>
      <c r="M99" s="74">
        <f>IF($J99="","",$J99+N($L99))</f>
        <v/>
      </c>
      <c r="N99" s="75" t="n"/>
      <c r="O99" s="69" t="str">
        <f>IF($C99="","",IF(N($N99)&gt;=1,"Tamamlandı",IF(AND($J99&lt;&gt;"",$M99&lt;Hesap!$B$3),"Gecikmiş",IF(OR(N($N99)&gt;0,AND($I99&lt;&gt;"",$I99&lt;=Hesap!$B$3)),"Devam Ediyor","Planlanan"))))</f>
        <v>Devam Ediyor</v>
      </c>
      <c r="P99" s="70" t="n"/>
      <c r="Q99" s="70" t="n"/>
      <c r="R99" s="72" t="n"/>
      <c r="S99" s="73">
        <f>IF(OR($J99="",$R99=""),"",$R99-$J99)</f>
        <v/>
      </c>
      <c r="T99" s="76">
        <f>IF($C99="","",IF($J99="","",IF($R99&lt;&gt;"",IF($S99&gt;7,"⚠ "&amp;TEXT($S99,"0")&amp;" günde yapıldı (geç)","✔ "&amp;TEXT($S99,"0")&amp;" günde yapıldı"),IF($J99&gt;Hesap!$B$3,"",IF($J99+7&lt;Hesap!$B$3,"⚠ Mutabakat "&amp;TEXT(Hesap!$B$3-($J99+7),"0")&amp;" gün gecikti","● Mutabakat için "&amp;TEXT($J99+7-Hesap!$B$3,"0")&amp;" gün")))))</f>
        <v/>
      </c>
      <c r="U99" s="76">
        <f>IF($Y99="","",IF($Y99&gt;0.3,"⚠ Gecikebilir (%"&amp;TEXT($Y99*100,"0")&amp;" geride)",""))</f>
        <v/>
      </c>
      <c r="V99" s="76">
        <f>IF($C99="","",IF($O99="Tamamlandı","",IF($M99="","",IF($M99&lt;Hesap!$B$3,"⚠ "&amp;TEXT(Hesap!$B$3-$M99,"0")&amp;" gün gecikme",IF($M99-Hesap!$B$3&lt;=14,"● "&amp;TEXT($M99-Hesap!$B$3,"0")&amp;" gün kaldı","")))))</f>
        <v/>
      </c>
      <c r="W99">
        <f>IF($C99="","",IF($O99="Tamamlandı",N($L99),MAX(N($L99),IF(AND($J99&lt;&gt;"",$J99&lt;Hesap!$B$3),Hesap!$B$3-$J99,0)))+ROW()/1000000)</f>
        <v>0.000099</v>
      </c>
      <c r="X99">
        <f>IF($W99="","",INT($W99))</f>
        <v>0</v>
      </c>
      <c r="Y99">
        <f>IF(OR($C99="",$I99="",$K99="",$K99&lt;=0,$O99="Tamamlandı"),"",IF(Hesap!$B$3&lt;$I99,"",MIN(1,(Hesap!$B$3-$I99+1)/$K99)-N($N99)))</f>
        <v/>
      </c>
    </row>
    <row r="100" ht="18" customHeight="1">
      <c r="A100" s="69">
        <f>IF($C100="","",ROW()-4)</f>
        <v/>
      </c>
      <c r="B100" s="70" t="n"/>
      <c r="C100" s="70" t="n"/>
      <c r="D100" s="71" t="n"/>
      <c r="E100" s="71" t="n"/>
      <c r="F100" s="71" t="n"/>
      <c r="G100" s="71" t="n"/>
      <c r="H100" s="71" t="n"/>
      <c r="I100" s="72" t="n"/>
      <c r="J100" s="72" t="n"/>
      <c r="K100" s="73">
        <f>IF(OR($I100="",$J100=""),"",$J100-$I100+1)</f>
        <v/>
      </c>
      <c r="L100" s="56" t="n"/>
      <c r="M100" s="74">
        <f>IF($J100="","",$J100+N($L100))</f>
        <v/>
      </c>
      <c r="N100" s="75" t="n"/>
      <c r="O100" s="69">
        <f>IF($C100="","",IF(N($N100)&gt;=1,"Tamamlandı",IF(AND($J100&lt;&gt;"",$M100&lt;Hesap!$B$3),"Gecikmiş",IF(OR(N($N100)&gt;0,AND($I100&lt;&gt;"",$I100&lt;=Hesap!$B$3)),"Devam Ediyor","Planlanan"))))</f>
        <v/>
      </c>
      <c r="P100" s="70" t="n"/>
      <c r="Q100" s="70" t="n"/>
      <c r="R100" s="72" t="n"/>
      <c r="S100" s="73">
        <f>IF(OR($J100="",$R100=""),"",$R100-$J100)</f>
        <v/>
      </c>
      <c r="T100" s="76">
        <f>IF($C100="","",IF($J100="","",IF($R100&lt;&gt;"",IF($S100&gt;7,"⚠ "&amp;TEXT($S100,"0")&amp;" günde yapıldı (geç)","✔ "&amp;TEXT($S100,"0")&amp;" günde yapıldı"),IF($J100&gt;Hesap!$B$3,"",IF($J100+7&lt;Hesap!$B$3,"⚠ Mutabakat "&amp;TEXT(Hesap!$B$3-($J100+7),"0")&amp;" gün gecikti","● Mutabakat için "&amp;TEXT($J100+7-Hesap!$B$3,"0")&amp;" gün")))))</f>
        <v/>
      </c>
      <c r="U100" s="76">
        <f>IF($Y100="","",IF($Y100&gt;0.3,"⚠ Gecikebilir (%"&amp;TEXT($Y100*100,"0")&amp;" geride)",""))</f>
        <v/>
      </c>
      <c r="V100" s="76">
        <f>IF($C100="","",IF($O100="Tamamlandı","",IF($M100="","",IF($M100&lt;Hesap!$B$3,"⚠ "&amp;TEXT(Hesap!$B$3-$M100,"0")&amp;" gün gecikme",IF($M100-Hesap!$B$3&lt;=14,"● "&amp;TEXT($M100-Hesap!$B$3,"0")&amp;" gün kaldı","")))))</f>
        <v/>
      </c>
      <c r="W100">
        <f>IF($C100="","",IF($O100="Tamamlandı",N($L100),MAX(N($L100),IF(AND($J100&lt;&gt;"",$J100&lt;Hesap!$B$3),Hesap!$B$3-$J100,0)))+ROW()/1000000)</f>
        <v/>
      </c>
      <c r="X100">
        <f>IF($W100="","",INT($W100))</f>
        <v/>
      </c>
      <c r="Y100">
        <f>IF(OR($C100="",$I100="",$K100="",$K100&lt;=0,$O100="Tamamlandı"),"",IF(Hesap!$B$3&lt;$I100,"",MIN(1,(Hesap!$B$3-$I100+1)/$K100)-N($N100)))</f>
        <v/>
      </c>
    </row>
    <row r="101" ht="18" customHeight="1">
      <c r="A101" s="69">
        <f>IF($C101="","",ROW()-4)</f>
        <v/>
      </c>
      <c r="B101" s="70" t="n"/>
      <c r="C101" s="70" t="n"/>
      <c r="D101" s="71" t="n"/>
      <c r="E101" s="71" t="n"/>
      <c r="F101" s="71" t="n"/>
      <c r="G101" s="71" t="n"/>
      <c r="H101" s="71" t="n"/>
      <c r="I101" s="72" t="n"/>
      <c r="J101" s="72" t="n"/>
      <c r="K101" s="73">
        <f>IF(OR($I101="",$J101=""),"",$J101-$I101+1)</f>
        <v/>
      </c>
      <c r="L101" s="56" t="n"/>
      <c r="M101" s="74">
        <f>IF($J101="","",$J101+N($L101))</f>
        <v/>
      </c>
      <c r="N101" s="75" t="n"/>
      <c r="O101" s="69">
        <f>IF($C101="","",IF(N($N101)&gt;=1,"Tamamlandı",IF(AND($J101&lt;&gt;"",$M101&lt;Hesap!$B$3),"Gecikmiş",IF(OR(N($N101)&gt;0,AND($I101&lt;&gt;"",$I101&lt;=Hesap!$B$3)),"Devam Ediyor","Planlanan"))))</f>
        <v/>
      </c>
      <c r="P101" s="70" t="n"/>
      <c r="Q101" s="70" t="n"/>
      <c r="R101" s="72" t="n"/>
      <c r="S101" s="73">
        <f>IF(OR($J101="",$R101=""),"",$R101-$J101)</f>
        <v/>
      </c>
      <c r="T101" s="76">
        <f>IF($C101="","",IF($J101="","",IF($R101&lt;&gt;"",IF($S101&gt;7,"⚠ "&amp;TEXT($S101,"0")&amp;" günde yapıldı (geç)","✔ "&amp;TEXT($S101,"0")&amp;" günde yapıldı"),IF($J101&gt;Hesap!$B$3,"",IF($J101+7&lt;Hesap!$B$3,"⚠ Mutabakat "&amp;TEXT(Hesap!$B$3-($J101+7),"0")&amp;" gün gecikti","● Mutabakat için "&amp;TEXT($J101+7-Hesap!$B$3,"0")&amp;" gün")))))</f>
        <v/>
      </c>
      <c r="U101" s="76">
        <f>IF($Y101="","",IF($Y101&gt;0.3,"⚠ Gecikebilir (%"&amp;TEXT($Y101*100,"0")&amp;" geride)",""))</f>
        <v/>
      </c>
      <c r="V101" s="76">
        <f>IF($C101="","",IF($O101="Tamamlandı","",IF($M101="","",IF($M101&lt;Hesap!$B$3,"⚠ "&amp;TEXT(Hesap!$B$3-$M101,"0")&amp;" gün gecikme",IF($M101-Hesap!$B$3&lt;=14,"● "&amp;TEXT($M101-Hesap!$B$3,"0")&amp;" gün kaldı","")))))</f>
        <v/>
      </c>
      <c r="W101">
        <f>IF($C101="","",IF($O101="Tamamlandı",N($L101),MAX(N($L101),IF(AND($J101&lt;&gt;"",$J101&lt;Hesap!$B$3),Hesap!$B$3-$J101,0)))+ROW()/1000000)</f>
        <v/>
      </c>
      <c r="X101">
        <f>IF($W101="","",INT($W101))</f>
        <v/>
      </c>
      <c r="Y101">
        <f>IF(OR($C101="",$I101="",$K101="",$K101&lt;=0,$O101="Tamamlandı"),"",IF(Hesap!$B$3&lt;$I101,"",MIN(1,(Hesap!$B$3-$I101+1)/$K101)-N($N101)))</f>
        <v/>
      </c>
    </row>
    <row r="102" ht="18" customHeight="1">
      <c r="A102" s="69">
        <f>IF($C102="","",ROW()-4)</f>
        <v/>
      </c>
      <c r="B102" s="70" t="n"/>
      <c r="C102" s="70" t="n"/>
      <c r="D102" s="71" t="n"/>
      <c r="E102" s="71" t="n"/>
      <c r="F102" s="71" t="n"/>
      <c r="G102" s="71" t="n"/>
      <c r="H102" s="71" t="n"/>
      <c r="I102" s="72" t="n"/>
      <c r="J102" s="72" t="n"/>
      <c r="K102" s="73">
        <f>IF(OR($I102="",$J102=""),"",$J102-$I102+1)</f>
        <v/>
      </c>
      <c r="L102" s="56" t="n"/>
      <c r="M102" s="74">
        <f>IF($J102="","",$J102+N($L102))</f>
        <v/>
      </c>
      <c r="N102" s="75" t="n"/>
      <c r="O102" s="69">
        <f>IF($C102="","",IF(N($N102)&gt;=1,"Tamamlandı",IF(AND($J102&lt;&gt;"",$M102&lt;Hesap!$B$3),"Gecikmiş",IF(OR(N($N102)&gt;0,AND($I102&lt;&gt;"",$I102&lt;=Hesap!$B$3)),"Devam Ediyor","Planlanan"))))</f>
        <v/>
      </c>
      <c r="P102" s="70" t="n"/>
      <c r="Q102" s="70" t="n"/>
      <c r="R102" s="72" t="n"/>
      <c r="S102" s="73">
        <f>IF(OR($J102="",$R102=""),"",$R102-$J102)</f>
        <v/>
      </c>
      <c r="T102" s="76">
        <f>IF($C102="","",IF($J102="","",IF($R102&lt;&gt;"",IF($S102&gt;7,"⚠ "&amp;TEXT($S102,"0")&amp;" günde yapıldı (geç)","✔ "&amp;TEXT($S102,"0")&amp;" günde yapıldı"),IF($J102&gt;Hesap!$B$3,"",IF($J102+7&lt;Hesap!$B$3,"⚠ Mutabakat "&amp;TEXT(Hesap!$B$3-($J102+7),"0")&amp;" gün gecikti","● Mutabakat için "&amp;TEXT($J102+7-Hesap!$B$3,"0")&amp;" gün")))))</f>
        <v/>
      </c>
      <c r="U102" s="76">
        <f>IF($Y102="","",IF($Y102&gt;0.3,"⚠ Gecikebilir (%"&amp;TEXT($Y102*100,"0")&amp;" geride)",""))</f>
        <v/>
      </c>
      <c r="V102" s="76">
        <f>IF($C102="","",IF($O102="Tamamlandı","",IF($M102="","",IF($M102&lt;Hesap!$B$3,"⚠ "&amp;TEXT(Hesap!$B$3-$M102,"0")&amp;" gün gecikme",IF($M102-Hesap!$B$3&lt;=14,"● "&amp;TEXT($M102-Hesap!$B$3,"0")&amp;" gün kaldı","")))))</f>
        <v/>
      </c>
      <c r="W102">
        <f>IF($C102="","",IF($O102="Tamamlandı",N($L102),MAX(N($L102),IF(AND($J102&lt;&gt;"",$J102&lt;Hesap!$B$3),Hesap!$B$3-$J102,0)))+ROW()/1000000)</f>
        <v/>
      </c>
      <c r="X102">
        <f>IF($W102="","",INT($W102))</f>
        <v/>
      </c>
      <c r="Y102">
        <f>IF(OR($C102="",$I102="",$K102="",$K102&lt;=0,$O102="Tamamlandı"),"",IF(Hesap!$B$3&lt;$I102,"",MIN(1,(Hesap!$B$3-$I102+1)/$K102)-N($N102)))</f>
        <v/>
      </c>
    </row>
    <row r="103" ht="18" customHeight="1">
      <c r="A103" s="69">
        <f>IF($C103="","",ROW()-4)</f>
        <v/>
      </c>
      <c r="B103" s="70" t="n"/>
      <c r="C103" s="70" t="n"/>
      <c r="D103" s="71" t="n"/>
      <c r="E103" s="71" t="n"/>
      <c r="F103" s="71" t="n"/>
      <c r="G103" s="71" t="n"/>
      <c r="H103" s="71" t="n"/>
      <c r="I103" s="72" t="n"/>
      <c r="J103" s="72" t="n"/>
      <c r="K103" s="73">
        <f>IF(OR($I103="",$J103=""),"",$J103-$I103+1)</f>
        <v/>
      </c>
      <c r="L103" s="56" t="n"/>
      <c r="M103" s="74">
        <f>IF($J103="","",$J103+N($L103))</f>
        <v/>
      </c>
      <c r="N103" s="75" t="n"/>
      <c r="O103" s="69">
        <f>IF($C103="","",IF(N($N103)&gt;=1,"Tamamlandı",IF(AND($J103&lt;&gt;"",$M103&lt;Hesap!$B$3),"Gecikmiş",IF(OR(N($N103)&gt;0,AND($I103&lt;&gt;"",$I103&lt;=Hesap!$B$3)),"Devam Ediyor","Planlanan"))))</f>
        <v/>
      </c>
      <c r="P103" s="70" t="n"/>
      <c r="Q103" s="70" t="n"/>
      <c r="R103" s="72" t="n"/>
      <c r="S103" s="73">
        <f>IF(OR($J103="",$R103=""),"",$R103-$J103)</f>
        <v/>
      </c>
      <c r="T103" s="76">
        <f>IF($C103="","",IF($J103="","",IF($R103&lt;&gt;"",IF($S103&gt;7,"⚠ "&amp;TEXT($S103,"0")&amp;" günde yapıldı (geç)","✔ "&amp;TEXT($S103,"0")&amp;" günde yapıldı"),IF($J103&gt;Hesap!$B$3,"",IF($J103+7&lt;Hesap!$B$3,"⚠ Mutabakat "&amp;TEXT(Hesap!$B$3-($J103+7),"0")&amp;" gün gecikti","● Mutabakat için "&amp;TEXT($J103+7-Hesap!$B$3,"0")&amp;" gün")))))</f>
        <v/>
      </c>
      <c r="U103" s="76">
        <f>IF($Y103="","",IF($Y103&gt;0.3,"⚠ Gecikebilir (%"&amp;TEXT($Y103*100,"0")&amp;" geride)",""))</f>
        <v/>
      </c>
      <c r="V103" s="76">
        <f>IF($C103="","",IF($O103="Tamamlandı","",IF($M103="","",IF($M103&lt;Hesap!$B$3,"⚠ "&amp;TEXT(Hesap!$B$3-$M103,"0")&amp;" gün gecikme",IF($M103-Hesap!$B$3&lt;=14,"● "&amp;TEXT($M103-Hesap!$B$3,"0")&amp;" gün kaldı","")))))</f>
        <v/>
      </c>
      <c r="W103">
        <f>IF($C103="","",IF($O103="Tamamlandı",N($L103),MAX(N($L103),IF(AND($J103&lt;&gt;"",$J103&lt;Hesap!$B$3),Hesap!$B$3-$J103,0)))+ROW()/1000000)</f>
        <v/>
      </c>
      <c r="X103">
        <f>IF($W103="","",INT($W103))</f>
        <v/>
      </c>
      <c r="Y103">
        <f>IF(OR($C103="",$I103="",$K103="",$K103&lt;=0,$O103="Tamamlandı"),"",IF(Hesap!$B$3&lt;$I103,"",MIN(1,(Hesap!$B$3-$I103+1)/$K103)-N($N103)))</f>
        <v/>
      </c>
    </row>
    <row r="104" ht="18" customHeight="1">
      <c r="A104" s="69">
        <f>IF($C104="","",ROW()-4)</f>
        <v/>
      </c>
      <c r="B104" s="70" t="n"/>
      <c r="C104" s="70" t="n"/>
      <c r="D104" s="71" t="n"/>
      <c r="E104" s="71" t="n"/>
      <c r="F104" s="71" t="n"/>
      <c r="G104" s="71" t="n"/>
      <c r="H104" s="71" t="n"/>
      <c r="I104" s="72" t="n"/>
      <c r="J104" s="72" t="n"/>
      <c r="K104" s="73">
        <f>IF(OR($I104="",$J104=""),"",$J104-$I104+1)</f>
        <v/>
      </c>
      <c r="L104" s="56" t="n"/>
      <c r="M104" s="74">
        <f>IF($J104="","",$J104+N($L104))</f>
        <v/>
      </c>
      <c r="N104" s="75" t="n"/>
      <c r="O104" s="69">
        <f>IF($C104="","",IF(N($N104)&gt;=1,"Tamamlandı",IF(AND($J104&lt;&gt;"",$M104&lt;Hesap!$B$3),"Gecikmiş",IF(OR(N($N104)&gt;0,AND($I104&lt;&gt;"",$I104&lt;=Hesap!$B$3)),"Devam Ediyor","Planlanan"))))</f>
        <v/>
      </c>
      <c r="P104" s="70" t="n"/>
      <c r="Q104" s="70" t="n"/>
      <c r="R104" s="72" t="n"/>
      <c r="S104" s="73">
        <f>IF(OR($J104="",$R104=""),"",$R104-$J104)</f>
        <v/>
      </c>
      <c r="T104" s="76">
        <f>IF($C104="","",IF($J104="","",IF($R104&lt;&gt;"",IF($S104&gt;7,"⚠ "&amp;TEXT($S104,"0")&amp;" günde yapıldı (geç)","✔ "&amp;TEXT($S104,"0")&amp;" günde yapıldı"),IF($J104&gt;Hesap!$B$3,"",IF($J104+7&lt;Hesap!$B$3,"⚠ Mutabakat "&amp;TEXT(Hesap!$B$3-($J104+7),"0")&amp;" gün gecikti","● Mutabakat için "&amp;TEXT($J104+7-Hesap!$B$3,"0")&amp;" gün")))))</f>
        <v/>
      </c>
      <c r="U104" s="76">
        <f>IF($Y104="","",IF($Y104&gt;0.3,"⚠ Gecikebilir (%"&amp;TEXT($Y104*100,"0")&amp;" geride)",""))</f>
        <v/>
      </c>
      <c r="V104" s="76">
        <f>IF($C104="","",IF($O104="Tamamlandı","",IF($M104="","",IF($M104&lt;Hesap!$B$3,"⚠ "&amp;TEXT(Hesap!$B$3-$M104,"0")&amp;" gün gecikme",IF($M104-Hesap!$B$3&lt;=14,"● "&amp;TEXT($M104-Hesap!$B$3,"0")&amp;" gün kaldı","")))))</f>
        <v/>
      </c>
      <c r="W104">
        <f>IF($C104="","",IF($O104="Tamamlandı",N($L104),MAX(N($L104),IF(AND($J104&lt;&gt;"",$J104&lt;Hesap!$B$3),Hesap!$B$3-$J104,0)))+ROW()/1000000)</f>
        <v/>
      </c>
      <c r="X104">
        <f>IF($W104="","",INT($W104))</f>
        <v/>
      </c>
      <c r="Y104">
        <f>IF(OR($C104="",$I104="",$K104="",$K104&lt;=0,$O104="Tamamlandı"),"",IF(Hesap!$B$3&lt;$I104,"",MIN(1,(Hesap!$B$3-$I104+1)/$K104)-N($N104)))</f>
        <v/>
      </c>
    </row>
    <row r="105" ht="18" customHeight="1">
      <c r="A105" s="69">
        <f>IF($C105="","",ROW()-4)</f>
        <v/>
      </c>
      <c r="B105" s="70" t="n"/>
      <c r="C105" s="70" t="n"/>
      <c r="D105" s="71" t="n"/>
      <c r="E105" s="71" t="n"/>
      <c r="F105" s="71" t="n"/>
      <c r="G105" s="71" t="n"/>
      <c r="H105" s="71" t="n"/>
      <c r="I105" s="72" t="n"/>
      <c r="J105" s="72" t="n"/>
      <c r="K105" s="73">
        <f>IF(OR($I105="",$J105=""),"",$J105-$I105+1)</f>
        <v/>
      </c>
      <c r="L105" s="56" t="n"/>
      <c r="M105" s="74">
        <f>IF($J105="","",$J105+N($L105))</f>
        <v/>
      </c>
      <c r="N105" s="75" t="n"/>
      <c r="O105" s="69">
        <f>IF($C105="","",IF(N($N105)&gt;=1,"Tamamlandı",IF(AND($J105&lt;&gt;"",$M105&lt;Hesap!$B$3),"Gecikmiş",IF(OR(N($N105)&gt;0,AND($I105&lt;&gt;"",$I105&lt;=Hesap!$B$3)),"Devam Ediyor","Planlanan"))))</f>
        <v/>
      </c>
      <c r="P105" s="70" t="n"/>
      <c r="Q105" s="70" t="n"/>
      <c r="R105" s="72" t="n"/>
      <c r="S105" s="73">
        <f>IF(OR($J105="",$R105=""),"",$R105-$J105)</f>
        <v/>
      </c>
      <c r="T105" s="76">
        <f>IF($C105="","",IF($J105="","",IF($R105&lt;&gt;"",IF($S105&gt;7,"⚠ "&amp;TEXT($S105,"0")&amp;" günde yapıldı (geç)","✔ "&amp;TEXT($S105,"0")&amp;" günde yapıldı"),IF($J105&gt;Hesap!$B$3,"",IF($J105+7&lt;Hesap!$B$3,"⚠ Mutabakat "&amp;TEXT(Hesap!$B$3-($J105+7),"0")&amp;" gün gecikti","● Mutabakat için "&amp;TEXT($J105+7-Hesap!$B$3,"0")&amp;" gün")))))</f>
        <v/>
      </c>
      <c r="U105" s="76">
        <f>IF($Y105="","",IF($Y105&gt;0.3,"⚠ Gecikebilir (%"&amp;TEXT($Y105*100,"0")&amp;" geride)",""))</f>
        <v/>
      </c>
      <c r="V105" s="76">
        <f>IF($C105="","",IF($O105="Tamamlandı","",IF($M105="","",IF($M105&lt;Hesap!$B$3,"⚠ "&amp;TEXT(Hesap!$B$3-$M105,"0")&amp;" gün gecikme",IF($M105-Hesap!$B$3&lt;=14,"● "&amp;TEXT($M105-Hesap!$B$3,"0")&amp;" gün kaldı","")))))</f>
        <v/>
      </c>
      <c r="W105">
        <f>IF($C105="","",IF($O105="Tamamlandı",N($L105),MAX(N($L105),IF(AND($J105&lt;&gt;"",$J105&lt;Hesap!$B$3),Hesap!$B$3-$J105,0)))+ROW()/1000000)</f>
        <v/>
      </c>
      <c r="X105">
        <f>IF($W105="","",INT($W105))</f>
        <v/>
      </c>
      <c r="Y105">
        <f>IF(OR($C105="",$I105="",$K105="",$K105&lt;=0,$O105="Tamamlandı"),"",IF(Hesap!$B$3&lt;$I105,"",MIN(1,(Hesap!$B$3-$I105+1)/$K105)-N($N105)))</f>
        <v/>
      </c>
    </row>
    <row r="106" ht="18" customHeight="1">
      <c r="A106" s="69">
        <f>IF($C106="","",ROW()-4)</f>
        <v/>
      </c>
      <c r="B106" s="70" t="n"/>
      <c r="C106" s="70" t="n"/>
      <c r="D106" s="71" t="n"/>
      <c r="E106" s="71" t="n"/>
      <c r="F106" s="71" t="n"/>
      <c r="G106" s="71" t="n"/>
      <c r="H106" s="71" t="n"/>
      <c r="I106" s="72" t="n"/>
      <c r="J106" s="72" t="n"/>
      <c r="K106" s="73">
        <f>IF(OR($I106="",$J106=""),"",$J106-$I106+1)</f>
        <v/>
      </c>
      <c r="L106" s="56" t="n"/>
      <c r="M106" s="74">
        <f>IF($J106="","",$J106+N($L106))</f>
        <v/>
      </c>
      <c r="N106" s="75" t="n"/>
      <c r="O106" s="69">
        <f>IF($C106="","",IF(N($N106)&gt;=1,"Tamamlandı",IF(AND($J106&lt;&gt;"",$M106&lt;Hesap!$B$3),"Gecikmiş",IF(OR(N($N106)&gt;0,AND($I106&lt;&gt;"",$I106&lt;=Hesap!$B$3)),"Devam Ediyor","Planlanan"))))</f>
        <v/>
      </c>
      <c r="P106" s="70" t="n"/>
      <c r="Q106" s="70" t="n"/>
      <c r="R106" s="72" t="n"/>
      <c r="S106" s="73">
        <f>IF(OR($J106="",$R106=""),"",$R106-$J106)</f>
        <v/>
      </c>
      <c r="T106" s="76">
        <f>IF($C106="","",IF($J106="","",IF($R106&lt;&gt;"",IF($S106&gt;7,"⚠ "&amp;TEXT($S106,"0")&amp;" günde yapıldı (geç)","✔ "&amp;TEXT($S106,"0")&amp;" günde yapıldı"),IF($J106&gt;Hesap!$B$3,"",IF($J106+7&lt;Hesap!$B$3,"⚠ Mutabakat "&amp;TEXT(Hesap!$B$3-($J106+7),"0")&amp;" gün gecikti","● Mutabakat için "&amp;TEXT($J106+7-Hesap!$B$3,"0")&amp;" gün")))))</f>
        <v/>
      </c>
      <c r="U106" s="76">
        <f>IF($Y106="","",IF($Y106&gt;0.3,"⚠ Gecikebilir (%"&amp;TEXT($Y106*100,"0")&amp;" geride)",""))</f>
        <v/>
      </c>
      <c r="V106" s="76">
        <f>IF($C106="","",IF($O106="Tamamlandı","",IF($M106="","",IF($M106&lt;Hesap!$B$3,"⚠ "&amp;TEXT(Hesap!$B$3-$M106,"0")&amp;" gün gecikme",IF($M106-Hesap!$B$3&lt;=14,"● "&amp;TEXT($M106-Hesap!$B$3,"0")&amp;" gün kaldı","")))))</f>
        <v/>
      </c>
      <c r="W106">
        <f>IF($C106="","",IF($O106="Tamamlandı",N($L106),MAX(N($L106),IF(AND($J106&lt;&gt;"",$J106&lt;Hesap!$B$3),Hesap!$B$3-$J106,0)))+ROW()/1000000)</f>
        <v/>
      </c>
      <c r="X106">
        <f>IF($W106="","",INT($W106))</f>
        <v/>
      </c>
      <c r="Y106">
        <f>IF(OR($C106="",$I106="",$K106="",$K106&lt;=0,$O106="Tamamlandı"),"",IF(Hesap!$B$3&lt;$I106,"",MIN(1,(Hesap!$B$3-$I106+1)/$K106)-N($N106)))</f>
        <v/>
      </c>
    </row>
    <row r="107" ht="18" customHeight="1">
      <c r="A107" s="69">
        <f>IF($C107="","",ROW()-4)</f>
        <v/>
      </c>
      <c r="B107" s="70" t="n"/>
      <c r="C107" s="70" t="n"/>
      <c r="D107" s="71" t="n"/>
      <c r="E107" s="71" t="n"/>
      <c r="F107" s="71" t="n"/>
      <c r="G107" s="71" t="n"/>
      <c r="H107" s="71" t="n"/>
      <c r="I107" s="72" t="n"/>
      <c r="J107" s="72" t="n"/>
      <c r="K107" s="73">
        <f>IF(OR($I107="",$J107=""),"",$J107-$I107+1)</f>
        <v/>
      </c>
      <c r="L107" s="56" t="n"/>
      <c r="M107" s="74">
        <f>IF($J107="","",$J107+N($L107))</f>
        <v/>
      </c>
      <c r="N107" s="75" t="n"/>
      <c r="O107" s="69">
        <f>IF($C107="","",IF(N($N107)&gt;=1,"Tamamlandı",IF(AND($J107&lt;&gt;"",$M107&lt;Hesap!$B$3),"Gecikmiş",IF(OR(N($N107)&gt;0,AND($I107&lt;&gt;"",$I107&lt;=Hesap!$B$3)),"Devam Ediyor","Planlanan"))))</f>
        <v/>
      </c>
      <c r="P107" s="70" t="n"/>
      <c r="Q107" s="70" t="n"/>
      <c r="R107" s="72" t="n"/>
      <c r="S107" s="73">
        <f>IF(OR($J107="",$R107=""),"",$R107-$J107)</f>
        <v/>
      </c>
      <c r="T107" s="76">
        <f>IF($C107="","",IF($J107="","",IF($R107&lt;&gt;"",IF($S107&gt;7,"⚠ "&amp;TEXT($S107,"0")&amp;" günde yapıldı (geç)","✔ "&amp;TEXT($S107,"0")&amp;" günde yapıldı"),IF($J107&gt;Hesap!$B$3,"",IF($J107+7&lt;Hesap!$B$3,"⚠ Mutabakat "&amp;TEXT(Hesap!$B$3-($J107+7),"0")&amp;" gün gecikti","● Mutabakat için "&amp;TEXT($J107+7-Hesap!$B$3,"0")&amp;" gün")))))</f>
        <v/>
      </c>
      <c r="U107" s="76">
        <f>IF($Y107="","",IF($Y107&gt;0.3,"⚠ Gecikebilir (%"&amp;TEXT($Y107*100,"0")&amp;" geride)",""))</f>
        <v/>
      </c>
      <c r="V107" s="76">
        <f>IF($C107="","",IF($O107="Tamamlandı","",IF($M107="","",IF($M107&lt;Hesap!$B$3,"⚠ "&amp;TEXT(Hesap!$B$3-$M107,"0")&amp;" gün gecikme",IF($M107-Hesap!$B$3&lt;=14,"● "&amp;TEXT($M107-Hesap!$B$3,"0")&amp;" gün kaldı","")))))</f>
        <v/>
      </c>
      <c r="W107">
        <f>IF($C107="","",IF($O107="Tamamlandı",N($L107),MAX(N($L107),IF(AND($J107&lt;&gt;"",$J107&lt;Hesap!$B$3),Hesap!$B$3-$J107,0)))+ROW()/1000000)</f>
        <v/>
      </c>
      <c r="X107">
        <f>IF($W107="","",INT($W107))</f>
        <v/>
      </c>
      <c r="Y107">
        <f>IF(OR($C107="",$I107="",$K107="",$K107&lt;=0,$O107="Tamamlandı"),"",IF(Hesap!$B$3&lt;$I107,"",MIN(1,(Hesap!$B$3-$I107+1)/$K107)-N($N107)))</f>
        <v/>
      </c>
    </row>
    <row r="108" ht="18" customHeight="1">
      <c r="A108" s="69">
        <f>IF($C108="","",ROW()-4)</f>
        <v/>
      </c>
      <c r="B108" s="70" t="n"/>
      <c r="C108" s="70" t="n"/>
      <c r="D108" s="71" t="n"/>
      <c r="E108" s="71" t="n"/>
      <c r="F108" s="71" t="n"/>
      <c r="G108" s="71" t="n"/>
      <c r="H108" s="71" t="n"/>
      <c r="I108" s="72" t="n"/>
      <c r="J108" s="72" t="n"/>
      <c r="K108" s="73">
        <f>IF(OR($I108="",$J108=""),"",$J108-$I108+1)</f>
        <v/>
      </c>
      <c r="L108" s="56" t="n"/>
      <c r="M108" s="74">
        <f>IF($J108="","",$J108+N($L108))</f>
        <v/>
      </c>
      <c r="N108" s="75" t="n"/>
      <c r="O108" s="69">
        <f>IF($C108="","",IF(N($N108)&gt;=1,"Tamamlandı",IF(AND($J108&lt;&gt;"",$M108&lt;Hesap!$B$3),"Gecikmiş",IF(OR(N($N108)&gt;0,AND($I108&lt;&gt;"",$I108&lt;=Hesap!$B$3)),"Devam Ediyor","Planlanan"))))</f>
        <v/>
      </c>
      <c r="P108" s="70" t="n"/>
      <c r="Q108" s="70" t="n"/>
      <c r="R108" s="72" t="n"/>
      <c r="S108" s="73">
        <f>IF(OR($J108="",$R108=""),"",$R108-$J108)</f>
        <v/>
      </c>
      <c r="T108" s="76">
        <f>IF($C108="","",IF($J108="","",IF($R108&lt;&gt;"",IF($S108&gt;7,"⚠ "&amp;TEXT($S108,"0")&amp;" günde yapıldı (geç)","✔ "&amp;TEXT($S108,"0")&amp;" günde yapıldı"),IF($J108&gt;Hesap!$B$3,"",IF($J108+7&lt;Hesap!$B$3,"⚠ Mutabakat "&amp;TEXT(Hesap!$B$3-($J108+7),"0")&amp;" gün gecikti","● Mutabakat için "&amp;TEXT($J108+7-Hesap!$B$3,"0")&amp;" gün")))))</f>
        <v/>
      </c>
      <c r="U108" s="76">
        <f>IF($Y108="","",IF($Y108&gt;0.3,"⚠ Gecikebilir (%"&amp;TEXT($Y108*100,"0")&amp;" geride)",""))</f>
        <v/>
      </c>
      <c r="V108" s="76">
        <f>IF($C108="","",IF($O108="Tamamlandı","",IF($M108="","",IF($M108&lt;Hesap!$B$3,"⚠ "&amp;TEXT(Hesap!$B$3-$M108,"0")&amp;" gün gecikme",IF($M108-Hesap!$B$3&lt;=14,"● "&amp;TEXT($M108-Hesap!$B$3,"0")&amp;" gün kaldı","")))))</f>
        <v/>
      </c>
      <c r="W108">
        <f>IF($C108="","",IF($O108="Tamamlandı",N($L108),MAX(N($L108),IF(AND($J108&lt;&gt;"",$J108&lt;Hesap!$B$3),Hesap!$B$3-$J108,0)))+ROW()/1000000)</f>
        <v/>
      </c>
      <c r="X108">
        <f>IF($W108="","",INT($W108))</f>
        <v/>
      </c>
      <c r="Y108">
        <f>IF(OR($C108="",$I108="",$K108="",$K108&lt;=0,$O108="Tamamlandı"),"",IF(Hesap!$B$3&lt;$I108,"",MIN(1,(Hesap!$B$3-$I108+1)/$K108)-N($N108)))</f>
        <v/>
      </c>
    </row>
    <row r="109" ht="18" customHeight="1">
      <c r="A109" s="69">
        <f>IF($C109="","",ROW()-4)</f>
        <v/>
      </c>
      <c r="B109" s="70" t="n"/>
      <c r="C109" s="70" t="n"/>
      <c r="D109" s="71" t="n"/>
      <c r="E109" s="71" t="n"/>
      <c r="F109" s="71" t="n"/>
      <c r="G109" s="71" t="n"/>
      <c r="H109" s="71" t="n"/>
      <c r="I109" s="72" t="n"/>
      <c r="J109" s="72" t="n"/>
      <c r="K109" s="73">
        <f>IF(OR($I109="",$J109=""),"",$J109-$I109+1)</f>
        <v/>
      </c>
      <c r="L109" s="56" t="n"/>
      <c r="M109" s="74">
        <f>IF($J109="","",$J109+N($L109))</f>
        <v/>
      </c>
      <c r="N109" s="75" t="n"/>
      <c r="O109" s="69">
        <f>IF($C109="","",IF(N($N109)&gt;=1,"Tamamlandı",IF(AND($J109&lt;&gt;"",$M109&lt;Hesap!$B$3),"Gecikmiş",IF(OR(N($N109)&gt;0,AND($I109&lt;&gt;"",$I109&lt;=Hesap!$B$3)),"Devam Ediyor","Planlanan"))))</f>
        <v/>
      </c>
      <c r="P109" s="70" t="n"/>
      <c r="Q109" s="70" t="n"/>
      <c r="R109" s="72" t="n"/>
      <c r="S109" s="73">
        <f>IF(OR($J109="",$R109=""),"",$R109-$J109)</f>
        <v/>
      </c>
      <c r="T109" s="76">
        <f>IF($C109="","",IF($J109="","",IF($R109&lt;&gt;"",IF($S109&gt;7,"⚠ "&amp;TEXT($S109,"0")&amp;" günde yapıldı (geç)","✔ "&amp;TEXT($S109,"0")&amp;" günde yapıldı"),IF($J109&gt;Hesap!$B$3,"",IF($J109+7&lt;Hesap!$B$3,"⚠ Mutabakat "&amp;TEXT(Hesap!$B$3-($J109+7),"0")&amp;" gün gecikti","● Mutabakat için "&amp;TEXT($J109+7-Hesap!$B$3,"0")&amp;" gün")))))</f>
        <v/>
      </c>
      <c r="U109" s="76">
        <f>IF($Y109="","",IF($Y109&gt;0.3,"⚠ Gecikebilir (%"&amp;TEXT($Y109*100,"0")&amp;" geride)",""))</f>
        <v/>
      </c>
      <c r="V109" s="76">
        <f>IF($C109="","",IF($O109="Tamamlandı","",IF($M109="","",IF($M109&lt;Hesap!$B$3,"⚠ "&amp;TEXT(Hesap!$B$3-$M109,"0")&amp;" gün gecikme",IF($M109-Hesap!$B$3&lt;=14,"● "&amp;TEXT($M109-Hesap!$B$3,"0")&amp;" gün kaldı","")))))</f>
        <v/>
      </c>
      <c r="W109">
        <f>IF($C109="","",IF($O109="Tamamlandı",N($L109),MAX(N($L109),IF(AND($J109&lt;&gt;"",$J109&lt;Hesap!$B$3),Hesap!$B$3-$J109,0)))+ROW()/1000000)</f>
        <v/>
      </c>
      <c r="X109">
        <f>IF($W109="","",INT($W109))</f>
        <v/>
      </c>
      <c r="Y109">
        <f>IF(OR($C109="",$I109="",$K109="",$K109&lt;=0,$O109="Tamamlandı"),"",IF(Hesap!$B$3&lt;$I109,"",MIN(1,(Hesap!$B$3-$I109+1)/$K109)-N($N109)))</f>
        <v/>
      </c>
    </row>
    <row r="110" ht="18" customHeight="1">
      <c r="A110" s="69">
        <f>IF($C110="","",ROW()-4)</f>
        <v/>
      </c>
      <c r="B110" s="70" t="n"/>
      <c r="C110" s="70" t="n"/>
      <c r="D110" s="71" t="n"/>
      <c r="E110" s="71" t="n"/>
      <c r="F110" s="71" t="n"/>
      <c r="G110" s="71" t="n"/>
      <c r="H110" s="71" t="n"/>
      <c r="I110" s="72" t="n"/>
      <c r="J110" s="72" t="n"/>
      <c r="K110" s="73">
        <f>IF(OR($I110="",$J110=""),"",$J110-$I110+1)</f>
        <v/>
      </c>
      <c r="L110" s="56" t="n"/>
      <c r="M110" s="74">
        <f>IF($J110="","",$J110+N($L110))</f>
        <v/>
      </c>
      <c r="N110" s="75" t="n"/>
      <c r="O110" s="69">
        <f>IF($C110="","",IF(N($N110)&gt;=1,"Tamamlandı",IF(AND($J110&lt;&gt;"",$M110&lt;Hesap!$B$3),"Gecikmiş",IF(OR(N($N110)&gt;0,AND($I110&lt;&gt;"",$I110&lt;=Hesap!$B$3)),"Devam Ediyor","Planlanan"))))</f>
        <v/>
      </c>
      <c r="P110" s="70" t="n"/>
      <c r="Q110" s="70" t="n"/>
      <c r="R110" s="72" t="n"/>
      <c r="S110" s="73">
        <f>IF(OR($J110="",$R110=""),"",$R110-$J110)</f>
        <v/>
      </c>
      <c r="T110" s="76">
        <f>IF($C110="","",IF($J110="","",IF($R110&lt;&gt;"",IF($S110&gt;7,"⚠ "&amp;TEXT($S110,"0")&amp;" günde yapıldı (geç)","✔ "&amp;TEXT($S110,"0")&amp;" günde yapıldı"),IF($J110&gt;Hesap!$B$3,"",IF($J110+7&lt;Hesap!$B$3,"⚠ Mutabakat "&amp;TEXT(Hesap!$B$3-($J110+7),"0")&amp;" gün gecikti","● Mutabakat için "&amp;TEXT($J110+7-Hesap!$B$3,"0")&amp;" gün")))))</f>
        <v/>
      </c>
      <c r="U110" s="76">
        <f>IF($Y110="","",IF($Y110&gt;0.3,"⚠ Gecikebilir (%"&amp;TEXT($Y110*100,"0")&amp;" geride)",""))</f>
        <v/>
      </c>
      <c r="V110" s="76">
        <f>IF($C110="","",IF($O110="Tamamlandı","",IF($M110="","",IF($M110&lt;Hesap!$B$3,"⚠ "&amp;TEXT(Hesap!$B$3-$M110,"0")&amp;" gün gecikme",IF($M110-Hesap!$B$3&lt;=14,"● "&amp;TEXT($M110-Hesap!$B$3,"0")&amp;" gün kaldı","")))))</f>
        <v/>
      </c>
      <c r="W110">
        <f>IF($C110="","",IF($O110="Tamamlandı",N($L110),MAX(N($L110),IF(AND($J110&lt;&gt;"",$J110&lt;Hesap!$B$3),Hesap!$B$3-$J110,0)))+ROW()/1000000)</f>
        <v/>
      </c>
      <c r="X110">
        <f>IF($W110="","",INT($W110))</f>
        <v/>
      </c>
      <c r="Y110">
        <f>IF(OR($C110="",$I110="",$K110="",$K110&lt;=0,$O110="Tamamlandı"),"",IF(Hesap!$B$3&lt;$I110,"",MIN(1,(Hesap!$B$3-$I110+1)/$K110)-N($N110)))</f>
        <v/>
      </c>
    </row>
    <row r="111" ht="18" customHeight="1">
      <c r="A111" s="69">
        <f>IF($C111="","",ROW()-4)</f>
        <v/>
      </c>
      <c r="B111" s="70" t="n"/>
      <c r="C111" s="70" t="n"/>
      <c r="D111" s="71" t="n"/>
      <c r="E111" s="71" t="n"/>
      <c r="F111" s="71" t="n"/>
      <c r="G111" s="71" t="n"/>
      <c r="H111" s="71" t="n"/>
      <c r="I111" s="72" t="n"/>
      <c r="J111" s="72" t="n"/>
      <c r="K111" s="73">
        <f>IF(OR($I111="",$J111=""),"",$J111-$I111+1)</f>
        <v/>
      </c>
      <c r="L111" s="56" t="n"/>
      <c r="M111" s="74">
        <f>IF($J111="","",$J111+N($L111))</f>
        <v/>
      </c>
      <c r="N111" s="75" t="n"/>
      <c r="O111" s="69">
        <f>IF($C111="","",IF(N($N111)&gt;=1,"Tamamlandı",IF(AND($J111&lt;&gt;"",$M111&lt;Hesap!$B$3),"Gecikmiş",IF(OR(N($N111)&gt;0,AND($I111&lt;&gt;"",$I111&lt;=Hesap!$B$3)),"Devam Ediyor","Planlanan"))))</f>
        <v/>
      </c>
      <c r="P111" s="70" t="n"/>
      <c r="Q111" s="70" t="n"/>
      <c r="R111" s="72" t="n"/>
      <c r="S111" s="73">
        <f>IF(OR($J111="",$R111=""),"",$R111-$J111)</f>
        <v/>
      </c>
      <c r="T111" s="76">
        <f>IF($C111="","",IF($J111="","",IF($R111&lt;&gt;"",IF($S111&gt;7,"⚠ "&amp;TEXT($S111,"0")&amp;" günde yapıldı (geç)","✔ "&amp;TEXT($S111,"0")&amp;" günde yapıldı"),IF($J111&gt;Hesap!$B$3,"",IF($J111+7&lt;Hesap!$B$3,"⚠ Mutabakat "&amp;TEXT(Hesap!$B$3-($J111+7),"0")&amp;" gün gecikti","● Mutabakat için "&amp;TEXT($J111+7-Hesap!$B$3,"0")&amp;" gün")))))</f>
        <v/>
      </c>
      <c r="U111" s="76">
        <f>IF($Y111="","",IF($Y111&gt;0.3,"⚠ Gecikebilir (%"&amp;TEXT($Y111*100,"0")&amp;" geride)",""))</f>
        <v/>
      </c>
      <c r="V111" s="76">
        <f>IF($C111="","",IF($O111="Tamamlandı","",IF($M111="","",IF($M111&lt;Hesap!$B$3,"⚠ "&amp;TEXT(Hesap!$B$3-$M111,"0")&amp;" gün gecikme",IF($M111-Hesap!$B$3&lt;=14,"● "&amp;TEXT($M111-Hesap!$B$3,"0")&amp;" gün kaldı","")))))</f>
        <v/>
      </c>
      <c r="W111">
        <f>IF($C111="","",IF($O111="Tamamlandı",N($L111),MAX(N($L111),IF(AND($J111&lt;&gt;"",$J111&lt;Hesap!$B$3),Hesap!$B$3-$J111,0)))+ROW()/1000000)</f>
        <v/>
      </c>
      <c r="X111">
        <f>IF($W111="","",INT($W111))</f>
        <v/>
      </c>
      <c r="Y111">
        <f>IF(OR($C111="",$I111="",$K111="",$K111&lt;=0,$O111="Tamamlandı"),"",IF(Hesap!$B$3&lt;$I111,"",MIN(1,(Hesap!$B$3-$I111+1)/$K111)-N($N111)))</f>
        <v/>
      </c>
    </row>
    <row r="112" ht="18" customHeight="1">
      <c r="A112" s="69">
        <f>IF($C112="","",ROW()-4)</f>
        <v/>
      </c>
      <c r="B112" s="70" t="n"/>
      <c r="C112" s="70" t="n"/>
      <c r="D112" s="71" t="n"/>
      <c r="E112" s="71" t="n"/>
      <c r="F112" s="71" t="n"/>
      <c r="G112" s="71" t="n"/>
      <c r="H112" s="71" t="n"/>
      <c r="I112" s="72" t="n"/>
      <c r="J112" s="72" t="n"/>
      <c r="K112" s="73">
        <f>IF(OR($I112="",$J112=""),"",$J112-$I112+1)</f>
        <v/>
      </c>
      <c r="L112" s="56" t="n"/>
      <c r="M112" s="74">
        <f>IF($J112="","",$J112+N($L112))</f>
        <v/>
      </c>
      <c r="N112" s="75" t="n"/>
      <c r="O112" s="69">
        <f>IF($C112="","",IF(N($N112)&gt;=1,"Tamamlandı",IF(AND($J112&lt;&gt;"",$M112&lt;Hesap!$B$3),"Gecikmiş",IF(OR(N($N112)&gt;0,AND($I112&lt;&gt;"",$I112&lt;=Hesap!$B$3)),"Devam Ediyor","Planlanan"))))</f>
        <v/>
      </c>
      <c r="P112" s="70" t="n"/>
      <c r="Q112" s="70" t="n"/>
      <c r="R112" s="72" t="n"/>
      <c r="S112" s="73">
        <f>IF(OR($J112="",$R112=""),"",$R112-$J112)</f>
        <v/>
      </c>
      <c r="T112" s="76">
        <f>IF($C112="","",IF($J112="","",IF($R112&lt;&gt;"",IF($S112&gt;7,"⚠ "&amp;TEXT($S112,"0")&amp;" günde yapıldı (geç)","✔ "&amp;TEXT($S112,"0")&amp;" günde yapıldı"),IF($J112&gt;Hesap!$B$3,"",IF($J112+7&lt;Hesap!$B$3,"⚠ Mutabakat "&amp;TEXT(Hesap!$B$3-($J112+7),"0")&amp;" gün gecikti","● Mutabakat için "&amp;TEXT($J112+7-Hesap!$B$3,"0")&amp;" gün")))))</f>
        <v/>
      </c>
      <c r="U112" s="76">
        <f>IF($Y112="","",IF($Y112&gt;0.3,"⚠ Gecikebilir (%"&amp;TEXT($Y112*100,"0")&amp;" geride)",""))</f>
        <v/>
      </c>
      <c r="V112" s="76">
        <f>IF($C112="","",IF($O112="Tamamlandı","",IF($M112="","",IF($M112&lt;Hesap!$B$3,"⚠ "&amp;TEXT(Hesap!$B$3-$M112,"0")&amp;" gün gecikme",IF($M112-Hesap!$B$3&lt;=14,"● "&amp;TEXT($M112-Hesap!$B$3,"0")&amp;" gün kaldı","")))))</f>
        <v/>
      </c>
      <c r="W112">
        <f>IF($C112="","",IF($O112="Tamamlandı",N($L112),MAX(N($L112),IF(AND($J112&lt;&gt;"",$J112&lt;Hesap!$B$3),Hesap!$B$3-$J112,0)))+ROW()/1000000)</f>
        <v/>
      </c>
      <c r="X112">
        <f>IF($W112="","",INT($W112))</f>
        <v/>
      </c>
      <c r="Y112">
        <f>IF(OR($C112="",$I112="",$K112="",$K112&lt;=0,$O112="Tamamlandı"),"",IF(Hesap!$B$3&lt;$I112,"",MIN(1,(Hesap!$B$3-$I112+1)/$K112)-N($N112)))</f>
        <v/>
      </c>
    </row>
    <row r="113" ht="18" customHeight="1">
      <c r="A113" s="69">
        <f>IF($C113="","",ROW()-4)</f>
        <v/>
      </c>
      <c r="B113" s="70" t="n"/>
      <c r="C113" s="70" t="n"/>
      <c r="D113" s="71" t="n"/>
      <c r="E113" s="71" t="n"/>
      <c r="F113" s="71" t="n"/>
      <c r="G113" s="71" t="n"/>
      <c r="H113" s="71" t="n"/>
      <c r="I113" s="72" t="n"/>
      <c r="J113" s="72" t="n"/>
      <c r="K113" s="73">
        <f>IF(OR($I113="",$J113=""),"",$J113-$I113+1)</f>
        <v/>
      </c>
      <c r="L113" s="56" t="n"/>
      <c r="M113" s="74">
        <f>IF($J113="","",$J113+N($L113))</f>
        <v/>
      </c>
      <c r="N113" s="75" t="n"/>
      <c r="O113" s="69">
        <f>IF($C113="","",IF(N($N113)&gt;=1,"Tamamlandı",IF(AND($J113&lt;&gt;"",$M113&lt;Hesap!$B$3),"Gecikmiş",IF(OR(N($N113)&gt;0,AND($I113&lt;&gt;"",$I113&lt;=Hesap!$B$3)),"Devam Ediyor","Planlanan"))))</f>
        <v/>
      </c>
      <c r="P113" s="70" t="n"/>
      <c r="Q113" s="70" t="n"/>
      <c r="R113" s="72" t="n"/>
      <c r="S113" s="73">
        <f>IF(OR($J113="",$R113=""),"",$R113-$J113)</f>
        <v/>
      </c>
      <c r="T113" s="76">
        <f>IF($C113="","",IF($J113="","",IF($R113&lt;&gt;"",IF($S113&gt;7,"⚠ "&amp;TEXT($S113,"0")&amp;" günde yapıldı (geç)","✔ "&amp;TEXT($S113,"0")&amp;" günde yapıldı"),IF($J113&gt;Hesap!$B$3,"",IF($J113+7&lt;Hesap!$B$3,"⚠ Mutabakat "&amp;TEXT(Hesap!$B$3-($J113+7),"0")&amp;" gün gecikti","● Mutabakat için "&amp;TEXT($J113+7-Hesap!$B$3,"0")&amp;" gün")))))</f>
        <v/>
      </c>
      <c r="U113" s="76">
        <f>IF($Y113="","",IF($Y113&gt;0.3,"⚠ Gecikebilir (%"&amp;TEXT($Y113*100,"0")&amp;" geride)",""))</f>
        <v/>
      </c>
      <c r="V113" s="76">
        <f>IF($C113="","",IF($O113="Tamamlandı","",IF($M113="","",IF($M113&lt;Hesap!$B$3,"⚠ "&amp;TEXT(Hesap!$B$3-$M113,"0")&amp;" gün gecikme",IF($M113-Hesap!$B$3&lt;=14,"● "&amp;TEXT($M113-Hesap!$B$3,"0")&amp;" gün kaldı","")))))</f>
        <v/>
      </c>
      <c r="W113">
        <f>IF($C113="","",IF($O113="Tamamlandı",N($L113),MAX(N($L113),IF(AND($J113&lt;&gt;"",$J113&lt;Hesap!$B$3),Hesap!$B$3-$J113,0)))+ROW()/1000000)</f>
        <v/>
      </c>
      <c r="X113">
        <f>IF($W113="","",INT($W113))</f>
        <v/>
      </c>
      <c r="Y113">
        <f>IF(OR($C113="",$I113="",$K113="",$K113&lt;=0,$O113="Tamamlandı"),"",IF(Hesap!$B$3&lt;$I113,"",MIN(1,(Hesap!$B$3-$I113+1)/$K113)-N($N113)))</f>
        <v/>
      </c>
    </row>
    <row r="114" ht="18" customHeight="1">
      <c r="A114" s="69">
        <f>IF($C114="","",ROW()-4)</f>
        <v/>
      </c>
      <c r="B114" s="70" t="n"/>
      <c r="C114" s="70" t="n"/>
      <c r="D114" s="71" t="n"/>
      <c r="E114" s="71" t="n"/>
      <c r="F114" s="71" t="n"/>
      <c r="G114" s="71" t="n"/>
      <c r="H114" s="71" t="n"/>
      <c r="I114" s="72" t="n"/>
      <c r="J114" s="72" t="n"/>
      <c r="K114" s="73">
        <f>IF(OR($I114="",$J114=""),"",$J114-$I114+1)</f>
        <v/>
      </c>
      <c r="L114" s="56" t="n"/>
      <c r="M114" s="74">
        <f>IF($J114="","",$J114+N($L114))</f>
        <v/>
      </c>
      <c r="N114" s="75" t="n"/>
      <c r="O114" s="69">
        <f>IF($C114="","",IF(N($N114)&gt;=1,"Tamamlandı",IF(AND($J114&lt;&gt;"",$M114&lt;Hesap!$B$3),"Gecikmiş",IF(OR(N($N114)&gt;0,AND($I114&lt;&gt;"",$I114&lt;=Hesap!$B$3)),"Devam Ediyor","Planlanan"))))</f>
        <v/>
      </c>
      <c r="P114" s="70" t="n"/>
      <c r="Q114" s="70" t="n"/>
      <c r="R114" s="72" t="n"/>
      <c r="S114" s="73">
        <f>IF(OR($J114="",$R114=""),"",$R114-$J114)</f>
        <v/>
      </c>
      <c r="T114" s="76">
        <f>IF($C114="","",IF($J114="","",IF($R114&lt;&gt;"",IF($S114&gt;7,"⚠ "&amp;TEXT($S114,"0")&amp;" günde yapıldı (geç)","✔ "&amp;TEXT($S114,"0")&amp;" günde yapıldı"),IF($J114&gt;Hesap!$B$3,"",IF($J114+7&lt;Hesap!$B$3,"⚠ Mutabakat "&amp;TEXT(Hesap!$B$3-($J114+7),"0")&amp;" gün gecikti","● Mutabakat için "&amp;TEXT($J114+7-Hesap!$B$3,"0")&amp;" gün")))))</f>
        <v/>
      </c>
      <c r="U114" s="76">
        <f>IF($Y114="","",IF($Y114&gt;0.3,"⚠ Gecikebilir (%"&amp;TEXT($Y114*100,"0")&amp;" geride)",""))</f>
        <v/>
      </c>
      <c r="V114" s="76">
        <f>IF($C114="","",IF($O114="Tamamlandı","",IF($M114="","",IF($M114&lt;Hesap!$B$3,"⚠ "&amp;TEXT(Hesap!$B$3-$M114,"0")&amp;" gün gecikme",IF($M114-Hesap!$B$3&lt;=14,"● "&amp;TEXT($M114-Hesap!$B$3,"0")&amp;" gün kaldı","")))))</f>
        <v/>
      </c>
      <c r="W114">
        <f>IF($C114="","",IF($O114="Tamamlandı",N($L114),MAX(N($L114),IF(AND($J114&lt;&gt;"",$J114&lt;Hesap!$B$3),Hesap!$B$3-$J114,0)))+ROW()/1000000)</f>
        <v/>
      </c>
      <c r="X114">
        <f>IF($W114="","",INT($W114))</f>
        <v/>
      </c>
      <c r="Y114">
        <f>IF(OR($C114="",$I114="",$K114="",$K114&lt;=0,$O114="Tamamlandı"),"",IF(Hesap!$B$3&lt;$I114,"",MIN(1,(Hesap!$B$3-$I114+1)/$K114)-N($N114)))</f>
        <v/>
      </c>
    </row>
    <row r="115" ht="18" customHeight="1">
      <c r="A115" s="69">
        <f>IF($C115="","",ROW()-4)</f>
        <v/>
      </c>
      <c r="B115" s="70" t="n"/>
      <c r="C115" s="70" t="n"/>
      <c r="D115" s="71" t="n"/>
      <c r="E115" s="71" t="n"/>
      <c r="F115" s="71" t="n"/>
      <c r="G115" s="71" t="n"/>
      <c r="H115" s="71" t="n"/>
      <c r="I115" s="72" t="n"/>
      <c r="J115" s="72" t="n"/>
      <c r="K115" s="73">
        <f>IF(OR($I115="",$J115=""),"",$J115-$I115+1)</f>
        <v/>
      </c>
      <c r="L115" s="56" t="n"/>
      <c r="M115" s="74">
        <f>IF($J115="","",$J115+N($L115))</f>
        <v/>
      </c>
      <c r="N115" s="75" t="n"/>
      <c r="O115" s="69">
        <f>IF($C115="","",IF(N($N115)&gt;=1,"Tamamlandı",IF(AND($J115&lt;&gt;"",$M115&lt;Hesap!$B$3),"Gecikmiş",IF(OR(N($N115)&gt;0,AND($I115&lt;&gt;"",$I115&lt;=Hesap!$B$3)),"Devam Ediyor","Planlanan"))))</f>
        <v/>
      </c>
      <c r="P115" s="70" t="n"/>
      <c r="Q115" s="70" t="n"/>
      <c r="R115" s="72" t="n"/>
      <c r="S115" s="73">
        <f>IF(OR($J115="",$R115=""),"",$R115-$J115)</f>
        <v/>
      </c>
      <c r="T115" s="76">
        <f>IF($C115="","",IF($J115="","",IF($R115&lt;&gt;"",IF($S115&gt;7,"⚠ "&amp;TEXT($S115,"0")&amp;" günde yapıldı (geç)","✔ "&amp;TEXT($S115,"0")&amp;" günde yapıldı"),IF($J115&gt;Hesap!$B$3,"",IF($J115+7&lt;Hesap!$B$3,"⚠ Mutabakat "&amp;TEXT(Hesap!$B$3-($J115+7),"0")&amp;" gün gecikti","● Mutabakat için "&amp;TEXT($J115+7-Hesap!$B$3,"0")&amp;" gün")))))</f>
        <v/>
      </c>
      <c r="U115" s="76">
        <f>IF($Y115="","",IF($Y115&gt;0.3,"⚠ Gecikebilir (%"&amp;TEXT($Y115*100,"0")&amp;" geride)",""))</f>
        <v/>
      </c>
      <c r="V115" s="76">
        <f>IF($C115="","",IF($O115="Tamamlandı","",IF($M115="","",IF($M115&lt;Hesap!$B$3,"⚠ "&amp;TEXT(Hesap!$B$3-$M115,"0")&amp;" gün gecikme",IF($M115-Hesap!$B$3&lt;=14,"● "&amp;TEXT($M115-Hesap!$B$3,"0")&amp;" gün kaldı","")))))</f>
        <v/>
      </c>
      <c r="W115">
        <f>IF($C115="","",IF($O115="Tamamlandı",N($L115),MAX(N($L115),IF(AND($J115&lt;&gt;"",$J115&lt;Hesap!$B$3),Hesap!$B$3-$J115,0)))+ROW()/1000000)</f>
        <v/>
      </c>
      <c r="X115">
        <f>IF($W115="","",INT($W115))</f>
        <v/>
      </c>
      <c r="Y115">
        <f>IF(OR($C115="",$I115="",$K115="",$K115&lt;=0,$O115="Tamamlandı"),"",IF(Hesap!$B$3&lt;$I115,"",MIN(1,(Hesap!$B$3-$I115+1)/$K115)-N($N115)))</f>
        <v/>
      </c>
    </row>
    <row r="116" ht="18" customHeight="1">
      <c r="A116" s="69">
        <f>IF($C116="","",ROW()-4)</f>
        <v/>
      </c>
      <c r="B116" s="70" t="n"/>
      <c r="C116" s="70" t="n"/>
      <c r="D116" s="71" t="n"/>
      <c r="E116" s="71" t="n"/>
      <c r="F116" s="71" t="n"/>
      <c r="G116" s="71" t="n"/>
      <c r="H116" s="71" t="n"/>
      <c r="I116" s="72" t="n"/>
      <c r="J116" s="72" t="n"/>
      <c r="K116" s="73">
        <f>IF(OR($I116="",$J116=""),"",$J116-$I116+1)</f>
        <v/>
      </c>
      <c r="L116" s="56" t="n"/>
      <c r="M116" s="74">
        <f>IF($J116="","",$J116+N($L116))</f>
        <v/>
      </c>
      <c r="N116" s="75" t="n"/>
      <c r="O116" s="69">
        <f>IF($C116="","",IF(N($N116)&gt;=1,"Tamamlandı",IF(AND($J116&lt;&gt;"",$M116&lt;Hesap!$B$3),"Gecikmiş",IF(OR(N($N116)&gt;0,AND($I116&lt;&gt;"",$I116&lt;=Hesap!$B$3)),"Devam Ediyor","Planlanan"))))</f>
        <v/>
      </c>
      <c r="P116" s="70" t="n"/>
      <c r="Q116" s="70" t="n"/>
      <c r="R116" s="72" t="n"/>
      <c r="S116" s="73">
        <f>IF(OR($J116="",$R116=""),"",$R116-$J116)</f>
        <v/>
      </c>
      <c r="T116" s="76">
        <f>IF($C116="","",IF($J116="","",IF($R116&lt;&gt;"",IF($S116&gt;7,"⚠ "&amp;TEXT($S116,"0")&amp;" günde yapıldı (geç)","✔ "&amp;TEXT($S116,"0")&amp;" günde yapıldı"),IF($J116&gt;Hesap!$B$3,"",IF($J116+7&lt;Hesap!$B$3,"⚠ Mutabakat "&amp;TEXT(Hesap!$B$3-($J116+7),"0")&amp;" gün gecikti","● Mutabakat için "&amp;TEXT($J116+7-Hesap!$B$3,"0")&amp;" gün")))))</f>
        <v/>
      </c>
      <c r="U116" s="76">
        <f>IF($Y116="","",IF($Y116&gt;0.3,"⚠ Gecikebilir (%"&amp;TEXT($Y116*100,"0")&amp;" geride)",""))</f>
        <v/>
      </c>
      <c r="V116" s="76">
        <f>IF($C116="","",IF($O116="Tamamlandı","",IF($M116="","",IF($M116&lt;Hesap!$B$3,"⚠ "&amp;TEXT(Hesap!$B$3-$M116,"0")&amp;" gün gecikme",IF($M116-Hesap!$B$3&lt;=14,"● "&amp;TEXT($M116-Hesap!$B$3,"0")&amp;" gün kaldı","")))))</f>
        <v/>
      </c>
      <c r="W116">
        <f>IF($C116="","",IF($O116="Tamamlandı",N($L116),MAX(N($L116),IF(AND($J116&lt;&gt;"",$J116&lt;Hesap!$B$3),Hesap!$B$3-$J116,0)))+ROW()/1000000)</f>
        <v/>
      </c>
      <c r="X116">
        <f>IF($W116="","",INT($W116))</f>
        <v/>
      </c>
      <c r="Y116">
        <f>IF(OR($C116="",$I116="",$K116="",$K116&lt;=0,$O116="Tamamlandı"),"",IF(Hesap!$B$3&lt;$I116,"",MIN(1,(Hesap!$B$3-$I116+1)/$K116)-N($N116)))</f>
        <v/>
      </c>
    </row>
    <row r="117" ht="18" customHeight="1">
      <c r="A117" s="69">
        <f>IF($C117="","",ROW()-4)</f>
        <v/>
      </c>
      <c r="B117" s="70" t="n"/>
      <c r="C117" s="70" t="n"/>
      <c r="D117" s="71" t="n"/>
      <c r="E117" s="71" t="n"/>
      <c r="F117" s="71" t="n"/>
      <c r="G117" s="71" t="n"/>
      <c r="H117" s="71" t="n"/>
      <c r="I117" s="72" t="n"/>
      <c r="J117" s="72" t="n"/>
      <c r="K117" s="73">
        <f>IF(OR($I117="",$J117=""),"",$J117-$I117+1)</f>
        <v/>
      </c>
      <c r="L117" s="56" t="n"/>
      <c r="M117" s="74">
        <f>IF($J117="","",$J117+N($L117))</f>
        <v/>
      </c>
      <c r="N117" s="75" t="n"/>
      <c r="O117" s="69">
        <f>IF($C117="","",IF(N($N117)&gt;=1,"Tamamlandı",IF(AND($J117&lt;&gt;"",$M117&lt;Hesap!$B$3),"Gecikmiş",IF(OR(N($N117)&gt;0,AND($I117&lt;&gt;"",$I117&lt;=Hesap!$B$3)),"Devam Ediyor","Planlanan"))))</f>
        <v/>
      </c>
      <c r="P117" s="70" t="n"/>
      <c r="Q117" s="70" t="n"/>
      <c r="R117" s="72" t="n"/>
      <c r="S117" s="73">
        <f>IF(OR($J117="",$R117=""),"",$R117-$J117)</f>
        <v/>
      </c>
      <c r="T117" s="76">
        <f>IF($C117="","",IF($J117="","",IF($R117&lt;&gt;"",IF($S117&gt;7,"⚠ "&amp;TEXT($S117,"0")&amp;" günde yapıldı (geç)","✔ "&amp;TEXT($S117,"0")&amp;" günde yapıldı"),IF($J117&gt;Hesap!$B$3,"",IF($J117+7&lt;Hesap!$B$3,"⚠ Mutabakat "&amp;TEXT(Hesap!$B$3-($J117+7),"0")&amp;" gün gecikti","● Mutabakat için "&amp;TEXT($J117+7-Hesap!$B$3,"0")&amp;" gün")))))</f>
        <v/>
      </c>
      <c r="U117" s="76">
        <f>IF($Y117="","",IF($Y117&gt;0.3,"⚠ Gecikebilir (%"&amp;TEXT($Y117*100,"0")&amp;" geride)",""))</f>
        <v/>
      </c>
      <c r="V117" s="76">
        <f>IF($C117="","",IF($O117="Tamamlandı","",IF($M117="","",IF($M117&lt;Hesap!$B$3,"⚠ "&amp;TEXT(Hesap!$B$3-$M117,"0")&amp;" gün gecikme",IF($M117-Hesap!$B$3&lt;=14,"● "&amp;TEXT($M117-Hesap!$B$3,"0")&amp;" gün kaldı","")))))</f>
        <v/>
      </c>
      <c r="W117">
        <f>IF($C117="","",IF($O117="Tamamlandı",N($L117),MAX(N($L117),IF(AND($J117&lt;&gt;"",$J117&lt;Hesap!$B$3),Hesap!$B$3-$J117,0)))+ROW()/1000000)</f>
        <v/>
      </c>
      <c r="X117">
        <f>IF($W117="","",INT($W117))</f>
        <v/>
      </c>
      <c r="Y117">
        <f>IF(OR($C117="",$I117="",$K117="",$K117&lt;=0,$O117="Tamamlandı"),"",IF(Hesap!$B$3&lt;$I117,"",MIN(1,(Hesap!$B$3-$I117+1)/$K117)-N($N117)))</f>
        <v/>
      </c>
    </row>
    <row r="118" ht="18" customHeight="1">
      <c r="A118" s="69">
        <f>IF($C118="","",ROW()-4)</f>
        <v/>
      </c>
      <c r="B118" s="70" t="n"/>
      <c r="C118" s="70" t="n"/>
      <c r="D118" s="71" t="n"/>
      <c r="E118" s="71" t="n"/>
      <c r="F118" s="71" t="n"/>
      <c r="G118" s="71" t="n"/>
      <c r="H118" s="71" t="n"/>
      <c r="I118" s="72" t="n"/>
      <c r="J118" s="72" t="n"/>
      <c r="K118" s="73">
        <f>IF(OR($I118="",$J118=""),"",$J118-$I118+1)</f>
        <v/>
      </c>
      <c r="L118" s="56" t="n"/>
      <c r="M118" s="74">
        <f>IF($J118="","",$J118+N($L118))</f>
        <v/>
      </c>
      <c r="N118" s="75" t="n"/>
      <c r="O118" s="69">
        <f>IF($C118="","",IF(N($N118)&gt;=1,"Tamamlandı",IF(AND($J118&lt;&gt;"",$M118&lt;Hesap!$B$3),"Gecikmiş",IF(OR(N($N118)&gt;0,AND($I118&lt;&gt;"",$I118&lt;=Hesap!$B$3)),"Devam Ediyor","Planlanan"))))</f>
        <v/>
      </c>
      <c r="P118" s="70" t="n"/>
      <c r="Q118" s="70" t="n"/>
      <c r="R118" s="72" t="n"/>
      <c r="S118" s="73">
        <f>IF(OR($J118="",$R118=""),"",$R118-$J118)</f>
        <v/>
      </c>
      <c r="T118" s="76">
        <f>IF($C118="","",IF($J118="","",IF($R118&lt;&gt;"",IF($S118&gt;7,"⚠ "&amp;TEXT($S118,"0")&amp;" günde yapıldı (geç)","✔ "&amp;TEXT($S118,"0")&amp;" günde yapıldı"),IF($J118&gt;Hesap!$B$3,"",IF($J118+7&lt;Hesap!$B$3,"⚠ Mutabakat "&amp;TEXT(Hesap!$B$3-($J118+7),"0")&amp;" gün gecikti","● Mutabakat için "&amp;TEXT($J118+7-Hesap!$B$3,"0")&amp;" gün")))))</f>
        <v/>
      </c>
      <c r="U118" s="76">
        <f>IF($Y118="","",IF($Y118&gt;0.3,"⚠ Gecikebilir (%"&amp;TEXT($Y118*100,"0")&amp;" geride)",""))</f>
        <v/>
      </c>
      <c r="V118" s="76">
        <f>IF($C118="","",IF($O118="Tamamlandı","",IF($M118="","",IF($M118&lt;Hesap!$B$3,"⚠ "&amp;TEXT(Hesap!$B$3-$M118,"0")&amp;" gün gecikme",IF($M118-Hesap!$B$3&lt;=14,"● "&amp;TEXT($M118-Hesap!$B$3,"0")&amp;" gün kaldı","")))))</f>
        <v/>
      </c>
      <c r="W118">
        <f>IF($C118="","",IF($O118="Tamamlandı",N($L118),MAX(N($L118),IF(AND($J118&lt;&gt;"",$J118&lt;Hesap!$B$3),Hesap!$B$3-$J118,0)))+ROW()/1000000)</f>
        <v/>
      </c>
      <c r="X118">
        <f>IF($W118="","",INT($W118))</f>
        <v/>
      </c>
      <c r="Y118">
        <f>IF(OR($C118="",$I118="",$K118="",$K118&lt;=0,$O118="Tamamlandı"),"",IF(Hesap!$B$3&lt;$I118,"",MIN(1,(Hesap!$B$3-$I118+1)/$K118)-N($N118)))</f>
        <v/>
      </c>
    </row>
    <row r="119" ht="18" customHeight="1">
      <c r="A119" s="69">
        <f>IF($C119="","",ROW()-4)</f>
        <v/>
      </c>
      <c r="B119" s="70" t="n"/>
      <c r="C119" s="70" t="n"/>
      <c r="D119" s="71" t="n"/>
      <c r="E119" s="71" t="n"/>
      <c r="F119" s="71" t="n"/>
      <c r="G119" s="71" t="n"/>
      <c r="H119" s="71" t="n"/>
      <c r="I119" s="72" t="n"/>
      <c r="J119" s="72" t="n"/>
      <c r="K119" s="73">
        <f>IF(OR($I119="",$J119=""),"",$J119-$I119+1)</f>
        <v/>
      </c>
      <c r="L119" s="56" t="n"/>
      <c r="M119" s="74">
        <f>IF($J119="","",$J119+N($L119))</f>
        <v/>
      </c>
      <c r="N119" s="75" t="n"/>
      <c r="O119" s="69">
        <f>IF($C119="","",IF(N($N119)&gt;=1,"Tamamlandı",IF(AND($J119&lt;&gt;"",$M119&lt;Hesap!$B$3),"Gecikmiş",IF(OR(N($N119)&gt;0,AND($I119&lt;&gt;"",$I119&lt;=Hesap!$B$3)),"Devam Ediyor","Planlanan"))))</f>
        <v/>
      </c>
      <c r="P119" s="70" t="n"/>
      <c r="Q119" s="70" t="n"/>
      <c r="R119" s="72" t="n"/>
      <c r="S119" s="73">
        <f>IF(OR($J119="",$R119=""),"",$R119-$J119)</f>
        <v/>
      </c>
      <c r="T119" s="76">
        <f>IF($C119="","",IF($J119="","",IF($R119&lt;&gt;"",IF($S119&gt;7,"⚠ "&amp;TEXT($S119,"0")&amp;" günde yapıldı (geç)","✔ "&amp;TEXT($S119,"0")&amp;" günde yapıldı"),IF($J119&gt;Hesap!$B$3,"",IF($J119+7&lt;Hesap!$B$3,"⚠ Mutabakat "&amp;TEXT(Hesap!$B$3-($J119+7),"0")&amp;" gün gecikti","● Mutabakat için "&amp;TEXT($J119+7-Hesap!$B$3,"0")&amp;" gün")))))</f>
        <v/>
      </c>
      <c r="U119" s="76">
        <f>IF($Y119="","",IF($Y119&gt;0.3,"⚠ Gecikebilir (%"&amp;TEXT($Y119*100,"0")&amp;" geride)",""))</f>
        <v/>
      </c>
      <c r="V119" s="76">
        <f>IF($C119="","",IF($O119="Tamamlandı","",IF($M119="","",IF($M119&lt;Hesap!$B$3,"⚠ "&amp;TEXT(Hesap!$B$3-$M119,"0")&amp;" gün gecikme",IF($M119-Hesap!$B$3&lt;=14,"● "&amp;TEXT($M119-Hesap!$B$3,"0")&amp;" gün kaldı","")))))</f>
        <v/>
      </c>
      <c r="W119">
        <f>IF($C119="","",IF($O119="Tamamlandı",N($L119),MAX(N($L119),IF(AND($J119&lt;&gt;"",$J119&lt;Hesap!$B$3),Hesap!$B$3-$J119,0)))+ROW()/1000000)</f>
        <v/>
      </c>
      <c r="X119">
        <f>IF($W119="","",INT($W119))</f>
        <v/>
      </c>
      <c r="Y119">
        <f>IF(OR($C119="",$I119="",$K119="",$K119&lt;=0,$O119="Tamamlandı"),"",IF(Hesap!$B$3&lt;$I119,"",MIN(1,(Hesap!$B$3-$I119+1)/$K119)-N($N119)))</f>
        <v/>
      </c>
    </row>
    <row r="120" ht="18" customHeight="1">
      <c r="A120" s="69">
        <f>IF($C120="","",ROW()-4)</f>
        <v/>
      </c>
      <c r="B120" s="70" t="n"/>
      <c r="C120" s="70" t="n"/>
      <c r="D120" s="71" t="n"/>
      <c r="E120" s="71" t="n"/>
      <c r="F120" s="71" t="n"/>
      <c r="G120" s="71" t="n"/>
      <c r="H120" s="71" t="n"/>
      <c r="I120" s="72" t="n"/>
      <c r="J120" s="72" t="n"/>
      <c r="K120" s="73">
        <f>IF(OR($I120="",$J120=""),"",$J120-$I120+1)</f>
        <v/>
      </c>
      <c r="L120" s="56" t="n"/>
      <c r="M120" s="74">
        <f>IF($J120="","",$J120+N($L120))</f>
        <v/>
      </c>
      <c r="N120" s="75" t="n"/>
      <c r="O120" s="69">
        <f>IF($C120="","",IF(N($N120)&gt;=1,"Tamamlandı",IF(AND($J120&lt;&gt;"",$M120&lt;Hesap!$B$3),"Gecikmiş",IF(OR(N($N120)&gt;0,AND($I120&lt;&gt;"",$I120&lt;=Hesap!$B$3)),"Devam Ediyor","Planlanan"))))</f>
        <v/>
      </c>
      <c r="P120" s="70" t="n"/>
      <c r="Q120" s="70" t="n"/>
      <c r="R120" s="72" t="n"/>
      <c r="S120" s="73">
        <f>IF(OR($J120="",$R120=""),"",$R120-$J120)</f>
        <v/>
      </c>
      <c r="T120" s="76">
        <f>IF($C120="","",IF($J120="","",IF($R120&lt;&gt;"",IF($S120&gt;7,"⚠ "&amp;TEXT($S120,"0")&amp;" günde yapıldı (geç)","✔ "&amp;TEXT($S120,"0")&amp;" günde yapıldı"),IF($J120&gt;Hesap!$B$3,"",IF($J120+7&lt;Hesap!$B$3,"⚠ Mutabakat "&amp;TEXT(Hesap!$B$3-($J120+7),"0")&amp;" gün gecikti","● Mutabakat için "&amp;TEXT($J120+7-Hesap!$B$3,"0")&amp;" gün")))))</f>
        <v/>
      </c>
      <c r="U120" s="76">
        <f>IF($Y120="","",IF($Y120&gt;0.3,"⚠ Gecikebilir (%"&amp;TEXT($Y120*100,"0")&amp;" geride)",""))</f>
        <v/>
      </c>
      <c r="V120" s="76">
        <f>IF($C120="","",IF($O120="Tamamlandı","",IF($M120="","",IF($M120&lt;Hesap!$B$3,"⚠ "&amp;TEXT(Hesap!$B$3-$M120,"0")&amp;" gün gecikme",IF($M120-Hesap!$B$3&lt;=14,"● "&amp;TEXT($M120-Hesap!$B$3,"0")&amp;" gün kaldı","")))))</f>
        <v/>
      </c>
      <c r="W120">
        <f>IF($C120="","",IF($O120="Tamamlandı",N($L120),MAX(N($L120),IF(AND($J120&lt;&gt;"",$J120&lt;Hesap!$B$3),Hesap!$B$3-$J120,0)))+ROW()/1000000)</f>
        <v/>
      </c>
      <c r="X120">
        <f>IF($W120="","",INT($W120))</f>
        <v/>
      </c>
      <c r="Y120">
        <f>IF(OR($C120="",$I120="",$K120="",$K120&lt;=0,$O120="Tamamlandı"),"",IF(Hesap!$B$3&lt;$I120,"",MIN(1,(Hesap!$B$3-$I120+1)/$K120)-N($N120)))</f>
        <v/>
      </c>
    </row>
    <row r="121" ht="18" customHeight="1">
      <c r="A121" s="69">
        <f>IF($C121="","",ROW()-4)</f>
        <v/>
      </c>
      <c r="B121" s="70" t="n"/>
      <c r="C121" s="70" t="n"/>
      <c r="D121" s="71" t="n"/>
      <c r="E121" s="71" t="n"/>
      <c r="F121" s="71" t="n"/>
      <c r="G121" s="71" t="n"/>
      <c r="H121" s="71" t="n"/>
      <c r="I121" s="72" t="n"/>
      <c r="J121" s="72" t="n"/>
      <c r="K121" s="73">
        <f>IF(OR($I121="",$J121=""),"",$J121-$I121+1)</f>
        <v/>
      </c>
      <c r="L121" s="56" t="n"/>
      <c r="M121" s="74">
        <f>IF($J121="","",$J121+N($L121))</f>
        <v/>
      </c>
      <c r="N121" s="75" t="n"/>
      <c r="O121" s="69">
        <f>IF($C121="","",IF(N($N121)&gt;=1,"Tamamlandı",IF(AND($J121&lt;&gt;"",$M121&lt;Hesap!$B$3),"Gecikmiş",IF(OR(N($N121)&gt;0,AND($I121&lt;&gt;"",$I121&lt;=Hesap!$B$3)),"Devam Ediyor","Planlanan"))))</f>
        <v/>
      </c>
      <c r="P121" s="70" t="n"/>
      <c r="Q121" s="70" t="n"/>
      <c r="R121" s="72" t="n"/>
      <c r="S121" s="73">
        <f>IF(OR($J121="",$R121=""),"",$R121-$J121)</f>
        <v/>
      </c>
      <c r="T121" s="76">
        <f>IF($C121="","",IF($J121="","",IF($R121&lt;&gt;"",IF($S121&gt;7,"⚠ "&amp;TEXT($S121,"0")&amp;" günde yapıldı (geç)","✔ "&amp;TEXT($S121,"0")&amp;" günde yapıldı"),IF($J121&gt;Hesap!$B$3,"",IF($J121+7&lt;Hesap!$B$3,"⚠ Mutabakat "&amp;TEXT(Hesap!$B$3-($J121+7),"0")&amp;" gün gecikti","● Mutabakat için "&amp;TEXT($J121+7-Hesap!$B$3,"0")&amp;" gün")))))</f>
        <v/>
      </c>
      <c r="U121" s="76">
        <f>IF($Y121="","",IF($Y121&gt;0.3,"⚠ Gecikebilir (%"&amp;TEXT($Y121*100,"0")&amp;" geride)",""))</f>
        <v/>
      </c>
      <c r="V121" s="76">
        <f>IF($C121="","",IF($O121="Tamamlandı","",IF($M121="","",IF($M121&lt;Hesap!$B$3,"⚠ "&amp;TEXT(Hesap!$B$3-$M121,"0")&amp;" gün gecikme",IF($M121-Hesap!$B$3&lt;=14,"● "&amp;TEXT($M121-Hesap!$B$3,"0")&amp;" gün kaldı","")))))</f>
        <v/>
      </c>
      <c r="W121">
        <f>IF($C121="","",IF($O121="Tamamlandı",N($L121),MAX(N($L121),IF(AND($J121&lt;&gt;"",$J121&lt;Hesap!$B$3),Hesap!$B$3-$J121,0)))+ROW()/1000000)</f>
        <v/>
      </c>
      <c r="X121">
        <f>IF($W121="","",INT($W121))</f>
        <v/>
      </c>
      <c r="Y121">
        <f>IF(OR($C121="",$I121="",$K121="",$K121&lt;=0,$O121="Tamamlandı"),"",IF(Hesap!$B$3&lt;$I121,"",MIN(1,(Hesap!$B$3-$I121+1)/$K121)-N($N121)))</f>
        <v/>
      </c>
    </row>
    <row r="122" ht="18" customHeight="1">
      <c r="A122" s="69">
        <f>IF($C122="","",ROW()-4)</f>
        <v/>
      </c>
      <c r="B122" s="70" t="n"/>
      <c r="C122" s="70" t="n"/>
      <c r="D122" s="71" t="n"/>
      <c r="E122" s="71" t="n"/>
      <c r="F122" s="71" t="n"/>
      <c r="G122" s="71" t="n"/>
      <c r="H122" s="71" t="n"/>
      <c r="I122" s="72" t="n"/>
      <c r="J122" s="72" t="n"/>
      <c r="K122" s="73">
        <f>IF(OR($I122="",$J122=""),"",$J122-$I122+1)</f>
        <v/>
      </c>
      <c r="L122" s="56" t="n"/>
      <c r="M122" s="74">
        <f>IF($J122="","",$J122+N($L122))</f>
        <v/>
      </c>
      <c r="N122" s="75" t="n"/>
      <c r="O122" s="69">
        <f>IF($C122="","",IF(N($N122)&gt;=1,"Tamamlandı",IF(AND($J122&lt;&gt;"",$M122&lt;Hesap!$B$3),"Gecikmiş",IF(OR(N($N122)&gt;0,AND($I122&lt;&gt;"",$I122&lt;=Hesap!$B$3)),"Devam Ediyor","Planlanan"))))</f>
        <v/>
      </c>
      <c r="P122" s="70" t="n"/>
      <c r="Q122" s="70" t="n"/>
      <c r="R122" s="72" t="n"/>
      <c r="S122" s="73">
        <f>IF(OR($J122="",$R122=""),"",$R122-$J122)</f>
        <v/>
      </c>
      <c r="T122" s="76">
        <f>IF($C122="","",IF($J122="","",IF($R122&lt;&gt;"",IF($S122&gt;7,"⚠ "&amp;TEXT($S122,"0")&amp;" günde yapıldı (geç)","✔ "&amp;TEXT($S122,"0")&amp;" günde yapıldı"),IF($J122&gt;Hesap!$B$3,"",IF($J122+7&lt;Hesap!$B$3,"⚠ Mutabakat "&amp;TEXT(Hesap!$B$3-($J122+7),"0")&amp;" gün gecikti","● Mutabakat için "&amp;TEXT($J122+7-Hesap!$B$3,"0")&amp;" gün")))))</f>
        <v/>
      </c>
      <c r="U122" s="76">
        <f>IF($Y122="","",IF($Y122&gt;0.3,"⚠ Gecikebilir (%"&amp;TEXT($Y122*100,"0")&amp;" geride)",""))</f>
        <v/>
      </c>
      <c r="V122" s="76">
        <f>IF($C122="","",IF($O122="Tamamlandı","",IF($M122="","",IF($M122&lt;Hesap!$B$3,"⚠ "&amp;TEXT(Hesap!$B$3-$M122,"0")&amp;" gün gecikme",IF($M122-Hesap!$B$3&lt;=14,"● "&amp;TEXT($M122-Hesap!$B$3,"0")&amp;" gün kaldı","")))))</f>
        <v/>
      </c>
      <c r="W122">
        <f>IF($C122="","",IF($O122="Tamamlandı",N($L122),MAX(N($L122),IF(AND($J122&lt;&gt;"",$J122&lt;Hesap!$B$3),Hesap!$B$3-$J122,0)))+ROW()/1000000)</f>
        <v/>
      </c>
      <c r="X122">
        <f>IF($W122="","",INT($W122))</f>
        <v/>
      </c>
      <c r="Y122">
        <f>IF(OR($C122="",$I122="",$K122="",$K122&lt;=0,$O122="Tamamlandı"),"",IF(Hesap!$B$3&lt;$I122,"",MIN(1,(Hesap!$B$3-$I122+1)/$K122)-N($N122)))</f>
        <v/>
      </c>
    </row>
    <row r="123" ht="18" customHeight="1">
      <c r="A123" s="69">
        <f>IF($C123="","",ROW()-4)</f>
        <v/>
      </c>
      <c r="B123" s="70" t="n"/>
      <c r="C123" s="70" t="n"/>
      <c r="D123" s="71" t="n"/>
      <c r="E123" s="71" t="n"/>
      <c r="F123" s="71" t="n"/>
      <c r="G123" s="71" t="n"/>
      <c r="H123" s="71" t="n"/>
      <c r="I123" s="72" t="n"/>
      <c r="J123" s="72" t="n"/>
      <c r="K123" s="73">
        <f>IF(OR($I123="",$J123=""),"",$J123-$I123+1)</f>
        <v/>
      </c>
      <c r="L123" s="56" t="n"/>
      <c r="M123" s="74">
        <f>IF($J123="","",$J123+N($L123))</f>
        <v/>
      </c>
      <c r="N123" s="75" t="n"/>
      <c r="O123" s="69">
        <f>IF($C123="","",IF(N($N123)&gt;=1,"Tamamlandı",IF(AND($J123&lt;&gt;"",$M123&lt;Hesap!$B$3),"Gecikmiş",IF(OR(N($N123)&gt;0,AND($I123&lt;&gt;"",$I123&lt;=Hesap!$B$3)),"Devam Ediyor","Planlanan"))))</f>
        <v/>
      </c>
      <c r="P123" s="70" t="n"/>
      <c r="Q123" s="70" t="n"/>
      <c r="R123" s="72" t="n"/>
      <c r="S123" s="73">
        <f>IF(OR($J123="",$R123=""),"",$R123-$J123)</f>
        <v/>
      </c>
      <c r="T123" s="76">
        <f>IF($C123="","",IF($J123="","",IF($R123&lt;&gt;"",IF($S123&gt;7,"⚠ "&amp;TEXT($S123,"0")&amp;" günde yapıldı (geç)","✔ "&amp;TEXT($S123,"0")&amp;" günde yapıldı"),IF($J123&gt;Hesap!$B$3,"",IF($J123+7&lt;Hesap!$B$3,"⚠ Mutabakat "&amp;TEXT(Hesap!$B$3-($J123+7),"0")&amp;" gün gecikti","● Mutabakat için "&amp;TEXT($J123+7-Hesap!$B$3,"0")&amp;" gün")))))</f>
        <v/>
      </c>
      <c r="U123" s="76">
        <f>IF($Y123="","",IF($Y123&gt;0.3,"⚠ Gecikebilir (%"&amp;TEXT($Y123*100,"0")&amp;" geride)",""))</f>
        <v/>
      </c>
      <c r="V123" s="76">
        <f>IF($C123="","",IF($O123="Tamamlandı","",IF($M123="","",IF($M123&lt;Hesap!$B$3,"⚠ "&amp;TEXT(Hesap!$B$3-$M123,"0")&amp;" gün gecikme",IF($M123-Hesap!$B$3&lt;=14,"● "&amp;TEXT($M123-Hesap!$B$3,"0")&amp;" gün kaldı","")))))</f>
        <v/>
      </c>
      <c r="W123">
        <f>IF($C123="","",IF($O123="Tamamlandı",N($L123),MAX(N($L123),IF(AND($J123&lt;&gt;"",$J123&lt;Hesap!$B$3),Hesap!$B$3-$J123,0)))+ROW()/1000000)</f>
        <v/>
      </c>
      <c r="X123">
        <f>IF($W123="","",INT($W123))</f>
        <v/>
      </c>
      <c r="Y123">
        <f>IF(OR($C123="",$I123="",$K123="",$K123&lt;=0,$O123="Tamamlandı"),"",IF(Hesap!$B$3&lt;$I123,"",MIN(1,(Hesap!$B$3-$I123+1)/$K123)-N($N123)))</f>
        <v/>
      </c>
    </row>
    <row r="124" ht="18" customHeight="1">
      <c r="A124" s="69">
        <f>IF($C124="","",ROW()-4)</f>
        <v/>
      </c>
      <c r="B124" s="70" t="n"/>
      <c r="C124" s="70" t="n"/>
      <c r="D124" s="71" t="n"/>
      <c r="E124" s="71" t="n"/>
      <c r="F124" s="71" t="n"/>
      <c r="G124" s="71" t="n"/>
      <c r="H124" s="71" t="n"/>
      <c r="I124" s="72" t="n"/>
      <c r="J124" s="72" t="n"/>
      <c r="K124" s="73">
        <f>IF(OR($I124="",$J124=""),"",$J124-$I124+1)</f>
        <v/>
      </c>
      <c r="L124" s="56" t="n"/>
      <c r="M124" s="74">
        <f>IF($J124="","",$J124+N($L124))</f>
        <v/>
      </c>
      <c r="N124" s="75" t="n"/>
      <c r="O124" s="69">
        <f>IF($C124="","",IF(N($N124)&gt;=1,"Tamamlandı",IF(AND($J124&lt;&gt;"",$M124&lt;Hesap!$B$3),"Gecikmiş",IF(OR(N($N124)&gt;0,AND($I124&lt;&gt;"",$I124&lt;=Hesap!$B$3)),"Devam Ediyor","Planlanan"))))</f>
        <v/>
      </c>
      <c r="P124" s="70" t="n"/>
      <c r="Q124" s="70" t="n"/>
      <c r="R124" s="72" t="n"/>
      <c r="S124" s="73">
        <f>IF(OR($J124="",$R124=""),"",$R124-$J124)</f>
        <v/>
      </c>
      <c r="T124" s="76">
        <f>IF($C124="","",IF($J124="","",IF($R124&lt;&gt;"",IF($S124&gt;7,"⚠ "&amp;TEXT($S124,"0")&amp;" günde yapıldı (geç)","✔ "&amp;TEXT($S124,"0")&amp;" günde yapıldı"),IF($J124&gt;Hesap!$B$3,"",IF($J124+7&lt;Hesap!$B$3,"⚠ Mutabakat "&amp;TEXT(Hesap!$B$3-($J124+7),"0")&amp;" gün gecikti","● Mutabakat için "&amp;TEXT($J124+7-Hesap!$B$3,"0")&amp;" gün")))))</f>
        <v/>
      </c>
      <c r="U124" s="76">
        <f>IF($Y124="","",IF($Y124&gt;0.3,"⚠ Gecikebilir (%"&amp;TEXT($Y124*100,"0")&amp;" geride)",""))</f>
        <v/>
      </c>
      <c r="V124" s="76">
        <f>IF($C124="","",IF($O124="Tamamlandı","",IF($M124="","",IF($M124&lt;Hesap!$B$3,"⚠ "&amp;TEXT(Hesap!$B$3-$M124,"0")&amp;" gün gecikme",IF($M124-Hesap!$B$3&lt;=14,"● "&amp;TEXT($M124-Hesap!$B$3,"0")&amp;" gün kaldı","")))))</f>
        <v/>
      </c>
      <c r="W124">
        <f>IF($C124="","",IF($O124="Tamamlandı",N($L124),MAX(N($L124),IF(AND($J124&lt;&gt;"",$J124&lt;Hesap!$B$3),Hesap!$B$3-$J124,0)))+ROW()/1000000)</f>
        <v/>
      </c>
      <c r="X124">
        <f>IF($W124="","",INT($W124))</f>
        <v/>
      </c>
      <c r="Y124">
        <f>IF(OR($C124="",$I124="",$K124="",$K124&lt;=0,$O124="Tamamlandı"),"",IF(Hesap!$B$3&lt;$I124,"",MIN(1,(Hesap!$B$3-$I124+1)/$K124)-N($N124)))</f>
        <v/>
      </c>
    </row>
    <row r="125" ht="18" customHeight="1">
      <c r="A125" s="69">
        <f>IF($C125="","",ROW()-4)</f>
        <v/>
      </c>
      <c r="B125" s="70" t="n"/>
      <c r="C125" s="70" t="n"/>
      <c r="D125" s="71" t="n"/>
      <c r="E125" s="71" t="n"/>
      <c r="F125" s="71" t="n"/>
      <c r="G125" s="71" t="n"/>
      <c r="H125" s="71" t="n"/>
      <c r="I125" s="72" t="n"/>
      <c r="J125" s="72" t="n"/>
      <c r="K125" s="73">
        <f>IF(OR($I125="",$J125=""),"",$J125-$I125+1)</f>
        <v/>
      </c>
      <c r="L125" s="56" t="n"/>
      <c r="M125" s="74">
        <f>IF($J125="","",$J125+N($L125))</f>
        <v/>
      </c>
      <c r="N125" s="75" t="n"/>
      <c r="O125" s="69">
        <f>IF($C125="","",IF(N($N125)&gt;=1,"Tamamlandı",IF(AND($J125&lt;&gt;"",$M125&lt;Hesap!$B$3),"Gecikmiş",IF(OR(N($N125)&gt;0,AND($I125&lt;&gt;"",$I125&lt;=Hesap!$B$3)),"Devam Ediyor","Planlanan"))))</f>
        <v/>
      </c>
      <c r="P125" s="70" t="n"/>
      <c r="Q125" s="70" t="n"/>
      <c r="R125" s="72" t="n"/>
      <c r="S125" s="73">
        <f>IF(OR($J125="",$R125=""),"",$R125-$J125)</f>
        <v/>
      </c>
      <c r="T125" s="76">
        <f>IF($C125="","",IF($J125="","",IF($R125&lt;&gt;"",IF($S125&gt;7,"⚠ "&amp;TEXT($S125,"0")&amp;" günde yapıldı (geç)","✔ "&amp;TEXT($S125,"0")&amp;" günde yapıldı"),IF($J125&gt;Hesap!$B$3,"",IF($J125+7&lt;Hesap!$B$3,"⚠ Mutabakat "&amp;TEXT(Hesap!$B$3-($J125+7),"0")&amp;" gün gecikti","● Mutabakat için "&amp;TEXT($J125+7-Hesap!$B$3,"0")&amp;" gün")))))</f>
        <v/>
      </c>
      <c r="U125" s="76">
        <f>IF($Y125="","",IF($Y125&gt;0.3,"⚠ Gecikebilir (%"&amp;TEXT($Y125*100,"0")&amp;" geride)",""))</f>
        <v/>
      </c>
      <c r="V125" s="76">
        <f>IF($C125="","",IF($O125="Tamamlandı","",IF($M125="","",IF($M125&lt;Hesap!$B$3,"⚠ "&amp;TEXT(Hesap!$B$3-$M125,"0")&amp;" gün gecikme",IF($M125-Hesap!$B$3&lt;=14,"● "&amp;TEXT($M125-Hesap!$B$3,"0")&amp;" gün kaldı","")))))</f>
        <v/>
      </c>
      <c r="W125">
        <f>IF($C125="","",IF($O125="Tamamlandı",N($L125),MAX(N($L125),IF(AND($J125&lt;&gt;"",$J125&lt;Hesap!$B$3),Hesap!$B$3-$J125,0)))+ROW()/1000000)</f>
        <v/>
      </c>
      <c r="X125">
        <f>IF($W125="","",INT($W125))</f>
        <v/>
      </c>
      <c r="Y125">
        <f>IF(OR($C125="",$I125="",$K125="",$K125&lt;=0,$O125="Tamamlandı"),"",IF(Hesap!$B$3&lt;$I125,"",MIN(1,(Hesap!$B$3-$I125+1)/$K125)-N($N125)))</f>
        <v/>
      </c>
    </row>
    <row r="126" ht="18" customHeight="1">
      <c r="A126" s="69">
        <f>IF($C126="","",ROW()-4)</f>
        <v/>
      </c>
      <c r="B126" s="70" t="n"/>
      <c r="C126" s="70" t="n"/>
      <c r="D126" s="71" t="n"/>
      <c r="E126" s="71" t="n"/>
      <c r="F126" s="71" t="n"/>
      <c r="G126" s="71" t="n"/>
      <c r="H126" s="71" t="n"/>
      <c r="I126" s="72" t="n"/>
      <c r="J126" s="72" t="n"/>
      <c r="K126" s="73">
        <f>IF(OR($I126="",$J126=""),"",$J126-$I126+1)</f>
        <v/>
      </c>
      <c r="L126" s="56" t="n"/>
      <c r="M126" s="74">
        <f>IF($J126="","",$J126+N($L126))</f>
        <v/>
      </c>
      <c r="N126" s="75" t="n"/>
      <c r="O126" s="69">
        <f>IF($C126="","",IF(N($N126)&gt;=1,"Tamamlandı",IF(AND($J126&lt;&gt;"",$M126&lt;Hesap!$B$3),"Gecikmiş",IF(OR(N($N126)&gt;0,AND($I126&lt;&gt;"",$I126&lt;=Hesap!$B$3)),"Devam Ediyor","Planlanan"))))</f>
        <v/>
      </c>
      <c r="P126" s="70" t="n"/>
      <c r="Q126" s="70" t="n"/>
      <c r="R126" s="72" t="n"/>
      <c r="S126" s="73">
        <f>IF(OR($J126="",$R126=""),"",$R126-$J126)</f>
        <v/>
      </c>
      <c r="T126" s="76">
        <f>IF($C126="","",IF($J126="","",IF($R126&lt;&gt;"",IF($S126&gt;7,"⚠ "&amp;TEXT($S126,"0")&amp;" günde yapıldı (geç)","✔ "&amp;TEXT($S126,"0")&amp;" günde yapıldı"),IF($J126&gt;Hesap!$B$3,"",IF($J126+7&lt;Hesap!$B$3,"⚠ Mutabakat "&amp;TEXT(Hesap!$B$3-($J126+7),"0")&amp;" gün gecikti","● Mutabakat için "&amp;TEXT($J126+7-Hesap!$B$3,"0")&amp;" gün")))))</f>
        <v/>
      </c>
      <c r="U126" s="76">
        <f>IF($Y126="","",IF($Y126&gt;0.3,"⚠ Gecikebilir (%"&amp;TEXT($Y126*100,"0")&amp;" geride)",""))</f>
        <v/>
      </c>
      <c r="V126" s="76">
        <f>IF($C126="","",IF($O126="Tamamlandı","",IF($M126="","",IF($M126&lt;Hesap!$B$3,"⚠ "&amp;TEXT(Hesap!$B$3-$M126,"0")&amp;" gün gecikme",IF($M126-Hesap!$B$3&lt;=14,"● "&amp;TEXT($M126-Hesap!$B$3,"0")&amp;" gün kaldı","")))))</f>
        <v/>
      </c>
      <c r="W126">
        <f>IF($C126="","",IF($O126="Tamamlandı",N($L126),MAX(N($L126),IF(AND($J126&lt;&gt;"",$J126&lt;Hesap!$B$3),Hesap!$B$3-$J126,0)))+ROW()/1000000)</f>
        <v/>
      </c>
      <c r="X126">
        <f>IF($W126="","",INT($W126))</f>
        <v/>
      </c>
      <c r="Y126">
        <f>IF(OR($C126="",$I126="",$K126="",$K126&lt;=0,$O126="Tamamlandı"),"",IF(Hesap!$B$3&lt;$I126,"",MIN(1,(Hesap!$B$3-$I126+1)/$K126)-N($N126)))</f>
        <v/>
      </c>
    </row>
    <row r="127" ht="18" customHeight="1">
      <c r="A127" s="69">
        <f>IF($C127="","",ROW()-4)</f>
        <v/>
      </c>
      <c r="B127" s="70" t="n"/>
      <c r="C127" s="70" t="n"/>
      <c r="D127" s="71" t="n"/>
      <c r="E127" s="71" t="n"/>
      <c r="F127" s="71" t="n"/>
      <c r="G127" s="71" t="n"/>
      <c r="H127" s="71" t="n"/>
      <c r="I127" s="72" t="n"/>
      <c r="J127" s="72" t="n"/>
      <c r="K127" s="73">
        <f>IF(OR($I127="",$J127=""),"",$J127-$I127+1)</f>
        <v/>
      </c>
      <c r="L127" s="56" t="n"/>
      <c r="M127" s="74">
        <f>IF($J127="","",$J127+N($L127))</f>
        <v/>
      </c>
      <c r="N127" s="75" t="n"/>
      <c r="O127" s="69">
        <f>IF($C127="","",IF(N($N127)&gt;=1,"Tamamlandı",IF(AND($J127&lt;&gt;"",$M127&lt;Hesap!$B$3),"Gecikmiş",IF(OR(N($N127)&gt;0,AND($I127&lt;&gt;"",$I127&lt;=Hesap!$B$3)),"Devam Ediyor","Planlanan"))))</f>
        <v/>
      </c>
      <c r="P127" s="70" t="n"/>
      <c r="Q127" s="70" t="n"/>
      <c r="R127" s="72" t="n"/>
      <c r="S127" s="73">
        <f>IF(OR($J127="",$R127=""),"",$R127-$J127)</f>
        <v/>
      </c>
      <c r="T127" s="76">
        <f>IF($C127="","",IF($J127="","",IF($R127&lt;&gt;"",IF($S127&gt;7,"⚠ "&amp;TEXT($S127,"0")&amp;" günde yapıldı (geç)","✔ "&amp;TEXT($S127,"0")&amp;" günde yapıldı"),IF($J127&gt;Hesap!$B$3,"",IF($J127+7&lt;Hesap!$B$3,"⚠ Mutabakat "&amp;TEXT(Hesap!$B$3-($J127+7),"0")&amp;" gün gecikti","● Mutabakat için "&amp;TEXT($J127+7-Hesap!$B$3,"0")&amp;" gün")))))</f>
        <v/>
      </c>
      <c r="U127" s="76">
        <f>IF($Y127="","",IF($Y127&gt;0.3,"⚠ Gecikebilir (%"&amp;TEXT($Y127*100,"0")&amp;" geride)",""))</f>
        <v/>
      </c>
      <c r="V127" s="76">
        <f>IF($C127="","",IF($O127="Tamamlandı","",IF($M127="","",IF($M127&lt;Hesap!$B$3,"⚠ "&amp;TEXT(Hesap!$B$3-$M127,"0")&amp;" gün gecikme",IF($M127-Hesap!$B$3&lt;=14,"● "&amp;TEXT($M127-Hesap!$B$3,"0")&amp;" gün kaldı","")))))</f>
        <v/>
      </c>
      <c r="W127">
        <f>IF($C127="","",IF($O127="Tamamlandı",N($L127),MAX(N($L127),IF(AND($J127&lt;&gt;"",$J127&lt;Hesap!$B$3),Hesap!$B$3-$J127,0)))+ROW()/1000000)</f>
        <v/>
      </c>
      <c r="X127">
        <f>IF($W127="","",INT($W127))</f>
        <v/>
      </c>
      <c r="Y127">
        <f>IF(OR($C127="",$I127="",$K127="",$K127&lt;=0,$O127="Tamamlandı"),"",IF(Hesap!$B$3&lt;$I127,"",MIN(1,(Hesap!$B$3-$I127+1)/$K127)-N($N127)))</f>
        <v/>
      </c>
    </row>
    <row r="128" ht="18" customHeight="1">
      <c r="A128" s="69">
        <f>IF($C128="","",ROW()-4)</f>
        <v/>
      </c>
      <c r="B128" s="70" t="n"/>
      <c r="C128" s="70" t="n"/>
      <c r="D128" s="71" t="n"/>
      <c r="E128" s="71" t="n"/>
      <c r="F128" s="71" t="n"/>
      <c r="G128" s="71" t="n"/>
      <c r="H128" s="71" t="n"/>
      <c r="I128" s="72" t="n"/>
      <c r="J128" s="72" t="n"/>
      <c r="K128" s="73">
        <f>IF(OR($I128="",$J128=""),"",$J128-$I128+1)</f>
        <v/>
      </c>
      <c r="L128" s="56" t="n"/>
      <c r="M128" s="74">
        <f>IF($J128="","",$J128+N($L128))</f>
        <v/>
      </c>
      <c r="N128" s="75" t="n"/>
      <c r="O128" s="69">
        <f>IF($C128="","",IF(N($N128)&gt;=1,"Tamamlandı",IF(AND($J128&lt;&gt;"",$M128&lt;Hesap!$B$3),"Gecikmiş",IF(OR(N($N128)&gt;0,AND($I128&lt;&gt;"",$I128&lt;=Hesap!$B$3)),"Devam Ediyor","Planlanan"))))</f>
        <v/>
      </c>
      <c r="P128" s="70" t="n"/>
      <c r="Q128" s="70" t="n"/>
      <c r="R128" s="72" t="n"/>
      <c r="S128" s="73">
        <f>IF(OR($J128="",$R128=""),"",$R128-$J128)</f>
        <v/>
      </c>
      <c r="T128" s="76">
        <f>IF($C128="","",IF($J128="","",IF($R128&lt;&gt;"",IF($S128&gt;7,"⚠ "&amp;TEXT($S128,"0")&amp;" günde yapıldı (geç)","✔ "&amp;TEXT($S128,"0")&amp;" günde yapıldı"),IF($J128&gt;Hesap!$B$3,"",IF($J128+7&lt;Hesap!$B$3,"⚠ Mutabakat "&amp;TEXT(Hesap!$B$3-($J128+7),"0")&amp;" gün gecikti","● Mutabakat için "&amp;TEXT($J128+7-Hesap!$B$3,"0")&amp;" gün")))))</f>
        <v/>
      </c>
      <c r="U128" s="76">
        <f>IF($Y128="","",IF($Y128&gt;0.3,"⚠ Gecikebilir (%"&amp;TEXT($Y128*100,"0")&amp;" geride)",""))</f>
        <v/>
      </c>
      <c r="V128" s="76">
        <f>IF($C128="","",IF($O128="Tamamlandı","",IF($M128="","",IF($M128&lt;Hesap!$B$3,"⚠ "&amp;TEXT(Hesap!$B$3-$M128,"0")&amp;" gün gecikme",IF($M128-Hesap!$B$3&lt;=14,"● "&amp;TEXT($M128-Hesap!$B$3,"0")&amp;" gün kaldı","")))))</f>
        <v/>
      </c>
      <c r="W128">
        <f>IF($C128="","",IF($O128="Tamamlandı",N($L128),MAX(N($L128),IF(AND($J128&lt;&gt;"",$J128&lt;Hesap!$B$3),Hesap!$B$3-$J128,0)))+ROW()/1000000)</f>
        <v/>
      </c>
      <c r="X128">
        <f>IF($W128="","",INT($W128))</f>
        <v/>
      </c>
      <c r="Y128">
        <f>IF(OR($C128="",$I128="",$K128="",$K128&lt;=0,$O128="Tamamlandı"),"",IF(Hesap!$B$3&lt;$I128,"",MIN(1,(Hesap!$B$3-$I128+1)/$K128)-N($N128)))</f>
        <v/>
      </c>
    </row>
    <row r="129" ht="18" customHeight="1">
      <c r="A129" s="69">
        <f>IF($C129="","",ROW()-4)</f>
        <v/>
      </c>
      <c r="B129" s="70" t="n"/>
      <c r="C129" s="70" t="n"/>
      <c r="D129" s="71" t="n"/>
      <c r="E129" s="71" t="n"/>
      <c r="F129" s="71" t="n"/>
      <c r="G129" s="71" t="n"/>
      <c r="H129" s="71" t="n"/>
      <c r="I129" s="72" t="n"/>
      <c r="J129" s="72" t="n"/>
      <c r="K129" s="73">
        <f>IF(OR($I129="",$J129=""),"",$J129-$I129+1)</f>
        <v/>
      </c>
      <c r="L129" s="56" t="n"/>
      <c r="M129" s="74">
        <f>IF($J129="","",$J129+N($L129))</f>
        <v/>
      </c>
      <c r="N129" s="75" t="n"/>
      <c r="O129" s="69">
        <f>IF($C129="","",IF(N($N129)&gt;=1,"Tamamlandı",IF(AND($J129&lt;&gt;"",$M129&lt;Hesap!$B$3),"Gecikmiş",IF(OR(N($N129)&gt;0,AND($I129&lt;&gt;"",$I129&lt;=Hesap!$B$3)),"Devam Ediyor","Planlanan"))))</f>
        <v/>
      </c>
      <c r="P129" s="70" t="n"/>
      <c r="Q129" s="70" t="n"/>
      <c r="R129" s="72" t="n"/>
      <c r="S129" s="73">
        <f>IF(OR($J129="",$R129=""),"",$R129-$J129)</f>
        <v/>
      </c>
      <c r="T129" s="76">
        <f>IF($C129="","",IF($J129="","",IF($R129&lt;&gt;"",IF($S129&gt;7,"⚠ "&amp;TEXT($S129,"0")&amp;" günde yapıldı (geç)","✔ "&amp;TEXT($S129,"0")&amp;" günde yapıldı"),IF($J129&gt;Hesap!$B$3,"",IF($J129+7&lt;Hesap!$B$3,"⚠ Mutabakat "&amp;TEXT(Hesap!$B$3-($J129+7),"0")&amp;" gün gecikti","● Mutabakat için "&amp;TEXT($J129+7-Hesap!$B$3,"0")&amp;" gün")))))</f>
        <v/>
      </c>
      <c r="U129" s="76">
        <f>IF($Y129="","",IF($Y129&gt;0.3,"⚠ Gecikebilir (%"&amp;TEXT($Y129*100,"0")&amp;" geride)",""))</f>
        <v/>
      </c>
      <c r="V129" s="76">
        <f>IF($C129="","",IF($O129="Tamamlandı","",IF($M129="","",IF($M129&lt;Hesap!$B$3,"⚠ "&amp;TEXT(Hesap!$B$3-$M129,"0")&amp;" gün gecikme",IF($M129-Hesap!$B$3&lt;=14,"● "&amp;TEXT($M129-Hesap!$B$3,"0")&amp;" gün kaldı","")))))</f>
        <v/>
      </c>
      <c r="W129">
        <f>IF($C129="","",IF($O129="Tamamlandı",N($L129),MAX(N($L129),IF(AND($J129&lt;&gt;"",$J129&lt;Hesap!$B$3),Hesap!$B$3-$J129,0)))+ROW()/1000000)</f>
        <v/>
      </c>
      <c r="X129">
        <f>IF($W129="","",INT($W129))</f>
        <v/>
      </c>
      <c r="Y129">
        <f>IF(OR($C129="",$I129="",$K129="",$K129&lt;=0,$O129="Tamamlandı"),"",IF(Hesap!$B$3&lt;$I129,"",MIN(1,(Hesap!$B$3-$I129+1)/$K129)-N($N129)))</f>
        <v/>
      </c>
    </row>
    <row r="130" ht="18" customHeight="1">
      <c r="A130" s="69">
        <f>IF($C130="","",ROW()-4)</f>
        <v/>
      </c>
      <c r="B130" s="70" t="n"/>
      <c r="C130" s="70" t="n"/>
      <c r="D130" s="71" t="n"/>
      <c r="E130" s="71" t="n"/>
      <c r="F130" s="71" t="n"/>
      <c r="G130" s="71" t="n"/>
      <c r="H130" s="71" t="n"/>
      <c r="I130" s="72" t="n"/>
      <c r="J130" s="72" t="n"/>
      <c r="K130" s="73">
        <f>IF(OR($I130="",$J130=""),"",$J130-$I130+1)</f>
        <v/>
      </c>
      <c r="L130" s="56" t="n"/>
      <c r="M130" s="74">
        <f>IF($J130="","",$J130+N($L130))</f>
        <v/>
      </c>
      <c r="N130" s="75" t="n"/>
      <c r="O130" s="69">
        <f>IF($C130="","",IF(N($N130)&gt;=1,"Tamamlandı",IF(AND($J130&lt;&gt;"",$M130&lt;Hesap!$B$3),"Gecikmiş",IF(OR(N($N130)&gt;0,AND($I130&lt;&gt;"",$I130&lt;=Hesap!$B$3)),"Devam Ediyor","Planlanan"))))</f>
        <v/>
      </c>
      <c r="P130" s="70" t="n"/>
      <c r="Q130" s="70" t="n"/>
      <c r="R130" s="72" t="n"/>
      <c r="S130" s="73">
        <f>IF(OR($J130="",$R130=""),"",$R130-$J130)</f>
        <v/>
      </c>
      <c r="T130" s="76">
        <f>IF($C130="","",IF($J130="","",IF($R130&lt;&gt;"",IF($S130&gt;7,"⚠ "&amp;TEXT($S130,"0")&amp;" günde yapıldı (geç)","✔ "&amp;TEXT($S130,"0")&amp;" günde yapıldı"),IF($J130&gt;Hesap!$B$3,"",IF($J130+7&lt;Hesap!$B$3,"⚠ Mutabakat "&amp;TEXT(Hesap!$B$3-($J130+7),"0")&amp;" gün gecikti","● Mutabakat için "&amp;TEXT($J130+7-Hesap!$B$3,"0")&amp;" gün")))))</f>
        <v/>
      </c>
      <c r="U130" s="76">
        <f>IF($Y130="","",IF($Y130&gt;0.3,"⚠ Gecikebilir (%"&amp;TEXT($Y130*100,"0")&amp;" geride)",""))</f>
        <v/>
      </c>
      <c r="V130" s="76">
        <f>IF($C130="","",IF($O130="Tamamlandı","",IF($M130="","",IF($M130&lt;Hesap!$B$3,"⚠ "&amp;TEXT(Hesap!$B$3-$M130,"0")&amp;" gün gecikme",IF($M130-Hesap!$B$3&lt;=14,"● "&amp;TEXT($M130-Hesap!$B$3,"0")&amp;" gün kaldı","")))))</f>
        <v/>
      </c>
      <c r="W130">
        <f>IF($C130="","",IF($O130="Tamamlandı",N($L130),MAX(N($L130),IF(AND($J130&lt;&gt;"",$J130&lt;Hesap!$B$3),Hesap!$B$3-$J130,0)))+ROW()/1000000)</f>
        <v/>
      </c>
      <c r="X130">
        <f>IF($W130="","",INT($W130))</f>
        <v/>
      </c>
      <c r="Y130">
        <f>IF(OR($C130="",$I130="",$K130="",$K130&lt;=0,$O130="Tamamlandı"),"",IF(Hesap!$B$3&lt;$I130,"",MIN(1,(Hesap!$B$3-$I130+1)/$K130)-N($N130)))</f>
        <v/>
      </c>
    </row>
    <row r="131" ht="18" customHeight="1">
      <c r="A131" s="69">
        <f>IF($C131="","",ROW()-4)</f>
        <v/>
      </c>
      <c r="B131" s="70" t="n"/>
      <c r="C131" s="70" t="n"/>
      <c r="D131" s="71" t="n"/>
      <c r="E131" s="71" t="n"/>
      <c r="F131" s="71" t="n"/>
      <c r="G131" s="71" t="n"/>
      <c r="H131" s="71" t="n"/>
      <c r="I131" s="72" t="n"/>
      <c r="J131" s="72" t="n"/>
      <c r="K131" s="73">
        <f>IF(OR($I131="",$J131=""),"",$J131-$I131+1)</f>
        <v/>
      </c>
      <c r="L131" s="56" t="n"/>
      <c r="M131" s="74">
        <f>IF($J131="","",$J131+N($L131))</f>
        <v/>
      </c>
      <c r="N131" s="75" t="n"/>
      <c r="O131" s="69">
        <f>IF($C131="","",IF(N($N131)&gt;=1,"Tamamlandı",IF(AND($J131&lt;&gt;"",$M131&lt;Hesap!$B$3),"Gecikmiş",IF(OR(N($N131)&gt;0,AND($I131&lt;&gt;"",$I131&lt;=Hesap!$B$3)),"Devam Ediyor","Planlanan"))))</f>
        <v/>
      </c>
      <c r="P131" s="70" t="n"/>
      <c r="Q131" s="70" t="n"/>
      <c r="R131" s="72" t="n"/>
      <c r="S131" s="73">
        <f>IF(OR($J131="",$R131=""),"",$R131-$J131)</f>
        <v/>
      </c>
      <c r="T131" s="76">
        <f>IF($C131="","",IF($J131="","",IF($R131&lt;&gt;"",IF($S131&gt;7,"⚠ "&amp;TEXT($S131,"0")&amp;" günde yapıldı (geç)","✔ "&amp;TEXT($S131,"0")&amp;" günde yapıldı"),IF($J131&gt;Hesap!$B$3,"",IF($J131+7&lt;Hesap!$B$3,"⚠ Mutabakat "&amp;TEXT(Hesap!$B$3-($J131+7),"0")&amp;" gün gecikti","● Mutabakat için "&amp;TEXT($J131+7-Hesap!$B$3,"0")&amp;" gün")))))</f>
        <v/>
      </c>
      <c r="U131" s="76">
        <f>IF($Y131="","",IF($Y131&gt;0.3,"⚠ Gecikebilir (%"&amp;TEXT($Y131*100,"0")&amp;" geride)",""))</f>
        <v/>
      </c>
      <c r="V131" s="76">
        <f>IF($C131="","",IF($O131="Tamamlandı","",IF($M131="","",IF($M131&lt;Hesap!$B$3,"⚠ "&amp;TEXT(Hesap!$B$3-$M131,"0")&amp;" gün gecikme",IF($M131-Hesap!$B$3&lt;=14,"● "&amp;TEXT($M131-Hesap!$B$3,"0")&amp;" gün kaldı","")))))</f>
        <v/>
      </c>
      <c r="W131">
        <f>IF($C131="","",IF($O131="Tamamlandı",N($L131),MAX(N($L131),IF(AND($J131&lt;&gt;"",$J131&lt;Hesap!$B$3),Hesap!$B$3-$J131,0)))+ROW()/1000000)</f>
        <v/>
      </c>
      <c r="X131">
        <f>IF($W131="","",INT($W131))</f>
        <v/>
      </c>
      <c r="Y131">
        <f>IF(OR($C131="",$I131="",$K131="",$K131&lt;=0,$O131="Tamamlandı"),"",IF(Hesap!$B$3&lt;$I131,"",MIN(1,(Hesap!$B$3-$I131+1)/$K131)-N($N131)))</f>
        <v/>
      </c>
    </row>
    <row r="132" ht="18" customHeight="1">
      <c r="A132" s="69">
        <f>IF($C132="","",ROW()-4)</f>
        <v/>
      </c>
      <c r="B132" s="70" t="n"/>
      <c r="C132" s="70" t="n"/>
      <c r="D132" s="71" t="n"/>
      <c r="E132" s="71" t="n"/>
      <c r="F132" s="71" t="n"/>
      <c r="G132" s="71" t="n"/>
      <c r="H132" s="71" t="n"/>
      <c r="I132" s="72" t="n"/>
      <c r="J132" s="72" t="n"/>
      <c r="K132" s="73">
        <f>IF(OR($I132="",$J132=""),"",$J132-$I132+1)</f>
        <v/>
      </c>
      <c r="L132" s="56" t="n"/>
      <c r="M132" s="74">
        <f>IF($J132="","",$J132+N($L132))</f>
        <v/>
      </c>
      <c r="N132" s="75" t="n"/>
      <c r="O132" s="69">
        <f>IF($C132="","",IF(N($N132)&gt;=1,"Tamamlandı",IF(AND($J132&lt;&gt;"",$M132&lt;Hesap!$B$3),"Gecikmiş",IF(OR(N($N132)&gt;0,AND($I132&lt;&gt;"",$I132&lt;=Hesap!$B$3)),"Devam Ediyor","Planlanan"))))</f>
        <v/>
      </c>
      <c r="P132" s="70" t="n"/>
      <c r="Q132" s="70" t="n"/>
      <c r="R132" s="72" t="n"/>
      <c r="S132" s="73">
        <f>IF(OR($J132="",$R132=""),"",$R132-$J132)</f>
        <v/>
      </c>
      <c r="T132" s="76">
        <f>IF($C132="","",IF($J132="","",IF($R132&lt;&gt;"",IF($S132&gt;7,"⚠ "&amp;TEXT($S132,"0")&amp;" günde yapıldı (geç)","✔ "&amp;TEXT($S132,"0")&amp;" günde yapıldı"),IF($J132&gt;Hesap!$B$3,"",IF($J132+7&lt;Hesap!$B$3,"⚠ Mutabakat "&amp;TEXT(Hesap!$B$3-($J132+7),"0")&amp;" gün gecikti","● Mutabakat için "&amp;TEXT($J132+7-Hesap!$B$3,"0")&amp;" gün")))))</f>
        <v/>
      </c>
      <c r="U132" s="76">
        <f>IF($Y132="","",IF($Y132&gt;0.3,"⚠ Gecikebilir (%"&amp;TEXT($Y132*100,"0")&amp;" geride)",""))</f>
        <v/>
      </c>
      <c r="V132" s="76">
        <f>IF($C132="","",IF($O132="Tamamlandı","",IF($M132="","",IF($M132&lt;Hesap!$B$3,"⚠ "&amp;TEXT(Hesap!$B$3-$M132,"0")&amp;" gün gecikme",IF($M132-Hesap!$B$3&lt;=14,"● "&amp;TEXT($M132-Hesap!$B$3,"0")&amp;" gün kaldı","")))))</f>
        <v/>
      </c>
      <c r="W132">
        <f>IF($C132="","",IF($O132="Tamamlandı",N($L132),MAX(N($L132),IF(AND($J132&lt;&gt;"",$J132&lt;Hesap!$B$3),Hesap!$B$3-$J132,0)))+ROW()/1000000)</f>
        <v/>
      </c>
      <c r="X132">
        <f>IF($W132="","",INT($W132))</f>
        <v/>
      </c>
      <c r="Y132">
        <f>IF(OR($C132="",$I132="",$K132="",$K132&lt;=0,$O132="Tamamlandı"),"",IF(Hesap!$B$3&lt;$I132,"",MIN(1,(Hesap!$B$3-$I132+1)/$K132)-N($N132)))</f>
        <v/>
      </c>
    </row>
    <row r="133" ht="18" customHeight="1">
      <c r="A133" s="69">
        <f>IF($C133="","",ROW()-4)</f>
        <v/>
      </c>
      <c r="B133" s="70" t="n"/>
      <c r="C133" s="70" t="n"/>
      <c r="D133" s="71" t="n"/>
      <c r="E133" s="71" t="n"/>
      <c r="F133" s="71" t="n"/>
      <c r="G133" s="71" t="n"/>
      <c r="H133" s="71" t="n"/>
      <c r="I133" s="72" t="n"/>
      <c r="J133" s="72" t="n"/>
      <c r="K133" s="73">
        <f>IF(OR($I133="",$J133=""),"",$J133-$I133+1)</f>
        <v/>
      </c>
      <c r="L133" s="56" t="n"/>
      <c r="M133" s="74">
        <f>IF($J133="","",$J133+N($L133))</f>
        <v/>
      </c>
      <c r="N133" s="75" t="n"/>
      <c r="O133" s="69">
        <f>IF($C133="","",IF(N($N133)&gt;=1,"Tamamlandı",IF(AND($J133&lt;&gt;"",$M133&lt;Hesap!$B$3),"Gecikmiş",IF(OR(N($N133)&gt;0,AND($I133&lt;&gt;"",$I133&lt;=Hesap!$B$3)),"Devam Ediyor","Planlanan"))))</f>
        <v/>
      </c>
      <c r="P133" s="70" t="n"/>
      <c r="Q133" s="70" t="n"/>
      <c r="R133" s="72" t="n"/>
      <c r="S133" s="73">
        <f>IF(OR($J133="",$R133=""),"",$R133-$J133)</f>
        <v/>
      </c>
      <c r="T133" s="76">
        <f>IF($C133="","",IF($J133="","",IF($R133&lt;&gt;"",IF($S133&gt;7,"⚠ "&amp;TEXT($S133,"0")&amp;" günde yapıldı (geç)","✔ "&amp;TEXT($S133,"0")&amp;" günde yapıldı"),IF($J133&gt;Hesap!$B$3,"",IF($J133+7&lt;Hesap!$B$3,"⚠ Mutabakat "&amp;TEXT(Hesap!$B$3-($J133+7),"0")&amp;" gün gecikti","● Mutabakat için "&amp;TEXT($J133+7-Hesap!$B$3,"0")&amp;" gün")))))</f>
        <v/>
      </c>
      <c r="U133" s="76">
        <f>IF($Y133="","",IF($Y133&gt;0.3,"⚠ Gecikebilir (%"&amp;TEXT($Y133*100,"0")&amp;" geride)",""))</f>
        <v/>
      </c>
      <c r="V133" s="76">
        <f>IF($C133="","",IF($O133="Tamamlandı","",IF($M133="","",IF($M133&lt;Hesap!$B$3,"⚠ "&amp;TEXT(Hesap!$B$3-$M133,"0")&amp;" gün gecikme",IF($M133-Hesap!$B$3&lt;=14,"● "&amp;TEXT($M133-Hesap!$B$3,"0")&amp;" gün kaldı","")))))</f>
        <v/>
      </c>
      <c r="W133">
        <f>IF($C133="","",IF($O133="Tamamlandı",N($L133),MAX(N($L133),IF(AND($J133&lt;&gt;"",$J133&lt;Hesap!$B$3),Hesap!$B$3-$J133,0)))+ROW()/1000000)</f>
        <v/>
      </c>
      <c r="X133">
        <f>IF($W133="","",INT($W133))</f>
        <v/>
      </c>
      <c r="Y133">
        <f>IF(OR($C133="",$I133="",$K133="",$K133&lt;=0,$O133="Tamamlandı"),"",IF(Hesap!$B$3&lt;$I133,"",MIN(1,(Hesap!$B$3-$I133+1)/$K133)-N($N133)))</f>
        <v/>
      </c>
    </row>
    <row r="134" ht="18" customHeight="1">
      <c r="A134" s="69">
        <f>IF($C134="","",ROW()-4)</f>
        <v/>
      </c>
      <c r="B134" s="70" t="n"/>
      <c r="C134" s="70" t="n"/>
      <c r="D134" s="71" t="n"/>
      <c r="E134" s="71" t="n"/>
      <c r="F134" s="71" t="n"/>
      <c r="G134" s="71" t="n"/>
      <c r="H134" s="71" t="n"/>
      <c r="I134" s="72" t="n"/>
      <c r="J134" s="72" t="n"/>
      <c r="K134" s="73">
        <f>IF(OR($I134="",$J134=""),"",$J134-$I134+1)</f>
        <v/>
      </c>
      <c r="L134" s="56" t="n"/>
      <c r="M134" s="74">
        <f>IF($J134="","",$J134+N($L134))</f>
        <v/>
      </c>
      <c r="N134" s="75" t="n"/>
      <c r="O134" s="69">
        <f>IF($C134="","",IF(N($N134)&gt;=1,"Tamamlandı",IF(AND($J134&lt;&gt;"",$M134&lt;Hesap!$B$3),"Gecikmiş",IF(OR(N($N134)&gt;0,AND($I134&lt;&gt;"",$I134&lt;=Hesap!$B$3)),"Devam Ediyor","Planlanan"))))</f>
        <v/>
      </c>
      <c r="P134" s="70" t="n"/>
      <c r="Q134" s="70" t="n"/>
      <c r="R134" s="72" t="n"/>
      <c r="S134" s="73">
        <f>IF(OR($J134="",$R134=""),"",$R134-$J134)</f>
        <v/>
      </c>
      <c r="T134" s="76">
        <f>IF($C134="","",IF($J134="","",IF($R134&lt;&gt;"",IF($S134&gt;7,"⚠ "&amp;TEXT($S134,"0")&amp;" günde yapıldı (geç)","✔ "&amp;TEXT($S134,"0")&amp;" günde yapıldı"),IF($J134&gt;Hesap!$B$3,"",IF($J134+7&lt;Hesap!$B$3,"⚠ Mutabakat "&amp;TEXT(Hesap!$B$3-($J134+7),"0")&amp;" gün gecikti","● Mutabakat için "&amp;TEXT($J134+7-Hesap!$B$3,"0")&amp;" gün")))))</f>
        <v/>
      </c>
      <c r="U134" s="76">
        <f>IF($Y134="","",IF($Y134&gt;0.3,"⚠ Gecikebilir (%"&amp;TEXT($Y134*100,"0")&amp;" geride)",""))</f>
        <v/>
      </c>
      <c r="V134" s="76">
        <f>IF($C134="","",IF($O134="Tamamlandı","",IF($M134="","",IF($M134&lt;Hesap!$B$3,"⚠ "&amp;TEXT(Hesap!$B$3-$M134,"0")&amp;" gün gecikme",IF($M134-Hesap!$B$3&lt;=14,"● "&amp;TEXT($M134-Hesap!$B$3,"0")&amp;" gün kaldı","")))))</f>
        <v/>
      </c>
      <c r="W134">
        <f>IF($C134="","",IF($O134="Tamamlandı",N($L134),MAX(N($L134),IF(AND($J134&lt;&gt;"",$J134&lt;Hesap!$B$3),Hesap!$B$3-$J134,0)))+ROW()/1000000)</f>
        <v/>
      </c>
      <c r="X134">
        <f>IF($W134="","",INT($W134))</f>
        <v/>
      </c>
      <c r="Y134">
        <f>IF(OR($C134="",$I134="",$K134="",$K134&lt;=0,$O134="Tamamlandı"),"",IF(Hesap!$B$3&lt;$I134,"",MIN(1,(Hesap!$B$3-$I134+1)/$K134)-N($N134)))</f>
        <v/>
      </c>
    </row>
    <row r="135" ht="18" customHeight="1">
      <c r="A135" s="69">
        <f>IF($C135="","",ROW()-4)</f>
        <v/>
      </c>
      <c r="B135" s="70" t="n"/>
      <c r="C135" s="70" t="n"/>
      <c r="D135" s="71" t="n"/>
      <c r="E135" s="71" t="n"/>
      <c r="F135" s="71" t="n"/>
      <c r="G135" s="71" t="n"/>
      <c r="H135" s="71" t="n"/>
      <c r="I135" s="72" t="n"/>
      <c r="J135" s="72" t="n"/>
      <c r="K135" s="73">
        <f>IF(OR($I135="",$J135=""),"",$J135-$I135+1)</f>
        <v/>
      </c>
      <c r="L135" s="56" t="n"/>
      <c r="M135" s="74">
        <f>IF($J135="","",$J135+N($L135))</f>
        <v/>
      </c>
      <c r="N135" s="75" t="n"/>
      <c r="O135" s="69">
        <f>IF($C135="","",IF(N($N135)&gt;=1,"Tamamlandı",IF(AND($J135&lt;&gt;"",$M135&lt;Hesap!$B$3),"Gecikmiş",IF(OR(N($N135)&gt;0,AND($I135&lt;&gt;"",$I135&lt;=Hesap!$B$3)),"Devam Ediyor","Planlanan"))))</f>
        <v/>
      </c>
      <c r="P135" s="70" t="n"/>
      <c r="Q135" s="70" t="n"/>
      <c r="R135" s="72" t="n"/>
      <c r="S135" s="73">
        <f>IF(OR($J135="",$R135=""),"",$R135-$J135)</f>
        <v/>
      </c>
      <c r="T135" s="76">
        <f>IF($C135="","",IF($J135="","",IF($R135&lt;&gt;"",IF($S135&gt;7,"⚠ "&amp;TEXT($S135,"0")&amp;" günde yapıldı (geç)","✔ "&amp;TEXT($S135,"0")&amp;" günde yapıldı"),IF($J135&gt;Hesap!$B$3,"",IF($J135+7&lt;Hesap!$B$3,"⚠ Mutabakat "&amp;TEXT(Hesap!$B$3-($J135+7),"0")&amp;" gün gecikti","● Mutabakat için "&amp;TEXT($J135+7-Hesap!$B$3,"0")&amp;" gün")))))</f>
        <v/>
      </c>
      <c r="U135" s="76">
        <f>IF($Y135="","",IF($Y135&gt;0.3,"⚠ Gecikebilir (%"&amp;TEXT($Y135*100,"0")&amp;" geride)",""))</f>
        <v/>
      </c>
      <c r="V135" s="76">
        <f>IF($C135="","",IF($O135="Tamamlandı","",IF($M135="","",IF($M135&lt;Hesap!$B$3,"⚠ "&amp;TEXT(Hesap!$B$3-$M135,"0")&amp;" gün gecikme",IF($M135-Hesap!$B$3&lt;=14,"● "&amp;TEXT($M135-Hesap!$B$3,"0")&amp;" gün kaldı","")))))</f>
        <v/>
      </c>
      <c r="W135">
        <f>IF($C135="","",IF($O135="Tamamlandı",N($L135),MAX(N($L135),IF(AND($J135&lt;&gt;"",$J135&lt;Hesap!$B$3),Hesap!$B$3-$J135,0)))+ROW()/1000000)</f>
        <v/>
      </c>
      <c r="X135">
        <f>IF($W135="","",INT($W135))</f>
        <v/>
      </c>
      <c r="Y135">
        <f>IF(OR($C135="",$I135="",$K135="",$K135&lt;=0,$O135="Tamamlandı"),"",IF(Hesap!$B$3&lt;$I135,"",MIN(1,(Hesap!$B$3-$I135+1)/$K135)-N($N135)))</f>
        <v/>
      </c>
    </row>
    <row r="136" ht="18" customHeight="1">
      <c r="A136" s="69">
        <f>IF($C136="","",ROW()-4)</f>
        <v/>
      </c>
      <c r="B136" s="70" t="n"/>
      <c r="C136" s="70" t="n"/>
      <c r="D136" s="71" t="n"/>
      <c r="E136" s="71" t="n"/>
      <c r="F136" s="71" t="n"/>
      <c r="G136" s="71" t="n"/>
      <c r="H136" s="71" t="n"/>
      <c r="I136" s="72" t="n"/>
      <c r="J136" s="72" t="n"/>
      <c r="K136" s="73">
        <f>IF(OR($I136="",$J136=""),"",$J136-$I136+1)</f>
        <v/>
      </c>
      <c r="L136" s="56" t="n"/>
      <c r="M136" s="74">
        <f>IF($J136="","",$J136+N($L136))</f>
        <v/>
      </c>
      <c r="N136" s="75" t="n"/>
      <c r="O136" s="69">
        <f>IF($C136="","",IF(N($N136)&gt;=1,"Tamamlandı",IF(AND($J136&lt;&gt;"",$M136&lt;Hesap!$B$3),"Gecikmiş",IF(OR(N($N136)&gt;0,AND($I136&lt;&gt;"",$I136&lt;=Hesap!$B$3)),"Devam Ediyor","Planlanan"))))</f>
        <v/>
      </c>
      <c r="P136" s="70" t="n"/>
      <c r="Q136" s="70" t="n"/>
      <c r="R136" s="72" t="n"/>
      <c r="S136" s="73">
        <f>IF(OR($J136="",$R136=""),"",$R136-$J136)</f>
        <v/>
      </c>
      <c r="T136" s="76">
        <f>IF($C136="","",IF($J136="","",IF($R136&lt;&gt;"",IF($S136&gt;7,"⚠ "&amp;TEXT($S136,"0")&amp;" günde yapıldı (geç)","✔ "&amp;TEXT($S136,"0")&amp;" günde yapıldı"),IF($J136&gt;Hesap!$B$3,"",IF($J136+7&lt;Hesap!$B$3,"⚠ Mutabakat "&amp;TEXT(Hesap!$B$3-($J136+7),"0")&amp;" gün gecikti","● Mutabakat için "&amp;TEXT($J136+7-Hesap!$B$3,"0")&amp;" gün")))))</f>
        <v/>
      </c>
      <c r="U136" s="76">
        <f>IF($Y136="","",IF($Y136&gt;0.3,"⚠ Gecikebilir (%"&amp;TEXT($Y136*100,"0")&amp;" geride)",""))</f>
        <v/>
      </c>
      <c r="V136" s="76">
        <f>IF($C136="","",IF($O136="Tamamlandı","",IF($M136="","",IF($M136&lt;Hesap!$B$3,"⚠ "&amp;TEXT(Hesap!$B$3-$M136,"0")&amp;" gün gecikme",IF($M136-Hesap!$B$3&lt;=14,"● "&amp;TEXT($M136-Hesap!$B$3,"0")&amp;" gün kaldı","")))))</f>
        <v/>
      </c>
      <c r="W136">
        <f>IF($C136="","",IF($O136="Tamamlandı",N($L136),MAX(N($L136),IF(AND($J136&lt;&gt;"",$J136&lt;Hesap!$B$3),Hesap!$B$3-$J136,0)))+ROW()/1000000)</f>
        <v/>
      </c>
      <c r="X136">
        <f>IF($W136="","",INT($W136))</f>
        <v/>
      </c>
      <c r="Y136">
        <f>IF(OR($C136="",$I136="",$K136="",$K136&lt;=0,$O136="Tamamlandı"),"",IF(Hesap!$B$3&lt;$I136,"",MIN(1,(Hesap!$B$3-$I136+1)/$K136)-N($N136)))</f>
        <v/>
      </c>
    </row>
    <row r="137" ht="18" customHeight="1">
      <c r="A137" s="69">
        <f>IF($C137="","",ROW()-4)</f>
        <v/>
      </c>
      <c r="B137" s="70" t="n"/>
      <c r="C137" s="70" t="n"/>
      <c r="D137" s="71" t="n"/>
      <c r="E137" s="71" t="n"/>
      <c r="F137" s="71" t="n"/>
      <c r="G137" s="71" t="n"/>
      <c r="H137" s="71" t="n"/>
      <c r="I137" s="72" t="n"/>
      <c r="J137" s="72" t="n"/>
      <c r="K137" s="73">
        <f>IF(OR($I137="",$J137=""),"",$J137-$I137+1)</f>
        <v/>
      </c>
      <c r="L137" s="56" t="n"/>
      <c r="M137" s="74">
        <f>IF($J137="","",$J137+N($L137))</f>
        <v/>
      </c>
      <c r="N137" s="75" t="n"/>
      <c r="O137" s="69">
        <f>IF($C137="","",IF(N($N137)&gt;=1,"Tamamlandı",IF(AND($J137&lt;&gt;"",$M137&lt;Hesap!$B$3),"Gecikmiş",IF(OR(N($N137)&gt;0,AND($I137&lt;&gt;"",$I137&lt;=Hesap!$B$3)),"Devam Ediyor","Planlanan"))))</f>
        <v/>
      </c>
      <c r="P137" s="70" t="n"/>
      <c r="Q137" s="70" t="n"/>
      <c r="R137" s="72" t="n"/>
      <c r="S137" s="73">
        <f>IF(OR($J137="",$R137=""),"",$R137-$J137)</f>
        <v/>
      </c>
      <c r="T137" s="76">
        <f>IF($C137="","",IF($J137="","",IF($R137&lt;&gt;"",IF($S137&gt;7,"⚠ "&amp;TEXT($S137,"0")&amp;" günde yapıldı (geç)","✔ "&amp;TEXT($S137,"0")&amp;" günde yapıldı"),IF($J137&gt;Hesap!$B$3,"",IF($J137+7&lt;Hesap!$B$3,"⚠ Mutabakat "&amp;TEXT(Hesap!$B$3-($J137+7),"0")&amp;" gün gecikti","● Mutabakat için "&amp;TEXT($J137+7-Hesap!$B$3,"0")&amp;" gün")))))</f>
        <v/>
      </c>
      <c r="U137" s="76">
        <f>IF($Y137="","",IF($Y137&gt;0.3,"⚠ Gecikebilir (%"&amp;TEXT($Y137*100,"0")&amp;" geride)",""))</f>
        <v/>
      </c>
      <c r="V137" s="76">
        <f>IF($C137="","",IF($O137="Tamamlandı","",IF($M137="","",IF($M137&lt;Hesap!$B$3,"⚠ "&amp;TEXT(Hesap!$B$3-$M137,"0")&amp;" gün gecikme",IF($M137-Hesap!$B$3&lt;=14,"● "&amp;TEXT($M137-Hesap!$B$3,"0")&amp;" gün kaldı","")))))</f>
        <v/>
      </c>
      <c r="W137">
        <f>IF($C137="","",IF($O137="Tamamlandı",N($L137),MAX(N($L137),IF(AND($J137&lt;&gt;"",$J137&lt;Hesap!$B$3),Hesap!$B$3-$J137,0)))+ROW()/1000000)</f>
        <v/>
      </c>
      <c r="X137">
        <f>IF($W137="","",INT($W137))</f>
        <v/>
      </c>
      <c r="Y137">
        <f>IF(OR($C137="",$I137="",$K137="",$K137&lt;=0,$O137="Tamamlandı"),"",IF(Hesap!$B$3&lt;$I137,"",MIN(1,(Hesap!$B$3-$I137+1)/$K137)-N($N137)))</f>
        <v/>
      </c>
    </row>
    <row r="138" ht="18" customHeight="1">
      <c r="A138" s="69">
        <f>IF($C138="","",ROW()-4)</f>
        <v/>
      </c>
      <c r="B138" s="70" t="n"/>
      <c r="C138" s="70" t="n"/>
      <c r="D138" s="71" t="n"/>
      <c r="E138" s="71" t="n"/>
      <c r="F138" s="71" t="n"/>
      <c r="G138" s="71" t="n"/>
      <c r="H138" s="71" t="n"/>
      <c r="I138" s="72" t="n"/>
      <c r="J138" s="72" t="n"/>
      <c r="K138" s="73">
        <f>IF(OR($I138="",$J138=""),"",$J138-$I138+1)</f>
        <v/>
      </c>
      <c r="L138" s="56" t="n"/>
      <c r="M138" s="74">
        <f>IF($J138="","",$J138+N($L138))</f>
        <v/>
      </c>
      <c r="N138" s="75" t="n"/>
      <c r="O138" s="69">
        <f>IF($C138="","",IF(N($N138)&gt;=1,"Tamamlandı",IF(AND($J138&lt;&gt;"",$M138&lt;Hesap!$B$3),"Gecikmiş",IF(OR(N($N138)&gt;0,AND($I138&lt;&gt;"",$I138&lt;=Hesap!$B$3)),"Devam Ediyor","Planlanan"))))</f>
        <v/>
      </c>
      <c r="P138" s="70" t="n"/>
      <c r="Q138" s="70" t="n"/>
      <c r="R138" s="72" t="n"/>
      <c r="S138" s="73">
        <f>IF(OR($J138="",$R138=""),"",$R138-$J138)</f>
        <v/>
      </c>
      <c r="T138" s="76">
        <f>IF($C138="","",IF($J138="","",IF($R138&lt;&gt;"",IF($S138&gt;7,"⚠ "&amp;TEXT($S138,"0")&amp;" günde yapıldı (geç)","✔ "&amp;TEXT($S138,"0")&amp;" günde yapıldı"),IF($J138&gt;Hesap!$B$3,"",IF($J138+7&lt;Hesap!$B$3,"⚠ Mutabakat "&amp;TEXT(Hesap!$B$3-($J138+7),"0")&amp;" gün gecikti","● Mutabakat için "&amp;TEXT($J138+7-Hesap!$B$3,"0")&amp;" gün")))))</f>
        <v/>
      </c>
      <c r="U138" s="76">
        <f>IF($Y138="","",IF($Y138&gt;0.3,"⚠ Gecikebilir (%"&amp;TEXT($Y138*100,"0")&amp;" geride)",""))</f>
        <v/>
      </c>
      <c r="V138" s="76">
        <f>IF($C138="","",IF($O138="Tamamlandı","",IF($M138="","",IF($M138&lt;Hesap!$B$3,"⚠ "&amp;TEXT(Hesap!$B$3-$M138,"0")&amp;" gün gecikme",IF($M138-Hesap!$B$3&lt;=14,"● "&amp;TEXT($M138-Hesap!$B$3,"0")&amp;" gün kaldı","")))))</f>
        <v/>
      </c>
      <c r="W138">
        <f>IF($C138="","",IF($O138="Tamamlandı",N($L138),MAX(N($L138),IF(AND($J138&lt;&gt;"",$J138&lt;Hesap!$B$3),Hesap!$B$3-$J138,0)))+ROW()/1000000)</f>
        <v/>
      </c>
      <c r="X138">
        <f>IF($W138="","",INT($W138))</f>
        <v/>
      </c>
      <c r="Y138">
        <f>IF(OR($C138="",$I138="",$K138="",$K138&lt;=0,$O138="Tamamlandı"),"",IF(Hesap!$B$3&lt;$I138,"",MIN(1,(Hesap!$B$3-$I138+1)/$K138)-N($N138)))</f>
        <v/>
      </c>
    </row>
    <row r="139" ht="18" customHeight="1">
      <c r="A139" s="69">
        <f>IF($C139="","",ROW()-4)</f>
        <v/>
      </c>
      <c r="B139" s="70" t="n"/>
      <c r="C139" s="70" t="n"/>
      <c r="D139" s="71" t="n"/>
      <c r="E139" s="71" t="n"/>
      <c r="F139" s="71" t="n"/>
      <c r="G139" s="71" t="n"/>
      <c r="H139" s="71" t="n"/>
      <c r="I139" s="72" t="n"/>
      <c r="J139" s="72" t="n"/>
      <c r="K139" s="73">
        <f>IF(OR($I139="",$J139=""),"",$J139-$I139+1)</f>
        <v/>
      </c>
      <c r="L139" s="56" t="n"/>
      <c r="M139" s="74">
        <f>IF($J139="","",$J139+N($L139))</f>
        <v/>
      </c>
      <c r="N139" s="75" t="n"/>
      <c r="O139" s="69">
        <f>IF($C139="","",IF(N($N139)&gt;=1,"Tamamlandı",IF(AND($J139&lt;&gt;"",$M139&lt;Hesap!$B$3),"Gecikmiş",IF(OR(N($N139)&gt;0,AND($I139&lt;&gt;"",$I139&lt;=Hesap!$B$3)),"Devam Ediyor","Planlanan"))))</f>
        <v/>
      </c>
      <c r="P139" s="70" t="n"/>
      <c r="Q139" s="70" t="n"/>
      <c r="R139" s="72" t="n"/>
      <c r="S139" s="73">
        <f>IF(OR($J139="",$R139=""),"",$R139-$J139)</f>
        <v/>
      </c>
      <c r="T139" s="76">
        <f>IF($C139="","",IF($J139="","",IF($R139&lt;&gt;"",IF($S139&gt;7,"⚠ "&amp;TEXT($S139,"0")&amp;" günde yapıldı (geç)","✔ "&amp;TEXT($S139,"0")&amp;" günde yapıldı"),IF($J139&gt;Hesap!$B$3,"",IF($J139+7&lt;Hesap!$B$3,"⚠ Mutabakat "&amp;TEXT(Hesap!$B$3-($J139+7),"0")&amp;" gün gecikti","● Mutabakat için "&amp;TEXT($J139+7-Hesap!$B$3,"0")&amp;" gün")))))</f>
        <v/>
      </c>
      <c r="U139" s="76">
        <f>IF($Y139="","",IF($Y139&gt;0.3,"⚠ Gecikebilir (%"&amp;TEXT($Y139*100,"0")&amp;" geride)",""))</f>
        <v/>
      </c>
      <c r="V139" s="76">
        <f>IF($C139="","",IF($O139="Tamamlandı","",IF($M139="","",IF($M139&lt;Hesap!$B$3,"⚠ "&amp;TEXT(Hesap!$B$3-$M139,"0")&amp;" gün gecikme",IF($M139-Hesap!$B$3&lt;=14,"● "&amp;TEXT($M139-Hesap!$B$3,"0")&amp;" gün kaldı","")))))</f>
        <v/>
      </c>
      <c r="W139">
        <f>IF($C139="","",IF($O139="Tamamlandı",N($L139),MAX(N($L139),IF(AND($J139&lt;&gt;"",$J139&lt;Hesap!$B$3),Hesap!$B$3-$J139,0)))+ROW()/1000000)</f>
        <v/>
      </c>
      <c r="X139">
        <f>IF($W139="","",INT($W139))</f>
        <v/>
      </c>
      <c r="Y139">
        <f>IF(OR($C139="",$I139="",$K139="",$K139&lt;=0,$O139="Tamamlandı"),"",IF(Hesap!$B$3&lt;$I139,"",MIN(1,(Hesap!$B$3-$I139+1)/$K139)-N($N139)))</f>
        <v/>
      </c>
    </row>
    <row r="140" ht="18" customHeight="1">
      <c r="A140" s="69">
        <f>IF($C140="","",ROW()-4)</f>
        <v/>
      </c>
      <c r="B140" s="70" t="n"/>
      <c r="C140" s="70" t="n"/>
      <c r="D140" s="71" t="n"/>
      <c r="E140" s="71" t="n"/>
      <c r="F140" s="71" t="n"/>
      <c r="G140" s="71" t="n"/>
      <c r="H140" s="71" t="n"/>
      <c r="I140" s="72" t="n"/>
      <c r="J140" s="72" t="n"/>
      <c r="K140" s="73">
        <f>IF(OR($I140="",$J140=""),"",$J140-$I140+1)</f>
        <v/>
      </c>
      <c r="L140" s="56" t="n"/>
      <c r="M140" s="74">
        <f>IF($J140="","",$J140+N($L140))</f>
        <v/>
      </c>
      <c r="N140" s="75" t="n"/>
      <c r="O140" s="69">
        <f>IF($C140="","",IF(N($N140)&gt;=1,"Tamamlandı",IF(AND($J140&lt;&gt;"",$M140&lt;Hesap!$B$3),"Gecikmiş",IF(OR(N($N140)&gt;0,AND($I140&lt;&gt;"",$I140&lt;=Hesap!$B$3)),"Devam Ediyor","Planlanan"))))</f>
        <v/>
      </c>
      <c r="P140" s="70" t="n"/>
      <c r="Q140" s="70" t="n"/>
      <c r="R140" s="72" t="n"/>
      <c r="S140" s="73">
        <f>IF(OR($J140="",$R140=""),"",$R140-$J140)</f>
        <v/>
      </c>
      <c r="T140" s="76">
        <f>IF($C140="","",IF($J140="","",IF($R140&lt;&gt;"",IF($S140&gt;7,"⚠ "&amp;TEXT($S140,"0")&amp;" günde yapıldı (geç)","✔ "&amp;TEXT($S140,"0")&amp;" günde yapıldı"),IF($J140&gt;Hesap!$B$3,"",IF($J140+7&lt;Hesap!$B$3,"⚠ Mutabakat "&amp;TEXT(Hesap!$B$3-($J140+7),"0")&amp;" gün gecikti","● Mutabakat için "&amp;TEXT($J140+7-Hesap!$B$3,"0")&amp;" gün")))))</f>
        <v/>
      </c>
      <c r="U140" s="76">
        <f>IF($Y140="","",IF($Y140&gt;0.3,"⚠ Gecikebilir (%"&amp;TEXT($Y140*100,"0")&amp;" geride)",""))</f>
        <v/>
      </c>
      <c r="V140" s="76">
        <f>IF($C140="","",IF($O140="Tamamlandı","",IF($M140="","",IF($M140&lt;Hesap!$B$3,"⚠ "&amp;TEXT(Hesap!$B$3-$M140,"0")&amp;" gün gecikme",IF($M140-Hesap!$B$3&lt;=14,"● "&amp;TEXT($M140-Hesap!$B$3,"0")&amp;" gün kaldı","")))))</f>
        <v/>
      </c>
      <c r="W140">
        <f>IF($C140="","",IF($O140="Tamamlandı",N($L140),MAX(N($L140),IF(AND($J140&lt;&gt;"",$J140&lt;Hesap!$B$3),Hesap!$B$3-$J140,0)))+ROW()/1000000)</f>
        <v/>
      </c>
      <c r="X140">
        <f>IF($W140="","",INT($W140))</f>
        <v/>
      </c>
      <c r="Y140">
        <f>IF(OR($C140="",$I140="",$K140="",$K140&lt;=0,$O140="Tamamlandı"),"",IF(Hesap!$B$3&lt;$I140,"",MIN(1,(Hesap!$B$3-$I140+1)/$K140)-N($N140)))</f>
        <v/>
      </c>
    </row>
    <row r="141" ht="18" customHeight="1">
      <c r="A141" s="69">
        <f>IF($C141="","",ROW()-4)</f>
        <v/>
      </c>
      <c r="B141" s="70" t="n"/>
      <c r="C141" s="70" t="n"/>
      <c r="D141" s="71" t="n"/>
      <c r="E141" s="71" t="n"/>
      <c r="F141" s="71" t="n"/>
      <c r="G141" s="71" t="n"/>
      <c r="H141" s="71" t="n"/>
      <c r="I141" s="72" t="n"/>
      <c r="J141" s="72" t="n"/>
      <c r="K141" s="73">
        <f>IF(OR($I141="",$J141=""),"",$J141-$I141+1)</f>
        <v/>
      </c>
      <c r="L141" s="56" t="n"/>
      <c r="M141" s="74">
        <f>IF($J141="","",$J141+N($L141))</f>
        <v/>
      </c>
      <c r="N141" s="75" t="n"/>
      <c r="O141" s="69">
        <f>IF($C141="","",IF(N($N141)&gt;=1,"Tamamlandı",IF(AND($J141&lt;&gt;"",$M141&lt;Hesap!$B$3),"Gecikmiş",IF(OR(N($N141)&gt;0,AND($I141&lt;&gt;"",$I141&lt;=Hesap!$B$3)),"Devam Ediyor","Planlanan"))))</f>
        <v/>
      </c>
      <c r="P141" s="70" t="n"/>
      <c r="Q141" s="70" t="n"/>
      <c r="R141" s="72" t="n"/>
      <c r="S141" s="73">
        <f>IF(OR($J141="",$R141=""),"",$R141-$J141)</f>
        <v/>
      </c>
      <c r="T141" s="76">
        <f>IF($C141="","",IF($J141="","",IF($R141&lt;&gt;"",IF($S141&gt;7,"⚠ "&amp;TEXT($S141,"0")&amp;" günde yapıldı (geç)","✔ "&amp;TEXT($S141,"0")&amp;" günde yapıldı"),IF($J141&gt;Hesap!$B$3,"",IF($J141+7&lt;Hesap!$B$3,"⚠ Mutabakat "&amp;TEXT(Hesap!$B$3-($J141+7),"0")&amp;" gün gecikti","● Mutabakat için "&amp;TEXT($J141+7-Hesap!$B$3,"0")&amp;" gün")))))</f>
        <v/>
      </c>
      <c r="U141" s="76">
        <f>IF($Y141="","",IF($Y141&gt;0.3,"⚠ Gecikebilir (%"&amp;TEXT($Y141*100,"0")&amp;" geride)",""))</f>
        <v/>
      </c>
      <c r="V141" s="76">
        <f>IF($C141="","",IF($O141="Tamamlandı","",IF($M141="","",IF($M141&lt;Hesap!$B$3,"⚠ "&amp;TEXT(Hesap!$B$3-$M141,"0")&amp;" gün gecikme",IF($M141-Hesap!$B$3&lt;=14,"● "&amp;TEXT($M141-Hesap!$B$3,"0")&amp;" gün kaldı","")))))</f>
        <v/>
      </c>
      <c r="W141">
        <f>IF($C141="","",IF($O141="Tamamlandı",N($L141),MAX(N($L141),IF(AND($J141&lt;&gt;"",$J141&lt;Hesap!$B$3),Hesap!$B$3-$J141,0)))+ROW()/1000000)</f>
        <v/>
      </c>
      <c r="X141">
        <f>IF($W141="","",INT($W141))</f>
        <v/>
      </c>
      <c r="Y141">
        <f>IF(OR($C141="",$I141="",$K141="",$K141&lt;=0,$O141="Tamamlandı"),"",IF(Hesap!$B$3&lt;$I141,"",MIN(1,(Hesap!$B$3-$I141+1)/$K141)-N($N141)))</f>
        <v/>
      </c>
    </row>
    <row r="142" ht="18" customHeight="1">
      <c r="A142" s="69">
        <f>IF($C142="","",ROW()-4)</f>
        <v/>
      </c>
      <c r="B142" s="70" t="n"/>
      <c r="C142" s="70" t="n"/>
      <c r="D142" s="71" t="n"/>
      <c r="E142" s="71" t="n"/>
      <c r="F142" s="71" t="n"/>
      <c r="G142" s="71" t="n"/>
      <c r="H142" s="71" t="n"/>
      <c r="I142" s="72" t="n"/>
      <c r="J142" s="72" t="n"/>
      <c r="K142" s="73">
        <f>IF(OR($I142="",$J142=""),"",$J142-$I142+1)</f>
        <v/>
      </c>
      <c r="L142" s="56" t="n"/>
      <c r="M142" s="74">
        <f>IF($J142="","",$J142+N($L142))</f>
        <v/>
      </c>
      <c r="N142" s="75" t="n"/>
      <c r="O142" s="69">
        <f>IF($C142="","",IF(N($N142)&gt;=1,"Tamamlandı",IF(AND($J142&lt;&gt;"",$M142&lt;Hesap!$B$3),"Gecikmiş",IF(OR(N($N142)&gt;0,AND($I142&lt;&gt;"",$I142&lt;=Hesap!$B$3)),"Devam Ediyor","Planlanan"))))</f>
        <v/>
      </c>
      <c r="P142" s="70" t="n"/>
      <c r="Q142" s="70" t="n"/>
      <c r="R142" s="72" t="n"/>
      <c r="S142" s="73">
        <f>IF(OR($J142="",$R142=""),"",$R142-$J142)</f>
        <v/>
      </c>
      <c r="T142" s="76">
        <f>IF($C142="","",IF($J142="","",IF($R142&lt;&gt;"",IF($S142&gt;7,"⚠ "&amp;TEXT($S142,"0")&amp;" günde yapıldı (geç)","✔ "&amp;TEXT($S142,"0")&amp;" günde yapıldı"),IF($J142&gt;Hesap!$B$3,"",IF($J142+7&lt;Hesap!$B$3,"⚠ Mutabakat "&amp;TEXT(Hesap!$B$3-($J142+7),"0")&amp;" gün gecikti","● Mutabakat için "&amp;TEXT($J142+7-Hesap!$B$3,"0")&amp;" gün")))))</f>
        <v/>
      </c>
      <c r="U142" s="76">
        <f>IF($Y142="","",IF($Y142&gt;0.3,"⚠ Gecikebilir (%"&amp;TEXT($Y142*100,"0")&amp;" geride)",""))</f>
        <v/>
      </c>
      <c r="V142" s="76">
        <f>IF($C142="","",IF($O142="Tamamlandı","",IF($M142="","",IF($M142&lt;Hesap!$B$3,"⚠ "&amp;TEXT(Hesap!$B$3-$M142,"0")&amp;" gün gecikme",IF($M142-Hesap!$B$3&lt;=14,"● "&amp;TEXT($M142-Hesap!$B$3,"0")&amp;" gün kaldı","")))))</f>
        <v/>
      </c>
      <c r="W142">
        <f>IF($C142="","",IF($O142="Tamamlandı",N($L142),MAX(N($L142),IF(AND($J142&lt;&gt;"",$J142&lt;Hesap!$B$3),Hesap!$B$3-$J142,0)))+ROW()/1000000)</f>
        <v/>
      </c>
      <c r="X142">
        <f>IF($W142="","",INT($W142))</f>
        <v/>
      </c>
      <c r="Y142">
        <f>IF(OR($C142="",$I142="",$K142="",$K142&lt;=0,$O142="Tamamlandı"),"",IF(Hesap!$B$3&lt;$I142,"",MIN(1,(Hesap!$B$3-$I142+1)/$K142)-N($N142)))</f>
        <v/>
      </c>
    </row>
    <row r="143" ht="18" customHeight="1">
      <c r="A143" s="69">
        <f>IF($C143="","",ROW()-4)</f>
        <v/>
      </c>
      <c r="B143" s="70" t="n"/>
      <c r="C143" s="70" t="n"/>
      <c r="D143" s="71" t="n"/>
      <c r="E143" s="71" t="n"/>
      <c r="F143" s="71" t="n"/>
      <c r="G143" s="71" t="n"/>
      <c r="H143" s="71" t="n"/>
      <c r="I143" s="72" t="n"/>
      <c r="J143" s="72" t="n"/>
      <c r="K143" s="73">
        <f>IF(OR($I143="",$J143=""),"",$J143-$I143+1)</f>
        <v/>
      </c>
      <c r="L143" s="56" t="n"/>
      <c r="M143" s="74">
        <f>IF($J143="","",$J143+N($L143))</f>
        <v/>
      </c>
      <c r="N143" s="75" t="n"/>
      <c r="O143" s="69">
        <f>IF($C143="","",IF(N($N143)&gt;=1,"Tamamlandı",IF(AND($J143&lt;&gt;"",$M143&lt;Hesap!$B$3),"Gecikmiş",IF(OR(N($N143)&gt;0,AND($I143&lt;&gt;"",$I143&lt;=Hesap!$B$3)),"Devam Ediyor","Planlanan"))))</f>
        <v/>
      </c>
      <c r="P143" s="70" t="n"/>
      <c r="Q143" s="70" t="n"/>
      <c r="R143" s="72" t="n"/>
      <c r="S143" s="73">
        <f>IF(OR($J143="",$R143=""),"",$R143-$J143)</f>
        <v/>
      </c>
      <c r="T143" s="76">
        <f>IF($C143="","",IF($J143="","",IF($R143&lt;&gt;"",IF($S143&gt;7,"⚠ "&amp;TEXT($S143,"0")&amp;" günde yapıldı (geç)","✔ "&amp;TEXT($S143,"0")&amp;" günde yapıldı"),IF($J143&gt;Hesap!$B$3,"",IF($J143+7&lt;Hesap!$B$3,"⚠ Mutabakat "&amp;TEXT(Hesap!$B$3-($J143+7),"0")&amp;" gün gecikti","● Mutabakat için "&amp;TEXT($J143+7-Hesap!$B$3,"0")&amp;" gün")))))</f>
        <v/>
      </c>
      <c r="U143" s="76">
        <f>IF($Y143="","",IF($Y143&gt;0.3,"⚠ Gecikebilir (%"&amp;TEXT($Y143*100,"0")&amp;" geride)",""))</f>
        <v/>
      </c>
      <c r="V143" s="76">
        <f>IF($C143="","",IF($O143="Tamamlandı","",IF($M143="","",IF($M143&lt;Hesap!$B$3,"⚠ "&amp;TEXT(Hesap!$B$3-$M143,"0")&amp;" gün gecikme",IF($M143-Hesap!$B$3&lt;=14,"● "&amp;TEXT($M143-Hesap!$B$3,"0")&amp;" gün kaldı","")))))</f>
        <v/>
      </c>
      <c r="W143">
        <f>IF($C143="","",IF($O143="Tamamlandı",N($L143),MAX(N($L143),IF(AND($J143&lt;&gt;"",$J143&lt;Hesap!$B$3),Hesap!$B$3-$J143,0)))+ROW()/1000000)</f>
        <v/>
      </c>
      <c r="X143">
        <f>IF($W143="","",INT($W143))</f>
        <v/>
      </c>
      <c r="Y143">
        <f>IF(OR($C143="",$I143="",$K143="",$K143&lt;=0,$O143="Tamamlandı"),"",IF(Hesap!$B$3&lt;$I143,"",MIN(1,(Hesap!$B$3-$I143+1)/$K143)-N($N143)))</f>
        <v/>
      </c>
    </row>
    <row r="144" ht="18" customHeight="1">
      <c r="A144" s="69">
        <f>IF($C144="","",ROW()-4)</f>
        <v/>
      </c>
      <c r="B144" s="70" t="n"/>
      <c r="C144" s="70" t="n"/>
      <c r="D144" s="71" t="n"/>
      <c r="E144" s="71" t="n"/>
      <c r="F144" s="71" t="n"/>
      <c r="G144" s="71" t="n"/>
      <c r="H144" s="71" t="n"/>
      <c r="I144" s="72" t="n"/>
      <c r="J144" s="72" t="n"/>
      <c r="K144" s="73">
        <f>IF(OR($I144="",$J144=""),"",$J144-$I144+1)</f>
        <v/>
      </c>
      <c r="L144" s="56" t="n"/>
      <c r="M144" s="74">
        <f>IF($J144="","",$J144+N($L144))</f>
        <v/>
      </c>
      <c r="N144" s="75" t="n"/>
      <c r="O144" s="69">
        <f>IF($C144="","",IF(N($N144)&gt;=1,"Tamamlandı",IF(AND($J144&lt;&gt;"",$M144&lt;Hesap!$B$3),"Gecikmiş",IF(OR(N($N144)&gt;0,AND($I144&lt;&gt;"",$I144&lt;=Hesap!$B$3)),"Devam Ediyor","Planlanan"))))</f>
        <v/>
      </c>
      <c r="P144" s="70" t="n"/>
      <c r="Q144" s="70" t="n"/>
      <c r="R144" s="72" t="n"/>
      <c r="S144" s="73">
        <f>IF(OR($J144="",$R144=""),"",$R144-$J144)</f>
        <v/>
      </c>
      <c r="T144" s="76">
        <f>IF($C144="","",IF($J144="","",IF($R144&lt;&gt;"",IF($S144&gt;7,"⚠ "&amp;TEXT($S144,"0")&amp;" günde yapıldı (geç)","✔ "&amp;TEXT($S144,"0")&amp;" günde yapıldı"),IF($J144&gt;Hesap!$B$3,"",IF($J144+7&lt;Hesap!$B$3,"⚠ Mutabakat "&amp;TEXT(Hesap!$B$3-($J144+7),"0")&amp;" gün gecikti","● Mutabakat için "&amp;TEXT($J144+7-Hesap!$B$3,"0")&amp;" gün")))))</f>
        <v/>
      </c>
      <c r="U144" s="76">
        <f>IF($Y144="","",IF($Y144&gt;0.3,"⚠ Gecikebilir (%"&amp;TEXT($Y144*100,"0")&amp;" geride)",""))</f>
        <v/>
      </c>
      <c r="V144" s="76">
        <f>IF($C144="","",IF($O144="Tamamlandı","",IF($M144="","",IF($M144&lt;Hesap!$B$3,"⚠ "&amp;TEXT(Hesap!$B$3-$M144,"0")&amp;" gün gecikme",IF($M144-Hesap!$B$3&lt;=14,"● "&amp;TEXT($M144-Hesap!$B$3,"0")&amp;" gün kaldı","")))))</f>
        <v/>
      </c>
      <c r="W144">
        <f>IF($C144="","",IF($O144="Tamamlandı",N($L144),MAX(N($L144),IF(AND($J144&lt;&gt;"",$J144&lt;Hesap!$B$3),Hesap!$B$3-$J144,0)))+ROW()/1000000)</f>
        <v/>
      </c>
      <c r="X144">
        <f>IF($W144="","",INT($W144))</f>
        <v/>
      </c>
      <c r="Y144">
        <f>IF(OR($C144="",$I144="",$K144="",$K144&lt;=0,$O144="Tamamlandı"),"",IF(Hesap!$B$3&lt;$I144,"",MIN(1,(Hesap!$B$3-$I144+1)/$K144)-N($N144)))</f>
        <v/>
      </c>
    </row>
    <row r="145" ht="18" customHeight="1">
      <c r="A145" s="69">
        <f>IF($C145="","",ROW()-4)</f>
        <v/>
      </c>
      <c r="B145" s="70" t="n"/>
      <c r="C145" s="70" t="n"/>
      <c r="D145" s="71" t="n"/>
      <c r="E145" s="71" t="n"/>
      <c r="F145" s="71" t="n"/>
      <c r="G145" s="71" t="n"/>
      <c r="H145" s="71" t="n"/>
      <c r="I145" s="72" t="n"/>
      <c r="J145" s="72" t="n"/>
      <c r="K145" s="73">
        <f>IF(OR($I145="",$J145=""),"",$J145-$I145+1)</f>
        <v/>
      </c>
      <c r="L145" s="56" t="n"/>
      <c r="M145" s="74">
        <f>IF($J145="","",$J145+N($L145))</f>
        <v/>
      </c>
      <c r="N145" s="75" t="n"/>
      <c r="O145" s="69">
        <f>IF($C145="","",IF(N($N145)&gt;=1,"Tamamlandı",IF(AND($J145&lt;&gt;"",$M145&lt;Hesap!$B$3),"Gecikmiş",IF(OR(N($N145)&gt;0,AND($I145&lt;&gt;"",$I145&lt;=Hesap!$B$3)),"Devam Ediyor","Planlanan"))))</f>
        <v/>
      </c>
      <c r="P145" s="70" t="n"/>
      <c r="Q145" s="70" t="n"/>
      <c r="R145" s="72" t="n"/>
      <c r="S145" s="73">
        <f>IF(OR($J145="",$R145=""),"",$R145-$J145)</f>
        <v/>
      </c>
      <c r="T145" s="76">
        <f>IF($C145="","",IF($J145="","",IF($R145&lt;&gt;"",IF($S145&gt;7,"⚠ "&amp;TEXT($S145,"0")&amp;" günde yapıldı (geç)","✔ "&amp;TEXT($S145,"0")&amp;" günde yapıldı"),IF($J145&gt;Hesap!$B$3,"",IF($J145+7&lt;Hesap!$B$3,"⚠ Mutabakat "&amp;TEXT(Hesap!$B$3-($J145+7),"0")&amp;" gün gecikti","● Mutabakat için "&amp;TEXT($J145+7-Hesap!$B$3,"0")&amp;" gün")))))</f>
        <v/>
      </c>
      <c r="U145" s="76">
        <f>IF($Y145="","",IF($Y145&gt;0.3,"⚠ Gecikebilir (%"&amp;TEXT($Y145*100,"0")&amp;" geride)",""))</f>
        <v/>
      </c>
      <c r="V145" s="76">
        <f>IF($C145="","",IF($O145="Tamamlandı","",IF($M145="","",IF($M145&lt;Hesap!$B$3,"⚠ "&amp;TEXT(Hesap!$B$3-$M145,"0")&amp;" gün gecikme",IF($M145-Hesap!$B$3&lt;=14,"● "&amp;TEXT($M145-Hesap!$B$3,"0")&amp;" gün kaldı","")))))</f>
        <v/>
      </c>
      <c r="W145">
        <f>IF($C145="","",IF($O145="Tamamlandı",N($L145),MAX(N($L145),IF(AND($J145&lt;&gt;"",$J145&lt;Hesap!$B$3),Hesap!$B$3-$J145,0)))+ROW()/1000000)</f>
        <v/>
      </c>
      <c r="X145">
        <f>IF($W145="","",INT($W145))</f>
        <v/>
      </c>
      <c r="Y145">
        <f>IF(OR($C145="",$I145="",$K145="",$K145&lt;=0,$O145="Tamamlandı"),"",IF(Hesap!$B$3&lt;$I145,"",MIN(1,(Hesap!$B$3-$I145+1)/$K145)-N($N145)))</f>
        <v/>
      </c>
    </row>
    <row r="146" ht="18" customHeight="1">
      <c r="A146" s="69">
        <f>IF($C146="","",ROW()-4)</f>
        <v/>
      </c>
      <c r="B146" s="70" t="n"/>
      <c r="C146" s="70" t="n"/>
      <c r="D146" s="71" t="n"/>
      <c r="E146" s="71" t="n"/>
      <c r="F146" s="71" t="n"/>
      <c r="G146" s="71" t="n"/>
      <c r="H146" s="71" t="n"/>
      <c r="I146" s="72" t="n"/>
      <c r="J146" s="72" t="n"/>
      <c r="K146" s="73">
        <f>IF(OR($I146="",$J146=""),"",$J146-$I146+1)</f>
        <v/>
      </c>
      <c r="L146" s="56" t="n"/>
      <c r="M146" s="74">
        <f>IF($J146="","",$J146+N($L146))</f>
        <v/>
      </c>
      <c r="N146" s="75" t="n"/>
      <c r="O146" s="69">
        <f>IF($C146="","",IF(N($N146)&gt;=1,"Tamamlandı",IF(AND($J146&lt;&gt;"",$M146&lt;Hesap!$B$3),"Gecikmiş",IF(OR(N($N146)&gt;0,AND($I146&lt;&gt;"",$I146&lt;=Hesap!$B$3)),"Devam Ediyor","Planlanan"))))</f>
        <v/>
      </c>
      <c r="P146" s="70" t="n"/>
      <c r="Q146" s="70" t="n"/>
      <c r="R146" s="72" t="n"/>
      <c r="S146" s="73">
        <f>IF(OR($J146="",$R146=""),"",$R146-$J146)</f>
        <v/>
      </c>
      <c r="T146" s="76">
        <f>IF($C146="","",IF($J146="","",IF($R146&lt;&gt;"",IF($S146&gt;7,"⚠ "&amp;TEXT($S146,"0")&amp;" günde yapıldı (geç)","✔ "&amp;TEXT($S146,"0")&amp;" günde yapıldı"),IF($J146&gt;Hesap!$B$3,"",IF($J146+7&lt;Hesap!$B$3,"⚠ Mutabakat "&amp;TEXT(Hesap!$B$3-($J146+7),"0")&amp;" gün gecikti","● Mutabakat için "&amp;TEXT($J146+7-Hesap!$B$3,"0")&amp;" gün")))))</f>
        <v/>
      </c>
      <c r="U146" s="76">
        <f>IF($Y146="","",IF($Y146&gt;0.3,"⚠ Gecikebilir (%"&amp;TEXT($Y146*100,"0")&amp;" geride)",""))</f>
        <v/>
      </c>
      <c r="V146" s="76">
        <f>IF($C146="","",IF($O146="Tamamlandı","",IF($M146="","",IF($M146&lt;Hesap!$B$3,"⚠ "&amp;TEXT(Hesap!$B$3-$M146,"0")&amp;" gün gecikme",IF($M146-Hesap!$B$3&lt;=14,"● "&amp;TEXT($M146-Hesap!$B$3,"0")&amp;" gün kaldı","")))))</f>
        <v/>
      </c>
      <c r="W146">
        <f>IF($C146="","",IF($O146="Tamamlandı",N($L146),MAX(N($L146),IF(AND($J146&lt;&gt;"",$J146&lt;Hesap!$B$3),Hesap!$B$3-$J146,0)))+ROW()/1000000)</f>
        <v/>
      </c>
      <c r="X146">
        <f>IF($W146="","",INT($W146))</f>
        <v/>
      </c>
      <c r="Y146">
        <f>IF(OR($C146="",$I146="",$K146="",$K146&lt;=0,$O146="Tamamlandı"),"",IF(Hesap!$B$3&lt;$I146,"",MIN(1,(Hesap!$B$3-$I146+1)/$K146)-N($N146)))</f>
        <v/>
      </c>
    </row>
    <row r="147" ht="18" customHeight="1">
      <c r="A147" s="69">
        <f>IF($C147="","",ROW()-4)</f>
        <v/>
      </c>
      <c r="B147" s="70" t="n"/>
      <c r="C147" s="70" t="n"/>
      <c r="D147" s="71" t="n"/>
      <c r="E147" s="71" t="n"/>
      <c r="F147" s="71" t="n"/>
      <c r="G147" s="71" t="n"/>
      <c r="H147" s="71" t="n"/>
      <c r="I147" s="72" t="n"/>
      <c r="J147" s="72" t="n"/>
      <c r="K147" s="73">
        <f>IF(OR($I147="",$J147=""),"",$J147-$I147+1)</f>
        <v/>
      </c>
      <c r="L147" s="56" t="n"/>
      <c r="M147" s="74">
        <f>IF($J147="","",$J147+N($L147))</f>
        <v/>
      </c>
      <c r="N147" s="75" t="n"/>
      <c r="O147" s="69">
        <f>IF($C147="","",IF(N($N147)&gt;=1,"Tamamlandı",IF(AND($J147&lt;&gt;"",$M147&lt;Hesap!$B$3),"Gecikmiş",IF(OR(N($N147)&gt;0,AND($I147&lt;&gt;"",$I147&lt;=Hesap!$B$3)),"Devam Ediyor","Planlanan"))))</f>
        <v/>
      </c>
      <c r="P147" s="70" t="n"/>
      <c r="Q147" s="70" t="n"/>
      <c r="R147" s="72" t="n"/>
      <c r="S147" s="73">
        <f>IF(OR($J147="",$R147=""),"",$R147-$J147)</f>
        <v/>
      </c>
      <c r="T147" s="76">
        <f>IF($C147="","",IF($J147="","",IF($R147&lt;&gt;"",IF($S147&gt;7,"⚠ "&amp;TEXT($S147,"0")&amp;" günde yapıldı (geç)","✔ "&amp;TEXT($S147,"0")&amp;" günde yapıldı"),IF($J147&gt;Hesap!$B$3,"",IF($J147+7&lt;Hesap!$B$3,"⚠ Mutabakat "&amp;TEXT(Hesap!$B$3-($J147+7),"0")&amp;" gün gecikti","● Mutabakat için "&amp;TEXT($J147+7-Hesap!$B$3,"0")&amp;" gün")))))</f>
        <v/>
      </c>
      <c r="U147" s="76">
        <f>IF($Y147="","",IF($Y147&gt;0.3,"⚠ Gecikebilir (%"&amp;TEXT($Y147*100,"0")&amp;" geride)",""))</f>
        <v/>
      </c>
      <c r="V147" s="76">
        <f>IF($C147="","",IF($O147="Tamamlandı","",IF($M147="","",IF($M147&lt;Hesap!$B$3,"⚠ "&amp;TEXT(Hesap!$B$3-$M147,"0")&amp;" gün gecikme",IF($M147-Hesap!$B$3&lt;=14,"● "&amp;TEXT($M147-Hesap!$B$3,"0")&amp;" gün kaldı","")))))</f>
        <v/>
      </c>
      <c r="W147">
        <f>IF($C147="","",IF($O147="Tamamlandı",N($L147),MAX(N($L147),IF(AND($J147&lt;&gt;"",$J147&lt;Hesap!$B$3),Hesap!$B$3-$J147,0)))+ROW()/1000000)</f>
        <v/>
      </c>
      <c r="X147">
        <f>IF($W147="","",INT($W147))</f>
        <v/>
      </c>
      <c r="Y147">
        <f>IF(OR($C147="",$I147="",$K147="",$K147&lt;=0,$O147="Tamamlandı"),"",IF(Hesap!$B$3&lt;$I147,"",MIN(1,(Hesap!$B$3-$I147+1)/$K147)-N($N147)))</f>
        <v/>
      </c>
    </row>
    <row r="148" ht="18" customHeight="1">
      <c r="A148" s="69">
        <f>IF($C148="","",ROW()-4)</f>
        <v/>
      </c>
      <c r="B148" s="70" t="n"/>
      <c r="C148" s="70" t="n"/>
      <c r="D148" s="71" t="n"/>
      <c r="E148" s="71" t="n"/>
      <c r="F148" s="71" t="n"/>
      <c r="G148" s="71" t="n"/>
      <c r="H148" s="71" t="n"/>
      <c r="I148" s="72" t="n"/>
      <c r="J148" s="72" t="n"/>
      <c r="K148" s="73">
        <f>IF(OR($I148="",$J148=""),"",$J148-$I148+1)</f>
        <v/>
      </c>
      <c r="L148" s="56" t="n"/>
      <c r="M148" s="74">
        <f>IF($J148="","",$J148+N($L148))</f>
        <v/>
      </c>
      <c r="N148" s="75" t="n"/>
      <c r="O148" s="69">
        <f>IF($C148="","",IF(N($N148)&gt;=1,"Tamamlandı",IF(AND($J148&lt;&gt;"",$M148&lt;Hesap!$B$3),"Gecikmiş",IF(OR(N($N148)&gt;0,AND($I148&lt;&gt;"",$I148&lt;=Hesap!$B$3)),"Devam Ediyor","Planlanan"))))</f>
        <v/>
      </c>
      <c r="P148" s="70" t="n"/>
      <c r="Q148" s="70" t="n"/>
      <c r="R148" s="72" t="n"/>
      <c r="S148" s="73">
        <f>IF(OR($J148="",$R148=""),"",$R148-$J148)</f>
        <v/>
      </c>
      <c r="T148" s="76">
        <f>IF($C148="","",IF($J148="","",IF($R148&lt;&gt;"",IF($S148&gt;7,"⚠ "&amp;TEXT($S148,"0")&amp;" günde yapıldı (geç)","✔ "&amp;TEXT($S148,"0")&amp;" günde yapıldı"),IF($J148&gt;Hesap!$B$3,"",IF($J148+7&lt;Hesap!$B$3,"⚠ Mutabakat "&amp;TEXT(Hesap!$B$3-($J148+7),"0")&amp;" gün gecikti","● Mutabakat için "&amp;TEXT($J148+7-Hesap!$B$3,"0")&amp;" gün")))))</f>
        <v/>
      </c>
      <c r="U148" s="76">
        <f>IF($Y148="","",IF($Y148&gt;0.3,"⚠ Gecikebilir (%"&amp;TEXT($Y148*100,"0")&amp;" geride)",""))</f>
        <v/>
      </c>
      <c r="V148" s="76">
        <f>IF($C148="","",IF($O148="Tamamlandı","",IF($M148="","",IF($M148&lt;Hesap!$B$3,"⚠ "&amp;TEXT(Hesap!$B$3-$M148,"0")&amp;" gün gecikme",IF($M148-Hesap!$B$3&lt;=14,"● "&amp;TEXT($M148-Hesap!$B$3,"0")&amp;" gün kaldı","")))))</f>
        <v/>
      </c>
      <c r="W148">
        <f>IF($C148="","",IF($O148="Tamamlandı",N($L148),MAX(N($L148),IF(AND($J148&lt;&gt;"",$J148&lt;Hesap!$B$3),Hesap!$B$3-$J148,0)))+ROW()/1000000)</f>
        <v/>
      </c>
      <c r="X148">
        <f>IF($W148="","",INT($W148))</f>
        <v/>
      </c>
      <c r="Y148">
        <f>IF(OR($C148="",$I148="",$K148="",$K148&lt;=0,$O148="Tamamlandı"),"",IF(Hesap!$B$3&lt;$I148,"",MIN(1,(Hesap!$B$3-$I148+1)/$K148)-N($N148)))</f>
        <v/>
      </c>
    </row>
    <row r="149" ht="18" customHeight="1">
      <c r="A149" s="69">
        <f>IF($C149="","",ROW()-4)</f>
        <v/>
      </c>
      <c r="B149" s="70" t="n"/>
      <c r="C149" s="70" t="n"/>
      <c r="D149" s="71" t="n"/>
      <c r="E149" s="71" t="n"/>
      <c r="F149" s="71" t="n"/>
      <c r="G149" s="71" t="n"/>
      <c r="H149" s="71" t="n"/>
      <c r="I149" s="72" t="n"/>
      <c r="J149" s="72" t="n"/>
      <c r="K149" s="73">
        <f>IF(OR($I149="",$J149=""),"",$J149-$I149+1)</f>
        <v/>
      </c>
      <c r="L149" s="56" t="n"/>
      <c r="M149" s="74">
        <f>IF($J149="","",$J149+N($L149))</f>
        <v/>
      </c>
      <c r="N149" s="75" t="n"/>
      <c r="O149" s="69">
        <f>IF($C149="","",IF(N($N149)&gt;=1,"Tamamlandı",IF(AND($J149&lt;&gt;"",$M149&lt;Hesap!$B$3),"Gecikmiş",IF(OR(N($N149)&gt;0,AND($I149&lt;&gt;"",$I149&lt;=Hesap!$B$3)),"Devam Ediyor","Planlanan"))))</f>
        <v/>
      </c>
      <c r="P149" s="70" t="n"/>
      <c r="Q149" s="70" t="n"/>
      <c r="R149" s="72" t="n"/>
      <c r="S149" s="73">
        <f>IF(OR($J149="",$R149=""),"",$R149-$J149)</f>
        <v/>
      </c>
      <c r="T149" s="76">
        <f>IF($C149="","",IF($J149="","",IF($R149&lt;&gt;"",IF($S149&gt;7,"⚠ "&amp;TEXT($S149,"0")&amp;" günde yapıldı (geç)","✔ "&amp;TEXT($S149,"0")&amp;" günde yapıldı"),IF($J149&gt;Hesap!$B$3,"",IF($J149+7&lt;Hesap!$B$3,"⚠ Mutabakat "&amp;TEXT(Hesap!$B$3-($J149+7),"0")&amp;" gün gecikti","● Mutabakat için "&amp;TEXT($J149+7-Hesap!$B$3,"0")&amp;" gün")))))</f>
        <v/>
      </c>
      <c r="U149" s="76">
        <f>IF($Y149="","",IF($Y149&gt;0.3,"⚠ Gecikebilir (%"&amp;TEXT($Y149*100,"0")&amp;" geride)",""))</f>
        <v/>
      </c>
      <c r="V149" s="76">
        <f>IF($C149="","",IF($O149="Tamamlandı","",IF($M149="","",IF($M149&lt;Hesap!$B$3,"⚠ "&amp;TEXT(Hesap!$B$3-$M149,"0")&amp;" gün gecikme",IF($M149-Hesap!$B$3&lt;=14,"● "&amp;TEXT($M149-Hesap!$B$3,"0")&amp;" gün kaldı","")))))</f>
        <v/>
      </c>
      <c r="W149">
        <f>IF($C149="","",IF($O149="Tamamlandı",N($L149),MAX(N($L149),IF(AND($J149&lt;&gt;"",$J149&lt;Hesap!$B$3),Hesap!$B$3-$J149,0)))+ROW()/1000000)</f>
        <v/>
      </c>
      <c r="X149">
        <f>IF($W149="","",INT($W149))</f>
        <v/>
      </c>
      <c r="Y149">
        <f>IF(OR($C149="",$I149="",$K149="",$K149&lt;=0,$O149="Tamamlandı"),"",IF(Hesap!$B$3&lt;$I149,"",MIN(1,(Hesap!$B$3-$I149+1)/$K149)-N($N149)))</f>
        <v/>
      </c>
    </row>
    <row r="150" ht="18" customHeight="1">
      <c r="A150" s="69">
        <f>IF($C150="","",ROW()-4)</f>
        <v/>
      </c>
      <c r="B150" s="70" t="n"/>
      <c r="C150" s="70" t="n"/>
      <c r="D150" s="71" t="n"/>
      <c r="E150" s="71" t="n"/>
      <c r="F150" s="71" t="n"/>
      <c r="G150" s="71" t="n"/>
      <c r="H150" s="71" t="n"/>
      <c r="I150" s="72" t="n"/>
      <c r="J150" s="72" t="n"/>
      <c r="K150" s="73">
        <f>IF(OR($I150="",$J150=""),"",$J150-$I150+1)</f>
        <v/>
      </c>
      <c r="L150" s="56" t="n"/>
      <c r="M150" s="74">
        <f>IF($J150="","",$J150+N($L150))</f>
        <v/>
      </c>
      <c r="N150" s="75" t="n"/>
      <c r="O150" s="69">
        <f>IF($C150="","",IF(N($N150)&gt;=1,"Tamamlandı",IF(AND($J150&lt;&gt;"",$M150&lt;Hesap!$B$3),"Gecikmiş",IF(OR(N($N150)&gt;0,AND($I150&lt;&gt;"",$I150&lt;=Hesap!$B$3)),"Devam Ediyor","Planlanan"))))</f>
        <v/>
      </c>
      <c r="P150" s="70" t="n"/>
      <c r="Q150" s="70" t="n"/>
      <c r="R150" s="72" t="n"/>
      <c r="S150" s="73">
        <f>IF(OR($J150="",$R150=""),"",$R150-$J150)</f>
        <v/>
      </c>
      <c r="T150" s="76">
        <f>IF($C150="","",IF($J150="","",IF($R150&lt;&gt;"",IF($S150&gt;7,"⚠ "&amp;TEXT($S150,"0")&amp;" günde yapıldı (geç)","✔ "&amp;TEXT($S150,"0")&amp;" günde yapıldı"),IF($J150&gt;Hesap!$B$3,"",IF($J150+7&lt;Hesap!$B$3,"⚠ Mutabakat "&amp;TEXT(Hesap!$B$3-($J150+7),"0")&amp;" gün gecikti","● Mutabakat için "&amp;TEXT($J150+7-Hesap!$B$3,"0")&amp;" gün")))))</f>
        <v/>
      </c>
      <c r="U150" s="76">
        <f>IF($Y150="","",IF($Y150&gt;0.3,"⚠ Gecikebilir (%"&amp;TEXT($Y150*100,"0")&amp;" geride)",""))</f>
        <v/>
      </c>
      <c r="V150" s="76">
        <f>IF($C150="","",IF($O150="Tamamlandı","",IF($M150="","",IF($M150&lt;Hesap!$B$3,"⚠ "&amp;TEXT(Hesap!$B$3-$M150,"0")&amp;" gün gecikme",IF($M150-Hesap!$B$3&lt;=14,"● "&amp;TEXT($M150-Hesap!$B$3,"0")&amp;" gün kaldı","")))))</f>
        <v/>
      </c>
      <c r="W150">
        <f>IF($C150="","",IF($O150="Tamamlandı",N($L150),MAX(N($L150),IF(AND($J150&lt;&gt;"",$J150&lt;Hesap!$B$3),Hesap!$B$3-$J150,0)))+ROW()/1000000)</f>
        <v/>
      </c>
      <c r="X150">
        <f>IF($W150="","",INT($W150))</f>
        <v/>
      </c>
      <c r="Y150">
        <f>IF(OR($C150="",$I150="",$K150="",$K150&lt;=0,$O150="Tamamlandı"),"",IF(Hesap!$B$3&lt;$I150,"",MIN(1,(Hesap!$B$3-$I150+1)/$K150)-N($N150)))</f>
        <v/>
      </c>
    </row>
    <row r="151" ht="18" customHeight="1">
      <c r="A151" s="69">
        <f>IF($C151="","",ROW()-4)</f>
        <v/>
      </c>
      <c r="B151" s="70" t="n"/>
      <c r="C151" s="70" t="n"/>
      <c r="D151" s="71" t="n"/>
      <c r="E151" s="71" t="n"/>
      <c r="F151" s="71" t="n"/>
      <c r="G151" s="71" t="n"/>
      <c r="H151" s="71" t="n"/>
      <c r="I151" s="72" t="n"/>
      <c r="J151" s="72" t="n"/>
      <c r="K151" s="73">
        <f>IF(OR($I151="",$J151=""),"",$J151-$I151+1)</f>
        <v/>
      </c>
      <c r="L151" s="56" t="n"/>
      <c r="M151" s="74">
        <f>IF($J151="","",$J151+N($L151))</f>
        <v/>
      </c>
      <c r="N151" s="75" t="n"/>
      <c r="O151" s="69">
        <f>IF($C151="","",IF(N($N151)&gt;=1,"Tamamlandı",IF(AND($J151&lt;&gt;"",$M151&lt;Hesap!$B$3),"Gecikmiş",IF(OR(N($N151)&gt;0,AND($I151&lt;&gt;"",$I151&lt;=Hesap!$B$3)),"Devam Ediyor","Planlanan"))))</f>
        <v/>
      </c>
      <c r="P151" s="70" t="n"/>
      <c r="Q151" s="70" t="n"/>
      <c r="R151" s="72" t="n"/>
      <c r="S151" s="73">
        <f>IF(OR($J151="",$R151=""),"",$R151-$J151)</f>
        <v/>
      </c>
      <c r="T151" s="76">
        <f>IF($C151="","",IF($J151="","",IF($R151&lt;&gt;"",IF($S151&gt;7,"⚠ "&amp;TEXT($S151,"0")&amp;" günde yapıldı (geç)","✔ "&amp;TEXT($S151,"0")&amp;" günde yapıldı"),IF($J151&gt;Hesap!$B$3,"",IF($J151+7&lt;Hesap!$B$3,"⚠ Mutabakat "&amp;TEXT(Hesap!$B$3-($J151+7),"0")&amp;" gün gecikti","● Mutabakat için "&amp;TEXT($J151+7-Hesap!$B$3,"0")&amp;" gün")))))</f>
        <v/>
      </c>
      <c r="U151" s="76">
        <f>IF($Y151="","",IF($Y151&gt;0.3,"⚠ Gecikebilir (%"&amp;TEXT($Y151*100,"0")&amp;" geride)",""))</f>
        <v/>
      </c>
      <c r="V151" s="76">
        <f>IF($C151="","",IF($O151="Tamamlandı","",IF($M151="","",IF($M151&lt;Hesap!$B$3,"⚠ "&amp;TEXT(Hesap!$B$3-$M151,"0")&amp;" gün gecikme",IF($M151-Hesap!$B$3&lt;=14,"● "&amp;TEXT($M151-Hesap!$B$3,"0")&amp;" gün kaldı","")))))</f>
        <v/>
      </c>
      <c r="W151">
        <f>IF($C151="","",IF($O151="Tamamlandı",N($L151),MAX(N($L151),IF(AND($J151&lt;&gt;"",$J151&lt;Hesap!$B$3),Hesap!$B$3-$J151,0)))+ROW()/1000000)</f>
        <v/>
      </c>
      <c r="X151">
        <f>IF($W151="","",INT($W151))</f>
        <v/>
      </c>
      <c r="Y151">
        <f>IF(OR($C151="",$I151="",$K151="",$K151&lt;=0,$O151="Tamamlandı"),"",IF(Hesap!$B$3&lt;$I151,"",MIN(1,(Hesap!$B$3-$I151+1)/$K151)-N($N151)))</f>
        <v/>
      </c>
    </row>
    <row r="152" ht="18" customHeight="1">
      <c r="A152" s="69">
        <f>IF($C152="","",ROW()-4)</f>
        <v/>
      </c>
      <c r="B152" s="70" t="n"/>
      <c r="C152" s="70" t="n"/>
      <c r="D152" s="71" t="n"/>
      <c r="E152" s="71" t="n"/>
      <c r="F152" s="71" t="n"/>
      <c r="G152" s="71" t="n"/>
      <c r="H152" s="71" t="n"/>
      <c r="I152" s="72" t="n"/>
      <c r="J152" s="72" t="n"/>
      <c r="K152" s="73">
        <f>IF(OR($I152="",$J152=""),"",$J152-$I152+1)</f>
        <v/>
      </c>
      <c r="L152" s="56" t="n"/>
      <c r="M152" s="74">
        <f>IF($J152="","",$J152+N($L152))</f>
        <v/>
      </c>
      <c r="N152" s="75" t="n"/>
      <c r="O152" s="69">
        <f>IF($C152="","",IF(N($N152)&gt;=1,"Tamamlandı",IF(AND($J152&lt;&gt;"",$M152&lt;Hesap!$B$3),"Gecikmiş",IF(OR(N($N152)&gt;0,AND($I152&lt;&gt;"",$I152&lt;=Hesap!$B$3)),"Devam Ediyor","Planlanan"))))</f>
        <v/>
      </c>
      <c r="P152" s="70" t="n"/>
      <c r="Q152" s="70" t="n"/>
      <c r="R152" s="72" t="n"/>
      <c r="S152" s="73">
        <f>IF(OR($J152="",$R152=""),"",$R152-$J152)</f>
        <v/>
      </c>
      <c r="T152" s="76">
        <f>IF($C152="","",IF($J152="","",IF($R152&lt;&gt;"",IF($S152&gt;7,"⚠ "&amp;TEXT($S152,"0")&amp;" günde yapıldı (geç)","✔ "&amp;TEXT($S152,"0")&amp;" günde yapıldı"),IF($J152&gt;Hesap!$B$3,"",IF($J152+7&lt;Hesap!$B$3,"⚠ Mutabakat "&amp;TEXT(Hesap!$B$3-($J152+7),"0")&amp;" gün gecikti","● Mutabakat için "&amp;TEXT($J152+7-Hesap!$B$3,"0")&amp;" gün")))))</f>
        <v/>
      </c>
      <c r="U152" s="76">
        <f>IF($Y152="","",IF($Y152&gt;0.3,"⚠ Gecikebilir (%"&amp;TEXT($Y152*100,"0")&amp;" geride)",""))</f>
        <v/>
      </c>
      <c r="V152" s="76">
        <f>IF($C152="","",IF($O152="Tamamlandı","",IF($M152="","",IF($M152&lt;Hesap!$B$3,"⚠ "&amp;TEXT(Hesap!$B$3-$M152,"0")&amp;" gün gecikme",IF($M152-Hesap!$B$3&lt;=14,"● "&amp;TEXT($M152-Hesap!$B$3,"0")&amp;" gün kaldı","")))))</f>
        <v/>
      </c>
      <c r="W152">
        <f>IF($C152="","",IF($O152="Tamamlandı",N($L152),MAX(N($L152),IF(AND($J152&lt;&gt;"",$J152&lt;Hesap!$B$3),Hesap!$B$3-$J152,0)))+ROW()/1000000)</f>
        <v/>
      </c>
      <c r="X152">
        <f>IF($W152="","",INT($W152))</f>
        <v/>
      </c>
      <c r="Y152">
        <f>IF(OR($C152="",$I152="",$K152="",$K152&lt;=0,$O152="Tamamlandı"),"",IF(Hesap!$B$3&lt;$I152,"",MIN(1,(Hesap!$B$3-$I152+1)/$K152)-N($N152)))</f>
        <v/>
      </c>
    </row>
    <row r="153" ht="18" customHeight="1">
      <c r="A153" s="69">
        <f>IF($C153="","",ROW()-4)</f>
        <v/>
      </c>
      <c r="B153" s="70" t="n"/>
      <c r="C153" s="70" t="n"/>
      <c r="D153" s="71" t="n"/>
      <c r="E153" s="71" t="n"/>
      <c r="F153" s="71" t="n"/>
      <c r="G153" s="71" t="n"/>
      <c r="H153" s="71" t="n"/>
      <c r="I153" s="72" t="n"/>
      <c r="J153" s="72" t="n"/>
      <c r="K153" s="73">
        <f>IF(OR($I153="",$J153=""),"",$J153-$I153+1)</f>
        <v/>
      </c>
      <c r="L153" s="56" t="n"/>
      <c r="M153" s="74">
        <f>IF($J153="","",$J153+N($L153))</f>
        <v/>
      </c>
      <c r="N153" s="75" t="n"/>
      <c r="O153" s="69">
        <f>IF($C153="","",IF(N($N153)&gt;=1,"Tamamlandı",IF(AND($J153&lt;&gt;"",$M153&lt;Hesap!$B$3),"Gecikmiş",IF(OR(N($N153)&gt;0,AND($I153&lt;&gt;"",$I153&lt;=Hesap!$B$3)),"Devam Ediyor","Planlanan"))))</f>
        <v/>
      </c>
      <c r="P153" s="70" t="n"/>
      <c r="Q153" s="70" t="n"/>
      <c r="R153" s="72" t="n"/>
      <c r="S153" s="73">
        <f>IF(OR($J153="",$R153=""),"",$R153-$J153)</f>
        <v/>
      </c>
      <c r="T153" s="76">
        <f>IF($C153="","",IF($J153="","",IF($R153&lt;&gt;"",IF($S153&gt;7,"⚠ "&amp;TEXT($S153,"0")&amp;" günde yapıldı (geç)","✔ "&amp;TEXT($S153,"0")&amp;" günde yapıldı"),IF($J153&gt;Hesap!$B$3,"",IF($J153+7&lt;Hesap!$B$3,"⚠ Mutabakat "&amp;TEXT(Hesap!$B$3-($J153+7),"0")&amp;" gün gecikti","● Mutabakat için "&amp;TEXT($J153+7-Hesap!$B$3,"0")&amp;" gün")))))</f>
        <v/>
      </c>
      <c r="U153" s="76">
        <f>IF($Y153="","",IF($Y153&gt;0.3,"⚠ Gecikebilir (%"&amp;TEXT($Y153*100,"0")&amp;" geride)",""))</f>
        <v/>
      </c>
      <c r="V153" s="76">
        <f>IF($C153="","",IF($O153="Tamamlandı","",IF($M153="","",IF($M153&lt;Hesap!$B$3,"⚠ "&amp;TEXT(Hesap!$B$3-$M153,"0")&amp;" gün gecikme",IF($M153-Hesap!$B$3&lt;=14,"● "&amp;TEXT($M153-Hesap!$B$3,"0")&amp;" gün kaldı","")))))</f>
        <v/>
      </c>
      <c r="W153">
        <f>IF($C153="","",IF($O153="Tamamlandı",N($L153),MAX(N($L153),IF(AND($J153&lt;&gt;"",$J153&lt;Hesap!$B$3),Hesap!$B$3-$J153,0)))+ROW()/1000000)</f>
        <v/>
      </c>
      <c r="X153">
        <f>IF($W153="","",INT($W153))</f>
        <v/>
      </c>
      <c r="Y153">
        <f>IF(OR($C153="",$I153="",$K153="",$K153&lt;=0,$O153="Tamamlandı"),"",IF(Hesap!$B$3&lt;$I153,"",MIN(1,(Hesap!$B$3-$I153+1)/$K153)-N($N153)))</f>
        <v/>
      </c>
    </row>
    <row r="154" ht="18" customHeight="1">
      <c r="A154" s="69">
        <f>IF($C154="","",ROW()-4)</f>
        <v/>
      </c>
      <c r="B154" s="70" t="n"/>
      <c r="C154" s="70" t="n"/>
      <c r="D154" s="71" t="n"/>
      <c r="E154" s="71" t="n"/>
      <c r="F154" s="71" t="n"/>
      <c r="G154" s="71" t="n"/>
      <c r="H154" s="71" t="n"/>
      <c r="I154" s="72" t="n"/>
      <c r="J154" s="72" t="n"/>
      <c r="K154" s="73">
        <f>IF(OR($I154="",$J154=""),"",$J154-$I154+1)</f>
        <v/>
      </c>
      <c r="L154" s="56" t="n"/>
      <c r="M154" s="74">
        <f>IF($J154="","",$J154+N($L154))</f>
        <v/>
      </c>
      <c r="N154" s="75" t="n"/>
      <c r="O154" s="69">
        <f>IF($C154="","",IF(N($N154)&gt;=1,"Tamamlandı",IF(AND($J154&lt;&gt;"",$M154&lt;Hesap!$B$3),"Gecikmiş",IF(OR(N($N154)&gt;0,AND($I154&lt;&gt;"",$I154&lt;=Hesap!$B$3)),"Devam Ediyor","Planlanan"))))</f>
        <v/>
      </c>
      <c r="P154" s="70" t="n"/>
      <c r="Q154" s="70" t="n"/>
      <c r="R154" s="72" t="n"/>
      <c r="S154" s="73">
        <f>IF(OR($J154="",$R154=""),"",$R154-$J154)</f>
        <v/>
      </c>
      <c r="T154" s="76">
        <f>IF($C154="","",IF($J154="","",IF($R154&lt;&gt;"",IF($S154&gt;7,"⚠ "&amp;TEXT($S154,"0")&amp;" günde yapıldı (geç)","✔ "&amp;TEXT($S154,"0")&amp;" günde yapıldı"),IF($J154&gt;Hesap!$B$3,"",IF($J154+7&lt;Hesap!$B$3,"⚠ Mutabakat "&amp;TEXT(Hesap!$B$3-($J154+7),"0")&amp;" gün gecikti","● Mutabakat için "&amp;TEXT($J154+7-Hesap!$B$3,"0")&amp;" gün")))))</f>
        <v/>
      </c>
      <c r="U154" s="76">
        <f>IF($Y154="","",IF($Y154&gt;0.3,"⚠ Gecikebilir (%"&amp;TEXT($Y154*100,"0")&amp;" geride)",""))</f>
        <v/>
      </c>
      <c r="V154" s="76">
        <f>IF($C154="","",IF($O154="Tamamlandı","",IF($M154="","",IF($M154&lt;Hesap!$B$3,"⚠ "&amp;TEXT(Hesap!$B$3-$M154,"0")&amp;" gün gecikme",IF($M154-Hesap!$B$3&lt;=14,"● "&amp;TEXT($M154-Hesap!$B$3,"0")&amp;" gün kaldı","")))))</f>
        <v/>
      </c>
      <c r="W154">
        <f>IF($C154="","",IF($O154="Tamamlandı",N($L154),MAX(N($L154),IF(AND($J154&lt;&gt;"",$J154&lt;Hesap!$B$3),Hesap!$B$3-$J154,0)))+ROW()/1000000)</f>
        <v/>
      </c>
      <c r="X154">
        <f>IF($W154="","",INT($W154))</f>
        <v/>
      </c>
      <c r="Y154">
        <f>IF(OR($C154="",$I154="",$K154="",$K154&lt;=0,$O154="Tamamlandı"),"",IF(Hesap!$B$3&lt;$I154,"",MIN(1,(Hesap!$B$3-$I154+1)/$K154)-N($N154)))</f>
        <v/>
      </c>
    </row>
    <row r="155" ht="18" customHeight="1">
      <c r="A155" s="69">
        <f>IF($C155="","",ROW()-4)</f>
        <v/>
      </c>
      <c r="B155" s="70" t="n"/>
      <c r="C155" s="70" t="n"/>
      <c r="D155" s="71" t="n"/>
      <c r="E155" s="71" t="n"/>
      <c r="F155" s="71" t="n"/>
      <c r="G155" s="71" t="n"/>
      <c r="H155" s="71" t="n"/>
      <c r="I155" s="72" t="n"/>
      <c r="J155" s="72" t="n"/>
      <c r="K155" s="73">
        <f>IF(OR($I155="",$J155=""),"",$J155-$I155+1)</f>
        <v/>
      </c>
      <c r="L155" s="56" t="n"/>
      <c r="M155" s="74">
        <f>IF($J155="","",$J155+N($L155))</f>
        <v/>
      </c>
      <c r="N155" s="75" t="n"/>
      <c r="O155" s="69">
        <f>IF($C155="","",IF(N($N155)&gt;=1,"Tamamlandı",IF(AND($J155&lt;&gt;"",$M155&lt;Hesap!$B$3),"Gecikmiş",IF(OR(N($N155)&gt;0,AND($I155&lt;&gt;"",$I155&lt;=Hesap!$B$3)),"Devam Ediyor","Planlanan"))))</f>
        <v/>
      </c>
      <c r="P155" s="70" t="n"/>
      <c r="Q155" s="70" t="n"/>
      <c r="R155" s="72" t="n"/>
      <c r="S155" s="73">
        <f>IF(OR($J155="",$R155=""),"",$R155-$J155)</f>
        <v/>
      </c>
      <c r="T155" s="76">
        <f>IF($C155="","",IF($J155="","",IF($R155&lt;&gt;"",IF($S155&gt;7,"⚠ "&amp;TEXT($S155,"0")&amp;" günde yapıldı (geç)","✔ "&amp;TEXT($S155,"0")&amp;" günde yapıldı"),IF($J155&gt;Hesap!$B$3,"",IF($J155+7&lt;Hesap!$B$3,"⚠ Mutabakat "&amp;TEXT(Hesap!$B$3-($J155+7),"0")&amp;" gün gecikti","● Mutabakat için "&amp;TEXT($J155+7-Hesap!$B$3,"0")&amp;" gün")))))</f>
        <v/>
      </c>
      <c r="U155" s="76">
        <f>IF($Y155="","",IF($Y155&gt;0.3,"⚠ Gecikebilir (%"&amp;TEXT($Y155*100,"0")&amp;" geride)",""))</f>
        <v/>
      </c>
      <c r="V155" s="76">
        <f>IF($C155="","",IF($O155="Tamamlandı","",IF($M155="","",IF($M155&lt;Hesap!$B$3,"⚠ "&amp;TEXT(Hesap!$B$3-$M155,"0")&amp;" gün gecikme",IF($M155-Hesap!$B$3&lt;=14,"● "&amp;TEXT($M155-Hesap!$B$3,"0")&amp;" gün kaldı","")))))</f>
        <v/>
      </c>
      <c r="W155">
        <f>IF($C155="","",IF($O155="Tamamlandı",N($L155),MAX(N($L155),IF(AND($J155&lt;&gt;"",$J155&lt;Hesap!$B$3),Hesap!$B$3-$J155,0)))+ROW()/1000000)</f>
        <v/>
      </c>
      <c r="X155">
        <f>IF($W155="","",INT($W155))</f>
        <v/>
      </c>
      <c r="Y155">
        <f>IF(OR($C155="",$I155="",$K155="",$K155&lt;=0,$O155="Tamamlandı"),"",IF(Hesap!$B$3&lt;$I155,"",MIN(1,(Hesap!$B$3-$I155+1)/$K155)-N($N155)))</f>
        <v/>
      </c>
    </row>
    <row r="156" ht="18" customHeight="1">
      <c r="A156" s="69">
        <f>IF($C156="","",ROW()-4)</f>
        <v/>
      </c>
      <c r="B156" s="70" t="n"/>
      <c r="C156" s="70" t="n"/>
      <c r="D156" s="71" t="n"/>
      <c r="E156" s="71" t="n"/>
      <c r="F156" s="71" t="n"/>
      <c r="G156" s="71" t="n"/>
      <c r="H156" s="71" t="n"/>
      <c r="I156" s="72" t="n"/>
      <c r="J156" s="72" t="n"/>
      <c r="K156" s="73">
        <f>IF(OR($I156="",$J156=""),"",$J156-$I156+1)</f>
        <v/>
      </c>
      <c r="L156" s="56" t="n"/>
      <c r="M156" s="74">
        <f>IF($J156="","",$J156+N($L156))</f>
        <v/>
      </c>
      <c r="N156" s="75" t="n"/>
      <c r="O156" s="69">
        <f>IF($C156="","",IF(N($N156)&gt;=1,"Tamamlandı",IF(AND($J156&lt;&gt;"",$M156&lt;Hesap!$B$3),"Gecikmiş",IF(OR(N($N156)&gt;0,AND($I156&lt;&gt;"",$I156&lt;=Hesap!$B$3)),"Devam Ediyor","Planlanan"))))</f>
        <v/>
      </c>
      <c r="P156" s="70" t="n"/>
      <c r="Q156" s="70" t="n"/>
      <c r="R156" s="72" t="n"/>
      <c r="S156" s="73">
        <f>IF(OR($J156="",$R156=""),"",$R156-$J156)</f>
        <v/>
      </c>
      <c r="T156" s="76">
        <f>IF($C156="","",IF($J156="","",IF($R156&lt;&gt;"",IF($S156&gt;7,"⚠ "&amp;TEXT($S156,"0")&amp;" günde yapıldı (geç)","✔ "&amp;TEXT($S156,"0")&amp;" günde yapıldı"),IF($J156&gt;Hesap!$B$3,"",IF($J156+7&lt;Hesap!$B$3,"⚠ Mutabakat "&amp;TEXT(Hesap!$B$3-($J156+7),"0")&amp;" gün gecikti","● Mutabakat için "&amp;TEXT($J156+7-Hesap!$B$3,"0")&amp;" gün")))))</f>
        <v/>
      </c>
      <c r="U156" s="76">
        <f>IF($Y156="","",IF($Y156&gt;0.3,"⚠ Gecikebilir (%"&amp;TEXT($Y156*100,"0")&amp;" geride)",""))</f>
        <v/>
      </c>
      <c r="V156" s="76">
        <f>IF($C156="","",IF($O156="Tamamlandı","",IF($M156="","",IF($M156&lt;Hesap!$B$3,"⚠ "&amp;TEXT(Hesap!$B$3-$M156,"0")&amp;" gün gecikme",IF($M156-Hesap!$B$3&lt;=14,"● "&amp;TEXT($M156-Hesap!$B$3,"0")&amp;" gün kaldı","")))))</f>
        <v/>
      </c>
      <c r="W156">
        <f>IF($C156="","",IF($O156="Tamamlandı",N($L156),MAX(N($L156),IF(AND($J156&lt;&gt;"",$J156&lt;Hesap!$B$3),Hesap!$B$3-$J156,0)))+ROW()/1000000)</f>
        <v/>
      </c>
      <c r="X156">
        <f>IF($W156="","",INT($W156))</f>
        <v/>
      </c>
      <c r="Y156">
        <f>IF(OR($C156="",$I156="",$K156="",$K156&lt;=0,$O156="Tamamlandı"),"",IF(Hesap!$B$3&lt;$I156,"",MIN(1,(Hesap!$B$3-$I156+1)/$K156)-N($N156)))</f>
        <v/>
      </c>
    </row>
    <row r="157" ht="18" customHeight="1">
      <c r="A157" s="69">
        <f>IF($C157="","",ROW()-4)</f>
        <v/>
      </c>
      <c r="B157" s="70" t="n"/>
      <c r="C157" s="70" t="n"/>
      <c r="D157" s="71" t="n"/>
      <c r="E157" s="71" t="n"/>
      <c r="F157" s="71" t="n"/>
      <c r="G157" s="71" t="n"/>
      <c r="H157" s="71" t="n"/>
      <c r="I157" s="72" t="n"/>
      <c r="J157" s="72" t="n"/>
      <c r="K157" s="73">
        <f>IF(OR($I157="",$J157=""),"",$J157-$I157+1)</f>
        <v/>
      </c>
      <c r="L157" s="56" t="n"/>
      <c r="M157" s="74">
        <f>IF($J157="","",$J157+N($L157))</f>
        <v/>
      </c>
      <c r="N157" s="75" t="n"/>
      <c r="O157" s="69">
        <f>IF($C157="","",IF(N($N157)&gt;=1,"Tamamlandı",IF(AND($J157&lt;&gt;"",$M157&lt;Hesap!$B$3),"Gecikmiş",IF(OR(N($N157)&gt;0,AND($I157&lt;&gt;"",$I157&lt;=Hesap!$B$3)),"Devam Ediyor","Planlanan"))))</f>
        <v/>
      </c>
      <c r="P157" s="70" t="n"/>
      <c r="Q157" s="70" t="n"/>
      <c r="R157" s="72" t="n"/>
      <c r="S157" s="73">
        <f>IF(OR($J157="",$R157=""),"",$R157-$J157)</f>
        <v/>
      </c>
      <c r="T157" s="76">
        <f>IF($C157="","",IF($J157="","",IF($R157&lt;&gt;"",IF($S157&gt;7,"⚠ "&amp;TEXT($S157,"0")&amp;" günde yapıldı (geç)","✔ "&amp;TEXT($S157,"0")&amp;" günde yapıldı"),IF($J157&gt;Hesap!$B$3,"",IF($J157+7&lt;Hesap!$B$3,"⚠ Mutabakat "&amp;TEXT(Hesap!$B$3-($J157+7),"0")&amp;" gün gecikti","● Mutabakat için "&amp;TEXT($J157+7-Hesap!$B$3,"0")&amp;" gün")))))</f>
        <v/>
      </c>
      <c r="U157" s="76">
        <f>IF($Y157="","",IF($Y157&gt;0.3,"⚠ Gecikebilir (%"&amp;TEXT($Y157*100,"0")&amp;" geride)",""))</f>
        <v/>
      </c>
      <c r="V157" s="76">
        <f>IF($C157="","",IF($O157="Tamamlandı","",IF($M157="","",IF($M157&lt;Hesap!$B$3,"⚠ "&amp;TEXT(Hesap!$B$3-$M157,"0")&amp;" gün gecikme",IF($M157-Hesap!$B$3&lt;=14,"● "&amp;TEXT($M157-Hesap!$B$3,"0")&amp;" gün kaldı","")))))</f>
        <v/>
      </c>
      <c r="W157">
        <f>IF($C157="","",IF($O157="Tamamlandı",N($L157),MAX(N($L157),IF(AND($J157&lt;&gt;"",$J157&lt;Hesap!$B$3),Hesap!$B$3-$J157,0)))+ROW()/1000000)</f>
        <v/>
      </c>
      <c r="X157">
        <f>IF($W157="","",INT($W157))</f>
        <v/>
      </c>
      <c r="Y157">
        <f>IF(OR($C157="",$I157="",$K157="",$K157&lt;=0,$O157="Tamamlandı"),"",IF(Hesap!$B$3&lt;$I157,"",MIN(1,(Hesap!$B$3-$I157+1)/$K157)-N($N157)))</f>
        <v/>
      </c>
    </row>
    <row r="158" ht="18" customHeight="1">
      <c r="A158" s="69">
        <f>IF($C158="","",ROW()-4)</f>
        <v/>
      </c>
      <c r="B158" s="70" t="n"/>
      <c r="C158" s="70" t="n"/>
      <c r="D158" s="71" t="n"/>
      <c r="E158" s="71" t="n"/>
      <c r="F158" s="71" t="n"/>
      <c r="G158" s="71" t="n"/>
      <c r="H158" s="71" t="n"/>
      <c r="I158" s="72" t="n"/>
      <c r="J158" s="72" t="n"/>
      <c r="K158" s="73">
        <f>IF(OR($I158="",$J158=""),"",$J158-$I158+1)</f>
        <v/>
      </c>
      <c r="L158" s="56" t="n"/>
      <c r="M158" s="74">
        <f>IF($J158="","",$J158+N($L158))</f>
        <v/>
      </c>
      <c r="N158" s="75" t="n"/>
      <c r="O158" s="69">
        <f>IF($C158="","",IF(N($N158)&gt;=1,"Tamamlandı",IF(AND($J158&lt;&gt;"",$M158&lt;Hesap!$B$3),"Gecikmiş",IF(OR(N($N158)&gt;0,AND($I158&lt;&gt;"",$I158&lt;=Hesap!$B$3)),"Devam Ediyor","Planlanan"))))</f>
        <v/>
      </c>
      <c r="P158" s="70" t="n"/>
      <c r="Q158" s="70" t="n"/>
      <c r="R158" s="72" t="n"/>
      <c r="S158" s="73">
        <f>IF(OR($J158="",$R158=""),"",$R158-$J158)</f>
        <v/>
      </c>
      <c r="T158" s="76">
        <f>IF($C158="","",IF($J158="","",IF($R158&lt;&gt;"",IF($S158&gt;7,"⚠ "&amp;TEXT($S158,"0")&amp;" günde yapıldı (geç)","✔ "&amp;TEXT($S158,"0")&amp;" günde yapıldı"),IF($J158&gt;Hesap!$B$3,"",IF($J158+7&lt;Hesap!$B$3,"⚠ Mutabakat "&amp;TEXT(Hesap!$B$3-($J158+7),"0")&amp;" gün gecikti","● Mutabakat için "&amp;TEXT($J158+7-Hesap!$B$3,"0")&amp;" gün")))))</f>
        <v/>
      </c>
      <c r="U158" s="76">
        <f>IF($Y158="","",IF($Y158&gt;0.3,"⚠ Gecikebilir (%"&amp;TEXT($Y158*100,"0")&amp;" geride)",""))</f>
        <v/>
      </c>
      <c r="V158" s="76">
        <f>IF($C158="","",IF($O158="Tamamlandı","",IF($M158="","",IF($M158&lt;Hesap!$B$3,"⚠ "&amp;TEXT(Hesap!$B$3-$M158,"0")&amp;" gün gecikme",IF($M158-Hesap!$B$3&lt;=14,"● "&amp;TEXT($M158-Hesap!$B$3,"0")&amp;" gün kaldı","")))))</f>
        <v/>
      </c>
      <c r="W158">
        <f>IF($C158="","",IF($O158="Tamamlandı",N($L158),MAX(N($L158),IF(AND($J158&lt;&gt;"",$J158&lt;Hesap!$B$3),Hesap!$B$3-$J158,0)))+ROW()/1000000)</f>
        <v/>
      </c>
      <c r="X158">
        <f>IF($W158="","",INT($W158))</f>
        <v/>
      </c>
      <c r="Y158">
        <f>IF(OR($C158="",$I158="",$K158="",$K158&lt;=0,$O158="Tamamlandı"),"",IF(Hesap!$B$3&lt;$I158,"",MIN(1,(Hesap!$B$3-$I158+1)/$K158)-N($N158)))</f>
        <v/>
      </c>
    </row>
    <row r="159" ht="18" customHeight="1">
      <c r="A159" s="69">
        <f>IF($C159="","",ROW()-4)</f>
        <v/>
      </c>
      <c r="B159" s="70" t="n"/>
      <c r="C159" s="70" t="n"/>
      <c r="D159" s="71" t="n"/>
      <c r="E159" s="71" t="n"/>
      <c r="F159" s="71" t="n"/>
      <c r="G159" s="71" t="n"/>
      <c r="H159" s="71" t="n"/>
      <c r="I159" s="72" t="n"/>
      <c r="J159" s="72" t="n"/>
      <c r="K159" s="73">
        <f>IF(OR($I159="",$J159=""),"",$J159-$I159+1)</f>
        <v/>
      </c>
      <c r="L159" s="56" t="n"/>
      <c r="M159" s="74">
        <f>IF($J159="","",$J159+N($L159))</f>
        <v/>
      </c>
      <c r="N159" s="75" t="n"/>
      <c r="O159" s="69">
        <f>IF($C159="","",IF(N($N159)&gt;=1,"Tamamlandı",IF(AND($J159&lt;&gt;"",$M159&lt;Hesap!$B$3),"Gecikmiş",IF(OR(N($N159)&gt;0,AND($I159&lt;&gt;"",$I159&lt;=Hesap!$B$3)),"Devam Ediyor","Planlanan"))))</f>
        <v/>
      </c>
      <c r="P159" s="70" t="n"/>
      <c r="Q159" s="70" t="n"/>
      <c r="R159" s="72" t="n"/>
      <c r="S159" s="73">
        <f>IF(OR($J159="",$R159=""),"",$R159-$J159)</f>
        <v/>
      </c>
      <c r="T159" s="76">
        <f>IF($C159="","",IF($J159="","",IF($R159&lt;&gt;"",IF($S159&gt;7,"⚠ "&amp;TEXT($S159,"0")&amp;" günde yapıldı (geç)","✔ "&amp;TEXT($S159,"0")&amp;" günde yapıldı"),IF($J159&gt;Hesap!$B$3,"",IF($J159+7&lt;Hesap!$B$3,"⚠ Mutabakat "&amp;TEXT(Hesap!$B$3-($J159+7),"0")&amp;" gün gecikti","● Mutabakat için "&amp;TEXT($J159+7-Hesap!$B$3,"0")&amp;" gün")))))</f>
        <v/>
      </c>
      <c r="U159" s="76">
        <f>IF($Y159="","",IF($Y159&gt;0.3,"⚠ Gecikebilir (%"&amp;TEXT($Y159*100,"0")&amp;" geride)",""))</f>
        <v/>
      </c>
      <c r="V159" s="76">
        <f>IF($C159="","",IF($O159="Tamamlandı","",IF($M159="","",IF($M159&lt;Hesap!$B$3,"⚠ "&amp;TEXT(Hesap!$B$3-$M159,"0")&amp;" gün gecikme",IF($M159-Hesap!$B$3&lt;=14,"● "&amp;TEXT($M159-Hesap!$B$3,"0")&amp;" gün kaldı","")))))</f>
        <v/>
      </c>
      <c r="W159">
        <f>IF($C159="","",IF($O159="Tamamlandı",N($L159),MAX(N($L159),IF(AND($J159&lt;&gt;"",$J159&lt;Hesap!$B$3),Hesap!$B$3-$J159,0)))+ROW()/1000000)</f>
        <v/>
      </c>
      <c r="X159">
        <f>IF($W159="","",INT($W159))</f>
        <v/>
      </c>
      <c r="Y159">
        <f>IF(OR($C159="",$I159="",$K159="",$K159&lt;=0,$O159="Tamamlandı"),"",IF(Hesap!$B$3&lt;$I159,"",MIN(1,(Hesap!$B$3-$I159+1)/$K159)-N($N159)))</f>
        <v/>
      </c>
    </row>
    <row r="160" ht="18" customHeight="1">
      <c r="A160" s="69">
        <f>IF($C160="","",ROW()-4)</f>
        <v/>
      </c>
      <c r="B160" s="70" t="n"/>
      <c r="C160" s="70" t="n"/>
      <c r="D160" s="71" t="n"/>
      <c r="E160" s="71" t="n"/>
      <c r="F160" s="71" t="n"/>
      <c r="G160" s="71" t="n"/>
      <c r="H160" s="71" t="n"/>
      <c r="I160" s="72" t="n"/>
      <c r="J160" s="72" t="n"/>
      <c r="K160" s="73">
        <f>IF(OR($I160="",$J160=""),"",$J160-$I160+1)</f>
        <v/>
      </c>
      <c r="L160" s="56" t="n"/>
      <c r="M160" s="74">
        <f>IF($J160="","",$J160+N($L160))</f>
        <v/>
      </c>
      <c r="N160" s="75" t="n"/>
      <c r="O160" s="69">
        <f>IF($C160="","",IF(N($N160)&gt;=1,"Tamamlandı",IF(AND($J160&lt;&gt;"",$M160&lt;Hesap!$B$3),"Gecikmiş",IF(OR(N($N160)&gt;0,AND($I160&lt;&gt;"",$I160&lt;=Hesap!$B$3)),"Devam Ediyor","Planlanan"))))</f>
        <v/>
      </c>
      <c r="P160" s="70" t="n"/>
      <c r="Q160" s="70" t="n"/>
      <c r="R160" s="72" t="n"/>
      <c r="S160" s="73">
        <f>IF(OR($J160="",$R160=""),"",$R160-$J160)</f>
        <v/>
      </c>
      <c r="T160" s="76">
        <f>IF($C160="","",IF($J160="","",IF($R160&lt;&gt;"",IF($S160&gt;7,"⚠ "&amp;TEXT($S160,"0")&amp;" günde yapıldı (geç)","✔ "&amp;TEXT($S160,"0")&amp;" günde yapıldı"),IF($J160&gt;Hesap!$B$3,"",IF($J160+7&lt;Hesap!$B$3,"⚠ Mutabakat "&amp;TEXT(Hesap!$B$3-($J160+7),"0")&amp;" gün gecikti","● Mutabakat için "&amp;TEXT($J160+7-Hesap!$B$3,"0")&amp;" gün")))))</f>
        <v/>
      </c>
      <c r="U160" s="76">
        <f>IF($Y160="","",IF($Y160&gt;0.3,"⚠ Gecikebilir (%"&amp;TEXT($Y160*100,"0")&amp;" geride)",""))</f>
        <v/>
      </c>
      <c r="V160" s="76">
        <f>IF($C160="","",IF($O160="Tamamlandı","",IF($M160="","",IF($M160&lt;Hesap!$B$3,"⚠ "&amp;TEXT(Hesap!$B$3-$M160,"0")&amp;" gün gecikme",IF($M160-Hesap!$B$3&lt;=14,"● "&amp;TEXT($M160-Hesap!$B$3,"0")&amp;" gün kaldı","")))))</f>
        <v/>
      </c>
      <c r="W160">
        <f>IF($C160="","",IF($O160="Tamamlandı",N($L160),MAX(N($L160),IF(AND($J160&lt;&gt;"",$J160&lt;Hesap!$B$3),Hesap!$B$3-$J160,0)))+ROW()/1000000)</f>
        <v/>
      </c>
      <c r="X160">
        <f>IF($W160="","",INT($W160))</f>
        <v/>
      </c>
      <c r="Y160">
        <f>IF(OR($C160="",$I160="",$K160="",$K160&lt;=0,$O160="Tamamlandı"),"",IF(Hesap!$B$3&lt;$I160,"",MIN(1,(Hesap!$B$3-$I160+1)/$K160)-N($N160)))</f>
        <v/>
      </c>
    </row>
    <row r="161" ht="18" customHeight="1">
      <c r="A161" s="69">
        <f>IF($C161="","",ROW()-4)</f>
        <v/>
      </c>
      <c r="B161" s="70" t="n"/>
      <c r="C161" s="70" t="n"/>
      <c r="D161" s="71" t="n"/>
      <c r="E161" s="71" t="n"/>
      <c r="F161" s="71" t="n"/>
      <c r="G161" s="71" t="n"/>
      <c r="H161" s="71" t="n"/>
      <c r="I161" s="72" t="n"/>
      <c r="J161" s="72" t="n"/>
      <c r="K161" s="73">
        <f>IF(OR($I161="",$J161=""),"",$J161-$I161+1)</f>
        <v/>
      </c>
      <c r="L161" s="56" t="n"/>
      <c r="M161" s="74">
        <f>IF($J161="","",$J161+N($L161))</f>
        <v/>
      </c>
      <c r="N161" s="75" t="n"/>
      <c r="O161" s="69">
        <f>IF($C161="","",IF(N($N161)&gt;=1,"Tamamlandı",IF(AND($J161&lt;&gt;"",$M161&lt;Hesap!$B$3),"Gecikmiş",IF(OR(N($N161)&gt;0,AND($I161&lt;&gt;"",$I161&lt;=Hesap!$B$3)),"Devam Ediyor","Planlanan"))))</f>
        <v/>
      </c>
      <c r="P161" s="70" t="n"/>
      <c r="Q161" s="70" t="n"/>
      <c r="R161" s="72" t="n"/>
      <c r="S161" s="73">
        <f>IF(OR($J161="",$R161=""),"",$R161-$J161)</f>
        <v/>
      </c>
      <c r="T161" s="76">
        <f>IF($C161="","",IF($J161="","",IF($R161&lt;&gt;"",IF($S161&gt;7,"⚠ "&amp;TEXT($S161,"0")&amp;" günde yapıldı (geç)","✔ "&amp;TEXT($S161,"0")&amp;" günde yapıldı"),IF($J161&gt;Hesap!$B$3,"",IF($J161+7&lt;Hesap!$B$3,"⚠ Mutabakat "&amp;TEXT(Hesap!$B$3-($J161+7),"0")&amp;" gün gecikti","● Mutabakat için "&amp;TEXT($J161+7-Hesap!$B$3,"0")&amp;" gün")))))</f>
        <v/>
      </c>
      <c r="U161" s="76">
        <f>IF($Y161="","",IF($Y161&gt;0.3,"⚠ Gecikebilir (%"&amp;TEXT($Y161*100,"0")&amp;" geride)",""))</f>
        <v/>
      </c>
      <c r="V161" s="76">
        <f>IF($C161="","",IF($O161="Tamamlandı","",IF($M161="","",IF($M161&lt;Hesap!$B$3,"⚠ "&amp;TEXT(Hesap!$B$3-$M161,"0")&amp;" gün gecikme",IF($M161-Hesap!$B$3&lt;=14,"● "&amp;TEXT($M161-Hesap!$B$3,"0")&amp;" gün kaldı","")))))</f>
        <v/>
      </c>
      <c r="W161">
        <f>IF($C161="","",IF($O161="Tamamlandı",N($L161),MAX(N($L161),IF(AND($J161&lt;&gt;"",$J161&lt;Hesap!$B$3),Hesap!$B$3-$J161,0)))+ROW()/1000000)</f>
        <v/>
      </c>
      <c r="X161">
        <f>IF($W161="","",INT($W161))</f>
        <v/>
      </c>
      <c r="Y161">
        <f>IF(OR($C161="",$I161="",$K161="",$K161&lt;=0,$O161="Tamamlandı"),"",IF(Hesap!$B$3&lt;$I161,"",MIN(1,(Hesap!$B$3-$I161+1)/$K161)-N($N161)))</f>
        <v/>
      </c>
    </row>
    <row r="162" ht="18" customHeight="1">
      <c r="A162" s="69">
        <f>IF($C162="","",ROW()-4)</f>
        <v/>
      </c>
      <c r="B162" s="70" t="n"/>
      <c r="C162" s="70" t="n"/>
      <c r="D162" s="71" t="n"/>
      <c r="E162" s="71" t="n"/>
      <c r="F162" s="71" t="n"/>
      <c r="G162" s="71" t="n"/>
      <c r="H162" s="71" t="n"/>
      <c r="I162" s="72" t="n"/>
      <c r="J162" s="72" t="n"/>
      <c r="K162" s="73">
        <f>IF(OR($I162="",$J162=""),"",$J162-$I162+1)</f>
        <v/>
      </c>
      <c r="L162" s="56" t="n"/>
      <c r="M162" s="74">
        <f>IF($J162="","",$J162+N($L162))</f>
        <v/>
      </c>
      <c r="N162" s="75" t="n"/>
      <c r="O162" s="69">
        <f>IF($C162="","",IF(N($N162)&gt;=1,"Tamamlandı",IF(AND($J162&lt;&gt;"",$M162&lt;Hesap!$B$3),"Gecikmiş",IF(OR(N($N162)&gt;0,AND($I162&lt;&gt;"",$I162&lt;=Hesap!$B$3)),"Devam Ediyor","Planlanan"))))</f>
        <v/>
      </c>
      <c r="P162" s="70" t="n"/>
      <c r="Q162" s="70" t="n"/>
      <c r="R162" s="72" t="n"/>
      <c r="S162" s="73">
        <f>IF(OR($J162="",$R162=""),"",$R162-$J162)</f>
        <v/>
      </c>
      <c r="T162" s="76">
        <f>IF($C162="","",IF($J162="","",IF($R162&lt;&gt;"",IF($S162&gt;7,"⚠ "&amp;TEXT($S162,"0")&amp;" günde yapıldı (geç)","✔ "&amp;TEXT($S162,"0")&amp;" günde yapıldı"),IF($J162&gt;Hesap!$B$3,"",IF($J162+7&lt;Hesap!$B$3,"⚠ Mutabakat "&amp;TEXT(Hesap!$B$3-($J162+7),"0")&amp;" gün gecikti","● Mutabakat için "&amp;TEXT($J162+7-Hesap!$B$3,"0")&amp;" gün")))))</f>
        <v/>
      </c>
      <c r="U162" s="76">
        <f>IF($Y162="","",IF($Y162&gt;0.3,"⚠ Gecikebilir (%"&amp;TEXT($Y162*100,"0")&amp;" geride)",""))</f>
        <v/>
      </c>
      <c r="V162" s="76">
        <f>IF($C162="","",IF($O162="Tamamlandı","",IF($M162="","",IF($M162&lt;Hesap!$B$3,"⚠ "&amp;TEXT(Hesap!$B$3-$M162,"0")&amp;" gün gecikme",IF($M162-Hesap!$B$3&lt;=14,"● "&amp;TEXT($M162-Hesap!$B$3,"0")&amp;" gün kaldı","")))))</f>
        <v/>
      </c>
      <c r="W162">
        <f>IF($C162="","",IF($O162="Tamamlandı",N($L162),MAX(N($L162),IF(AND($J162&lt;&gt;"",$J162&lt;Hesap!$B$3),Hesap!$B$3-$J162,0)))+ROW()/1000000)</f>
        <v/>
      </c>
      <c r="X162">
        <f>IF($W162="","",INT($W162))</f>
        <v/>
      </c>
      <c r="Y162">
        <f>IF(OR($C162="",$I162="",$K162="",$K162&lt;=0,$O162="Tamamlandı"),"",IF(Hesap!$B$3&lt;$I162,"",MIN(1,(Hesap!$B$3-$I162+1)/$K162)-N($N162)))</f>
        <v/>
      </c>
    </row>
    <row r="163" ht="18" customHeight="1">
      <c r="A163" s="69">
        <f>IF($C163="","",ROW()-4)</f>
        <v/>
      </c>
      <c r="B163" s="70" t="n"/>
      <c r="C163" s="70" t="n"/>
      <c r="D163" s="71" t="n"/>
      <c r="E163" s="71" t="n"/>
      <c r="F163" s="71" t="n"/>
      <c r="G163" s="71" t="n"/>
      <c r="H163" s="71" t="n"/>
      <c r="I163" s="72" t="n"/>
      <c r="J163" s="72" t="n"/>
      <c r="K163" s="73">
        <f>IF(OR($I163="",$J163=""),"",$J163-$I163+1)</f>
        <v/>
      </c>
      <c r="L163" s="56" t="n"/>
      <c r="M163" s="74">
        <f>IF($J163="","",$J163+N($L163))</f>
        <v/>
      </c>
      <c r="N163" s="75" t="n"/>
      <c r="O163" s="69">
        <f>IF($C163="","",IF(N($N163)&gt;=1,"Tamamlandı",IF(AND($J163&lt;&gt;"",$M163&lt;Hesap!$B$3),"Gecikmiş",IF(OR(N($N163)&gt;0,AND($I163&lt;&gt;"",$I163&lt;=Hesap!$B$3)),"Devam Ediyor","Planlanan"))))</f>
        <v/>
      </c>
      <c r="P163" s="70" t="n"/>
      <c r="Q163" s="70" t="n"/>
      <c r="R163" s="72" t="n"/>
      <c r="S163" s="73">
        <f>IF(OR($J163="",$R163=""),"",$R163-$J163)</f>
        <v/>
      </c>
      <c r="T163" s="76">
        <f>IF($C163="","",IF($J163="","",IF($R163&lt;&gt;"",IF($S163&gt;7,"⚠ "&amp;TEXT($S163,"0")&amp;" günde yapıldı (geç)","✔ "&amp;TEXT($S163,"0")&amp;" günde yapıldı"),IF($J163&gt;Hesap!$B$3,"",IF($J163+7&lt;Hesap!$B$3,"⚠ Mutabakat "&amp;TEXT(Hesap!$B$3-($J163+7),"0")&amp;" gün gecikti","● Mutabakat için "&amp;TEXT($J163+7-Hesap!$B$3,"0")&amp;" gün")))))</f>
        <v/>
      </c>
      <c r="U163" s="76">
        <f>IF($Y163="","",IF($Y163&gt;0.3,"⚠ Gecikebilir (%"&amp;TEXT($Y163*100,"0")&amp;" geride)",""))</f>
        <v/>
      </c>
      <c r="V163" s="76">
        <f>IF($C163="","",IF($O163="Tamamlandı","",IF($M163="","",IF($M163&lt;Hesap!$B$3,"⚠ "&amp;TEXT(Hesap!$B$3-$M163,"0")&amp;" gün gecikme",IF($M163-Hesap!$B$3&lt;=14,"● "&amp;TEXT($M163-Hesap!$B$3,"0")&amp;" gün kaldı","")))))</f>
        <v/>
      </c>
      <c r="W163">
        <f>IF($C163="","",IF($O163="Tamamlandı",N($L163),MAX(N($L163),IF(AND($J163&lt;&gt;"",$J163&lt;Hesap!$B$3),Hesap!$B$3-$J163,0)))+ROW()/1000000)</f>
        <v/>
      </c>
      <c r="X163">
        <f>IF($W163="","",INT($W163))</f>
        <v/>
      </c>
      <c r="Y163">
        <f>IF(OR($C163="",$I163="",$K163="",$K163&lt;=0,$O163="Tamamlandı"),"",IF(Hesap!$B$3&lt;$I163,"",MIN(1,(Hesap!$B$3-$I163+1)/$K163)-N($N163)))</f>
        <v/>
      </c>
    </row>
    <row r="164" ht="18" customHeight="1">
      <c r="A164" s="69">
        <f>IF($C164="","",ROW()-4)</f>
        <v/>
      </c>
      <c r="B164" s="70" t="n"/>
      <c r="C164" s="70" t="n"/>
      <c r="D164" s="71" t="n"/>
      <c r="E164" s="71" t="n"/>
      <c r="F164" s="71" t="n"/>
      <c r="G164" s="71" t="n"/>
      <c r="H164" s="71" t="n"/>
      <c r="I164" s="72" t="n"/>
      <c r="J164" s="72" t="n"/>
      <c r="K164" s="73">
        <f>IF(OR($I164="",$J164=""),"",$J164-$I164+1)</f>
        <v/>
      </c>
      <c r="L164" s="56" t="n"/>
      <c r="M164" s="74">
        <f>IF($J164="","",$J164+N($L164))</f>
        <v/>
      </c>
      <c r="N164" s="75" t="n"/>
      <c r="O164" s="69">
        <f>IF($C164="","",IF(N($N164)&gt;=1,"Tamamlandı",IF(AND($J164&lt;&gt;"",$M164&lt;Hesap!$B$3),"Gecikmiş",IF(OR(N($N164)&gt;0,AND($I164&lt;&gt;"",$I164&lt;=Hesap!$B$3)),"Devam Ediyor","Planlanan"))))</f>
        <v/>
      </c>
      <c r="P164" s="70" t="n"/>
      <c r="Q164" s="70" t="n"/>
      <c r="R164" s="72" t="n"/>
      <c r="S164" s="73">
        <f>IF(OR($J164="",$R164=""),"",$R164-$J164)</f>
        <v/>
      </c>
      <c r="T164" s="76">
        <f>IF($C164="","",IF($J164="","",IF($R164&lt;&gt;"",IF($S164&gt;7,"⚠ "&amp;TEXT($S164,"0")&amp;" günde yapıldı (geç)","✔ "&amp;TEXT($S164,"0")&amp;" günde yapıldı"),IF($J164&gt;Hesap!$B$3,"",IF($J164+7&lt;Hesap!$B$3,"⚠ Mutabakat "&amp;TEXT(Hesap!$B$3-($J164+7),"0")&amp;" gün gecikti","● Mutabakat için "&amp;TEXT($J164+7-Hesap!$B$3,"0")&amp;" gün")))))</f>
        <v/>
      </c>
      <c r="U164" s="76">
        <f>IF($Y164="","",IF($Y164&gt;0.3,"⚠ Gecikebilir (%"&amp;TEXT($Y164*100,"0")&amp;" geride)",""))</f>
        <v/>
      </c>
      <c r="V164" s="76">
        <f>IF($C164="","",IF($O164="Tamamlandı","",IF($M164="","",IF($M164&lt;Hesap!$B$3,"⚠ "&amp;TEXT(Hesap!$B$3-$M164,"0")&amp;" gün gecikme",IF($M164-Hesap!$B$3&lt;=14,"● "&amp;TEXT($M164-Hesap!$B$3,"0")&amp;" gün kaldı","")))))</f>
        <v/>
      </c>
      <c r="W164">
        <f>IF($C164="","",IF($O164="Tamamlandı",N($L164),MAX(N($L164),IF(AND($J164&lt;&gt;"",$J164&lt;Hesap!$B$3),Hesap!$B$3-$J164,0)))+ROW()/1000000)</f>
        <v/>
      </c>
      <c r="X164">
        <f>IF($W164="","",INT($W164))</f>
        <v/>
      </c>
      <c r="Y164">
        <f>IF(OR($C164="",$I164="",$K164="",$K164&lt;=0,$O164="Tamamlandı"),"",IF(Hesap!$B$3&lt;$I164,"",MIN(1,(Hesap!$B$3-$I164+1)/$K164)-N($N164)))</f>
        <v/>
      </c>
    </row>
    <row r="165" ht="18" customHeight="1">
      <c r="A165" s="69">
        <f>IF($C165="","",ROW()-4)</f>
        <v/>
      </c>
      <c r="B165" s="70" t="n"/>
      <c r="C165" s="70" t="n"/>
      <c r="D165" s="71" t="n"/>
      <c r="E165" s="71" t="n"/>
      <c r="F165" s="71" t="n"/>
      <c r="G165" s="71" t="n"/>
      <c r="H165" s="71" t="n"/>
      <c r="I165" s="72" t="n"/>
      <c r="J165" s="72" t="n"/>
      <c r="K165" s="73">
        <f>IF(OR($I165="",$J165=""),"",$J165-$I165+1)</f>
        <v/>
      </c>
      <c r="L165" s="56" t="n"/>
      <c r="M165" s="74">
        <f>IF($J165="","",$J165+N($L165))</f>
        <v/>
      </c>
      <c r="N165" s="75" t="n"/>
      <c r="O165" s="69">
        <f>IF($C165="","",IF(N($N165)&gt;=1,"Tamamlandı",IF(AND($J165&lt;&gt;"",$M165&lt;Hesap!$B$3),"Gecikmiş",IF(OR(N($N165)&gt;0,AND($I165&lt;&gt;"",$I165&lt;=Hesap!$B$3)),"Devam Ediyor","Planlanan"))))</f>
        <v/>
      </c>
      <c r="P165" s="70" t="n"/>
      <c r="Q165" s="70" t="n"/>
      <c r="R165" s="72" t="n"/>
      <c r="S165" s="73">
        <f>IF(OR($J165="",$R165=""),"",$R165-$J165)</f>
        <v/>
      </c>
      <c r="T165" s="76">
        <f>IF($C165="","",IF($J165="","",IF($R165&lt;&gt;"",IF($S165&gt;7,"⚠ "&amp;TEXT($S165,"0")&amp;" günde yapıldı (geç)","✔ "&amp;TEXT($S165,"0")&amp;" günde yapıldı"),IF($J165&gt;Hesap!$B$3,"",IF($J165+7&lt;Hesap!$B$3,"⚠ Mutabakat "&amp;TEXT(Hesap!$B$3-($J165+7),"0")&amp;" gün gecikti","● Mutabakat için "&amp;TEXT($J165+7-Hesap!$B$3,"0")&amp;" gün")))))</f>
        <v/>
      </c>
      <c r="U165" s="76">
        <f>IF($Y165="","",IF($Y165&gt;0.3,"⚠ Gecikebilir (%"&amp;TEXT($Y165*100,"0")&amp;" geride)",""))</f>
        <v/>
      </c>
      <c r="V165" s="76">
        <f>IF($C165="","",IF($O165="Tamamlandı","",IF($M165="","",IF($M165&lt;Hesap!$B$3,"⚠ "&amp;TEXT(Hesap!$B$3-$M165,"0")&amp;" gün gecikme",IF($M165-Hesap!$B$3&lt;=14,"● "&amp;TEXT($M165-Hesap!$B$3,"0")&amp;" gün kaldı","")))))</f>
        <v/>
      </c>
      <c r="W165">
        <f>IF($C165="","",IF($O165="Tamamlandı",N($L165),MAX(N($L165),IF(AND($J165&lt;&gt;"",$J165&lt;Hesap!$B$3),Hesap!$B$3-$J165,0)))+ROW()/1000000)</f>
        <v/>
      </c>
      <c r="X165">
        <f>IF($W165="","",INT($W165))</f>
        <v/>
      </c>
      <c r="Y165">
        <f>IF(OR($C165="",$I165="",$K165="",$K165&lt;=0,$O165="Tamamlandı"),"",IF(Hesap!$B$3&lt;$I165,"",MIN(1,(Hesap!$B$3-$I165+1)/$K165)-N($N165)))</f>
        <v/>
      </c>
    </row>
    <row r="166" ht="18" customHeight="1">
      <c r="A166" s="69">
        <f>IF($C166="","",ROW()-4)</f>
        <v/>
      </c>
      <c r="B166" s="70" t="n"/>
      <c r="C166" s="70" t="n"/>
      <c r="D166" s="71" t="n"/>
      <c r="E166" s="71" t="n"/>
      <c r="F166" s="71" t="n"/>
      <c r="G166" s="71" t="n"/>
      <c r="H166" s="71" t="n"/>
      <c r="I166" s="72" t="n"/>
      <c r="J166" s="72" t="n"/>
      <c r="K166" s="73">
        <f>IF(OR($I166="",$J166=""),"",$J166-$I166+1)</f>
        <v/>
      </c>
      <c r="L166" s="56" t="n"/>
      <c r="M166" s="74">
        <f>IF($J166="","",$J166+N($L166))</f>
        <v/>
      </c>
      <c r="N166" s="75" t="n"/>
      <c r="O166" s="69">
        <f>IF($C166="","",IF(N($N166)&gt;=1,"Tamamlandı",IF(AND($J166&lt;&gt;"",$M166&lt;Hesap!$B$3),"Gecikmiş",IF(OR(N($N166)&gt;0,AND($I166&lt;&gt;"",$I166&lt;=Hesap!$B$3)),"Devam Ediyor","Planlanan"))))</f>
        <v/>
      </c>
      <c r="P166" s="70" t="n"/>
      <c r="Q166" s="70" t="n"/>
      <c r="R166" s="72" t="n"/>
      <c r="S166" s="73">
        <f>IF(OR($J166="",$R166=""),"",$R166-$J166)</f>
        <v/>
      </c>
      <c r="T166" s="76">
        <f>IF($C166="","",IF($J166="","",IF($R166&lt;&gt;"",IF($S166&gt;7,"⚠ "&amp;TEXT($S166,"0")&amp;" günde yapıldı (geç)","✔ "&amp;TEXT($S166,"0")&amp;" günde yapıldı"),IF($J166&gt;Hesap!$B$3,"",IF($J166+7&lt;Hesap!$B$3,"⚠ Mutabakat "&amp;TEXT(Hesap!$B$3-($J166+7),"0")&amp;" gün gecikti","● Mutabakat için "&amp;TEXT($J166+7-Hesap!$B$3,"0")&amp;" gün")))))</f>
        <v/>
      </c>
      <c r="U166" s="76">
        <f>IF($Y166="","",IF($Y166&gt;0.3,"⚠ Gecikebilir (%"&amp;TEXT($Y166*100,"0")&amp;" geride)",""))</f>
        <v/>
      </c>
      <c r="V166" s="76">
        <f>IF($C166="","",IF($O166="Tamamlandı","",IF($M166="","",IF($M166&lt;Hesap!$B$3,"⚠ "&amp;TEXT(Hesap!$B$3-$M166,"0")&amp;" gün gecikme",IF($M166-Hesap!$B$3&lt;=14,"● "&amp;TEXT($M166-Hesap!$B$3,"0")&amp;" gün kaldı","")))))</f>
        <v/>
      </c>
      <c r="W166">
        <f>IF($C166="","",IF($O166="Tamamlandı",N($L166),MAX(N($L166),IF(AND($J166&lt;&gt;"",$J166&lt;Hesap!$B$3),Hesap!$B$3-$J166,0)))+ROW()/1000000)</f>
        <v/>
      </c>
      <c r="X166">
        <f>IF($W166="","",INT($W166))</f>
        <v/>
      </c>
      <c r="Y166">
        <f>IF(OR($C166="",$I166="",$K166="",$K166&lt;=0,$O166="Tamamlandı"),"",IF(Hesap!$B$3&lt;$I166,"",MIN(1,(Hesap!$B$3-$I166+1)/$K166)-N($N166)))</f>
        <v/>
      </c>
    </row>
    <row r="167" ht="18" customHeight="1">
      <c r="A167" s="69">
        <f>IF($C167="","",ROW()-4)</f>
        <v/>
      </c>
      <c r="B167" s="70" t="n"/>
      <c r="C167" s="70" t="n"/>
      <c r="D167" s="71" t="n"/>
      <c r="E167" s="71" t="n"/>
      <c r="F167" s="71" t="n"/>
      <c r="G167" s="71" t="n"/>
      <c r="H167" s="71" t="n"/>
      <c r="I167" s="72" t="n"/>
      <c r="J167" s="72" t="n"/>
      <c r="K167" s="73">
        <f>IF(OR($I167="",$J167=""),"",$J167-$I167+1)</f>
        <v/>
      </c>
      <c r="L167" s="56" t="n"/>
      <c r="M167" s="74">
        <f>IF($J167="","",$J167+N($L167))</f>
        <v/>
      </c>
      <c r="N167" s="75" t="n"/>
      <c r="O167" s="69">
        <f>IF($C167="","",IF(N($N167)&gt;=1,"Tamamlandı",IF(AND($J167&lt;&gt;"",$M167&lt;Hesap!$B$3),"Gecikmiş",IF(OR(N($N167)&gt;0,AND($I167&lt;&gt;"",$I167&lt;=Hesap!$B$3)),"Devam Ediyor","Planlanan"))))</f>
        <v/>
      </c>
      <c r="P167" s="70" t="n"/>
      <c r="Q167" s="70" t="n"/>
      <c r="R167" s="72" t="n"/>
      <c r="S167" s="73">
        <f>IF(OR($J167="",$R167=""),"",$R167-$J167)</f>
        <v/>
      </c>
      <c r="T167" s="76">
        <f>IF($C167="","",IF($J167="","",IF($R167&lt;&gt;"",IF($S167&gt;7,"⚠ "&amp;TEXT($S167,"0")&amp;" günde yapıldı (geç)","✔ "&amp;TEXT($S167,"0")&amp;" günde yapıldı"),IF($J167&gt;Hesap!$B$3,"",IF($J167+7&lt;Hesap!$B$3,"⚠ Mutabakat "&amp;TEXT(Hesap!$B$3-($J167+7),"0")&amp;" gün gecikti","● Mutabakat için "&amp;TEXT($J167+7-Hesap!$B$3,"0")&amp;" gün")))))</f>
        <v/>
      </c>
      <c r="U167" s="76">
        <f>IF($Y167="","",IF($Y167&gt;0.3,"⚠ Gecikebilir (%"&amp;TEXT($Y167*100,"0")&amp;" geride)",""))</f>
        <v/>
      </c>
      <c r="V167" s="76">
        <f>IF($C167="","",IF($O167="Tamamlandı","",IF($M167="","",IF($M167&lt;Hesap!$B$3,"⚠ "&amp;TEXT(Hesap!$B$3-$M167,"0")&amp;" gün gecikme",IF($M167-Hesap!$B$3&lt;=14,"● "&amp;TEXT($M167-Hesap!$B$3,"0")&amp;" gün kaldı","")))))</f>
        <v/>
      </c>
      <c r="W167">
        <f>IF($C167="","",IF($O167="Tamamlandı",N($L167),MAX(N($L167),IF(AND($J167&lt;&gt;"",$J167&lt;Hesap!$B$3),Hesap!$B$3-$J167,0)))+ROW()/1000000)</f>
        <v/>
      </c>
      <c r="X167">
        <f>IF($W167="","",INT($W167))</f>
        <v/>
      </c>
      <c r="Y167">
        <f>IF(OR($C167="",$I167="",$K167="",$K167&lt;=0,$O167="Tamamlandı"),"",IF(Hesap!$B$3&lt;$I167,"",MIN(1,(Hesap!$B$3-$I167+1)/$K167)-N($N167)))</f>
        <v/>
      </c>
    </row>
    <row r="168" ht="18" customHeight="1">
      <c r="A168" s="69">
        <f>IF($C168="","",ROW()-4)</f>
        <v/>
      </c>
      <c r="B168" s="70" t="n"/>
      <c r="C168" s="70" t="n"/>
      <c r="D168" s="71" t="n"/>
      <c r="E168" s="71" t="n"/>
      <c r="F168" s="71" t="n"/>
      <c r="G168" s="71" t="n"/>
      <c r="H168" s="71" t="n"/>
      <c r="I168" s="72" t="n"/>
      <c r="J168" s="72" t="n"/>
      <c r="K168" s="73">
        <f>IF(OR($I168="",$J168=""),"",$J168-$I168+1)</f>
        <v/>
      </c>
      <c r="L168" s="56" t="n"/>
      <c r="M168" s="74">
        <f>IF($J168="","",$J168+N($L168))</f>
        <v/>
      </c>
      <c r="N168" s="75" t="n"/>
      <c r="O168" s="69">
        <f>IF($C168="","",IF(N($N168)&gt;=1,"Tamamlandı",IF(AND($J168&lt;&gt;"",$M168&lt;Hesap!$B$3),"Gecikmiş",IF(OR(N($N168)&gt;0,AND($I168&lt;&gt;"",$I168&lt;=Hesap!$B$3)),"Devam Ediyor","Planlanan"))))</f>
        <v/>
      </c>
      <c r="P168" s="70" t="n"/>
      <c r="Q168" s="70" t="n"/>
      <c r="R168" s="72" t="n"/>
      <c r="S168" s="73">
        <f>IF(OR($J168="",$R168=""),"",$R168-$J168)</f>
        <v/>
      </c>
      <c r="T168" s="76">
        <f>IF($C168="","",IF($J168="","",IF($R168&lt;&gt;"",IF($S168&gt;7,"⚠ "&amp;TEXT($S168,"0")&amp;" günde yapıldı (geç)","✔ "&amp;TEXT($S168,"0")&amp;" günde yapıldı"),IF($J168&gt;Hesap!$B$3,"",IF($J168+7&lt;Hesap!$B$3,"⚠ Mutabakat "&amp;TEXT(Hesap!$B$3-($J168+7),"0")&amp;" gün gecikti","● Mutabakat için "&amp;TEXT($J168+7-Hesap!$B$3,"0")&amp;" gün")))))</f>
        <v/>
      </c>
      <c r="U168" s="76">
        <f>IF($Y168="","",IF($Y168&gt;0.3,"⚠ Gecikebilir (%"&amp;TEXT($Y168*100,"0")&amp;" geride)",""))</f>
        <v/>
      </c>
      <c r="V168" s="76">
        <f>IF($C168="","",IF($O168="Tamamlandı","",IF($M168="","",IF($M168&lt;Hesap!$B$3,"⚠ "&amp;TEXT(Hesap!$B$3-$M168,"0")&amp;" gün gecikme",IF($M168-Hesap!$B$3&lt;=14,"● "&amp;TEXT($M168-Hesap!$B$3,"0")&amp;" gün kaldı","")))))</f>
        <v/>
      </c>
      <c r="W168">
        <f>IF($C168="","",IF($O168="Tamamlandı",N($L168),MAX(N($L168),IF(AND($J168&lt;&gt;"",$J168&lt;Hesap!$B$3),Hesap!$B$3-$J168,0)))+ROW()/1000000)</f>
        <v/>
      </c>
      <c r="X168">
        <f>IF($W168="","",INT($W168))</f>
        <v/>
      </c>
      <c r="Y168">
        <f>IF(OR($C168="",$I168="",$K168="",$K168&lt;=0,$O168="Tamamlandı"),"",IF(Hesap!$B$3&lt;$I168,"",MIN(1,(Hesap!$B$3-$I168+1)/$K168)-N($N168)))</f>
        <v/>
      </c>
    </row>
    <row r="169" ht="18" customHeight="1">
      <c r="A169" s="69">
        <f>IF($C169="","",ROW()-4)</f>
        <v/>
      </c>
      <c r="B169" s="70" t="n"/>
      <c r="C169" s="70" t="n"/>
      <c r="D169" s="71" t="n"/>
      <c r="E169" s="71" t="n"/>
      <c r="F169" s="71" t="n"/>
      <c r="G169" s="71" t="n"/>
      <c r="H169" s="71" t="n"/>
      <c r="I169" s="72" t="n"/>
      <c r="J169" s="72" t="n"/>
      <c r="K169" s="73">
        <f>IF(OR($I169="",$J169=""),"",$J169-$I169+1)</f>
        <v/>
      </c>
      <c r="L169" s="56" t="n"/>
      <c r="M169" s="74">
        <f>IF($J169="","",$J169+N($L169))</f>
        <v/>
      </c>
      <c r="N169" s="75" t="n"/>
      <c r="O169" s="69">
        <f>IF($C169="","",IF(N($N169)&gt;=1,"Tamamlandı",IF(AND($J169&lt;&gt;"",$M169&lt;Hesap!$B$3),"Gecikmiş",IF(OR(N($N169)&gt;0,AND($I169&lt;&gt;"",$I169&lt;=Hesap!$B$3)),"Devam Ediyor","Planlanan"))))</f>
        <v/>
      </c>
      <c r="P169" s="70" t="n"/>
      <c r="Q169" s="70" t="n"/>
      <c r="R169" s="72" t="n"/>
      <c r="S169" s="73">
        <f>IF(OR($J169="",$R169=""),"",$R169-$J169)</f>
        <v/>
      </c>
      <c r="T169" s="76">
        <f>IF($C169="","",IF($J169="","",IF($R169&lt;&gt;"",IF($S169&gt;7,"⚠ "&amp;TEXT($S169,"0")&amp;" günde yapıldı (geç)","✔ "&amp;TEXT($S169,"0")&amp;" günde yapıldı"),IF($J169&gt;Hesap!$B$3,"",IF($J169+7&lt;Hesap!$B$3,"⚠ Mutabakat "&amp;TEXT(Hesap!$B$3-($J169+7),"0")&amp;" gün gecikti","● Mutabakat için "&amp;TEXT($J169+7-Hesap!$B$3,"0")&amp;" gün")))))</f>
        <v/>
      </c>
      <c r="U169" s="76">
        <f>IF($Y169="","",IF($Y169&gt;0.3,"⚠ Gecikebilir (%"&amp;TEXT($Y169*100,"0")&amp;" geride)",""))</f>
        <v/>
      </c>
      <c r="V169" s="76">
        <f>IF($C169="","",IF($O169="Tamamlandı","",IF($M169="","",IF($M169&lt;Hesap!$B$3,"⚠ "&amp;TEXT(Hesap!$B$3-$M169,"0")&amp;" gün gecikme",IF($M169-Hesap!$B$3&lt;=14,"● "&amp;TEXT($M169-Hesap!$B$3,"0")&amp;" gün kaldı","")))))</f>
        <v/>
      </c>
      <c r="W169">
        <f>IF($C169="","",IF($O169="Tamamlandı",N($L169),MAX(N($L169),IF(AND($J169&lt;&gt;"",$J169&lt;Hesap!$B$3),Hesap!$B$3-$J169,0)))+ROW()/1000000)</f>
        <v/>
      </c>
      <c r="X169">
        <f>IF($W169="","",INT($W169))</f>
        <v/>
      </c>
      <c r="Y169">
        <f>IF(OR($C169="",$I169="",$K169="",$K169&lt;=0,$O169="Tamamlandı"),"",IF(Hesap!$B$3&lt;$I169,"",MIN(1,(Hesap!$B$3-$I169+1)/$K169)-N($N169)))</f>
        <v/>
      </c>
    </row>
    <row r="170" ht="18" customHeight="1">
      <c r="A170" s="69">
        <f>IF($C170="","",ROW()-4)</f>
        <v/>
      </c>
      <c r="B170" s="70" t="n"/>
      <c r="C170" s="70" t="n"/>
      <c r="D170" s="71" t="n"/>
      <c r="E170" s="71" t="n"/>
      <c r="F170" s="71" t="n"/>
      <c r="G170" s="71" t="n"/>
      <c r="H170" s="71" t="n"/>
      <c r="I170" s="72" t="n"/>
      <c r="J170" s="72" t="n"/>
      <c r="K170" s="73">
        <f>IF(OR($I170="",$J170=""),"",$J170-$I170+1)</f>
        <v/>
      </c>
      <c r="L170" s="56" t="n"/>
      <c r="M170" s="74">
        <f>IF($J170="","",$J170+N($L170))</f>
        <v/>
      </c>
      <c r="N170" s="75" t="n"/>
      <c r="O170" s="69">
        <f>IF($C170="","",IF(N($N170)&gt;=1,"Tamamlandı",IF(AND($J170&lt;&gt;"",$M170&lt;Hesap!$B$3),"Gecikmiş",IF(OR(N($N170)&gt;0,AND($I170&lt;&gt;"",$I170&lt;=Hesap!$B$3)),"Devam Ediyor","Planlanan"))))</f>
        <v/>
      </c>
      <c r="P170" s="70" t="n"/>
      <c r="Q170" s="70" t="n"/>
      <c r="R170" s="72" t="n"/>
      <c r="S170" s="73">
        <f>IF(OR($J170="",$R170=""),"",$R170-$J170)</f>
        <v/>
      </c>
      <c r="T170" s="76">
        <f>IF($C170="","",IF($J170="","",IF($R170&lt;&gt;"",IF($S170&gt;7,"⚠ "&amp;TEXT($S170,"0")&amp;" günde yapıldı (geç)","✔ "&amp;TEXT($S170,"0")&amp;" günde yapıldı"),IF($J170&gt;Hesap!$B$3,"",IF($J170+7&lt;Hesap!$B$3,"⚠ Mutabakat "&amp;TEXT(Hesap!$B$3-($J170+7),"0")&amp;" gün gecikti","● Mutabakat için "&amp;TEXT($J170+7-Hesap!$B$3,"0")&amp;" gün")))))</f>
        <v/>
      </c>
      <c r="U170" s="76">
        <f>IF($Y170="","",IF($Y170&gt;0.3,"⚠ Gecikebilir (%"&amp;TEXT($Y170*100,"0")&amp;" geride)",""))</f>
        <v/>
      </c>
      <c r="V170" s="76">
        <f>IF($C170="","",IF($O170="Tamamlandı","",IF($M170="","",IF($M170&lt;Hesap!$B$3,"⚠ "&amp;TEXT(Hesap!$B$3-$M170,"0")&amp;" gün gecikme",IF($M170-Hesap!$B$3&lt;=14,"● "&amp;TEXT($M170-Hesap!$B$3,"0")&amp;" gün kaldı","")))))</f>
        <v/>
      </c>
      <c r="W170">
        <f>IF($C170="","",IF($O170="Tamamlandı",N($L170),MAX(N($L170),IF(AND($J170&lt;&gt;"",$J170&lt;Hesap!$B$3),Hesap!$B$3-$J170,0)))+ROW()/1000000)</f>
        <v/>
      </c>
      <c r="X170">
        <f>IF($W170="","",INT($W170))</f>
        <v/>
      </c>
      <c r="Y170">
        <f>IF(OR($C170="",$I170="",$K170="",$K170&lt;=0,$O170="Tamamlandı"),"",IF(Hesap!$B$3&lt;$I170,"",MIN(1,(Hesap!$B$3-$I170+1)/$K170)-N($N170)))</f>
        <v/>
      </c>
    </row>
    <row r="171" ht="18" customHeight="1">
      <c r="A171" s="69">
        <f>IF($C171="","",ROW()-4)</f>
        <v/>
      </c>
      <c r="B171" s="70" t="n"/>
      <c r="C171" s="70" t="n"/>
      <c r="D171" s="71" t="n"/>
      <c r="E171" s="71" t="n"/>
      <c r="F171" s="71" t="n"/>
      <c r="G171" s="71" t="n"/>
      <c r="H171" s="71" t="n"/>
      <c r="I171" s="72" t="n"/>
      <c r="J171" s="72" t="n"/>
      <c r="K171" s="73">
        <f>IF(OR($I171="",$J171=""),"",$J171-$I171+1)</f>
        <v/>
      </c>
      <c r="L171" s="56" t="n"/>
      <c r="M171" s="74">
        <f>IF($J171="","",$J171+N($L171))</f>
        <v/>
      </c>
      <c r="N171" s="75" t="n"/>
      <c r="O171" s="69">
        <f>IF($C171="","",IF(N($N171)&gt;=1,"Tamamlandı",IF(AND($J171&lt;&gt;"",$M171&lt;Hesap!$B$3),"Gecikmiş",IF(OR(N($N171)&gt;0,AND($I171&lt;&gt;"",$I171&lt;=Hesap!$B$3)),"Devam Ediyor","Planlanan"))))</f>
        <v/>
      </c>
      <c r="P171" s="70" t="n"/>
      <c r="Q171" s="70" t="n"/>
      <c r="R171" s="72" t="n"/>
      <c r="S171" s="73">
        <f>IF(OR($J171="",$R171=""),"",$R171-$J171)</f>
        <v/>
      </c>
      <c r="T171" s="76">
        <f>IF($C171="","",IF($J171="","",IF($R171&lt;&gt;"",IF($S171&gt;7,"⚠ "&amp;TEXT($S171,"0")&amp;" günde yapıldı (geç)","✔ "&amp;TEXT($S171,"0")&amp;" günde yapıldı"),IF($J171&gt;Hesap!$B$3,"",IF($J171+7&lt;Hesap!$B$3,"⚠ Mutabakat "&amp;TEXT(Hesap!$B$3-($J171+7),"0")&amp;" gün gecikti","● Mutabakat için "&amp;TEXT($J171+7-Hesap!$B$3,"0")&amp;" gün")))))</f>
        <v/>
      </c>
      <c r="U171" s="76">
        <f>IF($Y171="","",IF($Y171&gt;0.3,"⚠ Gecikebilir (%"&amp;TEXT($Y171*100,"0")&amp;" geride)",""))</f>
        <v/>
      </c>
      <c r="V171" s="76">
        <f>IF($C171="","",IF($O171="Tamamlandı","",IF($M171="","",IF($M171&lt;Hesap!$B$3,"⚠ "&amp;TEXT(Hesap!$B$3-$M171,"0")&amp;" gün gecikme",IF($M171-Hesap!$B$3&lt;=14,"● "&amp;TEXT($M171-Hesap!$B$3,"0")&amp;" gün kaldı","")))))</f>
        <v/>
      </c>
      <c r="W171">
        <f>IF($C171="","",IF($O171="Tamamlandı",N($L171),MAX(N($L171),IF(AND($J171&lt;&gt;"",$J171&lt;Hesap!$B$3),Hesap!$B$3-$J171,0)))+ROW()/1000000)</f>
        <v/>
      </c>
      <c r="X171">
        <f>IF($W171="","",INT($W171))</f>
        <v/>
      </c>
      <c r="Y171">
        <f>IF(OR($C171="",$I171="",$K171="",$K171&lt;=0,$O171="Tamamlandı"),"",IF(Hesap!$B$3&lt;$I171,"",MIN(1,(Hesap!$B$3-$I171+1)/$K171)-N($N171)))</f>
        <v/>
      </c>
    </row>
    <row r="172" ht="18" customHeight="1">
      <c r="A172" s="69">
        <f>IF($C172="","",ROW()-4)</f>
        <v/>
      </c>
      <c r="B172" s="70" t="n"/>
      <c r="C172" s="70" t="n"/>
      <c r="D172" s="71" t="n"/>
      <c r="E172" s="71" t="n"/>
      <c r="F172" s="71" t="n"/>
      <c r="G172" s="71" t="n"/>
      <c r="H172" s="71" t="n"/>
      <c r="I172" s="72" t="n"/>
      <c r="J172" s="72" t="n"/>
      <c r="K172" s="73">
        <f>IF(OR($I172="",$J172=""),"",$J172-$I172+1)</f>
        <v/>
      </c>
      <c r="L172" s="56" t="n"/>
      <c r="M172" s="74">
        <f>IF($J172="","",$J172+N($L172))</f>
        <v/>
      </c>
      <c r="N172" s="75" t="n"/>
      <c r="O172" s="69">
        <f>IF($C172="","",IF(N($N172)&gt;=1,"Tamamlandı",IF(AND($J172&lt;&gt;"",$M172&lt;Hesap!$B$3),"Gecikmiş",IF(OR(N($N172)&gt;0,AND($I172&lt;&gt;"",$I172&lt;=Hesap!$B$3)),"Devam Ediyor","Planlanan"))))</f>
        <v/>
      </c>
      <c r="P172" s="70" t="n"/>
      <c r="Q172" s="70" t="n"/>
      <c r="R172" s="72" t="n"/>
      <c r="S172" s="73">
        <f>IF(OR($J172="",$R172=""),"",$R172-$J172)</f>
        <v/>
      </c>
      <c r="T172" s="76">
        <f>IF($C172="","",IF($J172="","",IF($R172&lt;&gt;"",IF($S172&gt;7,"⚠ "&amp;TEXT($S172,"0")&amp;" günde yapıldı (geç)","✔ "&amp;TEXT($S172,"0")&amp;" günde yapıldı"),IF($J172&gt;Hesap!$B$3,"",IF($J172+7&lt;Hesap!$B$3,"⚠ Mutabakat "&amp;TEXT(Hesap!$B$3-($J172+7),"0")&amp;" gün gecikti","● Mutabakat için "&amp;TEXT($J172+7-Hesap!$B$3,"0")&amp;" gün")))))</f>
        <v/>
      </c>
      <c r="U172" s="76">
        <f>IF($Y172="","",IF($Y172&gt;0.3,"⚠ Gecikebilir (%"&amp;TEXT($Y172*100,"0")&amp;" geride)",""))</f>
        <v/>
      </c>
      <c r="V172" s="76">
        <f>IF($C172="","",IF($O172="Tamamlandı","",IF($M172="","",IF($M172&lt;Hesap!$B$3,"⚠ "&amp;TEXT(Hesap!$B$3-$M172,"0")&amp;" gün gecikme",IF($M172-Hesap!$B$3&lt;=14,"● "&amp;TEXT($M172-Hesap!$B$3,"0")&amp;" gün kaldı","")))))</f>
        <v/>
      </c>
      <c r="W172">
        <f>IF($C172="","",IF($O172="Tamamlandı",N($L172),MAX(N($L172),IF(AND($J172&lt;&gt;"",$J172&lt;Hesap!$B$3),Hesap!$B$3-$J172,0)))+ROW()/1000000)</f>
        <v/>
      </c>
      <c r="X172">
        <f>IF($W172="","",INT($W172))</f>
        <v/>
      </c>
      <c r="Y172">
        <f>IF(OR($C172="",$I172="",$K172="",$K172&lt;=0,$O172="Tamamlandı"),"",IF(Hesap!$B$3&lt;$I172,"",MIN(1,(Hesap!$B$3-$I172+1)/$K172)-N($N172)))</f>
        <v/>
      </c>
    </row>
    <row r="173" ht="18" customHeight="1">
      <c r="A173" s="69">
        <f>IF($C173="","",ROW()-4)</f>
        <v/>
      </c>
      <c r="B173" s="70" t="n"/>
      <c r="C173" s="70" t="n"/>
      <c r="D173" s="71" t="n"/>
      <c r="E173" s="71" t="n"/>
      <c r="F173" s="71" t="n"/>
      <c r="G173" s="71" t="n"/>
      <c r="H173" s="71" t="n"/>
      <c r="I173" s="72" t="n"/>
      <c r="J173" s="72" t="n"/>
      <c r="K173" s="73">
        <f>IF(OR($I173="",$J173=""),"",$J173-$I173+1)</f>
        <v/>
      </c>
      <c r="L173" s="56" t="n"/>
      <c r="M173" s="74">
        <f>IF($J173="","",$J173+N($L173))</f>
        <v/>
      </c>
      <c r="N173" s="75" t="n"/>
      <c r="O173" s="69">
        <f>IF($C173="","",IF(N($N173)&gt;=1,"Tamamlandı",IF(AND($J173&lt;&gt;"",$M173&lt;Hesap!$B$3),"Gecikmiş",IF(OR(N($N173)&gt;0,AND($I173&lt;&gt;"",$I173&lt;=Hesap!$B$3)),"Devam Ediyor","Planlanan"))))</f>
        <v/>
      </c>
      <c r="P173" s="70" t="n"/>
      <c r="Q173" s="70" t="n"/>
      <c r="R173" s="72" t="n"/>
      <c r="S173" s="73">
        <f>IF(OR($J173="",$R173=""),"",$R173-$J173)</f>
        <v/>
      </c>
      <c r="T173" s="76">
        <f>IF($C173="","",IF($J173="","",IF($R173&lt;&gt;"",IF($S173&gt;7,"⚠ "&amp;TEXT($S173,"0")&amp;" günde yapıldı (geç)","✔ "&amp;TEXT($S173,"0")&amp;" günde yapıldı"),IF($J173&gt;Hesap!$B$3,"",IF($J173+7&lt;Hesap!$B$3,"⚠ Mutabakat "&amp;TEXT(Hesap!$B$3-($J173+7),"0")&amp;" gün gecikti","● Mutabakat için "&amp;TEXT($J173+7-Hesap!$B$3,"0")&amp;" gün")))))</f>
        <v/>
      </c>
      <c r="U173" s="76">
        <f>IF($Y173="","",IF($Y173&gt;0.3,"⚠ Gecikebilir (%"&amp;TEXT($Y173*100,"0")&amp;" geride)",""))</f>
        <v/>
      </c>
      <c r="V173" s="76">
        <f>IF($C173="","",IF($O173="Tamamlandı","",IF($M173="","",IF($M173&lt;Hesap!$B$3,"⚠ "&amp;TEXT(Hesap!$B$3-$M173,"0")&amp;" gün gecikme",IF($M173-Hesap!$B$3&lt;=14,"● "&amp;TEXT($M173-Hesap!$B$3,"0")&amp;" gün kaldı","")))))</f>
        <v/>
      </c>
      <c r="W173">
        <f>IF($C173="","",IF($O173="Tamamlandı",N($L173),MAX(N($L173),IF(AND($J173&lt;&gt;"",$J173&lt;Hesap!$B$3),Hesap!$B$3-$J173,0)))+ROW()/1000000)</f>
        <v/>
      </c>
      <c r="X173">
        <f>IF($W173="","",INT($W173))</f>
        <v/>
      </c>
      <c r="Y173">
        <f>IF(OR($C173="",$I173="",$K173="",$K173&lt;=0,$O173="Tamamlandı"),"",IF(Hesap!$B$3&lt;$I173,"",MIN(1,(Hesap!$B$3-$I173+1)/$K173)-N($N173)))</f>
        <v/>
      </c>
    </row>
    <row r="174" ht="18" customHeight="1">
      <c r="A174" s="69">
        <f>IF($C174="","",ROW()-4)</f>
        <v/>
      </c>
      <c r="B174" s="70" t="n"/>
      <c r="C174" s="70" t="n"/>
      <c r="D174" s="71" t="n"/>
      <c r="E174" s="71" t="n"/>
      <c r="F174" s="71" t="n"/>
      <c r="G174" s="71" t="n"/>
      <c r="H174" s="71" t="n"/>
      <c r="I174" s="72" t="n"/>
      <c r="J174" s="72" t="n"/>
      <c r="K174" s="73">
        <f>IF(OR($I174="",$J174=""),"",$J174-$I174+1)</f>
        <v/>
      </c>
      <c r="L174" s="56" t="n"/>
      <c r="M174" s="74">
        <f>IF($J174="","",$J174+N($L174))</f>
        <v/>
      </c>
      <c r="N174" s="75" t="n"/>
      <c r="O174" s="69">
        <f>IF($C174="","",IF(N($N174)&gt;=1,"Tamamlandı",IF(AND($J174&lt;&gt;"",$M174&lt;Hesap!$B$3),"Gecikmiş",IF(OR(N($N174)&gt;0,AND($I174&lt;&gt;"",$I174&lt;=Hesap!$B$3)),"Devam Ediyor","Planlanan"))))</f>
        <v/>
      </c>
      <c r="P174" s="70" t="n"/>
      <c r="Q174" s="70" t="n"/>
      <c r="R174" s="72" t="n"/>
      <c r="S174" s="73">
        <f>IF(OR($J174="",$R174=""),"",$R174-$J174)</f>
        <v/>
      </c>
      <c r="T174" s="76">
        <f>IF($C174="","",IF($J174="","",IF($R174&lt;&gt;"",IF($S174&gt;7,"⚠ "&amp;TEXT($S174,"0")&amp;" günde yapıldı (geç)","✔ "&amp;TEXT($S174,"0")&amp;" günde yapıldı"),IF($J174&gt;Hesap!$B$3,"",IF($J174+7&lt;Hesap!$B$3,"⚠ Mutabakat "&amp;TEXT(Hesap!$B$3-($J174+7),"0")&amp;" gün gecikti","● Mutabakat için "&amp;TEXT($J174+7-Hesap!$B$3,"0")&amp;" gün")))))</f>
        <v/>
      </c>
      <c r="U174" s="76">
        <f>IF($Y174="","",IF($Y174&gt;0.3,"⚠ Gecikebilir (%"&amp;TEXT($Y174*100,"0")&amp;" geride)",""))</f>
        <v/>
      </c>
      <c r="V174" s="76">
        <f>IF($C174="","",IF($O174="Tamamlandı","",IF($M174="","",IF($M174&lt;Hesap!$B$3,"⚠ "&amp;TEXT(Hesap!$B$3-$M174,"0")&amp;" gün gecikme",IF($M174-Hesap!$B$3&lt;=14,"● "&amp;TEXT($M174-Hesap!$B$3,"0")&amp;" gün kaldı","")))))</f>
        <v/>
      </c>
      <c r="W174">
        <f>IF($C174="","",IF($O174="Tamamlandı",N($L174),MAX(N($L174),IF(AND($J174&lt;&gt;"",$J174&lt;Hesap!$B$3),Hesap!$B$3-$J174,0)))+ROW()/1000000)</f>
        <v/>
      </c>
      <c r="X174">
        <f>IF($W174="","",INT($W174))</f>
        <v/>
      </c>
      <c r="Y174">
        <f>IF(OR($C174="",$I174="",$K174="",$K174&lt;=0,$O174="Tamamlandı"),"",IF(Hesap!$B$3&lt;$I174,"",MIN(1,(Hesap!$B$3-$I174+1)/$K174)-N($N174)))</f>
        <v/>
      </c>
    </row>
    <row r="175" ht="18" customHeight="1">
      <c r="A175" s="69">
        <f>IF($C175="","",ROW()-4)</f>
        <v/>
      </c>
      <c r="B175" s="70" t="n"/>
      <c r="C175" s="70" t="n"/>
      <c r="D175" s="71" t="n"/>
      <c r="E175" s="71" t="n"/>
      <c r="F175" s="71" t="n"/>
      <c r="G175" s="71" t="n"/>
      <c r="H175" s="71" t="n"/>
      <c r="I175" s="72" t="n"/>
      <c r="J175" s="72" t="n"/>
      <c r="K175" s="73">
        <f>IF(OR($I175="",$J175=""),"",$J175-$I175+1)</f>
        <v/>
      </c>
      <c r="L175" s="56" t="n"/>
      <c r="M175" s="74">
        <f>IF($J175="","",$J175+N($L175))</f>
        <v/>
      </c>
      <c r="N175" s="75" t="n"/>
      <c r="O175" s="69">
        <f>IF($C175="","",IF(N($N175)&gt;=1,"Tamamlandı",IF(AND($J175&lt;&gt;"",$M175&lt;Hesap!$B$3),"Gecikmiş",IF(OR(N($N175)&gt;0,AND($I175&lt;&gt;"",$I175&lt;=Hesap!$B$3)),"Devam Ediyor","Planlanan"))))</f>
        <v/>
      </c>
      <c r="P175" s="70" t="n"/>
      <c r="Q175" s="70" t="n"/>
      <c r="R175" s="72" t="n"/>
      <c r="S175" s="73">
        <f>IF(OR($J175="",$R175=""),"",$R175-$J175)</f>
        <v/>
      </c>
      <c r="T175" s="76">
        <f>IF($C175="","",IF($J175="","",IF($R175&lt;&gt;"",IF($S175&gt;7,"⚠ "&amp;TEXT($S175,"0")&amp;" günde yapıldı (geç)","✔ "&amp;TEXT($S175,"0")&amp;" günde yapıldı"),IF($J175&gt;Hesap!$B$3,"",IF($J175+7&lt;Hesap!$B$3,"⚠ Mutabakat "&amp;TEXT(Hesap!$B$3-($J175+7),"0")&amp;" gün gecikti","● Mutabakat için "&amp;TEXT($J175+7-Hesap!$B$3,"0")&amp;" gün")))))</f>
        <v/>
      </c>
      <c r="U175" s="76">
        <f>IF($Y175="","",IF($Y175&gt;0.3,"⚠ Gecikebilir (%"&amp;TEXT($Y175*100,"0")&amp;" geride)",""))</f>
        <v/>
      </c>
      <c r="V175" s="76">
        <f>IF($C175="","",IF($O175="Tamamlandı","",IF($M175="","",IF($M175&lt;Hesap!$B$3,"⚠ "&amp;TEXT(Hesap!$B$3-$M175,"0")&amp;" gün gecikme",IF($M175-Hesap!$B$3&lt;=14,"● "&amp;TEXT($M175-Hesap!$B$3,"0")&amp;" gün kaldı","")))))</f>
        <v/>
      </c>
      <c r="W175">
        <f>IF($C175="","",IF($O175="Tamamlandı",N($L175),MAX(N($L175),IF(AND($J175&lt;&gt;"",$J175&lt;Hesap!$B$3),Hesap!$B$3-$J175,0)))+ROW()/1000000)</f>
        <v/>
      </c>
      <c r="X175">
        <f>IF($W175="","",INT($W175))</f>
        <v/>
      </c>
      <c r="Y175">
        <f>IF(OR($C175="",$I175="",$K175="",$K175&lt;=0,$O175="Tamamlandı"),"",IF(Hesap!$B$3&lt;$I175,"",MIN(1,(Hesap!$B$3-$I175+1)/$K175)-N($N175)))</f>
        <v/>
      </c>
    </row>
    <row r="176" ht="18" customHeight="1">
      <c r="A176" s="69">
        <f>IF($C176="","",ROW()-4)</f>
        <v/>
      </c>
      <c r="B176" s="70" t="n"/>
      <c r="C176" s="70" t="n"/>
      <c r="D176" s="71" t="n"/>
      <c r="E176" s="71" t="n"/>
      <c r="F176" s="71" t="n"/>
      <c r="G176" s="71" t="n"/>
      <c r="H176" s="71" t="n"/>
      <c r="I176" s="72" t="n"/>
      <c r="J176" s="72" t="n"/>
      <c r="K176" s="73">
        <f>IF(OR($I176="",$J176=""),"",$J176-$I176+1)</f>
        <v/>
      </c>
      <c r="L176" s="56" t="n"/>
      <c r="M176" s="74">
        <f>IF($J176="","",$J176+N($L176))</f>
        <v/>
      </c>
      <c r="N176" s="75" t="n"/>
      <c r="O176" s="69">
        <f>IF($C176="","",IF(N($N176)&gt;=1,"Tamamlandı",IF(AND($J176&lt;&gt;"",$M176&lt;Hesap!$B$3),"Gecikmiş",IF(OR(N($N176)&gt;0,AND($I176&lt;&gt;"",$I176&lt;=Hesap!$B$3)),"Devam Ediyor","Planlanan"))))</f>
        <v/>
      </c>
      <c r="P176" s="70" t="n"/>
      <c r="Q176" s="70" t="n"/>
      <c r="R176" s="72" t="n"/>
      <c r="S176" s="73">
        <f>IF(OR($J176="",$R176=""),"",$R176-$J176)</f>
        <v/>
      </c>
      <c r="T176" s="76">
        <f>IF($C176="","",IF($J176="","",IF($R176&lt;&gt;"",IF($S176&gt;7,"⚠ "&amp;TEXT($S176,"0")&amp;" günde yapıldı (geç)","✔ "&amp;TEXT($S176,"0")&amp;" günde yapıldı"),IF($J176&gt;Hesap!$B$3,"",IF($J176+7&lt;Hesap!$B$3,"⚠ Mutabakat "&amp;TEXT(Hesap!$B$3-($J176+7),"0")&amp;" gün gecikti","● Mutabakat için "&amp;TEXT($J176+7-Hesap!$B$3,"0")&amp;" gün")))))</f>
        <v/>
      </c>
      <c r="U176" s="76">
        <f>IF($Y176="","",IF($Y176&gt;0.3,"⚠ Gecikebilir (%"&amp;TEXT($Y176*100,"0")&amp;" geride)",""))</f>
        <v/>
      </c>
      <c r="V176" s="76">
        <f>IF($C176="","",IF($O176="Tamamlandı","",IF($M176="","",IF($M176&lt;Hesap!$B$3,"⚠ "&amp;TEXT(Hesap!$B$3-$M176,"0")&amp;" gün gecikme",IF($M176-Hesap!$B$3&lt;=14,"● "&amp;TEXT($M176-Hesap!$B$3,"0")&amp;" gün kaldı","")))))</f>
        <v/>
      </c>
      <c r="W176">
        <f>IF($C176="","",IF($O176="Tamamlandı",N($L176),MAX(N($L176),IF(AND($J176&lt;&gt;"",$J176&lt;Hesap!$B$3),Hesap!$B$3-$J176,0)))+ROW()/1000000)</f>
        <v/>
      </c>
      <c r="X176">
        <f>IF($W176="","",INT($W176))</f>
        <v/>
      </c>
      <c r="Y176">
        <f>IF(OR($C176="",$I176="",$K176="",$K176&lt;=0,$O176="Tamamlandı"),"",IF(Hesap!$B$3&lt;$I176,"",MIN(1,(Hesap!$B$3-$I176+1)/$K176)-N($N176)))</f>
        <v/>
      </c>
    </row>
    <row r="177" ht="18" customHeight="1">
      <c r="A177" s="69">
        <f>IF($C177="","",ROW()-4)</f>
        <v/>
      </c>
      <c r="B177" s="70" t="n"/>
      <c r="C177" s="70" t="n"/>
      <c r="D177" s="71" t="n"/>
      <c r="E177" s="71" t="n"/>
      <c r="F177" s="71" t="n"/>
      <c r="G177" s="71" t="n"/>
      <c r="H177" s="71" t="n"/>
      <c r="I177" s="72" t="n"/>
      <c r="J177" s="72" t="n"/>
      <c r="K177" s="73">
        <f>IF(OR($I177="",$J177=""),"",$J177-$I177+1)</f>
        <v/>
      </c>
      <c r="L177" s="56" t="n"/>
      <c r="M177" s="74">
        <f>IF($J177="","",$J177+N($L177))</f>
        <v/>
      </c>
      <c r="N177" s="75" t="n"/>
      <c r="O177" s="69">
        <f>IF($C177="","",IF(N($N177)&gt;=1,"Tamamlandı",IF(AND($J177&lt;&gt;"",$M177&lt;Hesap!$B$3),"Gecikmiş",IF(OR(N($N177)&gt;0,AND($I177&lt;&gt;"",$I177&lt;=Hesap!$B$3)),"Devam Ediyor","Planlanan"))))</f>
        <v/>
      </c>
      <c r="P177" s="70" t="n"/>
      <c r="Q177" s="70" t="n"/>
      <c r="R177" s="72" t="n"/>
      <c r="S177" s="73">
        <f>IF(OR($J177="",$R177=""),"",$R177-$J177)</f>
        <v/>
      </c>
      <c r="T177" s="76">
        <f>IF($C177="","",IF($J177="","",IF($R177&lt;&gt;"",IF($S177&gt;7,"⚠ "&amp;TEXT($S177,"0")&amp;" günde yapıldı (geç)","✔ "&amp;TEXT($S177,"0")&amp;" günde yapıldı"),IF($J177&gt;Hesap!$B$3,"",IF($J177+7&lt;Hesap!$B$3,"⚠ Mutabakat "&amp;TEXT(Hesap!$B$3-($J177+7),"0")&amp;" gün gecikti","● Mutabakat için "&amp;TEXT($J177+7-Hesap!$B$3,"0")&amp;" gün")))))</f>
        <v/>
      </c>
      <c r="U177" s="76">
        <f>IF($Y177="","",IF($Y177&gt;0.3,"⚠ Gecikebilir (%"&amp;TEXT($Y177*100,"0")&amp;" geride)",""))</f>
        <v/>
      </c>
      <c r="V177" s="76">
        <f>IF($C177="","",IF($O177="Tamamlandı","",IF($M177="","",IF($M177&lt;Hesap!$B$3,"⚠ "&amp;TEXT(Hesap!$B$3-$M177,"0")&amp;" gün gecikme",IF($M177-Hesap!$B$3&lt;=14,"● "&amp;TEXT($M177-Hesap!$B$3,"0")&amp;" gün kaldı","")))))</f>
        <v/>
      </c>
      <c r="W177">
        <f>IF($C177="","",IF($O177="Tamamlandı",N($L177),MAX(N($L177),IF(AND($J177&lt;&gt;"",$J177&lt;Hesap!$B$3),Hesap!$B$3-$J177,0)))+ROW()/1000000)</f>
        <v/>
      </c>
      <c r="X177">
        <f>IF($W177="","",INT($W177))</f>
        <v/>
      </c>
      <c r="Y177">
        <f>IF(OR($C177="",$I177="",$K177="",$K177&lt;=0,$O177="Tamamlandı"),"",IF(Hesap!$B$3&lt;$I177,"",MIN(1,(Hesap!$B$3-$I177+1)/$K177)-N($N177)))</f>
        <v/>
      </c>
    </row>
    <row r="178" ht="18" customHeight="1">
      <c r="A178" s="69">
        <f>IF($C178="","",ROW()-4)</f>
        <v/>
      </c>
      <c r="B178" s="70" t="n"/>
      <c r="C178" s="70" t="n"/>
      <c r="D178" s="71" t="n"/>
      <c r="E178" s="71" t="n"/>
      <c r="F178" s="71" t="n"/>
      <c r="G178" s="71" t="n"/>
      <c r="H178" s="71" t="n"/>
      <c r="I178" s="72" t="n"/>
      <c r="J178" s="72" t="n"/>
      <c r="K178" s="73">
        <f>IF(OR($I178="",$J178=""),"",$J178-$I178+1)</f>
        <v/>
      </c>
      <c r="L178" s="56" t="n"/>
      <c r="M178" s="74">
        <f>IF($J178="","",$J178+N($L178))</f>
        <v/>
      </c>
      <c r="N178" s="75" t="n"/>
      <c r="O178" s="69">
        <f>IF($C178="","",IF(N($N178)&gt;=1,"Tamamlandı",IF(AND($J178&lt;&gt;"",$M178&lt;Hesap!$B$3),"Gecikmiş",IF(OR(N($N178)&gt;0,AND($I178&lt;&gt;"",$I178&lt;=Hesap!$B$3)),"Devam Ediyor","Planlanan"))))</f>
        <v/>
      </c>
      <c r="P178" s="70" t="n"/>
      <c r="Q178" s="70" t="n"/>
      <c r="R178" s="72" t="n"/>
      <c r="S178" s="73">
        <f>IF(OR($J178="",$R178=""),"",$R178-$J178)</f>
        <v/>
      </c>
      <c r="T178" s="76">
        <f>IF($C178="","",IF($J178="","",IF($R178&lt;&gt;"",IF($S178&gt;7,"⚠ "&amp;TEXT($S178,"0")&amp;" günde yapıldı (geç)","✔ "&amp;TEXT($S178,"0")&amp;" günde yapıldı"),IF($J178&gt;Hesap!$B$3,"",IF($J178+7&lt;Hesap!$B$3,"⚠ Mutabakat "&amp;TEXT(Hesap!$B$3-($J178+7),"0")&amp;" gün gecikti","● Mutabakat için "&amp;TEXT($J178+7-Hesap!$B$3,"0")&amp;" gün")))))</f>
        <v/>
      </c>
      <c r="U178" s="76">
        <f>IF($Y178="","",IF($Y178&gt;0.3,"⚠ Gecikebilir (%"&amp;TEXT($Y178*100,"0")&amp;" geride)",""))</f>
        <v/>
      </c>
      <c r="V178" s="76">
        <f>IF($C178="","",IF($O178="Tamamlandı","",IF($M178="","",IF($M178&lt;Hesap!$B$3,"⚠ "&amp;TEXT(Hesap!$B$3-$M178,"0")&amp;" gün gecikme",IF($M178-Hesap!$B$3&lt;=14,"● "&amp;TEXT($M178-Hesap!$B$3,"0")&amp;" gün kaldı","")))))</f>
        <v/>
      </c>
      <c r="W178">
        <f>IF($C178="","",IF($O178="Tamamlandı",N($L178),MAX(N($L178),IF(AND($J178&lt;&gt;"",$J178&lt;Hesap!$B$3),Hesap!$B$3-$J178,0)))+ROW()/1000000)</f>
        <v/>
      </c>
      <c r="X178">
        <f>IF($W178="","",INT($W178))</f>
        <v/>
      </c>
      <c r="Y178">
        <f>IF(OR($C178="",$I178="",$K178="",$K178&lt;=0,$O178="Tamamlandı"),"",IF(Hesap!$B$3&lt;$I178,"",MIN(1,(Hesap!$B$3-$I178+1)/$K178)-N($N178)))</f>
        <v/>
      </c>
    </row>
    <row r="179" ht="18" customHeight="1">
      <c r="A179" s="69">
        <f>IF($C179="","",ROW()-4)</f>
        <v/>
      </c>
      <c r="B179" s="70" t="n"/>
      <c r="C179" s="70" t="n"/>
      <c r="D179" s="71" t="n"/>
      <c r="E179" s="71" t="n"/>
      <c r="F179" s="71" t="n"/>
      <c r="G179" s="71" t="n"/>
      <c r="H179" s="71" t="n"/>
      <c r="I179" s="72" t="n"/>
      <c r="J179" s="72" t="n"/>
      <c r="K179" s="73">
        <f>IF(OR($I179="",$J179=""),"",$J179-$I179+1)</f>
        <v/>
      </c>
      <c r="L179" s="56" t="n"/>
      <c r="M179" s="74">
        <f>IF($J179="","",$J179+N($L179))</f>
        <v/>
      </c>
      <c r="N179" s="75" t="n"/>
      <c r="O179" s="69">
        <f>IF($C179="","",IF(N($N179)&gt;=1,"Tamamlandı",IF(AND($J179&lt;&gt;"",$M179&lt;Hesap!$B$3),"Gecikmiş",IF(OR(N($N179)&gt;0,AND($I179&lt;&gt;"",$I179&lt;=Hesap!$B$3)),"Devam Ediyor","Planlanan"))))</f>
        <v/>
      </c>
      <c r="P179" s="70" t="n"/>
      <c r="Q179" s="70" t="n"/>
      <c r="R179" s="72" t="n"/>
      <c r="S179" s="73">
        <f>IF(OR($J179="",$R179=""),"",$R179-$J179)</f>
        <v/>
      </c>
      <c r="T179" s="76">
        <f>IF($C179="","",IF($J179="","",IF($R179&lt;&gt;"",IF($S179&gt;7,"⚠ "&amp;TEXT($S179,"0")&amp;" günde yapıldı (geç)","✔ "&amp;TEXT($S179,"0")&amp;" günde yapıldı"),IF($J179&gt;Hesap!$B$3,"",IF($J179+7&lt;Hesap!$B$3,"⚠ Mutabakat "&amp;TEXT(Hesap!$B$3-($J179+7),"0")&amp;" gün gecikti","● Mutabakat için "&amp;TEXT($J179+7-Hesap!$B$3,"0")&amp;" gün")))))</f>
        <v/>
      </c>
      <c r="U179" s="76">
        <f>IF($Y179="","",IF($Y179&gt;0.3,"⚠ Gecikebilir (%"&amp;TEXT($Y179*100,"0")&amp;" geride)",""))</f>
        <v/>
      </c>
      <c r="V179" s="76">
        <f>IF($C179="","",IF($O179="Tamamlandı","",IF($M179="","",IF($M179&lt;Hesap!$B$3,"⚠ "&amp;TEXT(Hesap!$B$3-$M179,"0")&amp;" gün gecikme",IF($M179-Hesap!$B$3&lt;=14,"● "&amp;TEXT($M179-Hesap!$B$3,"0")&amp;" gün kaldı","")))))</f>
        <v/>
      </c>
      <c r="W179">
        <f>IF($C179="","",IF($O179="Tamamlandı",N($L179),MAX(N($L179),IF(AND($J179&lt;&gt;"",$J179&lt;Hesap!$B$3),Hesap!$B$3-$J179,0)))+ROW()/1000000)</f>
        <v/>
      </c>
      <c r="X179">
        <f>IF($W179="","",INT($W179))</f>
        <v/>
      </c>
      <c r="Y179">
        <f>IF(OR($C179="",$I179="",$K179="",$K179&lt;=0,$O179="Tamamlandı"),"",IF(Hesap!$B$3&lt;$I179,"",MIN(1,(Hesap!$B$3-$I179+1)/$K179)-N($N179)))</f>
        <v/>
      </c>
    </row>
    <row r="180" ht="18" customHeight="1">
      <c r="A180" s="69">
        <f>IF($C180="","",ROW()-4)</f>
        <v/>
      </c>
      <c r="B180" s="70" t="n"/>
      <c r="C180" s="70" t="n"/>
      <c r="D180" s="71" t="n"/>
      <c r="E180" s="71" t="n"/>
      <c r="F180" s="71" t="n"/>
      <c r="G180" s="71" t="n"/>
      <c r="H180" s="71" t="n"/>
      <c r="I180" s="72" t="n"/>
      <c r="J180" s="72" t="n"/>
      <c r="K180" s="73">
        <f>IF(OR($I180="",$J180=""),"",$J180-$I180+1)</f>
        <v/>
      </c>
      <c r="L180" s="56" t="n"/>
      <c r="M180" s="74">
        <f>IF($J180="","",$J180+N($L180))</f>
        <v/>
      </c>
      <c r="N180" s="75" t="n"/>
      <c r="O180" s="69">
        <f>IF($C180="","",IF(N($N180)&gt;=1,"Tamamlandı",IF(AND($J180&lt;&gt;"",$M180&lt;Hesap!$B$3),"Gecikmiş",IF(OR(N($N180)&gt;0,AND($I180&lt;&gt;"",$I180&lt;=Hesap!$B$3)),"Devam Ediyor","Planlanan"))))</f>
        <v/>
      </c>
      <c r="P180" s="70" t="n"/>
      <c r="Q180" s="70" t="n"/>
      <c r="R180" s="72" t="n"/>
      <c r="S180" s="73">
        <f>IF(OR($J180="",$R180=""),"",$R180-$J180)</f>
        <v/>
      </c>
      <c r="T180" s="76">
        <f>IF($C180="","",IF($J180="","",IF($R180&lt;&gt;"",IF($S180&gt;7,"⚠ "&amp;TEXT($S180,"0")&amp;" günde yapıldı (geç)","✔ "&amp;TEXT($S180,"0")&amp;" günde yapıldı"),IF($J180&gt;Hesap!$B$3,"",IF($J180+7&lt;Hesap!$B$3,"⚠ Mutabakat "&amp;TEXT(Hesap!$B$3-($J180+7),"0")&amp;" gün gecikti","● Mutabakat için "&amp;TEXT($J180+7-Hesap!$B$3,"0")&amp;" gün")))))</f>
        <v/>
      </c>
      <c r="U180" s="76">
        <f>IF($Y180="","",IF($Y180&gt;0.3,"⚠ Gecikebilir (%"&amp;TEXT($Y180*100,"0")&amp;" geride)",""))</f>
        <v/>
      </c>
      <c r="V180" s="76">
        <f>IF($C180="","",IF($O180="Tamamlandı","",IF($M180="","",IF($M180&lt;Hesap!$B$3,"⚠ "&amp;TEXT(Hesap!$B$3-$M180,"0")&amp;" gün gecikme",IF($M180-Hesap!$B$3&lt;=14,"● "&amp;TEXT($M180-Hesap!$B$3,"0")&amp;" gün kaldı","")))))</f>
        <v/>
      </c>
      <c r="W180">
        <f>IF($C180="","",IF($O180="Tamamlandı",N($L180),MAX(N($L180),IF(AND($J180&lt;&gt;"",$J180&lt;Hesap!$B$3),Hesap!$B$3-$J180,0)))+ROW()/1000000)</f>
        <v/>
      </c>
      <c r="X180">
        <f>IF($W180="","",INT($W180))</f>
        <v/>
      </c>
      <c r="Y180">
        <f>IF(OR($C180="",$I180="",$K180="",$K180&lt;=0,$O180="Tamamlandı"),"",IF(Hesap!$B$3&lt;$I180,"",MIN(1,(Hesap!$B$3-$I180+1)/$K180)-N($N180)))</f>
        <v/>
      </c>
    </row>
    <row r="181" ht="18" customHeight="1">
      <c r="A181" s="69">
        <f>IF($C181="","",ROW()-4)</f>
        <v/>
      </c>
      <c r="B181" s="70" t="n"/>
      <c r="C181" s="70" t="n"/>
      <c r="D181" s="71" t="n"/>
      <c r="E181" s="71" t="n"/>
      <c r="F181" s="71" t="n"/>
      <c r="G181" s="71" t="n"/>
      <c r="H181" s="71" t="n"/>
      <c r="I181" s="72" t="n"/>
      <c r="J181" s="72" t="n"/>
      <c r="K181" s="73">
        <f>IF(OR($I181="",$J181=""),"",$J181-$I181+1)</f>
        <v/>
      </c>
      <c r="L181" s="56" t="n"/>
      <c r="M181" s="74">
        <f>IF($J181="","",$J181+N($L181))</f>
        <v/>
      </c>
      <c r="N181" s="75" t="n"/>
      <c r="O181" s="69">
        <f>IF($C181="","",IF(N($N181)&gt;=1,"Tamamlandı",IF(AND($J181&lt;&gt;"",$M181&lt;Hesap!$B$3),"Gecikmiş",IF(OR(N($N181)&gt;0,AND($I181&lt;&gt;"",$I181&lt;=Hesap!$B$3)),"Devam Ediyor","Planlanan"))))</f>
        <v/>
      </c>
      <c r="P181" s="70" t="n"/>
      <c r="Q181" s="70" t="n"/>
      <c r="R181" s="72" t="n"/>
      <c r="S181" s="73">
        <f>IF(OR($J181="",$R181=""),"",$R181-$J181)</f>
        <v/>
      </c>
      <c r="T181" s="76">
        <f>IF($C181="","",IF($J181="","",IF($R181&lt;&gt;"",IF($S181&gt;7,"⚠ "&amp;TEXT($S181,"0")&amp;" günde yapıldı (geç)","✔ "&amp;TEXT($S181,"0")&amp;" günde yapıldı"),IF($J181&gt;Hesap!$B$3,"",IF($J181+7&lt;Hesap!$B$3,"⚠ Mutabakat "&amp;TEXT(Hesap!$B$3-($J181+7),"0")&amp;" gün gecikti","● Mutabakat için "&amp;TEXT($J181+7-Hesap!$B$3,"0")&amp;" gün")))))</f>
        <v/>
      </c>
      <c r="U181" s="76">
        <f>IF($Y181="","",IF($Y181&gt;0.3,"⚠ Gecikebilir (%"&amp;TEXT($Y181*100,"0")&amp;" geride)",""))</f>
        <v/>
      </c>
      <c r="V181" s="76">
        <f>IF($C181="","",IF($O181="Tamamlandı","",IF($M181="","",IF($M181&lt;Hesap!$B$3,"⚠ "&amp;TEXT(Hesap!$B$3-$M181,"0")&amp;" gün gecikme",IF($M181-Hesap!$B$3&lt;=14,"● "&amp;TEXT($M181-Hesap!$B$3,"0")&amp;" gün kaldı","")))))</f>
        <v/>
      </c>
      <c r="W181">
        <f>IF($C181="","",IF($O181="Tamamlandı",N($L181),MAX(N($L181),IF(AND($J181&lt;&gt;"",$J181&lt;Hesap!$B$3),Hesap!$B$3-$J181,0)))+ROW()/1000000)</f>
        <v/>
      </c>
      <c r="X181">
        <f>IF($W181="","",INT($W181))</f>
        <v/>
      </c>
      <c r="Y181">
        <f>IF(OR($C181="",$I181="",$K181="",$K181&lt;=0,$O181="Tamamlandı"),"",IF(Hesap!$B$3&lt;$I181,"",MIN(1,(Hesap!$B$3-$I181+1)/$K181)-N($N181)))</f>
        <v/>
      </c>
    </row>
    <row r="182" ht="18" customHeight="1">
      <c r="A182" s="69">
        <f>IF($C182="","",ROW()-4)</f>
        <v/>
      </c>
      <c r="B182" s="70" t="n"/>
      <c r="C182" s="70" t="n"/>
      <c r="D182" s="71" t="n"/>
      <c r="E182" s="71" t="n"/>
      <c r="F182" s="71" t="n"/>
      <c r="G182" s="71" t="n"/>
      <c r="H182" s="71" t="n"/>
      <c r="I182" s="72" t="n"/>
      <c r="J182" s="72" t="n"/>
      <c r="K182" s="73">
        <f>IF(OR($I182="",$J182=""),"",$J182-$I182+1)</f>
        <v/>
      </c>
      <c r="L182" s="56" t="n"/>
      <c r="M182" s="74">
        <f>IF($J182="","",$J182+N($L182))</f>
        <v/>
      </c>
      <c r="N182" s="75" t="n"/>
      <c r="O182" s="69">
        <f>IF($C182="","",IF(N($N182)&gt;=1,"Tamamlandı",IF(AND($J182&lt;&gt;"",$M182&lt;Hesap!$B$3),"Gecikmiş",IF(OR(N($N182)&gt;0,AND($I182&lt;&gt;"",$I182&lt;=Hesap!$B$3)),"Devam Ediyor","Planlanan"))))</f>
        <v/>
      </c>
      <c r="P182" s="70" t="n"/>
      <c r="Q182" s="70" t="n"/>
      <c r="R182" s="72" t="n"/>
      <c r="S182" s="73">
        <f>IF(OR($J182="",$R182=""),"",$R182-$J182)</f>
        <v/>
      </c>
      <c r="T182" s="76">
        <f>IF($C182="","",IF($J182="","",IF($R182&lt;&gt;"",IF($S182&gt;7,"⚠ "&amp;TEXT($S182,"0")&amp;" günde yapıldı (geç)","✔ "&amp;TEXT($S182,"0")&amp;" günde yapıldı"),IF($J182&gt;Hesap!$B$3,"",IF($J182+7&lt;Hesap!$B$3,"⚠ Mutabakat "&amp;TEXT(Hesap!$B$3-($J182+7),"0")&amp;" gün gecikti","● Mutabakat için "&amp;TEXT($J182+7-Hesap!$B$3,"0")&amp;" gün")))))</f>
        <v/>
      </c>
      <c r="U182" s="76">
        <f>IF($Y182="","",IF($Y182&gt;0.3,"⚠ Gecikebilir (%"&amp;TEXT($Y182*100,"0")&amp;" geride)",""))</f>
        <v/>
      </c>
      <c r="V182" s="76">
        <f>IF($C182="","",IF($O182="Tamamlandı","",IF($M182="","",IF($M182&lt;Hesap!$B$3,"⚠ "&amp;TEXT(Hesap!$B$3-$M182,"0")&amp;" gün gecikme",IF($M182-Hesap!$B$3&lt;=14,"● "&amp;TEXT($M182-Hesap!$B$3,"0")&amp;" gün kaldı","")))))</f>
        <v/>
      </c>
      <c r="W182">
        <f>IF($C182="","",IF($O182="Tamamlandı",N($L182),MAX(N($L182),IF(AND($J182&lt;&gt;"",$J182&lt;Hesap!$B$3),Hesap!$B$3-$J182,0)))+ROW()/1000000)</f>
        <v/>
      </c>
      <c r="X182">
        <f>IF($W182="","",INT($W182))</f>
        <v/>
      </c>
      <c r="Y182">
        <f>IF(OR($C182="",$I182="",$K182="",$K182&lt;=0,$O182="Tamamlandı"),"",IF(Hesap!$B$3&lt;$I182,"",MIN(1,(Hesap!$B$3-$I182+1)/$K182)-N($N182)))</f>
        <v/>
      </c>
    </row>
    <row r="183" ht="18" customHeight="1">
      <c r="A183" s="69">
        <f>IF($C183="","",ROW()-4)</f>
        <v/>
      </c>
      <c r="B183" s="70" t="n"/>
      <c r="C183" s="70" t="n"/>
      <c r="D183" s="71" t="n"/>
      <c r="E183" s="71" t="n"/>
      <c r="F183" s="71" t="n"/>
      <c r="G183" s="71" t="n"/>
      <c r="H183" s="71" t="n"/>
      <c r="I183" s="72" t="n"/>
      <c r="J183" s="72" t="n"/>
      <c r="K183" s="73">
        <f>IF(OR($I183="",$J183=""),"",$J183-$I183+1)</f>
        <v/>
      </c>
      <c r="L183" s="56" t="n"/>
      <c r="M183" s="74">
        <f>IF($J183="","",$J183+N($L183))</f>
        <v/>
      </c>
      <c r="N183" s="75" t="n"/>
      <c r="O183" s="69">
        <f>IF($C183="","",IF(N($N183)&gt;=1,"Tamamlandı",IF(AND($J183&lt;&gt;"",$M183&lt;Hesap!$B$3),"Gecikmiş",IF(OR(N($N183)&gt;0,AND($I183&lt;&gt;"",$I183&lt;=Hesap!$B$3)),"Devam Ediyor","Planlanan"))))</f>
        <v/>
      </c>
      <c r="P183" s="70" t="n"/>
      <c r="Q183" s="70" t="n"/>
      <c r="R183" s="72" t="n"/>
      <c r="S183" s="73">
        <f>IF(OR($J183="",$R183=""),"",$R183-$J183)</f>
        <v/>
      </c>
      <c r="T183" s="76">
        <f>IF($C183="","",IF($J183="","",IF($R183&lt;&gt;"",IF($S183&gt;7,"⚠ "&amp;TEXT($S183,"0")&amp;" günde yapıldı (geç)","✔ "&amp;TEXT($S183,"0")&amp;" günde yapıldı"),IF($J183&gt;Hesap!$B$3,"",IF($J183+7&lt;Hesap!$B$3,"⚠ Mutabakat "&amp;TEXT(Hesap!$B$3-($J183+7),"0")&amp;" gün gecikti","● Mutabakat için "&amp;TEXT($J183+7-Hesap!$B$3,"0")&amp;" gün")))))</f>
        <v/>
      </c>
      <c r="U183" s="76">
        <f>IF($Y183="","",IF($Y183&gt;0.3,"⚠ Gecikebilir (%"&amp;TEXT($Y183*100,"0")&amp;" geride)",""))</f>
        <v/>
      </c>
      <c r="V183" s="76">
        <f>IF($C183="","",IF($O183="Tamamlandı","",IF($M183="","",IF($M183&lt;Hesap!$B$3,"⚠ "&amp;TEXT(Hesap!$B$3-$M183,"0")&amp;" gün gecikme",IF($M183-Hesap!$B$3&lt;=14,"● "&amp;TEXT($M183-Hesap!$B$3,"0")&amp;" gün kaldı","")))))</f>
        <v/>
      </c>
      <c r="W183">
        <f>IF($C183="","",IF($O183="Tamamlandı",N($L183),MAX(N($L183),IF(AND($J183&lt;&gt;"",$J183&lt;Hesap!$B$3),Hesap!$B$3-$J183,0)))+ROW()/1000000)</f>
        <v/>
      </c>
      <c r="X183">
        <f>IF($W183="","",INT($W183))</f>
        <v/>
      </c>
      <c r="Y183">
        <f>IF(OR($C183="",$I183="",$K183="",$K183&lt;=0,$O183="Tamamlandı"),"",IF(Hesap!$B$3&lt;$I183,"",MIN(1,(Hesap!$B$3-$I183+1)/$K183)-N($N183)))</f>
        <v/>
      </c>
    </row>
    <row r="184" ht="18" customHeight="1">
      <c r="A184" s="69">
        <f>IF($C184="","",ROW()-4)</f>
        <v/>
      </c>
      <c r="B184" s="70" t="n"/>
      <c r="C184" s="70" t="n"/>
      <c r="D184" s="71" t="n"/>
      <c r="E184" s="71" t="n"/>
      <c r="F184" s="71" t="n"/>
      <c r="G184" s="71" t="n"/>
      <c r="H184" s="71" t="n"/>
      <c r="I184" s="72" t="n"/>
      <c r="J184" s="72" t="n"/>
      <c r="K184" s="73">
        <f>IF(OR($I184="",$J184=""),"",$J184-$I184+1)</f>
        <v/>
      </c>
      <c r="L184" s="56" t="n"/>
      <c r="M184" s="74">
        <f>IF($J184="","",$J184+N($L184))</f>
        <v/>
      </c>
      <c r="N184" s="75" t="n"/>
      <c r="O184" s="69">
        <f>IF($C184="","",IF(N($N184)&gt;=1,"Tamamlandı",IF(AND($J184&lt;&gt;"",$M184&lt;Hesap!$B$3),"Gecikmiş",IF(OR(N($N184)&gt;0,AND($I184&lt;&gt;"",$I184&lt;=Hesap!$B$3)),"Devam Ediyor","Planlanan"))))</f>
        <v/>
      </c>
      <c r="P184" s="70" t="n"/>
      <c r="Q184" s="70" t="n"/>
      <c r="R184" s="72" t="n"/>
      <c r="S184" s="73">
        <f>IF(OR($J184="",$R184=""),"",$R184-$J184)</f>
        <v/>
      </c>
      <c r="T184" s="76">
        <f>IF($C184="","",IF($J184="","",IF($R184&lt;&gt;"",IF($S184&gt;7,"⚠ "&amp;TEXT($S184,"0")&amp;" günde yapıldı (geç)","✔ "&amp;TEXT($S184,"0")&amp;" günde yapıldı"),IF($J184&gt;Hesap!$B$3,"",IF($J184+7&lt;Hesap!$B$3,"⚠ Mutabakat "&amp;TEXT(Hesap!$B$3-($J184+7),"0")&amp;" gün gecikti","● Mutabakat için "&amp;TEXT($J184+7-Hesap!$B$3,"0")&amp;" gün")))))</f>
        <v/>
      </c>
      <c r="U184" s="76">
        <f>IF($Y184="","",IF($Y184&gt;0.3,"⚠ Gecikebilir (%"&amp;TEXT($Y184*100,"0")&amp;" geride)",""))</f>
        <v/>
      </c>
      <c r="V184" s="76">
        <f>IF($C184="","",IF($O184="Tamamlandı","",IF($M184="","",IF($M184&lt;Hesap!$B$3,"⚠ "&amp;TEXT(Hesap!$B$3-$M184,"0")&amp;" gün gecikme",IF($M184-Hesap!$B$3&lt;=14,"● "&amp;TEXT($M184-Hesap!$B$3,"0")&amp;" gün kaldı","")))))</f>
        <v/>
      </c>
      <c r="W184">
        <f>IF($C184="","",IF($O184="Tamamlandı",N($L184),MAX(N($L184),IF(AND($J184&lt;&gt;"",$J184&lt;Hesap!$B$3),Hesap!$B$3-$J184,0)))+ROW()/1000000)</f>
        <v/>
      </c>
      <c r="X184">
        <f>IF($W184="","",INT($W184))</f>
        <v/>
      </c>
      <c r="Y184">
        <f>IF(OR($C184="",$I184="",$K184="",$K184&lt;=0,$O184="Tamamlandı"),"",IF(Hesap!$B$3&lt;$I184,"",MIN(1,(Hesap!$B$3-$I184+1)/$K184)-N($N184)))</f>
        <v/>
      </c>
    </row>
    <row r="185" ht="18" customHeight="1">
      <c r="A185" s="69">
        <f>IF($C185="","",ROW()-4)</f>
        <v/>
      </c>
      <c r="B185" s="70" t="n"/>
      <c r="C185" s="70" t="n"/>
      <c r="D185" s="71" t="n"/>
      <c r="E185" s="71" t="n"/>
      <c r="F185" s="71" t="n"/>
      <c r="G185" s="71" t="n"/>
      <c r="H185" s="71" t="n"/>
      <c r="I185" s="72" t="n"/>
      <c r="J185" s="72" t="n"/>
      <c r="K185" s="73">
        <f>IF(OR($I185="",$J185=""),"",$J185-$I185+1)</f>
        <v/>
      </c>
      <c r="L185" s="56" t="n"/>
      <c r="M185" s="74">
        <f>IF($J185="","",$J185+N($L185))</f>
        <v/>
      </c>
      <c r="N185" s="75" t="n"/>
      <c r="O185" s="69">
        <f>IF($C185="","",IF(N($N185)&gt;=1,"Tamamlandı",IF(AND($J185&lt;&gt;"",$M185&lt;Hesap!$B$3),"Gecikmiş",IF(OR(N($N185)&gt;0,AND($I185&lt;&gt;"",$I185&lt;=Hesap!$B$3)),"Devam Ediyor","Planlanan"))))</f>
        <v/>
      </c>
      <c r="P185" s="70" t="n"/>
      <c r="Q185" s="70" t="n"/>
      <c r="R185" s="72" t="n"/>
      <c r="S185" s="73">
        <f>IF(OR($J185="",$R185=""),"",$R185-$J185)</f>
        <v/>
      </c>
      <c r="T185" s="76">
        <f>IF($C185="","",IF($J185="","",IF($R185&lt;&gt;"",IF($S185&gt;7,"⚠ "&amp;TEXT($S185,"0")&amp;" günde yapıldı (geç)","✔ "&amp;TEXT($S185,"0")&amp;" günde yapıldı"),IF($J185&gt;Hesap!$B$3,"",IF($J185+7&lt;Hesap!$B$3,"⚠ Mutabakat "&amp;TEXT(Hesap!$B$3-($J185+7),"0")&amp;" gün gecikti","● Mutabakat için "&amp;TEXT($J185+7-Hesap!$B$3,"0")&amp;" gün")))))</f>
        <v/>
      </c>
      <c r="U185" s="76">
        <f>IF($Y185="","",IF($Y185&gt;0.3,"⚠ Gecikebilir (%"&amp;TEXT($Y185*100,"0")&amp;" geride)",""))</f>
        <v/>
      </c>
      <c r="V185" s="76">
        <f>IF($C185="","",IF($O185="Tamamlandı","",IF($M185="","",IF($M185&lt;Hesap!$B$3,"⚠ "&amp;TEXT(Hesap!$B$3-$M185,"0")&amp;" gün gecikme",IF($M185-Hesap!$B$3&lt;=14,"● "&amp;TEXT($M185-Hesap!$B$3,"0")&amp;" gün kaldı","")))))</f>
        <v/>
      </c>
      <c r="W185">
        <f>IF($C185="","",IF($O185="Tamamlandı",N($L185),MAX(N($L185),IF(AND($J185&lt;&gt;"",$J185&lt;Hesap!$B$3),Hesap!$B$3-$J185,0)))+ROW()/1000000)</f>
        <v/>
      </c>
      <c r="X185">
        <f>IF($W185="","",INT($W185))</f>
        <v/>
      </c>
      <c r="Y185">
        <f>IF(OR($C185="",$I185="",$K185="",$K185&lt;=0,$O185="Tamamlandı"),"",IF(Hesap!$B$3&lt;$I185,"",MIN(1,(Hesap!$B$3-$I185+1)/$K185)-N($N185)))</f>
        <v/>
      </c>
    </row>
    <row r="186" ht="18" customHeight="1">
      <c r="A186" s="69">
        <f>IF($C186="","",ROW()-4)</f>
        <v/>
      </c>
      <c r="B186" s="70" t="n"/>
      <c r="C186" s="70" t="n"/>
      <c r="D186" s="71" t="n"/>
      <c r="E186" s="71" t="n"/>
      <c r="F186" s="71" t="n"/>
      <c r="G186" s="71" t="n"/>
      <c r="H186" s="71" t="n"/>
      <c r="I186" s="72" t="n"/>
      <c r="J186" s="72" t="n"/>
      <c r="K186" s="73">
        <f>IF(OR($I186="",$J186=""),"",$J186-$I186+1)</f>
        <v/>
      </c>
      <c r="L186" s="56" t="n"/>
      <c r="M186" s="74">
        <f>IF($J186="","",$J186+N($L186))</f>
        <v/>
      </c>
      <c r="N186" s="75" t="n"/>
      <c r="O186" s="69">
        <f>IF($C186="","",IF(N($N186)&gt;=1,"Tamamlandı",IF(AND($J186&lt;&gt;"",$M186&lt;Hesap!$B$3),"Gecikmiş",IF(OR(N($N186)&gt;0,AND($I186&lt;&gt;"",$I186&lt;=Hesap!$B$3)),"Devam Ediyor","Planlanan"))))</f>
        <v/>
      </c>
      <c r="P186" s="70" t="n"/>
      <c r="Q186" s="70" t="n"/>
      <c r="R186" s="72" t="n"/>
      <c r="S186" s="73">
        <f>IF(OR($J186="",$R186=""),"",$R186-$J186)</f>
        <v/>
      </c>
      <c r="T186" s="76">
        <f>IF($C186="","",IF($J186="","",IF($R186&lt;&gt;"",IF($S186&gt;7,"⚠ "&amp;TEXT($S186,"0")&amp;" günde yapıldı (geç)","✔ "&amp;TEXT($S186,"0")&amp;" günde yapıldı"),IF($J186&gt;Hesap!$B$3,"",IF($J186+7&lt;Hesap!$B$3,"⚠ Mutabakat "&amp;TEXT(Hesap!$B$3-($J186+7),"0")&amp;" gün gecikti","● Mutabakat için "&amp;TEXT($J186+7-Hesap!$B$3,"0")&amp;" gün")))))</f>
        <v/>
      </c>
      <c r="U186" s="76">
        <f>IF($Y186="","",IF($Y186&gt;0.3,"⚠ Gecikebilir (%"&amp;TEXT($Y186*100,"0")&amp;" geride)",""))</f>
        <v/>
      </c>
      <c r="V186" s="76">
        <f>IF($C186="","",IF($O186="Tamamlandı","",IF($M186="","",IF($M186&lt;Hesap!$B$3,"⚠ "&amp;TEXT(Hesap!$B$3-$M186,"0")&amp;" gün gecikme",IF($M186-Hesap!$B$3&lt;=14,"● "&amp;TEXT($M186-Hesap!$B$3,"0")&amp;" gün kaldı","")))))</f>
        <v/>
      </c>
      <c r="W186">
        <f>IF($C186="","",IF($O186="Tamamlandı",N($L186),MAX(N($L186),IF(AND($J186&lt;&gt;"",$J186&lt;Hesap!$B$3),Hesap!$B$3-$J186,0)))+ROW()/1000000)</f>
        <v/>
      </c>
      <c r="X186">
        <f>IF($W186="","",INT($W186))</f>
        <v/>
      </c>
      <c r="Y186">
        <f>IF(OR($C186="",$I186="",$K186="",$K186&lt;=0,$O186="Tamamlandı"),"",IF(Hesap!$B$3&lt;$I186,"",MIN(1,(Hesap!$B$3-$I186+1)/$K186)-N($N186)))</f>
        <v/>
      </c>
    </row>
    <row r="187" ht="18" customHeight="1">
      <c r="A187" s="69">
        <f>IF($C187="","",ROW()-4)</f>
        <v/>
      </c>
      <c r="B187" s="70" t="n"/>
      <c r="C187" s="70" t="n"/>
      <c r="D187" s="71" t="n"/>
      <c r="E187" s="71" t="n"/>
      <c r="F187" s="71" t="n"/>
      <c r="G187" s="71" t="n"/>
      <c r="H187" s="71" t="n"/>
      <c r="I187" s="72" t="n"/>
      <c r="J187" s="72" t="n"/>
      <c r="K187" s="73">
        <f>IF(OR($I187="",$J187=""),"",$J187-$I187+1)</f>
        <v/>
      </c>
      <c r="L187" s="56" t="n"/>
      <c r="M187" s="74">
        <f>IF($J187="","",$J187+N($L187))</f>
        <v/>
      </c>
      <c r="N187" s="75" t="n"/>
      <c r="O187" s="69">
        <f>IF($C187="","",IF(N($N187)&gt;=1,"Tamamlandı",IF(AND($J187&lt;&gt;"",$M187&lt;Hesap!$B$3),"Gecikmiş",IF(OR(N($N187)&gt;0,AND($I187&lt;&gt;"",$I187&lt;=Hesap!$B$3)),"Devam Ediyor","Planlanan"))))</f>
        <v/>
      </c>
      <c r="P187" s="70" t="n"/>
      <c r="Q187" s="70" t="n"/>
      <c r="R187" s="72" t="n"/>
      <c r="S187" s="73">
        <f>IF(OR($J187="",$R187=""),"",$R187-$J187)</f>
        <v/>
      </c>
      <c r="T187" s="76">
        <f>IF($C187="","",IF($J187="","",IF($R187&lt;&gt;"",IF($S187&gt;7,"⚠ "&amp;TEXT($S187,"0")&amp;" günde yapıldı (geç)","✔ "&amp;TEXT($S187,"0")&amp;" günde yapıldı"),IF($J187&gt;Hesap!$B$3,"",IF($J187+7&lt;Hesap!$B$3,"⚠ Mutabakat "&amp;TEXT(Hesap!$B$3-($J187+7),"0")&amp;" gün gecikti","● Mutabakat için "&amp;TEXT($J187+7-Hesap!$B$3,"0")&amp;" gün")))))</f>
        <v/>
      </c>
      <c r="U187" s="76">
        <f>IF($Y187="","",IF($Y187&gt;0.3,"⚠ Gecikebilir (%"&amp;TEXT($Y187*100,"0")&amp;" geride)",""))</f>
        <v/>
      </c>
      <c r="V187" s="76">
        <f>IF($C187="","",IF($O187="Tamamlandı","",IF($M187="","",IF($M187&lt;Hesap!$B$3,"⚠ "&amp;TEXT(Hesap!$B$3-$M187,"0")&amp;" gün gecikme",IF($M187-Hesap!$B$3&lt;=14,"● "&amp;TEXT($M187-Hesap!$B$3,"0")&amp;" gün kaldı","")))))</f>
        <v/>
      </c>
      <c r="W187">
        <f>IF($C187="","",IF($O187="Tamamlandı",N($L187),MAX(N($L187),IF(AND($J187&lt;&gt;"",$J187&lt;Hesap!$B$3),Hesap!$B$3-$J187,0)))+ROW()/1000000)</f>
        <v/>
      </c>
      <c r="X187">
        <f>IF($W187="","",INT($W187))</f>
        <v/>
      </c>
      <c r="Y187">
        <f>IF(OR($C187="",$I187="",$K187="",$K187&lt;=0,$O187="Tamamlandı"),"",IF(Hesap!$B$3&lt;$I187,"",MIN(1,(Hesap!$B$3-$I187+1)/$K187)-N($N187)))</f>
        <v/>
      </c>
    </row>
    <row r="188" ht="18" customHeight="1">
      <c r="A188" s="69">
        <f>IF($C188="","",ROW()-4)</f>
        <v/>
      </c>
      <c r="B188" s="70" t="n"/>
      <c r="C188" s="70" t="n"/>
      <c r="D188" s="71" t="n"/>
      <c r="E188" s="71" t="n"/>
      <c r="F188" s="71" t="n"/>
      <c r="G188" s="71" t="n"/>
      <c r="H188" s="71" t="n"/>
      <c r="I188" s="72" t="n"/>
      <c r="J188" s="72" t="n"/>
      <c r="K188" s="73">
        <f>IF(OR($I188="",$J188=""),"",$J188-$I188+1)</f>
        <v/>
      </c>
      <c r="L188" s="56" t="n"/>
      <c r="M188" s="74">
        <f>IF($J188="","",$J188+N($L188))</f>
        <v/>
      </c>
      <c r="N188" s="75" t="n"/>
      <c r="O188" s="69">
        <f>IF($C188="","",IF(N($N188)&gt;=1,"Tamamlandı",IF(AND($J188&lt;&gt;"",$M188&lt;Hesap!$B$3),"Gecikmiş",IF(OR(N($N188)&gt;0,AND($I188&lt;&gt;"",$I188&lt;=Hesap!$B$3)),"Devam Ediyor","Planlanan"))))</f>
        <v/>
      </c>
      <c r="P188" s="70" t="n"/>
      <c r="Q188" s="70" t="n"/>
      <c r="R188" s="72" t="n"/>
      <c r="S188" s="73">
        <f>IF(OR($J188="",$R188=""),"",$R188-$J188)</f>
        <v/>
      </c>
      <c r="T188" s="76">
        <f>IF($C188="","",IF($J188="","",IF($R188&lt;&gt;"",IF($S188&gt;7,"⚠ "&amp;TEXT($S188,"0")&amp;" günde yapıldı (geç)","✔ "&amp;TEXT($S188,"0")&amp;" günde yapıldı"),IF($J188&gt;Hesap!$B$3,"",IF($J188+7&lt;Hesap!$B$3,"⚠ Mutabakat "&amp;TEXT(Hesap!$B$3-($J188+7),"0")&amp;" gün gecikti","● Mutabakat için "&amp;TEXT($J188+7-Hesap!$B$3,"0")&amp;" gün")))))</f>
        <v/>
      </c>
      <c r="U188" s="76">
        <f>IF($Y188="","",IF($Y188&gt;0.3,"⚠ Gecikebilir (%"&amp;TEXT($Y188*100,"0")&amp;" geride)",""))</f>
        <v/>
      </c>
      <c r="V188" s="76">
        <f>IF($C188="","",IF($O188="Tamamlandı","",IF($M188="","",IF($M188&lt;Hesap!$B$3,"⚠ "&amp;TEXT(Hesap!$B$3-$M188,"0")&amp;" gün gecikme",IF($M188-Hesap!$B$3&lt;=14,"● "&amp;TEXT($M188-Hesap!$B$3,"0")&amp;" gün kaldı","")))))</f>
        <v/>
      </c>
      <c r="W188">
        <f>IF($C188="","",IF($O188="Tamamlandı",N($L188),MAX(N($L188),IF(AND($J188&lt;&gt;"",$J188&lt;Hesap!$B$3),Hesap!$B$3-$J188,0)))+ROW()/1000000)</f>
        <v/>
      </c>
      <c r="X188">
        <f>IF($W188="","",INT($W188))</f>
        <v/>
      </c>
      <c r="Y188">
        <f>IF(OR($C188="",$I188="",$K188="",$K188&lt;=0,$O188="Tamamlandı"),"",IF(Hesap!$B$3&lt;$I188,"",MIN(1,(Hesap!$B$3-$I188+1)/$K188)-N($N188)))</f>
        <v/>
      </c>
    </row>
    <row r="189" ht="18" customHeight="1">
      <c r="A189" s="69">
        <f>IF($C189="","",ROW()-4)</f>
        <v/>
      </c>
      <c r="B189" s="70" t="n"/>
      <c r="C189" s="70" t="n"/>
      <c r="D189" s="71" t="n"/>
      <c r="E189" s="71" t="n"/>
      <c r="F189" s="71" t="n"/>
      <c r="G189" s="71" t="n"/>
      <c r="H189" s="71" t="n"/>
      <c r="I189" s="72" t="n"/>
      <c r="J189" s="72" t="n"/>
      <c r="K189" s="73">
        <f>IF(OR($I189="",$J189=""),"",$J189-$I189+1)</f>
        <v/>
      </c>
      <c r="L189" s="56" t="n"/>
      <c r="M189" s="74">
        <f>IF($J189="","",$J189+N($L189))</f>
        <v/>
      </c>
      <c r="N189" s="75" t="n"/>
      <c r="O189" s="69">
        <f>IF($C189="","",IF(N($N189)&gt;=1,"Tamamlandı",IF(AND($J189&lt;&gt;"",$M189&lt;Hesap!$B$3),"Gecikmiş",IF(OR(N($N189)&gt;0,AND($I189&lt;&gt;"",$I189&lt;=Hesap!$B$3)),"Devam Ediyor","Planlanan"))))</f>
        <v/>
      </c>
      <c r="P189" s="70" t="n"/>
      <c r="Q189" s="70" t="n"/>
      <c r="R189" s="72" t="n"/>
      <c r="S189" s="73">
        <f>IF(OR($J189="",$R189=""),"",$R189-$J189)</f>
        <v/>
      </c>
      <c r="T189" s="76">
        <f>IF($C189="","",IF($J189="","",IF($R189&lt;&gt;"",IF($S189&gt;7,"⚠ "&amp;TEXT($S189,"0")&amp;" günde yapıldı (geç)","✔ "&amp;TEXT($S189,"0")&amp;" günde yapıldı"),IF($J189&gt;Hesap!$B$3,"",IF($J189+7&lt;Hesap!$B$3,"⚠ Mutabakat "&amp;TEXT(Hesap!$B$3-($J189+7),"0")&amp;" gün gecikti","● Mutabakat için "&amp;TEXT($J189+7-Hesap!$B$3,"0")&amp;" gün")))))</f>
        <v/>
      </c>
      <c r="U189" s="76">
        <f>IF($Y189="","",IF($Y189&gt;0.3,"⚠ Gecikebilir (%"&amp;TEXT($Y189*100,"0")&amp;" geride)",""))</f>
        <v/>
      </c>
      <c r="V189" s="76">
        <f>IF($C189="","",IF($O189="Tamamlandı","",IF($M189="","",IF($M189&lt;Hesap!$B$3,"⚠ "&amp;TEXT(Hesap!$B$3-$M189,"0")&amp;" gün gecikme",IF($M189-Hesap!$B$3&lt;=14,"● "&amp;TEXT($M189-Hesap!$B$3,"0")&amp;" gün kaldı","")))))</f>
        <v/>
      </c>
      <c r="W189">
        <f>IF($C189="","",IF($O189="Tamamlandı",N($L189),MAX(N($L189),IF(AND($J189&lt;&gt;"",$J189&lt;Hesap!$B$3),Hesap!$B$3-$J189,0)))+ROW()/1000000)</f>
        <v/>
      </c>
      <c r="X189">
        <f>IF($W189="","",INT($W189))</f>
        <v/>
      </c>
      <c r="Y189">
        <f>IF(OR($C189="",$I189="",$K189="",$K189&lt;=0,$O189="Tamamlandı"),"",IF(Hesap!$B$3&lt;$I189,"",MIN(1,(Hesap!$B$3-$I189+1)/$K189)-N($N189)))</f>
        <v/>
      </c>
    </row>
    <row r="190" ht="18" customHeight="1">
      <c r="A190" s="69">
        <f>IF($C190="","",ROW()-4)</f>
        <v/>
      </c>
      <c r="B190" s="70" t="n"/>
      <c r="C190" s="70" t="n"/>
      <c r="D190" s="71" t="n"/>
      <c r="E190" s="71" t="n"/>
      <c r="F190" s="71" t="n"/>
      <c r="G190" s="71" t="n"/>
      <c r="H190" s="71" t="n"/>
      <c r="I190" s="72" t="n"/>
      <c r="J190" s="72" t="n"/>
      <c r="K190" s="73">
        <f>IF(OR($I190="",$J190=""),"",$J190-$I190+1)</f>
        <v/>
      </c>
      <c r="L190" s="56" t="n"/>
      <c r="M190" s="74">
        <f>IF($J190="","",$J190+N($L190))</f>
        <v/>
      </c>
      <c r="N190" s="75" t="n"/>
      <c r="O190" s="69">
        <f>IF($C190="","",IF(N($N190)&gt;=1,"Tamamlandı",IF(AND($J190&lt;&gt;"",$M190&lt;Hesap!$B$3),"Gecikmiş",IF(OR(N($N190)&gt;0,AND($I190&lt;&gt;"",$I190&lt;=Hesap!$B$3)),"Devam Ediyor","Planlanan"))))</f>
        <v/>
      </c>
      <c r="P190" s="70" t="n"/>
      <c r="Q190" s="70" t="n"/>
      <c r="R190" s="72" t="n"/>
      <c r="S190" s="73">
        <f>IF(OR($J190="",$R190=""),"",$R190-$J190)</f>
        <v/>
      </c>
      <c r="T190" s="76">
        <f>IF($C190="","",IF($J190="","",IF($R190&lt;&gt;"",IF($S190&gt;7,"⚠ "&amp;TEXT($S190,"0")&amp;" günde yapıldı (geç)","✔ "&amp;TEXT($S190,"0")&amp;" günde yapıldı"),IF($J190&gt;Hesap!$B$3,"",IF($J190+7&lt;Hesap!$B$3,"⚠ Mutabakat "&amp;TEXT(Hesap!$B$3-($J190+7),"0")&amp;" gün gecikti","● Mutabakat için "&amp;TEXT($J190+7-Hesap!$B$3,"0")&amp;" gün")))))</f>
        <v/>
      </c>
      <c r="U190" s="76">
        <f>IF($Y190="","",IF($Y190&gt;0.3,"⚠ Gecikebilir (%"&amp;TEXT($Y190*100,"0")&amp;" geride)",""))</f>
        <v/>
      </c>
      <c r="V190" s="76">
        <f>IF($C190="","",IF($O190="Tamamlandı","",IF($M190="","",IF($M190&lt;Hesap!$B$3,"⚠ "&amp;TEXT(Hesap!$B$3-$M190,"0")&amp;" gün gecikme",IF($M190-Hesap!$B$3&lt;=14,"● "&amp;TEXT($M190-Hesap!$B$3,"0")&amp;" gün kaldı","")))))</f>
        <v/>
      </c>
      <c r="W190">
        <f>IF($C190="","",IF($O190="Tamamlandı",N($L190),MAX(N($L190),IF(AND($J190&lt;&gt;"",$J190&lt;Hesap!$B$3),Hesap!$B$3-$J190,0)))+ROW()/1000000)</f>
        <v/>
      </c>
      <c r="X190">
        <f>IF($W190="","",INT($W190))</f>
        <v/>
      </c>
      <c r="Y190">
        <f>IF(OR($C190="",$I190="",$K190="",$K190&lt;=0,$O190="Tamamlandı"),"",IF(Hesap!$B$3&lt;$I190,"",MIN(1,(Hesap!$B$3-$I190+1)/$K190)-N($N190)))</f>
        <v/>
      </c>
    </row>
    <row r="191" ht="18" customHeight="1">
      <c r="A191" s="69">
        <f>IF($C191="","",ROW()-4)</f>
        <v/>
      </c>
      <c r="B191" s="70" t="n"/>
      <c r="C191" s="70" t="n"/>
      <c r="D191" s="71" t="n"/>
      <c r="E191" s="71" t="n"/>
      <c r="F191" s="71" t="n"/>
      <c r="G191" s="71" t="n"/>
      <c r="H191" s="71" t="n"/>
      <c r="I191" s="72" t="n"/>
      <c r="J191" s="72" t="n"/>
      <c r="K191" s="73">
        <f>IF(OR($I191="",$J191=""),"",$J191-$I191+1)</f>
        <v/>
      </c>
      <c r="L191" s="56" t="n"/>
      <c r="M191" s="74">
        <f>IF($J191="","",$J191+N($L191))</f>
        <v/>
      </c>
      <c r="N191" s="75" t="n"/>
      <c r="O191" s="69">
        <f>IF($C191="","",IF(N($N191)&gt;=1,"Tamamlandı",IF(AND($J191&lt;&gt;"",$M191&lt;Hesap!$B$3),"Gecikmiş",IF(OR(N($N191)&gt;0,AND($I191&lt;&gt;"",$I191&lt;=Hesap!$B$3)),"Devam Ediyor","Planlanan"))))</f>
        <v/>
      </c>
      <c r="P191" s="70" t="n"/>
      <c r="Q191" s="70" t="n"/>
      <c r="R191" s="72" t="n"/>
      <c r="S191" s="73">
        <f>IF(OR($J191="",$R191=""),"",$R191-$J191)</f>
        <v/>
      </c>
      <c r="T191" s="76">
        <f>IF($C191="","",IF($J191="","",IF($R191&lt;&gt;"",IF($S191&gt;7,"⚠ "&amp;TEXT($S191,"0")&amp;" günde yapıldı (geç)","✔ "&amp;TEXT($S191,"0")&amp;" günde yapıldı"),IF($J191&gt;Hesap!$B$3,"",IF($J191+7&lt;Hesap!$B$3,"⚠ Mutabakat "&amp;TEXT(Hesap!$B$3-($J191+7),"0")&amp;" gün gecikti","● Mutabakat için "&amp;TEXT($J191+7-Hesap!$B$3,"0")&amp;" gün")))))</f>
        <v/>
      </c>
      <c r="U191" s="76">
        <f>IF($Y191="","",IF($Y191&gt;0.3,"⚠ Gecikebilir (%"&amp;TEXT($Y191*100,"0")&amp;" geride)",""))</f>
        <v/>
      </c>
      <c r="V191" s="76">
        <f>IF($C191="","",IF($O191="Tamamlandı","",IF($M191="","",IF($M191&lt;Hesap!$B$3,"⚠ "&amp;TEXT(Hesap!$B$3-$M191,"0")&amp;" gün gecikme",IF($M191-Hesap!$B$3&lt;=14,"● "&amp;TEXT($M191-Hesap!$B$3,"0")&amp;" gün kaldı","")))))</f>
        <v/>
      </c>
      <c r="W191">
        <f>IF($C191="","",IF($O191="Tamamlandı",N($L191),MAX(N($L191),IF(AND($J191&lt;&gt;"",$J191&lt;Hesap!$B$3),Hesap!$B$3-$J191,0)))+ROW()/1000000)</f>
        <v/>
      </c>
      <c r="X191">
        <f>IF($W191="","",INT($W191))</f>
        <v/>
      </c>
      <c r="Y191">
        <f>IF(OR($C191="",$I191="",$K191="",$K191&lt;=0,$O191="Tamamlandı"),"",IF(Hesap!$B$3&lt;$I191,"",MIN(1,(Hesap!$B$3-$I191+1)/$K191)-N($N191)))</f>
        <v/>
      </c>
    </row>
    <row r="192" ht="18" customHeight="1">
      <c r="A192" s="69">
        <f>IF($C192="","",ROW()-4)</f>
        <v/>
      </c>
      <c r="B192" s="70" t="n"/>
      <c r="C192" s="70" t="n"/>
      <c r="D192" s="71" t="n"/>
      <c r="E192" s="71" t="n"/>
      <c r="F192" s="71" t="n"/>
      <c r="G192" s="71" t="n"/>
      <c r="H192" s="71" t="n"/>
      <c r="I192" s="72" t="n"/>
      <c r="J192" s="72" t="n"/>
      <c r="K192" s="73">
        <f>IF(OR($I192="",$J192=""),"",$J192-$I192+1)</f>
        <v/>
      </c>
      <c r="L192" s="56" t="n"/>
      <c r="M192" s="74">
        <f>IF($J192="","",$J192+N($L192))</f>
        <v/>
      </c>
      <c r="N192" s="75" t="n"/>
      <c r="O192" s="69">
        <f>IF($C192="","",IF(N($N192)&gt;=1,"Tamamlandı",IF(AND($J192&lt;&gt;"",$M192&lt;Hesap!$B$3),"Gecikmiş",IF(OR(N($N192)&gt;0,AND($I192&lt;&gt;"",$I192&lt;=Hesap!$B$3)),"Devam Ediyor","Planlanan"))))</f>
        <v/>
      </c>
      <c r="P192" s="70" t="n"/>
      <c r="Q192" s="70" t="n"/>
      <c r="R192" s="72" t="n"/>
      <c r="S192" s="73">
        <f>IF(OR($J192="",$R192=""),"",$R192-$J192)</f>
        <v/>
      </c>
      <c r="T192" s="76">
        <f>IF($C192="","",IF($J192="","",IF($R192&lt;&gt;"",IF($S192&gt;7,"⚠ "&amp;TEXT($S192,"0")&amp;" günde yapıldı (geç)","✔ "&amp;TEXT($S192,"0")&amp;" günde yapıldı"),IF($J192&gt;Hesap!$B$3,"",IF($J192+7&lt;Hesap!$B$3,"⚠ Mutabakat "&amp;TEXT(Hesap!$B$3-($J192+7),"0")&amp;" gün gecikti","● Mutabakat için "&amp;TEXT($J192+7-Hesap!$B$3,"0")&amp;" gün")))))</f>
        <v/>
      </c>
      <c r="U192" s="76">
        <f>IF($Y192="","",IF($Y192&gt;0.3,"⚠ Gecikebilir (%"&amp;TEXT($Y192*100,"0")&amp;" geride)",""))</f>
        <v/>
      </c>
      <c r="V192" s="76">
        <f>IF($C192="","",IF($O192="Tamamlandı","",IF($M192="","",IF($M192&lt;Hesap!$B$3,"⚠ "&amp;TEXT(Hesap!$B$3-$M192,"0")&amp;" gün gecikme",IF($M192-Hesap!$B$3&lt;=14,"● "&amp;TEXT($M192-Hesap!$B$3,"0")&amp;" gün kaldı","")))))</f>
        <v/>
      </c>
      <c r="W192">
        <f>IF($C192="","",IF($O192="Tamamlandı",N($L192),MAX(N($L192),IF(AND($J192&lt;&gt;"",$J192&lt;Hesap!$B$3),Hesap!$B$3-$J192,0)))+ROW()/1000000)</f>
        <v/>
      </c>
      <c r="X192">
        <f>IF($W192="","",INT($W192))</f>
        <v/>
      </c>
      <c r="Y192">
        <f>IF(OR($C192="",$I192="",$K192="",$K192&lt;=0,$O192="Tamamlandı"),"",IF(Hesap!$B$3&lt;$I192,"",MIN(1,(Hesap!$B$3-$I192+1)/$K192)-N($N192)))</f>
        <v/>
      </c>
    </row>
    <row r="193" ht="18" customHeight="1">
      <c r="A193" s="69">
        <f>IF($C193="","",ROW()-4)</f>
        <v/>
      </c>
      <c r="B193" s="70" t="n"/>
      <c r="C193" s="70" t="n"/>
      <c r="D193" s="71" t="n"/>
      <c r="E193" s="71" t="n"/>
      <c r="F193" s="71" t="n"/>
      <c r="G193" s="71" t="n"/>
      <c r="H193" s="71" t="n"/>
      <c r="I193" s="72" t="n"/>
      <c r="J193" s="72" t="n"/>
      <c r="K193" s="73">
        <f>IF(OR($I193="",$J193=""),"",$J193-$I193+1)</f>
        <v/>
      </c>
      <c r="L193" s="56" t="n"/>
      <c r="M193" s="74">
        <f>IF($J193="","",$J193+N($L193))</f>
        <v/>
      </c>
      <c r="N193" s="75" t="n"/>
      <c r="O193" s="69">
        <f>IF($C193="","",IF(N($N193)&gt;=1,"Tamamlandı",IF(AND($J193&lt;&gt;"",$M193&lt;Hesap!$B$3),"Gecikmiş",IF(OR(N($N193)&gt;0,AND($I193&lt;&gt;"",$I193&lt;=Hesap!$B$3)),"Devam Ediyor","Planlanan"))))</f>
        <v/>
      </c>
      <c r="P193" s="70" t="n"/>
      <c r="Q193" s="70" t="n"/>
      <c r="R193" s="72" t="n"/>
      <c r="S193" s="73">
        <f>IF(OR($J193="",$R193=""),"",$R193-$J193)</f>
        <v/>
      </c>
      <c r="T193" s="76">
        <f>IF($C193="","",IF($J193="","",IF($R193&lt;&gt;"",IF($S193&gt;7,"⚠ "&amp;TEXT($S193,"0")&amp;" günde yapıldı (geç)","✔ "&amp;TEXT($S193,"0")&amp;" günde yapıldı"),IF($J193&gt;Hesap!$B$3,"",IF($J193+7&lt;Hesap!$B$3,"⚠ Mutabakat "&amp;TEXT(Hesap!$B$3-($J193+7),"0")&amp;" gün gecikti","● Mutabakat için "&amp;TEXT($J193+7-Hesap!$B$3,"0")&amp;" gün")))))</f>
        <v/>
      </c>
      <c r="U193" s="76">
        <f>IF($Y193="","",IF($Y193&gt;0.3,"⚠ Gecikebilir (%"&amp;TEXT($Y193*100,"0")&amp;" geride)",""))</f>
        <v/>
      </c>
      <c r="V193" s="76">
        <f>IF($C193="","",IF($O193="Tamamlandı","",IF($M193="","",IF($M193&lt;Hesap!$B$3,"⚠ "&amp;TEXT(Hesap!$B$3-$M193,"0")&amp;" gün gecikme",IF($M193-Hesap!$B$3&lt;=14,"● "&amp;TEXT($M193-Hesap!$B$3,"0")&amp;" gün kaldı","")))))</f>
        <v/>
      </c>
      <c r="W193">
        <f>IF($C193="","",IF($O193="Tamamlandı",N($L193),MAX(N($L193),IF(AND($J193&lt;&gt;"",$J193&lt;Hesap!$B$3),Hesap!$B$3-$J193,0)))+ROW()/1000000)</f>
        <v/>
      </c>
      <c r="X193">
        <f>IF($W193="","",INT($W193))</f>
        <v/>
      </c>
      <c r="Y193">
        <f>IF(OR($C193="",$I193="",$K193="",$K193&lt;=0,$O193="Tamamlandı"),"",IF(Hesap!$B$3&lt;$I193,"",MIN(1,(Hesap!$B$3-$I193+1)/$K193)-N($N193)))</f>
        <v/>
      </c>
    </row>
    <row r="194" ht="18" customHeight="1">
      <c r="A194" s="69">
        <f>IF($C194="","",ROW()-4)</f>
        <v/>
      </c>
      <c r="B194" s="70" t="n"/>
      <c r="C194" s="70" t="n"/>
      <c r="D194" s="71" t="n"/>
      <c r="E194" s="71" t="n"/>
      <c r="F194" s="71" t="n"/>
      <c r="G194" s="71" t="n"/>
      <c r="H194" s="71" t="n"/>
      <c r="I194" s="72" t="n"/>
      <c r="J194" s="72" t="n"/>
      <c r="K194" s="73">
        <f>IF(OR($I194="",$J194=""),"",$J194-$I194+1)</f>
        <v/>
      </c>
      <c r="L194" s="56" t="n"/>
      <c r="M194" s="74">
        <f>IF($J194="","",$J194+N($L194))</f>
        <v/>
      </c>
      <c r="N194" s="75" t="n"/>
      <c r="O194" s="69">
        <f>IF($C194="","",IF(N($N194)&gt;=1,"Tamamlandı",IF(AND($J194&lt;&gt;"",$M194&lt;Hesap!$B$3),"Gecikmiş",IF(OR(N($N194)&gt;0,AND($I194&lt;&gt;"",$I194&lt;=Hesap!$B$3)),"Devam Ediyor","Planlanan"))))</f>
        <v/>
      </c>
      <c r="P194" s="70" t="n"/>
      <c r="Q194" s="70" t="n"/>
      <c r="R194" s="72" t="n"/>
      <c r="S194" s="73">
        <f>IF(OR($J194="",$R194=""),"",$R194-$J194)</f>
        <v/>
      </c>
      <c r="T194" s="76">
        <f>IF($C194="","",IF($J194="","",IF($R194&lt;&gt;"",IF($S194&gt;7,"⚠ "&amp;TEXT($S194,"0")&amp;" günde yapıldı (geç)","✔ "&amp;TEXT($S194,"0")&amp;" günde yapıldı"),IF($J194&gt;Hesap!$B$3,"",IF($J194+7&lt;Hesap!$B$3,"⚠ Mutabakat "&amp;TEXT(Hesap!$B$3-($J194+7),"0")&amp;" gün gecikti","● Mutabakat için "&amp;TEXT($J194+7-Hesap!$B$3,"0")&amp;" gün")))))</f>
        <v/>
      </c>
      <c r="U194" s="76">
        <f>IF($Y194="","",IF($Y194&gt;0.3,"⚠ Gecikebilir (%"&amp;TEXT($Y194*100,"0")&amp;" geride)",""))</f>
        <v/>
      </c>
      <c r="V194" s="76">
        <f>IF($C194="","",IF($O194="Tamamlandı","",IF($M194="","",IF($M194&lt;Hesap!$B$3,"⚠ "&amp;TEXT(Hesap!$B$3-$M194,"0")&amp;" gün gecikme",IF($M194-Hesap!$B$3&lt;=14,"● "&amp;TEXT($M194-Hesap!$B$3,"0")&amp;" gün kaldı","")))))</f>
        <v/>
      </c>
      <c r="W194">
        <f>IF($C194="","",IF($O194="Tamamlandı",N($L194),MAX(N($L194),IF(AND($J194&lt;&gt;"",$J194&lt;Hesap!$B$3),Hesap!$B$3-$J194,0)))+ROW()/1000000)</f>
        <v/>
      </c>
      <c r="X194">
        <f>IF($W194="","",INT($W194))</f>
        <v/>
      </c>
      <c r="Y194">
        <f>IF(OR($C194="",$I194="",$K194="",$K194&lt;=0,$O194="Tamamlandı"),"",IF(Hesap!$B$3&lt;$I194,"",MIN(1,(Hesap!$B$3-$I194+1)/$K194)-N($N194)))</f>
        <v/>
      </c>
    </row>
    <row r="195" ht="18" customHeight="1">
      <c r="A195" s="69">
        <f>IF($C195="","",ROW()-4)</f>
        <v/>
      </c>
      <c r="B195" s="70" t="n"/>
      <c r="C195" s="70" t="n"/>
      <c r="D195" s="71" t="n"/>
      <c r="E195" s="71" t="n"/>
      <c r="F195" s="71" t="n"/>
      <c r="G195" s="71" t="n"/>
      <c r="H195" s="71" t="n"/>
      <c r="I195" s="72" t="n"/>
      <c r="J195" s="72" t="n"/>
      <c r="K195" s="73">
        <f>IF(OR($I195="",$J195=""),"",$J195-$I195+1)</f>
        <v/>
      </c>
      <c r="L195" s="56" t="n"/>
      <c r="M195" s="74">
        <f>IF($J195="","",$J195+N($L195))</f>
        <v/>
      </c>
      <c r="N195" s="75" t="n"/>
      <c r="O195" s="69">
        <f>IF($C195="","",IF(N($N195)&gt;=1,"Tamamlandı",IF(AND($J195&lt;&gt;"",$M195&lt;Hesap!$B$3),"Gecikmiş",IF(OR(N($N195)&gt;0,AND($I195&lt;&gt;"",$I195&lt;=Hesap!$B$3)),"Devam Ediyor","Planlanan"))))</f>
        <v/>
      </c>
      <c r="P195" s="70" t="n"/>
      <c r="Q195" s="70" t="n"/>
      <c r="R195" s="72" t="n"/>
      <c r="S195" s="73">
        <f>IF(OR($J195="",$R195=""),"",$R195-$J195)</f>
        <v/>
      </c>
      <c r="T195" s="76">
        <f>IF($C195="","",IF($J195="","",IF($R195&lt;&gt;"",IF($S195&gt;7,"⚠ "&amp;TEXT($S195,"0")&amp;" günde yapıldı (geç)","✔ "&amp;TEXT($S195,"0")&amp;" günde yapıldı"),IF($J195&gt;Hesap!$B$3,"",IF($J195+7&lt;Hesap!$B$3,"⚠ Mutabakat "&amp;TEXT(Hesap!$B$3-($J195+7),"0")&amp;" gün gecikti","● Mutabakat için "&amp;TEXT($J195+7-Hesap!$B$3,"0")&amp;" gün")))))</f>
        <v/>
      </c>
      <c r="U195" s="76">
        <f>IF($Y195="","",IF($Y195&gt;0.3,"⚠ Gecikebilir (%"&amp;TEXT($Y195*100,"0")&amp;" geride)",""))</f>
        <v/>
      </c>
      <c r="V195" s="76">
        <f>IF($C195="","",IF($O195="Tamamlandı","",IF($M195="","",IF($M195&lt;Hesap!$B$3,"⚠ "&amp;TEXT(Hesap!$B$3-$M195,"0")&amp;" gün gecikme",IF($M195-Hesap!$B$3&lt;=14,"● "&amp;TEXT($M195-Hesap!$B$3,"0")&amp;" gün kaldı","")))))</f>
        <v/>
      </c>
      <c r="W195">
        <f>IF($C195="","",IF($O195="Tamamlandı",N($L195),MAX(N($L195),IF(AND($J195&lt;&gt;"",$J195&lt;Hesap!$B$3),Hesap!$B$3-$J195,0)))+ROW()/1000000)</f>
        <v/>
      </c>
      <c r="X195">
        <f>IF($W195="","",INT($W195))</f>
        <v/>
      </c>
      <c r="Y195">
        <f>IF(OR($C195="",$I195="",$K195="",$K195&lt;=0,$O195="Tamamlandı"),"",IF(Hesap!$B$3&lt;$I195,"",MIN(1,(Hesap!$B$3-$I195+1)/$K195)-N($N195)))</f>
        <v/>
      </c>
    </row>
    <row r="196" ht="18" customHeight="1">
      <c r="A196" s="69">
        <f>IF($C196="","",ROW()-4)</f>
        <v/>
      </c>
      <c r="B196" s="70" t="n"/>
      <c r="C196" s="70" t="n"/>
      <c r="D196" s="71" t="n"/>
      <c r="E196" s="71" t="n"/>
      <c r="F196" s="71" t="n"/>
      <c r="G196" s="71" t="n"/>
      <c r="H196" s="71" t="n"/>
      <c r="I196" s="72" t="n"/>
      <c r="J196" s="72" t="n"/>
      <c r="K196" s="73">
        <f>IF(OR($I196="",$J196=""),"",$J196-$I196+1)</f>
        <v/>
      </c>
      <c r="L196" s="56" t="n"/>
      <c r="M196" s="74">
        <f>IF($J196="","",$J196+N($L196))</f>
        <v/>
      </c>
      <c r="N196" s="75" t="n"/>
      <c r="O196" s="69">
        <f>IF($C196="","",IF(N($N196)&gt;=1,"Tamamlandı",IF(AND($J196&lt;&gt;"",$M196&lt;Hesap!$B$3),"Gecikmiş",IF(OR(N($N196)&gt;0,AND($I196&lt;&gt;"",$I196&lt;=Hesap!$B$3)),"Devam Ediyor","Planlanan"))))</f>
        <v/>
      </c>
      <c r="P196" s="70" t="n"/>
      <c r="Q196" s="70" t="n"/>
      <c r="R196" s="72" t="n"/>
      <c r="S196" s="73">
        <f>IF(OR($J196="",$R196=""),"",$R196-$J196)</f>
        <v/>
      </c>
      <c r="T196" s="76">
        <f>IF($C196="","",IF($J196="","",IF($R196&lt;&gt;"",IF($S196&gt;7,"⚠ "&amp;TEXT($S196,"0")&amp;" günde yapıldı (geç)","✔ "&amp;TEXT($S196,"0")&amp;" günde yapıldı"),IF($J196&gt;Hesap!$B$3,"",IF($J196+7&lt;Hesap!$B$3,"⚠ Mutabakat "&amp;TEXT(Hesap!$B$3-($J196+7),"0")&amp;" gün gecikti","● Mutabakat için "&amp;TEXT($J196+7-Hesap!$B$3,"0")&amp;" gün")))))</f>
        <v/>
      </c>
      <c r="U196" s="76">
        <f>IF($Y196="","",IF($Y196&gt;0.3,"⚠ Gecikebilir (%"&amp;TEXT($Y196*100,"0")&amp;" geride)",""))</f>
        <v/>
      </c>
      <c r="V196" s="76">
        <f>IF($C196="","",IF($O196="Tamamlandı","",IF($M196="","",IF($M196&lt;Hesap!$B$3,"⚠ "&amp;TEXT(Hesap!$B$3-$M196,"0")&amp;" gün gecikme",IF($M196-Hesap!$B$3&lt;=14,"● "&amp;TEXT($M196-Hesap!$B$3,"0")&amp;" gün kaldı","")))))</f>
        <v/>
      </c>
      <c r="W196">
        <f>IF($C196="","",IF($O196="Tamamlandı",N($L196),MAX(N($L196),IF(AND($J196&lt;&gt;"",$J196&lt;Hesap!$B$3),Hesap!$B$3-$J196,0)))+ROW()/1000000)</f>
        <v/>
      </c>
      <c r="X196">
        <f>IF($W196="","",INT($W196))</f>
        <v/>
      </c>
      <c r="Y196">
        <f>IF(OR($C196="",$I196="",$K196="",$K196&lt;=0,$O196="Tamamlandı"),"",IF(Hesap!$B$3&lt;$I196,"",MIN(1,(Hesap!$B$3-$I196+1)/$K196)-N($N196)))</f>
        <v/>
      </c>
    </row>
    <row r="197" ht="18" customHeight="1">
      <c r="A197" s="69">
        <f>IF($C197="","",ROW()-4)</f>
        <v/>
      </c>
      <c r="B197" s="70" t="n"/>
      <c r="C197" s="70" t="n"/>
      <c r="D197" s="71" t="n"/>
      <c r="E197" s="71" t="n"/>
      <c r="F197" s="71" t="n"/>
      <c r="G197" s="71" t="n"/>
      <c r="H197" s="71" t="n"/>
      <c r="I197" s="72" t="n"/>
      <c r="J197" s="72" t="n"/>
      <c r="K197" s="73">
        <f>IF(OR($I197="",$J197=""),"",$J197-$I197+1)</f>
        <v/>
      </c>
      <c r="L197" s="56" t="n"/>
      <c r="M197" s="74">
        <f>IF($J197="","",$J197+N($L197))</f>
        <v/>
      </c>
      <c r="N197" s="75" t="n"/>
      <c r="O197" s="69">
        <f>IF($C197="","",IF(N($N197)&gt;=1,"Tamamlandı",IF(AND($J197&lt;&gt;"",$M197&lt;Hesap!$B$3),"Gecikmiş",IF(OR(N($N197)&gt;0,AND($I197&lt;&gt;"",$I197&lt;=Hesap!$B$3)),"Devam Ediyor","Planlanan"))))</f>
        <v/>
      </c>
      <c r="P197" s="70" t="n"/>
      <c r="Q197" s="70" t="n"/>
      <c r="R197" s="72" t="n"/>
      <c r="S197" s="73">
        <f>IF(OR($J197="",$R197=""),"",$R197-$J197)</f>
        <v/>
      </c>
      <c r="T197" s="76">
        <f>IF($C197="","",IF($J197="","",IF($R197&lt;&gt;"",IF($S197&gt;7,"⚠ "&amp;TEXT($S197,"0")&amp;" günde yapıldı (geç)","✔ "&amp;TEXT($S197,"0")&amp;" günde yapıldı"),IF($J197&gt;Hesap!$B$3,"",IF($J197+7&lt;Hesap!$B$3,"⚠ Mutabakat "&amp;TEXT(Hesap!$B$3-($J197+7),"0")&amp;" gün gecikti","● Mutabakat için "&amp;TEXT($J197+7-Hesap!$B$3,"0")&amp;" gün")))))</f>
        <v/>
      </c>
      <c r="U197" s="76">
        <f>IF($Y197="","",IF($Y197&gt;0.3,"⚠ Gecikebilir (%"&amp;TEXT($Y197*100,"0")&amp;" geride)",""))</f>
        <v/>
      </c>
      <c r="V197" s="76">
        <f>IF($C197="","",IF($O197="Tamamlandı","",IF($M197="","",IF($M197&lt;Hesap!$B$3,"⚠ "&amp;TEXT(Hesap!$B$3-$M197,"0")&amp;" gün gecikme",IF($M197-Hesap!$B$3&lt;=14,"● "&amp;TEXT($M197-Hesap!$B$3,"0")&amp;" gün kaldı","")))))</f>
        <v/>
      </c>
      <c r="W197">
        <f>IF($C197="","",IF($O197="Tamamlandı",N($L197),MAX(N($L197),IF(AND($J197&lt;&gt;"",$J197&lt;Hesap!$B$3),Hesap!$B$3-$J197,0)))+ROW()/1000000)</f>
        <v/>
      </c>
      <c r="X197">
        <f>IF($W197="","",INT($W197))</f>
        <v/>
      </c>
      <c r="Y197">
        <f>IF(OR($C197="",$I197="",$K197="",$K197&lt;=0,$O197="Tamamlandı"),"",IF(Hesap!$B$3&lt;$I197,"",MIN(1,(Hesap!$B$3-$I197+1)/$K197)-N($N197)))</f>
        <v/>
      </c>
    </row>
    <row r="198" ht="18" customHeight="1">
      <c r="A198" s="69">
        <f>IF($C198="","",ROW()-4)</f>
        <v/>
      </c>
      <c r="B198" s="70" t="n"/>
      <c r="C198" s="70" t="n"/>
      <c r="D198" s="71" t="n"/>
      <c r="E198" s="71" t="n"/>
      <c r="F198" s="71" t="n"/>
      <c r="G198" s="71" t="n"/>
      <c r="H198" s="71" t="n"/>
      <c r="I198" s="72" t="n"/>
      <c r="J198" s="72" t="n"/>
      <c r="K198" s="73">
        <f>IF(OR($I198="",$J198=""),"",$J198-$I198+1)</f>
        <v/>
      </c>
      <c r="L198" s="56" t="n"/>
      <c r="M198" s="74">
        <f>IF($J198="","",$J198+N($L198))</f>
        <v/>
      </c>
      <c r="N198" s="75" t="n"/>
      <c r="O198" s="69">
        <f>IF($C198="","",IF(N($N198)&gt;=1,"Tamamlandı",IF(AND($J198&lt;&gt;"",$M198&lt;Hesap!$B$3),"Gecikmiş",IF(OR(N($N198)&gt;0,AND($I198&lt;&gt;"",$I198&lt;=Hesap!$B$3)),"Devam Ediyor","Planlanan"))))</f>
        <v/>
      </c>
      <c r="P198" s="70" t="n"/>
      <c r="Q198" s="70" t="n"/>
      <c r="R198" s="72" t="n"/>
      <c r="S198" s="73">
        <f>IF(OR($J198="",$R198=""),"",$R198-$J198)</f>
        <v/>
      </c>
      <c r="T198" s="76">
        <f>IF($C198="","",IF($J198="","",IF($R198&lt;&gt;"",IF($S198&gt;7,"⚠ "&amp;TEXT($S198,"0")&amp;" günde yapıldı (geç)","✔ "&amp;TEXT($S198,"0")&amp;" günde yapıldı"),IF($J198&gt;Hesap!$B$3,"",IF($J198+7&lt;Hesap!$B$3,"⚠ Mutabakat "&amp;TEXT(Hesap!$B$3-($J198+7),"0")&amp;" gün gecikti","● Mutabakat için "&amp;TEXT($J198+7-Hesap!$B$3,"0")&amp;" gün")))))</f>
        <v/>
      </c>
      <c r="U198" s="76">
        <f>IF($Y198="","",IF($Y198&gt;0.3,"⚠ Gecikebilir (%"&amp;TEXT($Y198*100,"0")&amp;" geride)",""))</f>
        <v/>
      </c>
      <c r="V198" s="76">
        <f>IF($C198="","",IF($O198="Tamamlandı","",IF($M198="","",IF($M198&lt;Hesap!$B$3,"⚠ "&amp;TEXT(Hesap!$B$3-$M198,"0")&amp;" gün gecikme",IF($M198-Hesap!$B$3&lt;=14,"● "&amp;TEXT($M198-Hesap!$B$3,"0")&amp;" gün kaldı","")))))</f>
        <v/>
      </c>
      <c r="W198">
        <f>IF($C198="","",IF($O198="Tamamlandı",N($L198),MAX(N($L198),IF(AND($J198&lt;&gt;"",$J198&lt;Hesap!$B$3),Hesap!$B$3-$J198,0)))+ROW()/1000000)</f>
        <v/>
      </c>
      <c r="X198">
        <f>IF($W198="","",INT($W198))</f>
        <v/>
      </c>
      <c r="Y198">
        <f>IF(OR($C198="",$I198="",$K198="",$K198&lt;=0,$O198="Tamamlandı"),"",IF(Hesap!$B$3&lt;$I198,"",MIN(1,(Hesap!$B$3-$I198+1)/$K198)-N($N198)))</f>
        <v/>
      </c>
    </row>
    <row r="199" ht="18" customHeight="1">
      <c r="A199" s="69">
        <f>IF($C199="","",ROW()-4)</f>
        <v/>
      </c>
      <c r="B199" s="70" t="n"/>
      <c r="C199" s="70" t="n"/>
      <c r="D199" s="71" t="n"/>
      <c r="E199" s="71" t="n"/>
      <c r="F199" s="71" t="n"/>
      <c r="G199" s="71" t="n"/>
      <c r="H199" s="71" t="n"/>
      <c r="I199" s="72" t="n"/>
      <c r="J199" s="72" t="n"/>
      <c r="K199" s="73">
        <f>IF(OR($I199="",$J199=""),"",$J199-$I199+1)</f>
        <v/>
      </c>
      <c r="L199" s="56" t="n"/>
      <c r="M199" s="74">
        <f>IF($J199="","",$J199+N($L199))</f>
        <v/>
      </c>
      <c r="N199" s="75" t="n"/>
      <c r="O199" s="69">
        <f>IF($C199="","",IF(N($N199)&gt;=1,"Tamamlandı",IF(AND($J199&lt;&gt;"",$M199&lt;Hesap!$B$3),"Gecikmiş",IF(OR(N($N199)&gt;0,AND($I199&lt;&gt;"",$I199&lt;=Hesap!$B$3)),"Devam Ediyor","Planlanan"))))</f>
        <v/>
      </c>
      <c r="P199" s="70" t="n"/>
      <c r="Q199" s="70" t="n"/>
      <c r="R199" s="72" t="n"/>
      <c r="S199" s="73">
        <f>IF(OR($J199="",$R199=""),"",$R199-$J199)</f>
        <v/>
      </c>
      <c r="T199" s="76">
        <f>IF($C199="","",IF($J199="","",IF($R199&lt;&gt;"",IF($S199&gt;7,"⚠ "&amp;TEXT($S199,"0")&amp;" günde yapıldı (geç)","✔ "&amp;TEXT($S199,"0")&amp;" günde yapıldı"),IF($J199&gt;Hesap!$B$3,"",IF($J199+7&lt;Hesap!$B$3,"⚠ Mutabakat "&amp;TEXT(Hesap!$B$3-($J199+7),"0")&amp;" gün gecikti","● Mutabakat için "&amp;TEXT($J199+7-Hesap!$B$3,"0")&amp;" gün")))))</f>
        <v/>
      </c>
      <c r="U199" s="76">
        <f>IF($Y199="","",IF($Y199&gt;0.3,"⚠ Gecikebilir (%"&amp;TEXT($Y199*100,"0")&amp;" geride)",""))</f>
        <v/>
      </c>
      <c r="V199" s="76">
        <f>IF($C199="","",IF($O199="Tamamlandı","",IF($M199="","",IF($M199&lt;Hesap!$B$3,"⚠ "&amp;TEXT(Hesap!$B$3-$M199,"0")&amp;" gün gecikme",IF($M199-Hesap!$B$3&lt;=14,"● "&amp;TEXT($M199-Hesap!$B$3,"0")&amp;" gün kaldı","")))))</f>
        <v/>
      </c>
      <c r="W199">
        <f>IF($C199="","",IF($O199="Tamamlandı",N($L199),MAX(N($L199),IF(AND($J199&lt;&gt;"",$J199&lt;Hesap!$B$3),Hesap!$B$3-$J199,0)))+ROW()/1000000)</f>
        <v/>
      </c>
      <c r="X199">
        <f>IF($W199="","",INT($W199))</f>
        <v/>
      </c>
      <c r="Y199">
        <f>IF(OR($C199="",$I199="",$K199="",$K199&lt;=0,$O199="Tamamlandı"),"",IF(Hesap!$B$3&lt;$I199,"",MIN(1,(Hesap!$B$3-$I199+1)/$K199)-N($N199)))</f>
        <v/>
      </c>
    </row>
    <row r="200" ht="18" customHeight="1">
      <c r="A200" s="69">
        <f>IF($C200="","",ROW()-4)</f>
        <v/>
      </c>
      <c r="B200" s="70" t="n"/>
      <c r="C200" s="70" t="n"/>
      <c r="D200" s="71" t="n"/>
      <c r="E200" s="71" t="n"/>
      <c r="F200" s="71" t="n"/>
      <c r="G200" s="71" t="n"/>
      <c r="H200" s="71" t="n"/>
      <c r="I200" s="72" t="n"/>
      <c r="J200" s="72" t="n"/>
      <c r="K200" s="73">
        <f>IF(OR($I200="",$J200=""),"",$J200-$I200+1)</f>
        <v/>
      </c>
      <c r="L200" s="56" t="n"/>
      <c r="M200" s="74">
        <f>IF($J200="","",$J200+N($L200))</f>
        <v/>
      </c>
      <c r="N200" s="75" t="n"/>
      <c r="O200" s="69">
        <f>IF($C200="","",IF(N($N200)&gt;=1,"Tamamlandı",IF(AND($J200&lt;&gt;"",$M200&lt;Hesap!$B$3),"Gecikmiş",IF(OR(N($N200)&gt;0,AND($I200&lt;&gt;"",$I200&lt;=Hesap!$B$3)),"Devam Ediyor","Planlanan"))))</f>
        <v/>
      </c>
      <c r="P200" s="70" t="n"/>
      <c r="Q200" s="70" t="n"/>
      <c r="R200" s="72" t="n"/>
      <c r="S200" s="73">
        <f>IF(OR($J200="",$R200=""),"",$R200-$J200)</f>
        <v/>
      </c>
      <c r="T200" s="76">
        <f>IF($C200="","",IF($J200="","",IF($R200&lt;&gt;"",IF($S200&gt;7,"⚠ "&amp;TEXT($S200,"0")&amp;" günde yapıldı (geç)","✔ "&amp;TEXT($S200,"0")&amp;" günde yapıldı"),IF($J200&gt;Hesap!$B$3,"",IF($J200+7&lt;Hesap!$B$3,"⚠ Mutabakat "&amp;TEXT(Hesap!$B$3-($J200+7),"0")&amp;" gün gecikti","● Mutabakat için "&amp;TEXT($J200+7-Hesap!$B$3,"0")&amp;" gün")))))</f>
        <v/>
      </c>
      <c r="U200" s="76">
        <f>IF($Y200="","",IF($Y200&gt;0.3,"⚠ Gecikebilir (%"&amp;TEXT($Y200*100,"0")&amp;" geride)",""))</f>
        <v/>
      </c>
      <c r="V200" s="76">
        <f>IF($C200="","",IF($O200="Tamamlandı","",IF($M200="","",IF($M200&lt;Hesap!$B$3,"⚠ "&amp;TEXT(Hesap!$B$3-$M200,"0")&amp;" gün gecikme",IF($M200-Hesap!$B$3&lt;=14,"● "&amp;TEXT($M200-Hesap!$B$3,"0")&amp;" gün kaldı","")))))</f>
        <v/>
      </c>
      <c r="W200">
        <f>IF($C200="","",IF($O200="Tamamlandı",N($L200),MAX(N($L200),IF(AND($J200&lt;&gt;"",$J200&lt;Hesap!$B$3),Hesap!$B$3-$J200,0)))+ROW()/1000000)</f>
        <v/>
      </c>
      <c r="X200">
        <f>IF($W200="","",INT($W200))</f>
        <v/>
      </c>
      <c r="Y200">
        <f>IF(OR($C200="",$I200="",$K200="",$K200&lt;=0,$O200="Tamamlandı"),"",IF(Hesap!$B$3&lt;$I200,"",MIN(1,(Hesap!$B$3-$I200+1)/$K200)-N($N200)))</f>
        <v/>
      </c>
    </row>
    <row r="201" ht="18" customHeight="1">
      <c r="A201" s="69">
        <f>IF($C201="","",ROW()-4)</f>
        <v/>
      </c>
      <c r="B201" s="70" t="n"/>
      <c r="C201" s="70" t="n"/>
      <c r="D201" s="71" t="n"/>
      <c r="E201" s="71" t="n"/>
      <c r="F201" s="71" t="n"/>
      <c r="G201" s="71" t="n"/>
      <c r="H201" s="71" t="n"/>
      <c r="I201" s="72" t="n"/>
      <c r="J201" s="72" t="n"/>
      <c r="K201" s="73">
        <f>IF(OR($I201="",$J201=""),"",$J201-$I201+1)</f>
        <v/>
      </c>
      <c r="L201" s="56" t="n"/>
      <c r="M201" s="74">
        <f>IF($J201="","",$J201+N($L201))</f>
        <v/>
      </c>
      <c r="N201" s="75" t="n"/>
      <c r="O201" s="69">
        <f>IF($C201="","",IF(N($N201)&gt;=1,"Tamamlandı",IF(AND($J201&lt;&gt;"",$M201&lt;Hesap!$B$3),"Gecikmiş",IF(OR(N($N201)&gt;0,AND($I201&lt;&gt;"",$I201&lt;=Hesap!$B$3)),"Devam Ediyor","Planlanan"))))</f>
        <v/>
      </c>
      <c r="P201" s="70" t="n"/>
      <c r="Q201" s="70" t="n"/>
      <c r="R201" s="72" t="n"/>
      <c r="S201" s="73">
        <f>IF(OR($J201="",$R201=""),"",$R201-$J201)</f>
        <v/>
      </c>
      <c r="T201" s="76">
        <f>IF($C201="","",IF($J201="","",IF($R201&lt;&gt;"",IF($S201&gt;7,"⚠ "&amp;TEXT($S201,"0")&amp;" günde yapıldı (geç)","✔ "&amp;TEXT($S201,"0")&amp;" günde yapıldı"),IF($J201&gt;Hesap!$B$3,"",IF($J201+7&lt;Hesap!$B$3,"⚠ Mutabakat "&amp;TEXT(Hesap!$B$3-($J201+7),"0")&amp;" gün gecikti","● Mutabakat için "&amp;TEXT($J201+7-Hesap!$B$3,"0")&amp;" gün")))))</f>
        <v/>
      </c>
      <c r="U201" s="76">
        <f>IF($Y201="","",IF($Y201&gt;0.3,"⚠ Gecikebilir (%"&amp;TEXT($Y201*100,"0")&amp;" geride)",""))</f>
        <v/>
      </c>
      <c r="V201" s="76">
        <f>IF($C201="","",IF($O201="Tamamlandı","",IF($M201="","",IF($M201&lt;Hesap!$B$3,"⚠ "&amp;TEXT(Hesap!$B$3-$M201,"0")&amp;" gün gecikme",IF($M201-Hesap!$B$3&lt;=14,"● "&amp;TEXT($M201-Hesap!$B$3,"0")&amp;" gün kaldı","")))))</f>
        <v/>
      </c>
      <c r="W201">
        <f>IF($C201="","",IF($O201="Tamamlandı",N($L201),MAX(N($L201),IF(AND($J201&lt;&gt;"",$J201&lt;Hesap!$B$3),Hesap!$B$3-$J201,0)))+ROW()/1000000)</f>
        <v/>
      </c>
      <c r="X201">
        <f>IF($W201="","",INT($W201))</f>
        <v/>
      </c>
      <c r="Y201">
        <f>IF(OR($C201="",$I201="",$K201="",$K201&lt;=0,$O201="Tamamlandı"),"",IF(Hesap!$B$3&lt;$I201,"",MIN(1,(Hesap!$B$3-$I201+1)/$K201)-N($N201)))</f>
        <v/>
      </c>
    </row>
    <row r="202" ht="18" customHeight="1">
      <c r="A202" s="69">
        <f>IF($C202="","",ROW()-4)</f>
        <v/>
      </c>
      <c r="B202" s="70" t="n"/>
      <c r="C202" s="70" t="n"/>
      <c r="D202" s="71" t="n"/>
      <c r="E202" s="71" t="n"/>
      <c r="F202" s="71" t="n"/>
      <c r="G202" s="71" t="n"/>
      <c r="H202" s="71" t="n"/>
      <c r="I202" s="72" t="n"/>
      <c r="J202" s="72" t="n"/>
      <c r="K202" s="73">
        <f>IF(OR($I202="",$J202=""),"",$J202-$I202+1)</f>
        <v/>
      </c>
      <c r="L202" s="56" t="n"/>
      <c r="M202" s="74">
        <f>IF($J202="","",$J202+N($L202))</f>
        <v/>
      </c>
      <c r="N202" s="75" t="n"/>
      <c r="O202" s="69">
        <f>IF($C202="","",IF(N($N202)&gt;=1,"Tamamlandı",IF(AND($J202&lt;&gt;"",$M202&lt;Hesap!$B$3),"Gecikmiş",IF(OR(N($N202)&gt;0,AND($I202&lt;&gt;"",$I202&lt;=Hesap!$B$3)),"Devam Ediyor","Planlanan"))))</f>
        <v/>
      </c>
      <c r="P202" s="70" t="n"/>
      <c r="Q202" s="70" t="n"/>
      <c r="R202" s="72" t="n"/>
      <c r="S202" s="73">
        <f>IF(OR($J202="",$R202=""),"",$R202-$J202)</f>
        <v/>
      </c>
      <c r="T202" s="76">
        <f>IF($C202="","",IF($J202="","",IF($R202&lt;&gt;"",IF($S202&gt;7,"⚠ "&amp;TEXT($S202,"0")&amp;" günde yapıldı (geç)","✔ "&amp;TEXT($S202,"0")&amp;" günde yapıldı"),IF($J202&gt;Hesap!$B$3,"",IF($J202+7&lt;Hesap!$B$3,"⚠ Mutabakat "&amp;TEXT(Hesap!$B$3-($J202+7),"0")&amp;" gün gecikti","● Mutabakat için "&amp;TEXT($J202+7-Hesap!$B$3,"0")&amp;" gün")))))</f>
        <v/>
      </c>
      <c r="U202" s="76">
        <f>IF($Y202="","",IF($Y202&gt;0.3,"⚠ Gecikebilir (%"&amp;TEXT($Y202*100,"0")&amp;" geride)",""))</f>
        <v/>
      </c>
      <c r="V202" s="76">
        <f>IF($C202="","",IF($O202="Tamamlandı","",IF($M202="","",IF($M202&lt;Hesap!$B$3,"⚠ "&amp;TEXT(Hesap!$B$3-$M202,"0")&amp;" gün gecikme",IF($M202-Hesap!$B$3&lt;=14,"● "&amp;TEXT($M202-Hesap!$B$3,"0")&amp;" gün kaldı","")))))</f>
        <v/>
      </c>
      <c r="W202">
        <f>IF($C202="","",IF($O202="Tamamlandı",N($L202),MAX(N($L202),IF(AND($J202&lt;&gt;"",$J202&lt;Hesap!$B$3),Hesap!$B$3-$J202,0)))+ROW()/1000000)</f>
        <v/>
      </c>
      <c r="X202">
        <f>IF($W202="","",INT($W202))</f>
        <v/>
      </c>
      <c r="Y202">
        <f>IF(OR($C202="",$I202="",$K202="",$K202&lt;=0,$O202="Tamamlandı"),"",IF(Hesap!$B$3&lt;$I202,"",MIN(1,(Hesap!$B$3-$I202+1)/$K202)-N($N202)))</f>
        <v/>
      </c>
    </row>
    <row r="203" ht="18" customHeight="1">
      <c r="A203" s="69">
        <f>IF($C203="","",ROW()-4)</f>
        <v/>
      </c>
      <c r="B203" s="70" t="n"/>
      <c r="C203" s="70" t="n"/>
      <c r="D203" s="71" t="n"/>
      <c r="E203" s="71" t="n"/>
      <c r="F203" s="71" t="n"/>
      <c r="G203" s="71" t="n"/>
      <c r="H203" s="71" t="n"/>
      <c r="I203" s="72" t="n"/>
      <c r="J203" s="72" t="n"/>
      <c r="K203" s="73">
        <f>IF(OR($I203="",$J203=""),"",$J203-$I203+1)</f>
        <v/>
      </c>
      <c r="L203" s="56" t="n"/>
      <c r="M203" s="74">
        <f>IF($J203="","",$J203+N($L203))</f>
        <v/>
      </c>
      <c r="N203" s="75" t="n"/>
      <c r="O203" s="69">
        <f>IF($C203="","",IF(N($N203)&gt;=1,"Tamamlandı",IF(AND($J203&lt;&gt;"",$M203&lt;Hesap!$B$3),"Gecikmiş",IF(OR(N($N203)&gt;0,AND($I203&lt;&gt;"",$I203&lt;=Hesap!$B$3)),"Devam Ediyor","Planlanan"))))</f>
        <v/>
      </c>
      <c r="P203" s="70" t="n"/>
      <c r="Q203" s="70" t="n"/>
      <c r="R203" s="72" t="n"/>
      <c r="S203" s="73">
        <f>IF(OR($J203="",$R203=""),"",$R203-$J203)</f>
        <v/>
      </c>
      <c r="T203" s="76">
        <f>IF($C203="","",IF($J203="","",IF($R203&lt;&gt;"",IF($S203&gt;7,"⚠ "&amp;TEXT($S203,"0")&amp;" günde yapıldı (geç)","✔ "&amp;TEXT($S203,"0")&amp;" günde yapıldı"),IF($J203&gt;Hesap!$B$3,"",IF($J203+7&lt;Hesap!$B$3,"⚠ Mutabakat "&amp;TEXT(Hesap!$B$3-($J203+7),"0")&amp;" gün gecikti","● Mutabakat için "&amp;TEXT($J203+7-Hesap!$B$3,"0")&amp;" gün")))))</f>
        <v/>
      </c>
      <c r="U203" s="76">
        <f>IF($Y203="","",IF($Y203&gt;0.3,"⚠ Gecikebilir (%"&amp;TEXT($Y203*100,"0")&amp;" geride)",""))</f>
        <v/>
      </c>
      <c r="V203" s="76">
        <f>IF($C203="","",IF($O203="Tamamlandı","",IF($M203="","",IF($M203&lt;Hesap!$B$3,"⚠ "&amp;TEXT(Hesap!$B$3-$M203,"0")&amp;" gün gecikme",IF($M203-Hesap!$B$3&lt;=14,"● "&amp;TEXT($M203-Hesap!$B$3,"0")&amp;" gün kaldı","")))))</f>
        <v/>
      </c>
      <c r="W203">
        <f>IF($C203="","",IF($O203="Tamamlandı",N($L203),MAX(N($L203),IF(AND($J203&lt;&gt;"",$J203&lt;Hesap!$B$3),Hesap!$B$3-$J203,0)))+ROW()/1000000)</f>
        <v/>
      </c>
      <c r="X203">
        <f>IF($W203="","",INT($W203))</f>
        <v/>
      </c>
      <c r="Y203">
        <f>IF(OR($C203="",$I203="",$K203="",$K203&lt;=0,$O203="Tamamlandı"),"",IF(Hesap!$B$3&lt;$I203,"",MIN(1,(Hesap!$B$3-$I203+1)/$K203)-N($N203)))</f>
        <v/>
      </c>
    </row>
    <row r="204" ht="18" customHeight="1">
      <c r="A204" s="69">
        <f>IF($C204="","",ROW()-4)</f>
        <v/>
      </c>
      <c r="B204" s="70" t="n"/>
      <c r="C204" s="70" t="n"/>
      <c r="D204" s="71" t="n"/>
      <c r="E204" s="71" t="n"/>
      <c r="F204" s="71" t="n"/>
      <c r="G204" s="71" t="n"/>
      <c r="H204" s="71" t="n"/>
      <c r="I204" s="72" t="n"/>
      <c r="J204" s="72" t="n"/>
      <c r="K204" s="73">
        <f>IF(OR($I204="",$J204=""),"",$J204-$I204+1)</f>
        <v/>
      </c>
      <c r="L204" s="56" t="n"/>
      <c r="M204" s="74">
        <f>IF($J204="","",$J204+N($L204))</f>
        <v/>
      </c>
      <c r="N204" s="75" t="n"/>
      <c r="O204" s="69">
        <f>IF($C204="","",IF(N($N204)&gt;=1,"Tamamlandı",IF(AND($J204&lt;&gt;"",$M204&lt;Hesap!$B$3),"Gecikmiş",IF(OR(N($N204)&gt;0,AND($I204&lt;&gt;"",$I204&lt;=Hesap!$B$3)),"Devam Ediyor","Planlanan"))))</f>
        <v/>
      </c>
      <c r="P204" s="70" t="n"/>
      <c r="Q204" s="70" t="n"/>
      <c r="R204" s="72" t="n"/>
      <c r="S204" s="73">
        <f>IF(OR($J204="",$R204=""),"",$R204-$J204)</f>
        <v/>
      </c>
      <c r="T204" s="76">
        <f>IF($C204="","",IF($J204="","",IF($R204&lt;&gt;"",IF($S204&gt;7,"⚠ "&amp;TEXT($S204,"0")&amp;" günde yapıldı (geç)","✔ "&amp;TEXT($S204,"0")&amp;" günde yapıldı"),IF($J204&gt;Hesap!$B$3,"",IF($J204+7&lt;Hesap!$B$3,"⚠ Mutabakat "&amp;TEXT(Hesap!$B$3-($J204+7),"0")&amp;" gün gecikti","● Mutabakat için "&amp;TEXT($J204+7-Hesap!$B$3,"0")&amp;" gün")))))</f>
        <v/>
      </c>
      <c r="U204" s="76">
        <f>IF($Y204="","",IF($Y204&gt;0.3,"⚠ Gecikebilir (%"&amp;TEXT($Y204*100,"0")&amp;" geride)",""))</f>
        <v/>
      </c>
      <c r="V204" s="76">
        <f>IF($C204="","",IF($O204="Tamamlandı","",IF($M204="","",IF($M204&lt;Hesap!$B$3,"⚠ "&amp;TEXT(Hesap!$B$3-$M204,"0")&amp;" gün gecikme",IF($M204-Hesap!$B$3&lt;=14,"● "&amp;TEXT($M204-Hesap!$B$3,"0")&amp;" gün kaldı","")))))</f>
        <v/>
      </c>
      <c r="W204">
        <f>IF($C204="","",IF($O204="Tamamlandı",N($L204),MAX(N($L204),IF(AND($J204&lt;&gt;"",$J204&lt;Hesap!$B$3),Hesap!$B$3-$J204,0)))+ROW()/1000000)</f>
        <v/>
      </c>
      <c r="X204">
        <f>IF($W204="","",INT($W204))</f>
        <v/>
      </c>
      <c r="Y204">
        <f>IF(OR($C204="",$I204="",$K204="",$K204&lt;=0,$O204="Tamamlandı"),"",IF(Hesap!$B$3&lt;$I204,"",MIN(1,(Hesap!$B$3-$I204+1)/$K204)-N($N204)))</f>
        <v/>
      </c>
    </row>
  </sheetData>
  <autoFilter ref="A4:V204"/>
  <mergeCells count="2">
    <mergeCell ref="A1:V2"/>
    <mergeCell ref="A3:V3"/>
  </mergeCells>
  <conditionalFormatting sqref="O5:O204">
    <cfRule type="cellIs" priority="1" operator="equal" dxfId="0">
      <formula>"Planlanan"</formula>
    </cfRule>
    <cfRule type="cellIs" priority="2" operator="equal" dxfId="1">
      <formula>"Devam Ediyor"</formula>
    </cfRule>
    <cfRule type="cellIs" priority="3" operator="equal" dxfId="2">
      <formula>"Tamamlandı"</formula>
    </cfRule>
    <cfRule type="cellIs" priority="4" operator="equal" dxfId="3">
      <formula>"Gecikmiş"</formula>
    </cfRule>
  </conditionalFormatting>
  <conditionalFormatting sqref="V5:V204">
    <cfRule type="expression" priority="5" dxfId="4">
      <formula>ISNUMBER(SEARCH("gecikme",$V5))</formula>
    </cfRule>
    <cfRule type="expression" priority="6" dxfId="5">
      <formula>ISNUMBER(SEARCH("kaldı",$V5))</formula>
    </cfRule>
  </conditionalFormatting>
  <conditionalFormatting sqref="T5:T204">
    <cfRule type="expression" priority="7" dxfId="4">
      <formula>ISNUMBER(SEARCH("gecikti",$T5))</formula>
    </cfRule>
    <cfRule type="expression" priority="8" dxfId="4">
      <formula>ISNUMBER(SEARCH("yapıldı (geç)",$T5))</formula>
    </cfRule>
    <cfRule type="expression" priority="9" dxfId="2">
      <formula>ISNUMBER(SEARCH("✔",$T5))</formula>
    </cfRule>
    <cfRule type="expression" priority="10" dxfId="5">
      <formula>ISNUMBER(SEARCH("için",$T5))</formula>
    </cfRule>
  </conditionalFormatting>
  <conditionalFormatting sqref="U5:U204">
    <cfRule type="expression" priority="11" dxfId="4">
      <formula>ISNUMBER(SEARCH("Gecikebilir",$U5))</formula>
    </cfRule>
  </conditionalFormatting>
  <conditionalFormatting sqref="H5:H204">
    <cfRule type="cellIs" priority="12" operator="equal" dxfId="4">
      <formula>"Yüksek"</formula>
    </cfRule>
  </conditionalFormatting>
  <conditionalFormatting sqref="N5:N204">
    <cfRule type="dataBar" priority="13">
      <dataBar showValue="1">
        <cfvo type="num" val="0"/>
        <cfvo type="num" val="1"/>
        <color rgb="002E75B6"/>
      </dataBar>
    </cfRule>
  </conditionalFormatting>
  <dataValidations count="8">
    <dataValidation sqref="B5:B204" showDropDown="0" showInputMessage="0" showErrorMessage="0" allowBlank="1" type="list">
      <formula1>=Listeler!$B$4:$B$43</formula1>
    </dataValidation>
    <dataValidation sqref="D5:D204" showDropDown="0" showInputMessage="0" showErrorMessage="0" allowBlank="1" type="list">
      <formula1>=Listeler!$D$4:$D$43</formula1>
    </dataValidation>
    <dataValidation sqref="E5:E204" showDropDown="0" showInputMessage="0" showErrorMessage="0" allowBlank="1" type="list">
      <formula1>=Listeler!$D$4:$D$43</formula1>
    </dataValidation>
    <dataValidation sqref="F5:F204" showDropDown="0" showInputMessage="0" showErrorMessage="0" allowBlank="1" type="list">
      <formula1>=Listeler!$D$4:$D$43</formula1>
    </dataValidation>
    <dataValidation sqref="G5:G204" showDropDown="0" showInputMessage="0" showErrorMessage="0" allowBlank="1" type="list">
      <formula1>=Listeler!$D$4:$D$43</formula1>
    </dataValidation>
    <dataValidation sqref="H5:H204" showDropDown="0" showInputMessage="0" showErrorMessage="0" allowBlank="1" type="list">
      <formula1>=Listeler!$F$4:$F$13</formula1>
    </dataValidation>
    <dataValidation sqref="N5:N204" showDropDown="0" showInputMessage="0" showErrorMessage="0" allowBlank="1" errorTitle="Geçersiz değer" error="İlerleme %0 ile %100 arasında olmalıdır." type="decimal" operator="between">
      <formula1>0</formula1>
      <formula2>1</formula2>
    </dataValidation>
    <dataValidation sqref="L5:L204" showDropDown="0" showInputMessage="0" showErrorMessage="0" allowBlank="1" errorTitle="Geçersiz değer" error="Gecikme negatif olamaz." type="whole" operator="greaterThanOrEqual">
      <formula1>0</formula1>
    </dataValidation>
  </dataValidations>
  <pageMargins left="0.75" right="0.75" top="1" bottom="1" header="0.5" footer="0.5"/>
  <pageSetup orientation="landscape"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BE206"/>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40" customWidth="1" min="1" max="1"/>
    <col width="24" customWidth="1" min="2" max="2"/>
    <col width="12" customWidth="1" min="3" max="3"/>
    <col width="13" customWidth="1" min="4" max="4"/>
    <col width="1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 width="3.4" customWidth="1" min="35" max="35"/>
    <col width="3.4" customWidth="1" min="36" max="36"/>
    <col width="3.4" customWidth="1" min="37" max="37"/>
    <col width="3.4" customWidth="1" min="38" max="38"/>
    <col width="3.4" customWidth="1" min="39" max="39"/>
    <col width="3.4" customWidth="1" min="40" max="40"/>
    <col width="3.4" customWidth="1" min="41" max="41"/>
    <col width="3.4" customWidth="1" min="42" max="42"/>
    <col width="3.4" customWidth="1" min="43" max="43"/>
    <col width="3.4" customWidth="1" min="44" max="44"/>
    <col width="3.4" customWidth="1" min="45" max="45"/>
    <col width="3.4" customWidth="1" min="46" max="46"/>
    <col width="3.4" customWidth="1" min="47" max="47"/>
    <col width="3.4" customWidth="1" min="48" max="48"/>
    <col width="3.4" customWidth="1" min="49" max="49"/>
    <col width="3.4" customWidth="1" min="50" max="50"/>
    <col width="3.4" customWidth="1" min="51" max="51"/>
    <col width="3.4" customWidth="1" min="52" max="52"/>
    <col width="3.4" customWidth="1" min="53" max="53"/>
    <col width="3.4" customWidth="1" min="54" max="54"/>
    <col width="3.4" customWidth="1" min="55" max="55"/>
    <col width="3.4" customWidth="1" min="56" max="56"/>
    <col width="3.4" customWidth="1" min="57" max="57"/>
  </cols>
  <sheetData>
    <row r="1" ht="24" customHeight="1">
      <c r="A1" s="66" t="inlineStr">
        <is>
          <t>GANTT ŞEMASI  |  GANTT HAFTALIK  |  2026</t>
        </is>
      </c>
    </row>
    <row r="2" ht="16" customHeight="1"/>
    <row r="3" ht="18" customHeight="1">
      <c r="A3" s="54" t="inlineStr">
        <is>
          <t>İş Kalemi</t>
        </is>
      </c>
      <c r="B3" s="54" t="inlineStr">
        <is>
          <t>Grup</t>
        </is>
      </c>
      <c r="C3" s="54" t="inlineStr">
        <is>
          <t>Başlangıç</t>
        </is>
      </c>
      <c r="D3" s="54" t="inlineStr">
        <is>
          <t>Bitiş (Revize)</t>
        </is>
      </c>
      <c r="E3" s="54" t="inlineStr">
        <is>
          <t>Durum</t>
        </is>
      </c>
      <c r="F3" s="77" t="inlineStr">
        <is>
          <t>Oca</t>
        </is>
      </c>
      <c r="G3" s="78" t="n"/>
      <c r="H3" s="78" t="n"/>
      <c r="I3" s="78" t="n"/>
      <c r="J3" s="78" t="n"/>
      <c r="K3" s="79" t="inlineStr">
        <is>
          <t>Şub</t>
        </is>
      </c>
      <c r="L3" s="80" t="n"/>
      <c r="M3" s="80" t="n"/>
      <c r="N3" s="80" t="n"/>
      <c r="O3" s="77" t="inlineStr">
        <is>
          <t>Mar</t>
        </is>
      </c>
      <c r="P3" s="78" t="n"/>
      <c r="Q3" s="78" t="n"/>
      <c r="R3" s="78" t="n"/>
      <c r="S3" s="79" t="inlineStr">
        <is>
          <t>Nis</t>
        </is>
      </c>
      <c r="T3" s="80" t="n"/>
      <c r="U3" s="80" t="n"/>
      <c r="V3" s="80" t="n"/>
      <c r="W3" s="80" t="n"/>
      <c r="X3" s="77" t="inlineStr">
        <is>
          <t>May</t>
        </is>
      </c>
      <c r="Y3" s="78" t="n"/>
      <c r="Z3" s="78" t="n"/>
      <c r="AA3" s="78" t="n"/>
      <c r="AB3" s="79" t="inlineStr">
        <is>
          <t>Haz</t>
        </is>
      </c>
      <c r="AC3" s="80" t="n"/>
      <c r="AD3" s="80" t="n"/>
      <c r="AE3" s="80" t="n"/>
      <c r="AF3" s="77" t="inlineStr">
        <is>
          <t>Tem</t>
        </is>
      </c>
      <c r="AG3" s="78" t="n"/>
      <c r="AH3" s="78" t="n"/>
      <c r="AI3" s="78" t="n"/>
      <c r="AJ3" s="78" t="n"/>
      <c r="AK3" s="79" t="inlineStr">
        <is>
          <t>Ağu</t>
        </is>
      </c>
      <c r="AL3" s="80" t="n"/>
      <c r="AM3" s="80" t="n"/>
      <c r="AN3" s="80" t="n"/>
      <c r="AO3" s="77" t="inlineStr">
        <is>
          <t>Eyl</t>
        </is>
      </c>
      <c r="AP3" s="78" t="n"/>
      <c r="AQ3" s="78" t="n"/>
      <c r="AR3" s="78" t="n"/>
      <c r="AS3" s="79" t="inlineStr">
        <is>
          <t>Eki</t>
        </is>
      </c>
      <c r="AT3" s="80" t="n"/>
      <c r="AU3" s="80" t="n"/>
      <c r="AV3" s="80" t="n"/>
      <c r="AW3" s="80" t="n"/>
      <c r="AX3" s="77" t="inlineStr">
        <is>
          <t>Kas</t>
        </is>
      </c>
      <c r="AY3" s="78" t="n"/>
      <c r="AZ3" s="78" t="n"/>
      <c r="BA3" s="78" t="n"/>
      <c r="BB3" s="79" t="inlineStr">
        <is>
          <t>Ara</t>
        </is>
      </c>
      <c r="BC3" s="80" t="n"/>
      <c r="BD3" s="80" t="n"/>
      <c r="BE3" s="80" t="n"/>
    </row>
    <row r="4" ht="20" customHeight="1">
      <c r="A4" s="81" t="n"/>
      <c r="B4" s="81" t="n"/>
      <c r="C4" s="81" t="n"/>
      <c r="D4" s="81" t="n"/>
      <c r="E4" s="81" t="n"/>
      <c r="F4" s="82" t="n">
        <v>46023</v>
      </c>
      <c r="G4" s="82" t="n">
        <v>46030</v>
      </c>
      <c r="H4" s="82" t="n">
        <v>46037</v>
      </c>
      <c r="I4" s="82" t="n">
        <v>46044</v>
      </c>
      <c r="J4" s="82" t="n">
        <v>46051</v>
      </c>
      <c r="K4" s="82" t="n">
        <v>46058</v>
      </c>
      <c r="L4" s="82" t="n">
        <v>46065</v>
      </c>
      <c r="M4" s="82" t="n">
        <v>46072</v>
      </c>
      <c r="N4" s="82" t="n">
        <v>46079</v>
      </c>
      <c r="O4" s="82" t="n">
        <v>46086</v>
      </c>
      <c r="P4" s="82" t="n">
        <v>46093</v>
      </c>
      <c r="Q4" s="82" t="n">
        <v>46100</v>
      </c>
      <c r="R4" s="82" t="n">
        <v>46107</v>
      </c>
      <c r="S4" s="82" t="n">
        <v>46114</v>
      </c>
      <c r="T4" s="82" t="n">
        <v>46121</v>
      </c>
      <c r="U4" s="82" t="n">
        <v>46128</v>
      </c>
      <c r="V4" s="82" t="n">
        <v>46135</v>
      </c>
      <c r="W4" s="82" t="n">
        <v>46142</v>
      </c>
      <c r="X4" s="82" t="n">
        <v>46149</v>
      </c>
      <c r="Y4" s="82" t="n">
        <v>46156</v>
      </c>
      <c r="Z4" s="82" t="n">
        <v>46163</v>
      </c>
      <c r="AA4" s="82" t="n">
        <v>46170</v>
      </c>
      <c r="AB4" s="82" t="n">
        <v>46177</v>
      </c>
      <c r="AC4" s="82" t="n">
        <v>46184</v>
      </c>
      <c r="AD4" s="82" t="n">
        <v>46191</v>
      </c>
      <c r="AE4" s="82" t="n">
        <v>46198</v>
      </c>
      <c r="AF4" s="82" t="n">
        <v>46205</v>
      </c>
      <c r="AG4" s="82" t="n">
        <v>46212</v>
      </c>
      <c r="AH4" s="82" t="n">
        <v>46219</v>
      </c>
      <c r="AI4" s="82" t="n">
        <v>46226</v>
      </c>
      <c r="AJ4" s="82" t="n">
        <v>46233</v>
      </c>
      <c r="AK4" s="82" t="n">
        <v>46240</v>
      </c>
      <c r="AL4" s="82" t="n">
        <v>46247</v>
      </c>
      <c r="AM4" s="82" t="n">
        <v>46254</v>
      </c>
      <c r="AN4" s="82" t="n">
        <v>46261</v>
      </c>
      <c r="AO4" s="82" t="n">
        <v>46268</v>
      </c>
      <c r="AP4" s="82" t="n">
        <v>46275</v>
      </c>
      <c r="AQ4" s="82" t="n">
        <v>46282</v>
      </c>
      <c r="AR4" s="82" t="n">
        <v>46289</v>
      </c>
      <c r="AS4" s="82" t="n">
        <v>46296</v>
      </c>
      <c r="AT4" s="82" t="n">
        <v>46303</v>
      </c>
      <c r="AU4" s="82" t="n">
        <v>46310</v>
      </c>
      <c r="AV4" s="82" t="n">
        <v>46317</v>
      </c>
      <c r="AW4" s="82" t="n">
        <v>46324</v>
      </c>
      <c r="AX4" s="82" t="n">
        <v>46331</v>
      </c>
      <c r="AY4" s="82" t="n">
        <v>46338</v>
      </c>
      <c r="AZ4" s="82" t="n">
        <v>46345</v>
      </c>
      <c r="BA4" s="82" t="n">
        <v>46352</v>
      </c>
      <c r="BB4" s="82" t="n">
        <v>46359</v>
      </c>
      <c r="BC4" s="82" t="n">
        <v>46366</v>
      </c>
      <c r="BD4" s="82" t="n">
        <v>46373</v>
      </c>
      <c r="BE4" s="82" t="n">
        <v>46380</v>
      </c>
    </row>
    <row r="5" ht="18" customHeight="1">
      <c r="A5" s="55" t="str">
        <f>IFERROR(IF(INDEX('İş Planı'!$C$5:$C$204,ROW()-4)="","",INDEX('İş Planı'!$C$5:$C$204,ROW()-4)),"")</f>
        <v>Madde 4</v>
      </c>
      <c r="B5" s="55" t="str">
        <f>IFERROR(IF(INDEX('İş Planı'!$B$5:$B$204,ROW()-4)="","",INDEX('İş Planı'!$B$5:$B$204,ROW()-4)),"")</f>
        <v>Yönetim Beyanı</v>
      </c>
      <c r="C5" s="72">
        <f>IFERROR(IF(INDEX('İş Planı'!$I$5:$I$204,ROW()-4)="","",INDEX('İş Planı'!$I$5:$I$204,ROW()-4)),"")</f>
        <v/>
      </c>
      <c r="D5" s="72">
        <f>IFERROR(IF(INDEX('İş Planı'!$M$5:$M$204,ROW()-4)="","",INDEX('İş Planı'!$M$5:$M$204,ROW()-4)),"")</f>
        <v/>
      </c>
      <c r="E5" s="71" t="str">
        <f>IFERROR(IF(INDEX('İş Planı'!$O$5:$O$204,ROW()-4)="","",INDEX('İş Planı'!$O$5:$O$204,ROW()-4)),"")</f>
        <v>Planlanan</v>
      </c>
      <c r="F5" s="83" t="n"/>
      <c r="G5" s="83" t="n"/>
      <c r="H5" s="83" t="n"/>
      <c r="I5" s="83" t="n"/>
      <c r="J5" s="83" t="n"/>
      <c r="K5" s="83" t="n"/>
      <c r="L5" s="83" t="n"/>
      <c r="M5" s="83" t="n"/>
      <c r="N5" s="83" t="n"/>
      <c r="O5" s="83" t="n"/>
      <c r="P5" s="83" t="n"/>
      <c r="Q5" s="83" t="n"/>
      <c r="R5" s="83" t="n"/>
      <c r="S5" s="83" t="n"/>
      <c r="T5" s="83" t="n"/>
      <c r="U5" s="83" t="n"/>
      <c r="V5" s="83" t="n"/>
      <c r="W5" s="83" t="n"/>
      <c r="X5" s="83" t="n"/>
      <c r="Y5" s="83" t="n"/>
      <c r="Z5" s="83" t="n"/>
      <c r="AA5" s="83" t="n"/>
      <c r="AB5" s="83" t="n"/>
      <c r="AC5" s="83" t="n"/>
      <c r="AD5" s="83" t="n"/>
      <c r="AE5" s="83" t="n"/>
      <c r="AF5" s="83" t="n"/>
      <c r="AG5" s="83" t="n"/>
      <c r="AH5" s="83" t="n"/>
      <c r="AI5" s="83" t="n"/>
      <c r="AJ5" s="83" t="n"/>
      <c r="AK5" s="83" t="n"/>
      <c r="AL5" s="83" t="n"/>
      <c r="AM5" s="83" t="n"/>
      <c r="AN5" s="83" t="n"/>
      <c r="AO5" s="83" t="n"/>
      <c r="AP5" s="83" t="n"/>
      <c r="AQ5" s="83" t="n"/>
      <c r="AR5" s="83" t="n"/>
      <c r="AS5" s="83" t="n"/>
      <c r="AT5" s="83" t="n"/>
      <c r="AU5" s="83" t="n"/>
      <c r="AV5" s="83" t="n"/>
      <c r="AW5" s="83" t="n"/>
      <c r="AX5" s="83" t="n"/>
      <c r="AY5" s="83" t="n"/>
      <c r="AZ5" s="83" t="n"/>
      <c r="BA5" s="83" t="n"/>
      <c r="BB5" s="83" t="n"/>
      <c r="BC5" s="83" t="n"/>
      <c r="BD5" s="83" t="n"/>
      <c r="BE5" s="83" t="n"/>
    </row>
    <row r="6" ht="18" customHeight="1">
      <c r="A6" s="55" t="str">
        <f>IFERROR(IF(INDEX('İş Planı'!$C$5:$C$204,ROW()-4)="","",INDEX('İş Planı'!$C$5:$C$204,ROW()-4)),"")</f>
        <v>Madde 5</v>
      </c>
      <c r="B6" s="55" t="str">
        <f>IFERROR(IF(INDEX('İş Planı'!$B$5:$B$204,ROW()-4)="","",INDEX('İş Planı'!$B$5:$B$204,ROW()-4)),"")</f>
        <v>Yönetim Beyanı</v>
      </c>
      <c r="C6" s="72">
        <f>IFERROR(IF(INDEX('İş Planı'!$I$5:$I$204,ROW()-4)="","",INDEX('İş Planı'!$I$5:$I$204,ROW()-4)),"")</f>
        <v/>
      </c>
      <c r="D6" s="72">
        <f>IFERROR(IF(INDEX('İş Planı'!$M$5:$M$204,ROW()-4)="","",INDEX('İş Planı'!$M$5:$M$204,ROW()-4)),"")</f>
        <v/>
      </c>
      <c r="E6" s="71" t="str">
        <f>IFERROR(IF(INDEX('İş Planı'!$O$5:$O$204,ROW()-4)="","",INDEX('İş Planı'!$O$5:$O$204,ROW()-4)),"")</f>
        <v>Planlanan</v>
      </c>
      <c r="F6" s="83" t="n"/>
      <c r="G6" s="83" t="n"/>
      <c r="H6" s="83" t="n"/>
      <c r="I6" s="83" t="n"/>
      <c r="J6" s="83" t="n"/>
      <c r="K6" s="83" t="n"/>
      <c r="L6" s="83" t="n"/>
      <c r="M6" s="83" t="n"/>
      <c r="N6" s="83" t="n"/>
      <c r="O6" s="83" t="n"/>
      <c r="P6" s="83" t="n"/>
      <c r="Q6" s="83" t="n"/>
      <c r="R6" s="83" t="n"/>
      <c r="S6" s="83" t="n"/>
      <c r="T6" s="83" t="n"/>
      <c r="U6" s="83" t="n"/>
      <c r="V6" s="83" t="n"/>
      <c r="W6" s="83" t="n"/>
      <c r="X6" s="83" t="n"/>
      <c r="Y6" s="83" t="n"/>
      <c r="Z6" s="83" t="n"/>
      <c r="AA6" s="83" t="n"/>
      <c r="AB6" s="83" t="n"/>
      <c r="AC6" s="83" t="n"/>
      <c r="AD6" s="83" t="n"/>
      <c r="AE6" s="83" t="n"/>
      <c r="AF6" s="83" t="n"/>
      <c r="AG6" s="83" t="n"/>
      <c r="AH6" s="83" t="n"/>
      <c r="AI6" s="83" t="n"/>
      <c r="AJ6" s="83" t="n"/>
      <c r="AK6" s="83" t="n"/>
      <c r="AL6" s="83" t="n"/>
      <c r="AM6" s="83" t="n"/>
      <c r="AN6" s="83" t="n"/>
      <c r="AO6" s="83" t="n"/>
      <c r="AP6" s="83" t="n"/>
      <c r="AQ6" s="83" t="n"/>
      <c r="AR6" s="83" t="n"/>
      <c r="AS6" s="83" t="n"/>
      <c r="AT6" s="83" t="n"/>
      <c r="AU6" s="83" t="n"/>
      <c r="AV6" s="83" t="n"/>
      <c r="AW6" s="83" t="n"/>
      <c r="AX6" s="83" t="n"/>
      <c r="AY6" s="83" t="n"/>
      <c r="AZ6" s="83" t="n"/>
      <c r="BA6" s="83" t="n"/>
      <c r="BB6" s="83" t="n"/>
      <c r="BC6" s="83" t="n"/>
      <c r="BD6" s="83" t="n"/>
      <c r="BE6" s="83" t="n"/>
    </row>
    <row r="7" ht="18" customHeight="1">
      <c r="A7" s="55" t="str">
        <f>IFERROR(IF(INDEX('İş Planı'!$C$5:$C$204,ROW()-4)="","",INDEX('İş Planı'!$C$5:$C$204,ROW()-4)),"")</f>
        <v>Madde 30 Bilgi sistemleri iç kontrol faaliyetleri</v>
      </c>
      <c r="B7" s="55" t="str">
        <f>IFERROR(IF(INDEX('İş Planı'!$B$5:$B$204,ROW()-4)="","",INDEX('İş Planı'!$B$5:$B$204,ROW()-4)),"")</f>
        <v>Yönetim Beyanı</v>
      </c>
      <c r="C7" s="72">
        <f>IFERROR(IF(INDEX('İş Planı'!$I$5:$I$204,ROW()-4)="","",INDEX('İş Planı'!$I$5:$I$204,ROW()-4)),"")</f>
        <v>46279</v>
      </c>
      <c r="D7" s="72">
        <f>IFERROR(IF(INDEX('İş Planı'!$M$5:$M$204,ROW()-4)="","",INDEX('İş Planı'!$M$5:$M$204,ROW()-4)),"")</f>
        <v>46297</v>
      </c>
      <c r="E7" s="71" t="str">
        <f>IFERROR(IF(INDEX('İş Planı'!$O$5:$O$204,ROW()-4)="","",INDEX('İş Planı'!$O$5:$O$204,ROW()-4)),"")</f>
        <v>Tamamlandı</v>
      </c>
      <c r="F7" s="83" t="n"/>
      <c r="G7" s="83" t="n"/>
      <c r="H7" s="83" t="n"/>
      <c r="I7" s="83" t="n"/>
      <c r="J7" s="83" t="n"/>
      <c r="K7" s="83" t="n"/>
      <c r="L7" s="83" t="n"/>
      <c r="M7" s="83" t="n"/>
      <c r="N7" s="83" t="n"/>
      <c r="O7" s="83" t="n"/>
      <c r="P7" s="83" t="n"/>
      <c r="Q7" s="83" t="n"/>
      <c r="R7" s="83" t="n"/>
      <c r="S7" s="83" t="n"/>
      <c r="T7" s="83" t="n"/>
      <c r="U7" s="83" t="n"/>
      <c r="V7" s="83" t="n"/>
      <c r="W7" s="83" t="n"/>
      <c r="X7" s="83" t="n"/>
      <c r="Y7" s="83" t="n"/>
      <c r="Z7" s="83" t="n"/>
      <c r="AA7" s="83" t="n"/>
      <c r="AB7" s="83" t="n"/>
      <c r="AC7" s="83" t="n"/>
      <c r="AD7" s="83" t="n"/>
      <c r="AE7" s="83" t="n"/>
      <c r="AF7" s="83" t="n"/>
      <c r="AG7" s="83" t="n"/>
      <c r="AH7" s="83" t="n"/>
      <c r="AI7" s="83" t="n"/>
      <c r="AJ7" s="83" t="n"/>
      <c r="AK7" s="83" t="n"/>
      <c r="AL7" s="83" t="n"/>
      <c r="AM7" s="83" t="n"/>
      <c r="AN7" s="83" t="n"/>
      <c r="AO7" s="83" t="n"/>
      <c r="AP7" s="83" t="n"/>
      <c r="AQ7" s="83" t="n"/>
      <c r="AR7" s="83" t="n"/>
      <c r="AS7" s="83" t="n"/>
      <c r="AT7" s="83" t="n"/>
      <c r="AU7" s="83" t="n"/>
      <c r="AV7" s="83" t="n"/>
      <c r="AW7" s="83" t="n"/>
      <c r="AX7" s="83" t="n"/>
      <c r="AY7" s="83" t="n"/>
      <c r="AZ7" s="83" t="n"/>
      <c r="BA7" s="83" t="n"/>
      <c r="BB7" s="83" t="n"/>
      <c r="BC7" s="83" t="n"/>
      <c r="BD7" s="83" t="n"/>
      <c r="BE7" s="83" t="n"/>
    </row>
    <row r="8" ht="18" customHeight="1">
      <c r="A8" s="55" t="str">
        <f>IFERROR(IF(INDEX('İş Planı'!$C$5:$C$204,ROW()-4)="","",INDEX('İş Planı'!$C$5:$C$204,ROW()-4)),"")</f>
        <v>Madde 31 Bilgi sistemleri iç denetim faaliyetleri</v>
      </c>
      <c r="B8" s="55" t="str">
        <f>IFERROR(IF(INDEX('İş Planı'!$B$5:$B$204,ROW()-4)="","",INDEX('İş Planı'!$B$5:$B$204,ROW()-4)),"")</f>
        <v>Yönetim Beyanı</v>
      </c>
      <c r="C8" s="72">
        <f>IFERROR(IF(INDEX('İş Planı'!$I$5:$I$204,ROW()-4)="","",INDEX('İş Planı'!$I$5:$I$204,ROW()-4)),"")</f>
        <v>46279</v>
      </c>
      <c r="D8" s="72">
        <f>IFERROR(IF(INDEX('İş Planı'!$M$5:$M$204,ROW()-4)="","",INDEX('İş Planı'!$M$5:$M$204,ROW()-4)),"")</f>
        <v>46297</v>
      </c>
      <c r="E8" s="71" t="str">
        <f>IFERROR(IF(INDEX('İş Planı'!$O$5:$O$204,ROW()-4)="","",INDEX('İş Planı'!$O$5:$O$204,ROW()-4)),"")</f>
        <v>Tamamlandı</v>
      </c>
      <c r="F8" s="83" t="n"/>
      <c r="G8" s="83" t="n"/>
      <c r="H8" s="83" t="n"/>
      <c r="I8" s="83" t="n"/>
      <c r="J8" s="83" t="n"/>
      <c r="K8" s="83" t="n"/>
      <c r="L8" s="83" t="n"/>
      <c r="M8" s="83" t="n"/>
      <c r="N8" s="83" t="n"/>
      <c r="O8" s="83" t="n"/>
      <c r="P8" s="83" t="n"/>
      <c r="Q8" s="83" t="n"/>
      <c r="R8" s="83" t="n"/>
      <c r="S8" s="83" t="n"/>
      <c r="T8" s="83" t="n"/>
      <c r="U8" s="83" t="n"/>
      <c r="V8" s="83" t="n"/>
      <c r="W8" s="83" t="n"/>
      <c r="X8" s="83" t="n"/>
      <c r="Y8" s="83" t="n"/>
      <c r="Z8" s="83" t="n"/>
      <c r="AA8" s="83" t="n"/>
      <c r="AB8" s="83" t="n"/>
      <c r="AC8" s="83" t="n"/>
      <c r="AD8" s="83" t="n"/>
      <c r="AE8" s="83" t="n"/>
      <c r="AF8" s="83" t="n"/>
      <c r="AG8" s="83" t="n"/>
      <c r="AH8" s="83" t="n"/>
      <c r="AI8" s="83" t="n"/>
      <c r="AJ8" s="83" t="n"/>
      <c r="AK8" s="83" t="n"/>
      <c r="AL8" s="83" t="n"/>
      <c r="AM8" s="83" t="n"/>
      <c r="AN8" s="83" t="n"/>
      <c r="AO8" s="83" t="n"/>
      <c r="AP8" s="83" t="n"/>
      <c r="AQ8" s="83" t="n"/>
      <c r="AR8" s="83" t="n"/>
      <c r="AS8" s="83" t="n"/>
      <c r="AT8" s="83" t="n"/>
      <c r="AU8" s="83" t="n"/>
      <c r="AV8" s="83" t="n"/>
      <c r="AW8" s="83" t="n"/>
      <c r="AX8" s="83" t="n"/>
      <c r="AY8" s="83" t="n"/>
      <c r="AZ8" s="83" t="n"/>
      <c r="BA8" s="83" t="n"/>
      <c r="BB8" s="83" t="n"/>
      <c r="BC8" s="83" t="n"/>
      <c r="BD8" s="83" t="n"/>
      <c r="BE8" s="83" t="n"/>
    </row>
    <row r="9" ht="18" customHeight="1">
      <c r="A9" s="55" t="str">
        <f>IFERROR(IF(INDEX('İş Planı'!$C$5:$C$204,ROW()-4)="","",INDEX('İş Planı'!$C$5:$C$204,ROW()-4)),"")</f>
        <v>3.1.13 Felaket Kurtarma ve İş Sürekliliği Yönetimi</v>
      </c>
      <c r="B9" s="55" t="str">
        <f>IFERROR(IF(INDEX('İş Planı'!$B$5:$B$204,ROW()-4)="","",INDEX('İş Planı'!$B$5:$B$204,ROW()-4)),"")</f>
        <v>BIGR</v>
      </c>
      <c r="C9" s="72">
        <f>IFERROR(IF(INDEX('İş Planı'!$I$5:$I$204,ROW()-4)="","",INDEX('İş Planı'!$I$5:$I$204,ROW()-4)),"")</f>
        <v>46314</v>
      </c>
      <c r="D9" s="72">
        <f>IFERROR(IF(INDEX('İş Planı'!$M$5:$M$204,ROW()-4)="","",INDEX('İş Planı'!$M$5:$M$204,ROW()-4)),"")</f>
        <v>46332</v>
      </c>
      <c r="E9" s="71" t="str">
        <f>IFERROR(IF(INDEX('İş Planı'!$O$5:$O$204,ROW()-4)="","",INDEX('İş Planı'!$O$5:$O$204,ROW()-4)),"")</f>
        <v>Tamamlandı</v>
      </c>
      <c r="F9" s="83" t="n"/>
      <c r="G9" s="83" t="n"/>
      <c r="H9" s="83" t="n"/>
      <c r="I9" s="83" t="n"/>
      <c r="J9" s="83" t="n"/>
      <c r="K9" s="83" t="n"/>
      <c r="L9" s="83" t="n"/>
      <c r="M9" s="83" t="n"/>
      <c r="N9" s="83" t="n"/>
      <c r="O9" s="83" t="n"/>
      <c r="P9" s="83" t="n"/>
      <c r="Q9" s="83" t="n"/>
      <c r="R9" s="83" t="n"/>
      <c r="S9" s="83" t="n"/>
      <c r="T9" s="83" t="n"/>
      <c r="U9" s="83" t="n"/>
      <c r="V9" s="83" t="n"/>
      <c r="W9" s="83" t="n"/>
      <c r="X9" s="83" t="n"/>
      <c r="Y9" s="83" t="n"/>
      <c r="Z9" s="83" t="n"/>
      <c r="AA9" s="83" t="n"/>
      <c r="AB9" s="83" t="n"/>
      <c r="AC9" s="83" t="n"/>
      <c r="AD9" s="83" t="n"/>
      <c r="AE9" s="83" t="n"/>
      <c r="AF9" s="83" t="n"/>
      <c r="AG9" s="83" t="n"/>
      <c r="AH9" s="83" t="n"/>
      <c r="AI9" s="83" t="n"/>
      <c r="AJ9" s="83" t="n"/>
      <c r="AK9" s="83" t="n"/>
      <c r="AL9" s="83" t="n"/>
      <c r="AM9" s="83" t="n"/>
      <c r="AN9" s="83" t="n"/>
      <c r="AO9" s="83" t="n"/>
      <c r="AP9" s="83" t="n"/>
      <c r="AQ9" s="83" t="n"/>
      <c r="AR9" s="83" t="n"/>
      <c r="AS9" s="83" t="n"/>
      <c r="AT9" s="83" t="n"/>
      <c r="AU9" s="83" t="n"/>
      <c r="AV9" s="83" t="n"/>
      <c r="AW9" s="83" t="n"/>
      <c r="AX9" s="83" t="n"/>
      <c r="AY9" s="83" t="n"/>
      <c r="AZ9" s="83" t="n"/>
      <c r="BA9" s="83" t="n"/>
      <c r="BB9" s="83" t="n"/>
      <c r="BC9" s="83" t="n"/>
      <c r="BD9" s="83" t="n"/>
      <c r="BE9" s="83" t="n"/>
    </row>
    <row r="10" ht="18" customHeight="1">
      <c r="A10" s="55" t="str">
        <f>IFERROR(IF(INDEX('İş Planı'!$C$5:$C$204,ROW()-4)="","",INDEX('İş Planı'!$C$5:$C$204,ROW()-4)),"")</f>
        <v>Workflow Oluşturma</v>
      </c>
      <c r="B10" s="55" t="str">
        <f>IFERROR(IF(INDEX('İş Planı'!$B$5:$B$204,ROW()-4)="","",INDEX('İş Planı'!$B$5:$B$204,ROW()-4)),"")</f>
        <v>Dendeks WS Entegrasyon Denetimi</v>
      </c>
      <c r="C10" s="72">
        <f>IFERROR(IF(INDEX('İş Planı'!$I$5:$I$204,ROW()-4)="","",INDEX('İş Planı'!$I$5:$I$204,ROW()-4)),"")</f>
        <v>46265</v>
      </c>
      <c r="D10" s="72">
        <f>IFERROR(IF(INDEX('İş Planı'!$M$5:$M$204,ROW()-4)="","",INDEX('İş Planı'!$M$5:$M$204,ROW()-4)),"")</f>
        <v>46286</v>
      </c>
      <c r="E10" s="71" t="str">
        <f>IFERROR(IF(INDEX('İş Planı'!$O$5:$O$204,ROW()-4)="","",INDEX('İş Planı'!$O$5:$O$204,ROW()-4)),"")</f>
        <v>Tamamlandı</v>
      </c>
      <c r="F10" s="83" t="n"/>
      <c r="G10" s="83" t="n"/>
      <c r="H10" s="83" t="n"/>
      <c r="I10" s="83" t="n"/>
      <c r="J10" s="83" t="n"/>
      <c r="K10" s="83" t="n"/>
      <c r="L10" s="83" t="n"/>
      <c r="M10" s="83" t="n"/>
      <c r="N10" s="83" t="n"/>
      <c r="O10" s="83" t="n"/>
      <c r="P10" s="83" t="n"/>
      <c r="Q10" s="83" t="n"/>
      <c r="R10" s="83" t="n"/>
      <c r="S10" s="83" t="n"/>
      <c r="T10" s="83" t="n"/>
      <c r="U10" s="83" t="n"/>
      <c r="V10" s="83" t="n"/>
      <c r="W10" s="83" t="n"/>
      <c r="X10" s="83" t="n"/>
      <c r="Y10" s="83" t="n"/>
      <c r="Z10" s="83" t="n"/>
      <c r="AA10" s="83" t="n"/>
      <c r="AB10" s="83" t="n"/>
      <c r="AC10" s="83" t="n"/>
      <c r="AD10" s="83" t="n"/>
      <c r="AE10" s="83" t="n"/>
      <c r="AF10" s="83" t="n"/>
      <c r="AG10" s="83" t="n"/>
      <c r="AH10" s="83" t="n"/>
      <c r="AI10" s="83" t="n"/>
      <c r="AJ10" s="83" t="n"/>
      <c r="AK10" s="83" t="n"/>
      <c r="AL10" s="83" t="n"/>
      <c r="AM10" s="83" t="n"/>
      <c r="AN10" s="83" t="n"/>
      <c r="AO10" s="83" t="n"/>
      <c r="AP10" s="83" t="n"/>
      <c r="AQ10" s="83" t="n"/>
      <c r="AR10" s="83" t="n"/>
      <c r="AS10" s="83" t="n"/>
      <c r="AT10" s="83" t="n"/>
      <c r="AU10" s="83" t="n"/>
      <c r="AV10" s="83" t="n"/>
      <c r="AW10" s="83" t="n"/>
      <c r="AX10" s="83" t="n"/>
      <c r="AY10" s="83" t="n"/>
      <c r="AZ10" s="83" t="n"/>
      <c r="BA10" s="83" t="n"/>
      <c r="BB10" s="83" t="n"/>
      <c r="BC10" s="83" t="n"/>
      <c r="BD10" s="83" t="n"/>
      <c r="BE10" s="83" t="n"/>
    </row>
    <row r="11" ht="18" customHeight="1">
      <c r="A11" s="55" t="str">
        <f>IFERROR(IF(INDEX('İş Planı'!$C$5:$C$204,ROW()-4)="","",INDEX('İş Planı'!$C$5:$C$204,ROW()-4)),"")</f>
        <v>Madde 15</v>
      </c>
      <c r="B11" s="55" t="str">
        <f>IFERROR(IF(INDEX('İş Planı'!$B$5:$B$204,ROW()-4)="","",INDEX('İş Planı'!$B$5:$B$204,ROW()-4)),"")</f>
        <v>Yönetim Beyanı</v>
      </c>
      <c r="C11" s="72">
        <f>IFERROR(IF(INDEX('İş Planı'!$I$5:$I$204,ROW()-4)="","",INDEX('İş Planı'!$I$5:$I$204,ROW()-4)),"")</f>
        <v/>
      </c>
      <c r="D11" s="72">
        <f>IFERROR(IF(INDEX('İş Planı'!$M$5:$M$204,ROW()-4)="","",INDEX('İş Planı'!$M$5:$M$204,ROW()-4)),"")</f>
        <v/>
      </c>
      <c r="E11" s="71" t="str">
        <f>IFERROR(IF(INDEX('İş Planı'!$O$5:$O$204,ROW()-4)="","",INDEX('İş Planı'!$O$5:$O$204,ROW()-4)),"")</f>
        <v>Planlanan</v>
      </c>
      <c r="F11" s="83" t="n"/>
      <c r="G11" s="83" t="n"/>
      <c r="H11" s="83" t="n"/>
      <c r="I11" s="83" t="n"/>
      <c r="J11" s="83" t="n"/>
      <c r="K11" s="83" t="n"/>
      <c r="L11" s="83" t="n"/>
      <c r="M11" s="83" t="n"/>
      <c r="N11" s="83" t="n"/>
      <c r="O11" s="83" t="n"/>
      <c r="P11" s="83" t="n"/>
      <c r="Q11" s="83" t="n"/>
      <c r="R11" s="83" t="n"/>
      <c r="S11" s="83" t="n"/>
      <c r="T11" s="83" t="n"/>
      <c r="U11" s="83" t="n"/>
      <c r="V11" s="83" t="n"/>
      <c r="W11" s="83" t="n"/>
      <c r="X11" s="83" t="n"/>
      <c r="Y11" s="83" t="n"/>
      <c r="Z11" s="83" t="n"/>
      <c r="AA11" s="83" t="n"/>
      <c r="AB11" s="83" t="n"/>
      <c r="AC11" s="83" t="n"/>
      <c r="AD11" s="83" t="n"/>
      <c r="AE11" s="83" t="n"/>
      <c r="AF11" s="83" t="n"/>
      <c r="AG11" s="83" t="n"/>
      <c r="AH11" s="83" t="n"/>
      <c r="AI11" s="83" t="n"/>
      <c r="AJ11" s="83" t="n"/>
      <c r="AK11" s="83" t="n"/>
      <c r="AL11" s="83" t="n"/>
      <c r="AM11" s="83" t="n"/>
      <c r="AN11" s="83" t="n"/>
      <c r="AO11" s="83" t="n"/>
      <c r="AP11" s="83" t="n"/>
      <c r="AQ11" s="83" t="n"/>
      <c r="AR11" s="83" t="n"/>
      <c r="AS11" s="83" t="n"/>
      <c r="AT11" s="83" t="n"/>
      <c r="AU11" s="83" t="n"/>
      <c r="AV11" s="83" t="n"/>
      <c r="AW11" s="83" t="n"/>
      <c r="AX11" s="83" t="n"/>
      <c r="AY11" s="83" t="n"/>
      <c r="AZ11" s="83" t="n"/>
      <c r="BA11" s="83" t="n"/>
      <c r="BB11" s="83" t="n"/>
      <c r="BC11" s="83" t="n"/>
      <c r="BD11" s="83" t="n"/>
      <c r="BE11" s="83" t="n"/>
    </row>
    <row r="12" ht="18" customHeight="1">
      <c r="A12" s="55" t="str">
        <f>IFERROR(IF(INDEX('İş Planı'!$C$5:$C$204,ROW()-4)="","",INDEX('İş Planı'!$C$5:$C$204,ROW()-4)),"")</f>
        <v>Madde 16</v>
      </c>
      <c r="B12" s="55" t="str">
        <f>IFERROR(IF(INDEX('İş Planı'!$B$5:$B$204,ROW()-4)="","",INDEX('İş Planı'!$B$5:$B$204,ROW()-4)),"")</f>
        <v>Yönetim Beyanı</v>
      </c>
      <c r="C12" s="72">
        <f>IFERROR(IF(INDEX('İş Planı'!$I$5:$I$204,ROW()-4)="","",INDEX('İş Planı'!$I$5:$I$204,ROW()-4)),"")</f>
        <v/>
      </c>
      <c r="D12" s="72">
        <f>IFERROR(IF(INDEX('İş Planı'!$M$5:$M$204,ROW()-4)="","",INDEX('İş Planı'!$M$5:$M$204,ROW()-4)),"")</f>
        <v/>
      </c>
      <c r="E12" s="71" t="str">
        <f>IFERROR(IF(INDEX('İş Planı'!$O$5:$O$204,ROW()-4)="","",INDEX('İş Planı'!$O$5:$O$204,ROW()-4)),"")</f>
        <v>Planlanan</v>
      </c>
      <c r="F12" s="83" t="n"/>
      <c r="G12" s="83" t="n"/>
      <c r="H12" s="83" t="n"/>
      <c r="I12" s="83" t="n"/>
      <c r="J12" s="83" t="n"/>
      <c r="K12" s="83" t="n"/>
      <c r="L12" s="83" t="n"/>
      <c r="M12" s="83" t="n"/>
      <c r="N12" s="83" t="n"/>
      <c r="O12" s="83" t="n"/>
      <c r="P12" s="83" t="n"/>
      <c r="Q12" s="83" t="n"/>
      <c r="R12" s="83" t="n"/>
      <c r="S12" s="83" t="n"/>
      <c r="T12" s="83" t="n"/>
      <c r="U12" s="83" t="n"/>
      <c r="V12" s="83" t="n"/>
      <c r="W12" s="83" t="n"/>
      <c r="X12" s="83" t="n"/>
      <c r="Y12" s="83" t="n"/>
      <c r="Z12" s="83" t="n"/>
      <c r="AA12" s="83" t="n"/>
      <c r="AB12" s="83" t="n"/>
      <c r="AC12" s="83" t="n"/>
      <c r="AD12" s="83" t="n"/>
      <c r="AE12" s="83" t="n"/>
      <c r="AF12" s="83" t="n"/>
      <c r="AG12" s="83" t="n"/>
      <c r="AH12" s="83" t="n"/>
      <c r="AI12" s="83" t="n"/>
      <c r="AJ12" s="83" t="n"/>
      <c r="AK12" s="83" t="n"/>
      <c r="AL12" s="83" t="n"/>
      <c r="AM12" s="83" t="n"/>
      <c r="AN12" s="83" t="n"/>
      <c r="AO12" s="83" t="n"/>
      <c r="AP12" s="83" t="n"/>
      <c r="AQ12" s="83" t="n"/>
      <c r="AR12" s="83" t="n"/>
      <c r="AS12" s="83" t="n"/>
      <c r="AT12" s="83" t="n"/>
      <c r="AU12" s="83" t="n"/>
      <c r="AV12" s="83" t="n"/>
      <c r="AW12" s="83" t="n"/>
      <c r="AX12" s="83" t="n"/>
      <c r="AY12" s="83" t="n"/>
      <c r="AZ12" s="83" t="n"/>
      <c r="BA12" s="83" t="n"/>
      <c r="BB12" s="83" t="n"/>
      <c r="BC12" s="83" t="n"/>
      <c r="BD12" s="83" t="n"/>
      <c r="BE12" s="83" t="n"/>
    </row>
    <row r="13" ht="18" customHeight="1">
      <c r="A13" s="55" t="str">
        <f>IFERROR(IF(INDEX('İş Planı'!$C$5:$C$204,ROW()-4)="","",INDEX('İş Planı'!$C$5:$C$204,ROW()-4)),"")</f>
        <v>Madde 17</v>
      </c>
      <c r="B13" s="55" t="str">
        <f>IFERROR(IF(INDEX('İş Planı'!$B$5:$B$204,ROW()-4)="","",INDEX('İş Planı'!$B$5:$B$204,ROW()-4)),"")</f>
        <v>Yönetim Beyanı</v>
      </c>
      <c r="C13" s="72">
        <f>IFERROR(IF(INDEX('İş Planı'!$I$5:$I$204,ROW()-4)="","",INDEX('İş Planı'!$I$5:$I$204,ROW()-4)),"")</f>
        <v/>
      </c>
      <c r="D13" s="72">
        <f>IFERROR(IF(INDEX('İş Planı'!$M$5:$M$204,ROW()-4)="","",INDEX('İş Planı'!$M$5:$M$204,ROW()-4)),"")</f>
        <v/>
      </c>
      <c r="E13" s="71" t="str">
        <f>IFERROR(IF(INDEX('İş Planı'!$O$5:$O$204,ROW()-4)="","",INDEX('İş Planı'!$O$5:$O$204,ROW()-4)),"")</f>
        <v>Planlanan</v>
      </c>
      <c r="F13" s="83" t="n"/>
      <c r="G13" s="83" t="n"/>
      <c r="H13" s="83" t="n"/>
      <c r="I13" s="83" t="n"/>
      <c r="J13" s="83" t="n"/>
      <c r="K13" s="83" t="n"/>
      <c r="L13" s="83" t="n"/>
      <c r="M13" s="83" t="n"/>
      <c r="N13" s="83" t="n"/>
      <c r="O13" s="83" t="n"/>
      <c r="P13" s="83" t="n"/>
      <c r="Q13" s="83" t="n"/>
      <c r="R13" s="83" t="n"/>
      <c r="S13" s="83" t="n"/>
      <c r="T13" s="83" t="n"/>
      <c r="U13" s="83" t="n"/>
      <c r="V13" s="83" t="n"/>
      <c r="W13" s="83" t="n"/>
      <c r="X13" s="83" t="n"/>
      <c r="Y13" s="83" t="n"/>
      <c r="Z13" s="83" t="n"/>
      <c r="AA13" s="83" t="n"/>
      <c r="AB13" s="83" t="n"/>
      <c r="AC13" s="83" t="n"/>
      <c r="AD13" s="83" t="n"/>
      <c r="AE13" s="83" t="n"/>
      <c r="AF13" s="83" t="n"/>
      <c r="AG13" s="83" t="n"/>
      <c r="AH13" s="83" t="n"/>
      <c r="AI13" s="83" t="n"/>
      <c r="AJ13" s="83" t="n"/>
      <c r="AK13" s="83" t="n"/>
      <c r="AL13" s="83" t="n"/>
      <c r="AM13" s="83" t="n"/>
      <c r="AN13" s="83" t="n"/>
      <c r="AO13" s="83" t="n"/>
      <c r="AP13" s="83" t="n"/>
      <c r="AQ13" s="83" t="n"/>
      <c r="AR13" s="83" t="n"/>
      <c r="AS13" s="83" t="n"/>
      <c r="AT13" s="83" t="n"/>
      <c r="AU13" s="83" t="n"/>
      <c r="AV13" s="83" t="n"/>
      <c r="AW13" s="83" t="n"/>
      <c r="AX13" s="83" t="n"/>
      <c r="AY13" s="83" t="n"/>
      <c r="AZ13" s="83" t="n"/>
      <c r="BA13" s="83" t="n"/>
      <c r="BB13" s="83" t="n"/>
      <c r="BC13" s="83" t="n"/>
      <c r="BD13" s="83" t="n"/>
      <c r="BE13" s="83" t="n"/>
    </row>
    <row r="14" ht="18" customHeight="1">
      <c r="A14" s="55" t="str">
        <f>IFERROR(IF(INDEX('İş Planı'!$C$5:$C$204,ROW()-4)="","",INDEX('İş Planı'!$C$5:$C$204,ROW()-4)),"")</f>
        <v>MDM - JAMF kontrolleri, Telefon Testleri</v>
      </c>
      <c r="B14" s="55" t="str">
        <f>IFERROR(IF(INDEX('İş Planı'!$B$5:$B$204,ROW()-4)="","",INDEX('İş Planı'!$B$5:$B$204,ROW()-4)),"")</f>
        <v>Ad-Hoc İşler</v>
      </c>
      <c r="C14" s="72">
        <f>IFERROR(IF(INDEX('İş Planı'!$I$5:$I$204,ROW()-4)="","",INDEX('İş Planı'!$I$5:$I$204,ROW()-4)),"")</f>
        <v>46275</v>
      </c>
      <c r="D14" s="72">
        <f>IFERROR(IF(INDEX('İş Planı'!$M$5:$M$204,ROW()-4)="","",INDEX('İş Planı'!$M$5:$M$204,ROW()-4)),"")</f>
        <v>46287</v>
      </c>
      <c r="E14" s="71" t="str">
        <f>IFERROR(IF(INDEX('İş Planı'!$O$5:$O$204,ROW()-4)="","",INDEX('İş Planı'!$O$5:$O$204,ROW()-4)),"")</f>
        <v>Tamamlandı</v>
      </c>
      <c r="F14" s="83" t="n"/>
      <c r="G14" s="83" t="n"/>
      <c r="H14" s="83" t="n"/>
      <c r="I14" s="83" t="n"/>
      <c r="J14" s="83" t="n"/>
      <c r="K14" s="83" t="n"/>
      <c r="L14" s="83" t="n"/>
      <c r="M14" s="83" t="n"/>
      <c r="N14" s="83" t="n"/>
      <c r="O14" s="83" t="n"/>
      <c r="P14" s="83" t="n"/>
      <c r="Q14" s="83" t="n"/>
      <c r="R14" s="83" t="n"/>
      <c r="S14" s="83" t="n"/>
      <c r="T14" s="83" t="n"/>
      <c r="U14" s="83" t="n"/>
      <c r="V14" s="83" t="n"/>
      <c r="W14" s="83" t="n"/>
      <c r="X14" s="83" t="n"/>
      <c r="Y14" s="83" t="n"/>
      <c r="Z14" s="83" t="n"/>
      <c r="AA14" s="83" t="n"/>
      <c r="AB14" s="83" t="n"/>
      <c r="AC14" s="83" t="n"/>
      <c r="AD14" s="83" t="n"/>
      <c r="AE14" s="83" t="n"/>
      <c r="AF14" s="83" t="n"/>
      <c r="AG14" s="83" t="n"/>
      <c r="AH14" s="83" t="n"/>
      <c r="AI14" s="83" t="n"/>
      <c r="AJ14" s="83" t="n"/>
      <c r="AK14" s="83" t="n"/>
      <c r="AL14" s="83" t="n"/>
      <c r="AM14" s="83" t="n"/>
      <c r="AN14" s="83" t="n"/>
      <c r="AO14" s="83" t="n"/>
      <c r="AP14" s="83" t="n"/>
      <c r="AQ14" s="83" t="n"/>
      <c r="AR14" s="83" t="n"/>
      <c r="AS14" s="83" t="n"/>
      <c r="AT14" s="83" t="n"/>
      <c r="AU14" s="83" t="n"/>
      <c r="AV14" s="83" t="n"/>
      <c r="AW14" s="83" t="n"/>
      <c r="AX14" s="83" t="n"/>
      <c r="AY14" s="83" t="n"/>
      <c r="AZ14" s="83" t="n"/>
      <c r="BA14" s="83" t="n"/>
      <c r="BB14" s="83" t="n"/>
      <c r="BC14" s="83" t="n"/>
      <c r="BD14" s="83" t="n"/>
      <c r="BE14" s="83" t="n"/>
    </row>
    <row r="15" ht="18" customHeight="1">
      <c r="A15" s="55" t="str">
        <f>IFERROR(IF(INDEX('İş Planı'!$C$5:$C$204,ROW()-4)="","",INDEX('İş Planı'!$C$5:$C$204,ROW()-4)),"")</f>
        <v>ABC Networkü ve ADSL Modem üzerinden çıkış yapan cihazların ortak kullanıdıgı subnetler var mı?</v>
      </c>
      <c r="B15" s="55" t="str">
        <f>IFERROR(IF(INDEX('İş Planı'!$B$5:$B$204,ROW()-4)="","",INDEX('İş Planı'!$B$5:$B$204,ROW()-4)),"")</f>
        <v>Ad-Hoc İşler</v>
      </c>
      <c r="C15" s="72">
        <f>IFERROR(IF(INDEX('İş Planı'!$I$5:$I$204,ROW()-4)="","",INDEX('İş Planı'!$I$5:$I$204,ROW()-4)),"")</f>
        <v>46272</v>
      </c>
      <c r="D15" s="72">
        <f>IFERROR(IF(INDEX('İş Planı'!$M$5:$M$204,ROW()-4)="","",INDEX('İş Planı'!$M$5:$M$204,ROW()-4)),"")</f>
        <v>46287</v>
      </c>
      <c r="E15" s="71" t="str">
        <f>IFERROR(IF(INDEX('İş Planı'!$O$5:$O$204,ROW()-4)="","",INDEX('İş Planı'!$O$5:$O$204,ROW()-4)),"")</f>
        <v>Tamamlandı</v>
      </c>
      <c r="F15" s="83" t="n"/>
      <c r="G15" s="83" t="n"/>
      <c r="H15" s="83" t="n"/>
      <c r="I15" s="83" t="n"/>
      <c r="J15" s="83" t="n"/>
      <c r="K15" s="83" t="n"/>
      <c r="L15" s="83" t="n"/>
      <c r="M15" s="83" t="n"/>
      <c r="N15" s="83" t="n"/>
      <c r="O15" s="83" t="n"/>
      <c r="P15" s="83" t="n"/>
      <c r="Q15" s="83" t="n"/>
      <c r="R15" s="83" t="n"/>
      <c r="S15" s="83" t="n"/>
      <c r="T15" s="83" t="n"/>
      <c r="U15" s="83" t="n"/>
      <c r="V15" s="83" t="n"/>
      <c r="W15" s="83" t="n"/>
      <c r="X15" s="83" t="n"/>
      <c r="Y15" s="83" t="n"/>
      <c r="Z15" s="83" t="n"/>
      <c r="AA15" s="83" t="n"/>
      <c r="AB15" s="83" t="n"/>
      <c r="AC15" s="83" t="n"/>
      <c r="AD15" s="83" t="n"/>
      <c r="AE15" s="83" t="n"/>
      <c r="AF15" s="83" t="n"/>
      <c r="AG15" s="83" t="n"/>
      <c r="AH15" s="83" t="n"/>
      <c r="AI15" s="83" t="n"/>
      <c r="AJ15" s="83" t="n"/>
      <c r="AK15" s="83" t="n"/>
      <c r="AL15" s="83" t="n"/>
      <c r="AM15" s="83" t="n"/>
      <c r="AN15" s="83" t="n"/>
      <c r="AO15" s="83" t="n"/>
      <c r="AP15" s="83" t="n"/>
      <c r="AQ15" s="83" t="n"/>
      <c r="AR15" s="83" t="n"/>
      <c r="AS15" s="83" t="n"/>
      <c r="AT15" s="83" t="n"/>
      <c r="AU15" s="83" t="n"/>
      <c r="AV15" s="83" t="n"/>
      <c r="AW15" s="83" t="n"/>
      <c r="AX15" s="83" t="n"/>
      <c r="AY15" s="83" t="n"/>
      <c r="AZ15" s="83" t="n"/>
      <c r="BA15" s="83" t="n"/>
      <c r="BB15" s="83" t="n"/>
      <c r="BC15" s="83" t="n"/>
      <c r="BD15" s="83" t="n"/>
      <c r="BE15" s="83" t="n"/>
    </row>
    <row r="16" ht="18" customHeight="1">
      <c r="A16" s="55" t="str">
        <f>IFERROR(IF(INDEX('İş Planı'!$C$5:$C$204,ROW()-4)="","",INDEX('İş Planı'!$C$5:$C$204,ROW()-4)),"")</f>
        <v>Madde 13</v>
      </c>
      <c r="B16" s="55" t="str">
        <f>IFERROR(IF(INDEX('İş Planı'!$B$5:$B$204,ROW()-4)="","",INDEX('İş Planı'!$B$5:$B$204,ROW()-4)),"")</f>
        <v>Yönetim Beyanı</v>
      </c>
      <c r="C16" s="72">
        <f>IFERROR(IF(INDEX('İş Planı'!$I$5:$I$204,ROW()-4)="","",INDEX('İş Planı'!$I$5:$I$204,ROW()-4)),"")</f>
        <v>46265</v>
      </c>
      <c r="D16" s="72">
        <f>IFERROR(IF(INDEX('İş Planı'!$M$5:$M$204,ROW()-4)="","",INDEX('İş Planı'!$M$5:$M$204,ROW()-4)),"")</f>
        <v>46284</v>
      </c>
      <c r="E16" s="71" t="str">
        <f>IFERROR(IF(INDEX('İş Planı'!$O$5:$O$204,ROW()-4)="","",INDEX('İş Planı'!$O$5:$O$204,ROW()-4)),"")</f>
        <v>Gecikmiş</v>
      </c>
      <c r="F16" s="83" t="n"/>
      <c r="G16" s="83" t="n"/>
      <c r="H16" s="83" t="n"/>
      <c r="I16" s="83" t="n"/>
      <c r="J16" s="83" t="n"/>
      <c r="K16" s="83" t="n"/>
      <c r="L16" s="83" t="n"/>
      <c r="M16" s="83" t="n"/>
      <c r="N16" s="83" t="n"/>
      <c r="O16" s="83" t="n"/>
      <c r="P16" s="83" t="n"/>
      <c r="Q16" s="83" t="n"/>
      <c r="R16" s="83" t="n"/>
      <c r="S16" s="83" t="n"/>
      <c r="T16" s="83" t="n"/>
      <c r="U16" s="83" t="n"/>
      <c r="V16" s="83" t="n"/>
      <c r="W16" s="83" t="n"/>
      <c r="X16" s="83" t="n"/>
      <c r="Y16" s="83" t="n"/>
      <c r="Z16" s="83" t="n"/>
      <c r="AA16" s="83" t="n"/>
      <c r="AB16" s="83" t="n"/>
      <c r="AC16" s="83" t="n"/>
      <c r="AD16" s="83" t="n"/>
      <c r="AE16" s="83" t="n"/>
      <c r="AF16" s="83" t="n"/>
      <c r="AG16" s="83" t="n"/>
      <c r="AH16" s="83" t="n"/>
      <c r="AI16" s="83" t="n"/>
      <c r="AJ16" s="83" t="n"/>
      <c r="AK16" s="83" t="n"/>
      <c r="AL16" s="83" t="n"/>
      <c r="AM16" s="83" t="n"/>
      <c r="AN16" s="83" t="n"/>
      <c r="AO16" s="83" t="n"/>
      <c r="AP16" s="83" t="n"/>
      <c r="AQ16" s="83" t="n"/>
      <c r="AR16" s="83" t="n"/>
      <c r="AS16" s="83" t="n"/>
      <c r="AT16" s="83" t="n"/>
      <c r="AU16" s="83" t="n"/>
      <c r="AV16" s="83" t="n"/>
      <c r="AW16" s="83" t="n"/>
      <c r="AX16" s="83" t="n"/>
      <c r="AY16" s="83" t="n"/>
      <c r="AZ16" s="83" t="n"/>
      <c r="BA16" s="83" t="n"/>
      <c r="BB16" s="83" t="n"/>
      <c r="BC16" s="83" t="n"/>
      <c r="BD16" s="83" t="n"/>
      <c r="BE16" s="83" t="n"/>
    </row>
    <row r="17" ht="18" customHeight="1">
      <c r="A17" s="55" t="str">
        <f>IFERROR(IF(INDEX('İş Planı'!$C$5:$C$204,ROW()-4)="","",INDEX('İş Planı'!$C$5:$C$204,ROW()-4)),"")</f>
        <v>Madde 24</v>
      </c>
      <c r="B17" s="55" t="str">
        <f>IFERROR(IF(INDEX('İş Planı'!$B$5:$B$204,ROW()-4)="","",INDEX('İş Planı'!$B$5:$B$204,ROW()-4)),"")</f>
        <v>Yönetim Beyanı</v>
      </c>
      <c r="C17" s="72">
        <f>IFERROR(IF(INDEX('İş Planı'!$I$5:$I$204,ROW()-4)="","",INDEX('İş Planı'!$I$5:$I$204,ROW()-4)),"")</f>
        <v/>
      </c>
      <c r="D17" s="72">
        <f>IFERROR(IF(INDEX('İş Planı'!$M$5:$M$204,ROW()-4)="","",INDEX('İş Planı'!$M$5:$M$204,ROW()-4)),"")</f>
        <v/>
      </c>
      <c r="E17" s="71" t="str">
        <f>IFERROR(IF(INDEX('İş Planı'!$O$5:$O$204,ROW()-4)="","",INDEX('İş Planı'!$O$5:$O$204,ROW()-4)),"")</f>
        <v>Planlanan</v>
      </c>
      <c r="F17" s="83" t="n"/>
      <c r="G17" s="83" t="n"/>
      <c r="H17" s="83" t="n"/>
      <c r="I17" s="83" t="n"/>
      <c r="J17" s="83" t="n"/>
      <c r="K17" s="83" t="n"/>
      <c r="L17" s="83" t="n"/>
      <c r="M17" s="83" t="n"/>
      <c r="N17" s="83" t="n"/>
      <c r="O17" s="83" t="n"/>
      <c r="P17" s="83" t="n"/>
      <c r="Q17" s="83" t="n"/>
      <c r="R17" s="83" t="n"/>
      <c r="S17" s="83" t="n"/>
      <c r="T17" s="83" t="n"/>
      <c r="U17" s="83" t="n"/>
      <c r="V17" s="83" t="n"/>
      <c r="W17" s="83" t="n"/>
      <c r="X17" s="83" t="n"/>
      <c r="Y17" s="83" t="n"/>
      <c r="Z17" s="83" t="n"/>
      <c r="AA17" s="83" t="n"/>
      <c r="AB17" s="83" t="n"/>
      <c r="AC17" s="83" t="n"/>
      <c r="AD17" s="83" t="n"/>
      <c r="AE17" s="83" t="n"/>
      <c r="AF17" s="83" t="n"/>
      <c r="AG17" s="83" t="n"/>
      <c r="AH17" s="83" t="n"/>
      <c r="AI17" s="83" t="n"/>
      <c r="AJ17" s="83" t="n"/>
      <c r="AK17" s="83" t="n"/>
      <c r="AL17" s="83" t="n"/>
      <c r="AM17" s="83" t="n"/>
      <c r="AN17" s="83" t="n"/>
      <c r="AO17" s="83" t="n"/>
      <c r="AP17" s="83" t="n"/>
      <c r="AQ17" s="83" t="n"/>
      <c r="AR17" s="83" t="n"/>
      <c r="AS17" s="83" t="n"/>
      <c r="AT17" s="83" t="n"/>
      <c r="AU17" s="83" t="n"/>
      <c r="AV17" s="83" t="n"/>
      <c r="AW17" s="83" t="n"/>
      <c r="AX17" s="83" t="n"/>
      <c r="AY17" s="83" t="n"/>
      <c r="AZ17" s="83" t="n"/>
      <c r="BA17" s="83" t="n"/>
      <c r="BB17" s="83" t="n"/>
      <c r="BC17" s="83" t="n"/>
      <c r="BD17" s="83" t="n"/>
      <c r="BE17" s="83" t="n"/>
    </row>
    <row r="18" ht="18" customHeight="1">
      <c r="A18" s="55" t="str">
        <f>IFERROR(IF(INDEX('İş Planı'!$C$5:$C$204,ROW()-4)="","",INDEX('İş Planı'!$C$5:$C$204,ROW()-4)),"")</f>
        <v>Madde 21</v>
      </c>
      <c r="B18" s="55" t="str">
        <f>IFERROR(IF(INDEX('İş Planı'!$B$5:$B$204,ROW()-4)="","",INDEX('İş Planı'!$B$5:$B$204,ROW()-4)),"")</f>
        <v>Yönetim Beyanı</v>
      </c>
      <c r="C18" s="72">
        <f>IFERROR(IF(INDEX('İş Planı'!$I$5:$I$204,ROW()-4)="","",INDEX('İş Planı'!$I$5:$I$204,ROW()-4)),"")</f>
        <v>46255</v>
      </c>
      <c r="D18" s="72">
        <f>IFERROR(IF(INDEX('İş Planı'!$M$5:$M$204,ROW()-4)="","",INDEX('İş Planı'!$M$5:$M$204,ROW()-4)),"")</f>
        <v>46293</v>
      </c>
      <c r="E18" s="71" t="str">
        <f>IFERROR(IF(INDEX('İş Planı'!$O$5:$O$204,ROW()-4)="","",INDEX('İş Planı'!$O$5:$O$204,ROW()-4)),"")</f>
        <v>Gecikmiş</v>
      </c>
      <c r="F18" s="83" t="n"/>
      <c r="G18" s="83" t="n"/>
      <c r="H18" s="83" t="n"/>
      <c r="I18" s="83" t="n"/>
      <c r="J18" s="83" t="n"/>
      <c r="K18" s="83" t="n"/>
      <c r="L18" s="83" t="n"/>
      <c r="M18" s="83" t="n"/>
      <c r="N18" s="83" t="n"/>
      <c r="O18" s="83" t="n"/>
      <c r="P18" s="83" t="n"/>
      <c r="Q18" s="83" t="n"/>
      <c r="R18" s="83" t="n"/>
      <c r="S18" s="83" t="n"/>
      <c r="T18" s="83" t="n"/>
      <c r="U18" s="83" t="n"/>
      <c r="V18" s="83" t="n"/>
      <c r="W18" s="83" t="n"/>
      <c r="X18" s="83" t="n"/>
      <c r="Y18" s="83" t="n"/>
      <c r="Z18" s="83" t="n"/>
      <c r="AA18" s="83" t="n"/>
      <c r="AB18" s="83" t="n"/>
      <c r="AC18" s="83" t="n"/>
      <c r="AD18" s="83" t="n"/>
      <c r="AE18" s="83" t="n"/>
      <c r="AF18" s="83" t="n"/>
      <c r="AG18" s="83" t="n"/>
      <c r="AH18" s="83" t="n"/>
      <c r="AI18" s="83" t="n"/>
      <c r="AJ18" s="83" t="n"/>
      <c r="AK18" s="83" t="n"/>
      <c r="AL18" s="83" t="n"/>
      <c r="AM18" s="83" t="n"/>
      <c r="AN18" s="83" t="n"/>
      <c r="AO18" s="83" t="n"/>
      <c r="AP18" s="83" t="n"/>
      <c r="AQ18" s="83" t="n"/>
      <c r="AR18" s="83" t="n"/>
      <c r="AS18" s="83" t="n"/>
      <c r="AT18" s="83" t="n"/>
      <c r="AU18" s="83" t="n"/>
      <c r="AV18" s="83" t="n"/>
      <c r="AW18" s="83" t="n"/>
      <c r="AX18" s="83" t="n"/>
      <c r="AY18" s="83" t="n"/>
      <c r="AZ18" s="83" t="n"/>
      <c r="BA18" s="83" t="n"/>
      <c r="BB18" s="83" t="n"/>
      <c r="BC18" s="83" t="n"/>
      <c r="BD18" s="83" t="n"/>
      <c r="BE18" s="83" t="n"/>
    </row>
    <row r="19" ht="18" customHeight="1">
      <c r="A19" s="55" t="str">
        <f>IFERROR(IF(INDEX('İş Planı'!$C$5:$C$204,ROW()-4)="","",INDEX('İş Planı'!$C$5:$C$204,ROW()-4)),"")</f>
        <v>Madde 26</v>
      </c>
      <c r="B19" s="55" t="str">
        <f>IFERROR(IF(INDEX('İş Planı'!$B$5:$B$204,ROW()-4)="","",INDEX('İş Planı'!$B$5:$B$204,ROW()-4)),"")</f>
        <v>Yönetim Beyanı</v>
      </c>
      <c r="C19" s="72">
        <f>IFERROR(IF(INDEX('İş Planı'!$I$5:$I$204,ROW()-4)="","",INDEX('İş Planı'!$I$5:$I$204,ROW()-4)),"")</f>
        <v>46258</v>
      </c>
      <c r="D19" s="72">
        <f>IFERROR(IF(INDEX('İş Planı'!$M$5:$M$204,ROW()-4)="","",INDEX('İş Planı'!$M$5:$M$204,ROW()-4)),"")</f>
        <v>46283</v>
      </c>
      <c r="E19" s="71" t="str">
        <f>IFERROR(IF(INDEX('İş Planı'!$O$5:$O$204,ROW()-4)="","",INDEX('İş Planı'!$O$5:$O$204,ROW()-4)),"")</f>
        <v>Gecikmiş</v>
      </c>
      <c r="F19" s="83" t="n"/>
      <c r="G19" s="83" t="n"/>
      <c r="H19" s="83" t="n"/>
      <c r="I19" s="83" t="n"/>
      <c r="J19" s="83" t="n"/>
      <c r="K19" s="83" t="n"/>
      <c r="L19" s="83" t="n"/>
      <c r="M19" s="83" t="n"/>
      <c r="N19" s="83" t="n"/>
      <c r="O19" s="83" t="n"/>
      <c r="P19" s="83" t="n"/>
      <c r="Q19" s="83" t="n"/>
      <c r="R19" s="83" t="n"/>
      <c r="S19" s="83" t="n"/>
      <c r="T19" s="83" t="n"/>
      <c r="U19" s="83" t="n"/>
      <c r="V19" s="83" t="n"/>
      <c r="W19" s="83" t="n"/>
      <c r="X19" s="83" t="n"/>
      <c r="Y19" s="83" t="n"/>
      <c r="Z19" s="83" t="n"/>
      <c r="AA19" s="83" t="n"/>
      <c r="AB19" s="83" t="n"/>
      <c r="AC19" s="83" t="n"/>
      <c r="AD19" s="83" t="n"/>
      <c r="AE19" s="83" t="n"/>
      <c r="AF19" s="83" t="n"/>
      <c r="AG19" s="83" t="n"/>
      <c r="AH19" s="83" t="n"/>
      <c r="AI19" s="83" t="n"/>
      <c r="AJ19" s="83" t="n"/>
      <c r="AK19" s="83" t="n"/>
      <c r="AL19" s="83" t="n"/>
      <c r="AM19" s="83" t="n"/>
      <c r="AN19" s="83" t="n"/>
      <c r="AO19" s="83" t="n"/>
      <c r="AP19" s="83" t="n"/>
      <c r="AQ19" s="83" t="n"/>
      <c r="AR19" s="83" t="n"/>
      <c r="AS19" s="83" t="n"/>
      <c r="AT19" s="83" t="n"/>
      <c r="AU19" s="83" t="n"/>
      <c r="AV19" s="83" t="n"/>
      <c r="AW19" s="83" t="n"/>
      <c r="AX19" s="83" t="n"/>
      <c r="AY19" s="83" t="n"/>
      <c r="AZ19" s="83" t="n"/>
      <c r="BA19" s="83" t="n"/>
      <c r="BB19" s="83" t="n"/>
      <c r="BC19" s="83" t="n"/>
      <c r="BD19" s="83" t="n"/>
      <c r="BE19" s="83" t="n"/>
    </row>
    <row r="20" ht="18" customHeight="1">
      <c r="A20" s="55" t="str">
        <f>IFERROR(IF(INDEX('İş Planı'!$C$5:$C$204,ROW()-4)="","",INDEX('İş Planı'!$C$5:$C$204,ROW()-4)),"")</f>
        <v>3.1.8 İz ve Denetim Kayıtlarının Tutulması ve İzlenmesi</v>
      </c>
      <c r="B20" s="55" t="str">
        <f>IFERROR(IF(INDEX('İş Planı'!$B$5:$B$204,ROW()-4)="","",INDEX('İş Planı'!$B$5:$B$204,ROW()-4)),"")</f>
        <v>BIGR</v>
      </c>
      <c r="C20" s="72">
        <f>IFERROR(IF(INDEX('İş Planı'!$I$5:$I$204,ROW()-4)="","",INDEX('İş Planı'!$I$5:$I$204,ROW()-4)),"")</f>
        <v>46265</v>
      </c>
      <c r="D20" s="72">
        <f>IFERROR(IF(INDEX('İş Planı'!$M$5:$M$204,ROW()-4)="","",INDEX('İş Planı'!$M$5:$M$204,ROW()-4)),"")</f>
        <v>46284</v>
      </c>
      <c r="E20" s="71" t="str">
        <f>IFERROR(IF(INDEX('İş Planı'!$O$5:$O$204,ROW()-4)="","",INDEX('İş Planı'!$O$5:$O$204,ROW()-4)),"")</f>
        <v>Gecikmiş</v>
      </c>
      <c r="F20" s="83" t="n"/>
      <c r="G20" s="83" t="n"/>
      <c r="H20" s="83" t="n"/>
      <c r="I20" s="83" t="n"/>
      <c r="J20" s="83" t="n"/>
      <c r="K20" s="83" t="n"/>
      <c r="L20" s="83" t="n"/>
      <c r="M20" s="83" t="n"/>
      <c r="N20" s="83" t="n"/>
      <c r="O20" s="83" t="n"/>
      <c r="P20" s="83" t="n"/>
      <c r="Q20" s="83" t="n"/>
      <c r="R20" s="83" t="n"/>
      <c r="S20" s="83" t="n"/>
      <c r="T20" s="83" t="n"/>
      <c r="U20" s="83" t="n"/>
      <c r="V20" s="83" t="n"/>
      <c r="W20" s="83" t="n"/>
      <c r="X20" s="83" t="n"/>
      <c r="Y20" s="83" t="n"/>
      <c r="Z20" s="83" t="n"/>
      <c r="AA20" s="83" t="n"/>
      <c r="AB20" s="83" t="n"/>
      <c r="AC20" s="83" t="n"/>
      <c r="AD20" s="83" t="n"/>
      <c r="AE20" s="83" t="n"/>
      <c r="AF20" s="83" t="n"/>
      <c r="AG20" s="83" t="n"/>
      <c r="AH20" s="83" t="n"/>
      <c r="AI20" s="83" t="n"/>
      <c r="AJ20" s="83" t="n"/>
      <c r="AK20" s="83" t="n"/>
      <c r="AL20" s="83" t="n"/>
      <c r="AM20" s="83" t="n"/>
      <c r="AN20" s="83" t="n"/>
      <c r="AO20" s="83" t="n"/>
      <c r="AP20" s="83" t="n"/>
      <c r="AQ20" s="83" t="n"/>
      <c r="AR20" s="83" t="n"/>
      <c r="AS20" s="83" t="n"/>
      <c r="AT20" s="83" t="n"/>
      <c r="AU20" s="83" t="n"/>
      <c r="AV20" s="83" t="n"/>
      <c r="AW20" s="83" t="n"/>
      <c r="AX20" s="83" t="n"/>
      <c r="AY20" s="83" t="n"/>
      <c r="AZ20" s="83" t="n"/>
      <c r="BA20" s="83" t="n"/>
      <c r="BB20" s="83" t="n"/>
      <c r="BC20" s="83" t="n"/>
      <c r="BD20" s="83" t="n"/>
      <c r="BE20" s="83" t="n"/>
    </row>
    <row r="21" ht="18" customHeight="1">
      <c r="A21" s="55" t="str">
        <f>IFERROR(IF(INDEX('İş Planı'!$C$5:$C$204,ROW()-4)="","",INDEX('İş Planı'!$C$5:$C$204,ROW()-4)),"")</f>
        <v>İdea Teknoloji Dış Hizmet Denetimi
Firma GİB denetiminden geçmekte (Bağımsız denetim 2 yılda bir)
Bizim taraftaki kontroller GİB kontrolleri ile eşleştirildi. GİB'den dolayı teknik tarafta paylaşılamayan kanıtlar var. Firmanın GRC ekibi ile toplantılarla kontrollere yorum yazarak veya ilgili rapora refarans vererek ilerliyoruz.
ABC verilerine erişim ve kontroller (Faturalar orada) ek olarak yapılacak onun haricinde GİB'e bağlı kalacağız.
</v>
      </c>
      <c r="B21" s="55" t="str">
        <f>IFERROR(IF(INDEX('İş Planı'!$B$5:$B$204,ROW()-4)="","",INDEX('İş Planı'!$B$5:$B$204,ROW()-4)),"")</f>
        <v>Destek Hizmeti Denetimler</v>
      </c>
      <c r="C21" s="72">
        <f>IFERROR(IF(INDEX('İş Planı'!$I$5:$I$204,ROW()-4)="","",INDEX('İş Planı'!$I$5:$I$204,ROW()-4)),"")</f>
        <v>46232</v>
      </c>
      <c r="D21" s="72">
        <f>IFERROR(IF(INDEX('İş Planı'!$M$5:$M$204,ROW()-4)="","",INDEX('İş Planı'!$M$5:$M$204,ROW()-4)),"")</f>
        <v>46322</v>
      </c>
      <c r="E21" s="71" t="str">
        <f>IFERROR(IF(INDEX('İş Planı'!$O$5:$O$204,ROW()-4)="","",INDEX('İş Planı'!$O$5:$O$204,ROW()-4)),"")</f>
        <v>Devam Ediyor</v>
      </c>
      <c r="F21" s="83" t="n"/>
      <c r="G21" s="83" t="n"/>
      <c r="H21" s="83" t="n"/>
      <c r="I21" s="83" t="n"/>
      <c r="J21" s="83" t="n"/>
      <c r="K21" s="83" t="n"/>
      <c r="L21" s="83" t="n"/>
      <c r="M21" s="83" t="n"/>
      <c r="N21" s="83" t="n"/>
      <c r="O21" s="83" t="n"/>
      <c r="P21" s="83" t="n"/>
      <c r="Q21" s="83" t="n"/>
      <c r="R21" s="83" t="n"/>
      <c r="S21" s="83" t="n"/>
      <c r="T21" s="83" t="n"/>
      <c r="U21" s="83" t="n"/>
      <c r="V21" s="83" t="n"/>
      <c r="W21" s="83" t="n"/>
      <c r="X21" s="83" t="n"/>
      <c r="Y21" s="83" t="n"/>
      <c r="Z21" s="83" t="n"/>
      <c r="AA21" s="83" t="n"/>
      <c r="AB21" s="83" t="n"/>
      <c r="AC21" s="83" t="n"/>
      <c r="AD21" s="83" t="n"/>
      <c r="AE21" s="83" t="n"/>
      <c r="AF21" s="83" t="n"/>
      <c r="AG21" s="83" t="n"/>
      <c r="AH21" s="83" t="n"/>
      <c r="AI21" s="83" t="n"/>
      <c r="AJ21" s="83" t="n"/>
      <c r="AK21" s="83" t="n"/>
      <c r="AL21" s="83" t="n"/>
      <c r="AM21" s="83" t="n"/>
      <c r="AN21" s="83" t="n"/>
      <c r="AO21" s="83" t="n"/>
      <c r="AP21" s="83" t="n"/>
      <c r="AQ21" s="83" t="n"/>
      <c r="AR21" s="83" t="n"/>
      <c r="AS21" s="83" t="n"/>
      <c r="AT21" s="83" t="n"/>
      <c r="AU21" s="83" t="n"/>
      <c r="AV21" s="83" t="n"/>
      <c r="AW21" s="83" t="n"/>
      <c r="AX21" s="83" t="n"/>
      <c r="AY21" s="83" t="n"/>
      <c r="AZ21" s="83" t="n"/>
      <c r="BA21" s="83" t="n"/>
      <c r="BB21" s="83" t="n"/>
      <c r="BC21" s="83" t="n"/>
      <c r="BD21" s="83" t="n"/>
      <c r="BE21" s="83" t="n"/>
    </row>
    <row r="22" ht="18" customHeight="1">
      <c r="A22" s="55" t="str">
        <f>IFERROR(IF(INDEX('İş Planı'!$C$5:$C$204,ROW()-4)="","",INDEX('İş Planı'!$C$5:$C$204,ROW()-4)),"")</f>
        <v>Firewall-IPS, VMWare, Active Directory, Exchange , Api GW, Veeam, Splunk, EDR Soru Setlerinin Hazırlanması</v>
      </c>
      <c r="B22" s="55" t="str">
        <f>IFERROR(IF(INDEX('İş Planı'!$B$5:$B$204,ROW()-4)="","",INDEX('İş Planı'!$B$5:$B$204,ROW()-4)),"")</f>
        <v>Buluteks</v>
      </c>
      <c r="C22" s="72">
        <f>IFERROR(IF(INDEX('İş Planı'!$I$5:$I$204,ROW()-4)="","",INDEX('İş Planı'!$I$5:$I$204,ROW()-4)),"")</f>
        <v>46260</v>
      </c>
      <c r="D22" s="72">
        <f>IFERROR(IF(INDEX('İş Planı'!$M$5:$M$204,ROW()-4)="","",INDEX('İş Planı'!$M$5:$M$204,ROW()-4)),"")</f>
        <v>46295</v>
      </c>
      <c r="E22" s="71" t="str">
        <f>IFERROR(IF(INDEX('İş Planı'!$O$5:$O$204,ROW()-4)="","",INDEX('İş Planı'!$O$5:$O$204,ROW()-4)),"")</f>
        <v>Gecikmiş</v>
      </c>
      <c r="F22" s="83" t="n"/>
      <c r="G22" s="83" t="n"/>
      <c r="H22" s="83" t="n"/>
      <c r="I22" s="83" t="n"/>
      <c r="J22" s="83" t="n"/>
      <c r="K22" s="83" t="n"/>
      <c r="L22" s="83" t="n"/>
      <c r="M22" s="83" t="n"/>
      <c r="N22" s="83" t="n"/>
      <c r="O22" s="83" t="n"/>
      <c r="P22" s="83" t="n"/>
      <c r="Q22" s="83" t="n"/>
      <c r="R22" s="83" t="n"/>
      <c r="S22" s="83" t="n"/>
      <c r="T22" s="83" t="n"/>
      <c r="U22" s="83" t="n"/>
      <c r="V22" s="83" t="n"/>
      <c r="W22" s="83" t="n"/>
      <c r="X22" s="83" t="n"/>
      <c r="Y22" s="83" t="n"/>
      <c r="Z22" s="83" t="n"/>
      <c r="AA22" s="83" t="n"/>
      <c r="AB22" s="83" t="n"/>
      <c r="AC22" s="83" t="n"/>
      <c r="AD22" s="83" t="n"/>
      <c r="AE22" s="83" t="n"/>
      <c r="AF22" s="83" t="n"/>
      <c r="AG22" s="83" t="n"/>
      <c r="AH22" s="83" t="n"/>
      <c r="AI22" s="83" t="n"/>
      <c r="AJ22" s="83" t="n"/>
      <c r="AK22" s="83" t="n"/>
      <c r="AL22" s="83" t="n"/>
      <c r="AM22" s="83" t="n"/>
      <c r="AN22" s="83" t="n"/>
      <c r="AO22" s="83" t="n"/>
      <c r="AP22" s="83" t="n"/>
      <c r="AQ22" s="83" t="n"/>
      <c r="AR22" s="83" t="n"/>
      <c r="AS22" s="83" t="n"/>
      <c r="AT22" s="83" t="n"/>
      <c r="AU22" s="83" t="n"/>
      <c r="AV22" s="83" t="n"/>
      <c r="AW22" s="83" t="n"/>
      <c r="AX22" s="83" t="n"/>
      <c r="AY22" s="83" t="n"/>
      <c r="AZ22" s="83" t="n"/>
      <c r="BA22" s="83" t="n"/>
      <c r="BB22" s="83" t="n"/>
      <c r="BC22" s="83" t="n"/>
      <c r="BD22" s="83" t="n"/>
      <c r="BE22" s="83" t="n"/>
    </row>
    <row r="23" ht="18" customHeight="1">
      <c r="A23" s="55" t="str">
        <f>IFERROR(IF(INDEX('İş Planı'!$C$5:$C$204,ROW()-4)="","",INDEX('İş Planı'!$C$5:$C$204,ROW()-4)),"")</f>
        <v>Madde 32</v>
      </c>
      <c r="B23" s="55" t="str">
        <f>IFERROR(IF(INDEX('İş Planı'!$B$5:$B$204,ROW()-4)="","",INDEX('İş Planı'!$B$5:$B$204,ROW()-4)),"")</f>
        <v>Yönetim Beyanı</v>
      </c>
      <c r="C23" s="72">
        <f>IFERROR(IF(INDEX('İş Planı'!$I$5:$I$204,ROW()-4)="","",INDEX('İş Planı'!$I$5:$I$204,ROW()-4)),"")</f>
        <v/>
      </c>
      <c r="D23" s="72">
        <f>IFERROR(IF(INDEX('İş Planı'!$M$5:$M$204,ROW()-4)="","",INDEX('İş Planı'!$M$5:$M$204,ROW()-4)),"")</f>
        <v/>
      </c>
      <c r="E23" s="71" t="str">
        <f>IFERROR(IF(INDEX('İş Planı'!$O$5:$O$204,ROW()-4)="","",INDEX('İş Planı'!$O$5:$O$204,ROW()-4)),"")</f>
        <v>Planlanan</v>
      </c>
      <c r="F23" s="83" t="n"/>
      <c r="G23" s="83" t="n"/>
      <c r="H23" s="83" t="n"/>
      <c r="I23" s="83" t="n"/>
      <c r="J23" s="83" t="n"/>
      <c r="K23" s="83" t="n"/>
      <c r="L23" s="83" t="n"/>
      <c r="M23" s="83" t="n"/>
      <c r="N23" s="83" t="n"/>
      <c r="O23" s="83" t="n"/>
      <c r="P23" s="83" t="n"/>
      <c r="Q23" s="83" t="n"/>
      <c r="R23" s="83" t="n"/>
      <c r="S23" s="83" t="n"/>
      <c r="T23" s="83" t="n"/>
      <c r="U23" s="83" t="n"/>
      <c r="V23" s="83" t="n"/>
      <c r="W23" s="83" t="n"/>
      <c r="X23" s="83" t="n"/>
      <c r="Y23" s="83" t="n"/>
      <c r="Z23" s="83" t="n"/>
      <c r="AA23" s="83" t="n"/>
      <c r="AB23" s="83" t="n"/>
      <c r="AC23" s="83" t="n"/>
      <c r="AD23" s="83" t="n"/>
      <c r="AE23" s="83" t="n"/>
      <c r="AF23" s="83" t="n"/>
      <c r="AG23" s="83" t="n"/>
      <c r="AH23" s="83" t="n"/>
      <c r="AI23" s="83" t="n"/>
      <c r="AJ23" s="83" t="n"/>
      <c r="AK23" s="83" t="n"/>
      <c r="AL23" s="83" t="n"/>
      <c r="AM23" s="83" t="n"/>
      <c r="AN23" s="83" t="n"/>
      <c r="AO23" s="83" t="n"/>
      <c r="AP23" s="83" t="n"/>
      <c r="AQ23" s="83" t="n"/>
      <c r="AR23" s="83" t="n"/>
      <c r="AS23" s="83" t="n"/>
      <c r="AT23" s="83" t="n"/>
      <c r="AU23" s="83" t="n"/>
      <c r="AV23" s="83" t="n"/>
      <c r="AW23" s="83" t="n"/>
      <c r="AX23" s="83" t="n"/>
      <c r="AY23" s="83" t="n"/>
      <c r="AZ23" s="83" t="n"/>
      <c r="BA23" s="83" t="n"/>
      <c r="BB23" s="83" t="n"/>
      <c r="BC23" s="83" t="n"/>
      <c r="BD23" s="83" t="n"/>
      <c r="BE23" s="83" t="n"/>
    </row>
    <row r="24" ht="18" customHeight="1">
      <c r="A24" s="55" t="str">
        <f>IFERROR(IF(INDEX('İş Planı'!$C$5:$C$204,ROW()-4)="","",INDEX('İş Planı'!$C$5:$C$204,ROW()-4)),"")</f>
        <v>Madde 43</v>
      </c>
      <c r="B24" s="55" t="str">
        <f>IFERROR(IF(INDEX('İş Planı'!$B$5:$B$204,ROW()-4)="","",INDEX('İş Planı'!$B$5:$B$204,ROW()-4)),"")</f>
        <v>Yönetim Beyanı</v>
      </c>
      <c r="C24" s="72">
        <f>IFERROR(IF(INDEX('İş Planı'!$I$5:$I$204,ROW()-4)="","",INDEX('İş Planı'!$I$5:$I$204,ROW()-4)),"")</f>
        <v/>
      </c>
      <c r="D24" s="72">
        <f>IFERROR(IF(INDEX('İş Planı'!$M$5:$M$204,ROW()-4)="","",INDEX('İş Planı'!$M$5:$M$204,ROW()-4)),"")</f>
        <v/>
      </c>
      <c r="E24" s="71" t="str">
        <f>IFERROR(IF(INDEX('İş Planı'!$O$5:$O$204,ROW()-4)="","",INDEX('İş Planı'!$O$5:$O$204,ROW()-4)),"")</f>
        <v>Planlanan</v>
      </c>
      <c r="F24" s="83" t="n"/>
      <c r="G24" s="83" t="n"/>
      <c r="H24" s="83" t="n"/>
      <c r="I24" s="83" t="n"/>
      <c r="J24" s="83" t="n"/>
      <c r="K24" s="83" t="n"/>
      <c r="L24" s="83" t="n"/>
      <c r="M24" s="83" t="n"/>
      <c r="N24" s="83" t="n"/>
      <c r="O24" s="83" t="n"/>
      <c r="P24" s="83" t="n"/>
      <c r="Q24" s="83" t="n"/>
      <c r="R24" s="83" t="n"/>
      <c r="S24" s="83" t="n"/>
      <c r="T24" s="83" t="n"/>
      <c r="U24" s="83" t="n"/>
      <c r="V24" s="83" t="n"/>
      <c r="W24" s="83" t="n"/>
      <c r="X24" s="83" t="n"/>
      <c r="Y24" s="83" t="n"/>
      <c r="Z24" s="83" t="n"/>
      <c r="AA24" s="83" t="n"/>
      <c r="AB24" s="83" t="n"/>
      <c r="AC24" s="83" t="n"/>
      <c r="AD24" s="83" t="n"/>
      <c r="AE24" s="83" t="n"/>
      <c r="AF24" s="83" t="n"/>
      <c r="AG24" s="83" t="n"/>
      <c r="AH24" s="83" t="n"/>
      <c r="AI24" s="83" t="n"/>
      <c r="AJ24" s="83" t="n"/>
      <c r="AK24" s="83" t="n"/>
      <c r="AL24" s="83" t="n"/>
      <c r="AM24" s="83" t="n"/>
      <c r="AN24" s="83" t="n"/>
      <c r="AO24" s="83" t="n"/>
      <c r="AP24" s="83" t="n"/>
      <c r="AQ24" s="83" t="n"/>
      <c r="AR24" s="83" t="n"/>
      <c r="AS24" s="83" t="n"/>
      <c r="AT24" s="83" t="n"/>
      <c r="AU24" s="83" t="n"/>
      <c r="AV24" s="83" t="n"/>
      <c r="AW24" s="83" t="n"/>
      <c r="AX24" s="83" t="n"/>
      <c r="AY24" s="83" t="n"/>
      <c r="AZ24" s="83" t="n"/>
      <c r="BA24" s="83" t="n"/>
      <c r="BB24" s="83" t="n"/>
      <c r="BC24" s="83" t="n"/>
      <c r="BD24" s="83" t="n"/>
      <c r="BE24" s="83" t="n"/>
    </row>
    <row r="25" ht="18" customHeight="1">
      <c r="A25" s="55" t="str">
        <f>IFERROR(IF(INDEX('İş Planı'!$C$5:$C$204,ROW()-4)="","",INDEX('İş Planı'!$C$5:$C$204,ROW()-4)),"")</f>
        <v>3.1.1. Donanım Varlıklarının Envanter Yönetimi</v>
      </c>
      <c r="B25" s="55" t="str">
        <f>IFERROR(IF(INDEX('İş Planı'!$B$5:$B$204,ROW()-4)="","",INDEX('İş Planı'!$B$5:$B$204,ROW()-4)),"")</f>
        <v>BIGR (Yönetim Beyanı Ortak Maddeler)</v>
      </c>
      <c r="C25" s="72">
        <f>IFERROR(IF(INDEX('İş Planı'!$I$5:$I$204,ROW()-4)="","",INDEX('İş Planı'!$I$5:$I$204,ROW()-4)),"")</f>
        <v/>
      </c>
      <c r="D25" s="72">
        <f>IFERROR(IF(INDEX('İş Planı'!$M$5:$M$204,ROW()-4)="","",INDEX('İş Planı'!$M$5:$M$204,ROW()-4)),"")</f>
        <v/>
      </c>
      <c r="E25" s="71" t="str">
        <f>IFERROR(IF(INDEX('İş Planı'!$O$5:$O$204,ROW()-4)="","",INDEX('İş Planı'!$O$5:$O$204,ROW()-4)),"")</f>
        <v>Planlanan</v>
      </c>
      <c r="F25" s="83" t="n"/>
      <c r="G25" s="83" t="n"/>
      <c r="H25" s="83" t="n"/>
      <c r="I25" s="83" t="n"/>
      <c r="J25" s="83" t="n"/>
      <c r="K25" s="83" t="n"/>
      <c r="L25" s="83" t="n"/>
      <c r="M25" s="83" t="n"/>
      <c r="N25" s="83" t="n"/>
      <c r="O25" s="83" t="n"/>
      <c r="P25" s="83" t="n"/>
      <c r="Q25" s="83" t="n"/>
      <c r="R25" s="83" t="n"/>
      <c r="S25" s="83" t="n"/>
      <c r="T25" s="83" t="n"/>
      <c r="U25" s="83" t="n"/>
      <c r="V25" s="83" t="n"/>
      <c r="W25" s="83" t="n"/>
      <c r="X25" s="83" t="n"/>
      <c r="Y25" s="83" t="n"/>
      <c r="Z25" s="83" t="n"/>
      <c r="AA25" s="83" t="n"/>
      <c r="AB25" s="83" t="n"/>
      <c r="AC25" s="83" t="n"/>
      <c r="AD25" s="83" t="n"/>
      <c r="AE25" s="83" t="n"/>
      <c r="AF25" s="83" t="n"/>
      <c r="AG25" s="83" t="n"/>
      <c r="AH25" s="83" t="n"/>
      <c r="AI25" s="83" t="n"/>
      <c r="AJ25" s="83" t="n"/>
      <c r="AK25" s="83" t="n"/>
      <c r="AL25" s="83" t="n"/>
      <c r="AM25" s="83" t="n"/>
      <c r="AN25" s="83" t="n"/>
      <c r="AO25" s="83" t="n"/>
      <c r="AP25" s="83" t="n"/>
      <c r="AQ25" s="83" t="n"/>
      <c r="AR25" s="83" t="n"/>
      <c r="AS25" s="83" t="n"/>
      <c r="AT25" s="83" t="n"/>
      <c r="AU25" s="83" t="n"/>
      <c r="AV25" s="83" t="n"/>
      <c r="AW25" s="83" t="n"/>
      <c r="AX25" s="83" t="n"/>
      <c r="AY25" s="83" t="n"/>
      <c r="AZ25" s="83" t="n"/>
      <c r="BA25" s="83" t="n"/>
      <c r="BB25" s="83" t="n"/>
      <c r="BC25" s="83" t="n"/>
      <c r="BD25" s="83" t="n"/>
      <c r="BE25" s="83" t="n"/>
    </row>
    <row r="26" ht="18" customHeight="1">
      <c r="A26" s="55" t="str">
        <f>IFERROR(IF(INDEX('İş Planı'!$C$5:$C$204,ROW()-4)="","",INDEX('İş Planı'!$C$5:$C$204,ROW()-4)),"")</f>
        <v>3.1.2. Yazılım Varlıklarının Envanter Yönetimi</v>
      </c>
      <c r="B26" s="55" t="str">
        <f>IFERROR(IF(INDEX('İş Planı'!$B$5:$B$204,ROW()-4)="","",INDEX('İş Planı'!$B$5:$B$204,ROW()-4)),"")</f>
        <v>BIGR (Yönetim Beyanı Ortak Maddeler)</v>
      </c>
      <c r="C26" s="72">
        <f>IFERROR(IF(INDEX('İş Planı'!$I$5:$I$204,ROW()-4)="","",INDEX('İş Planı'!$I$5:$I$204,ROW()-4)),"")</f>
        <v/>
      </c>
      <c r="D26" s="72">
        <f>IFERROR(IF(INDEX('İş Planı'!$M$5:$M$204,ROW()-4)="","",INDEX('İş Planı'!$M$5:$M$204,ROW()-4)),"")</f>
        <v/>
      </c>
      <c r="E26" s="71" t="str">
        <f>IFERROR(IF(INDEX('İş Planı'!$O$5:$O$204,ROW()-4)="","",INDEX('İş Planı'!$O$5:$O$204,ROW()-4)),"")</f>
        <v>Planlanan</v>
      </c>
      <c r="F26" s="83" t="n"/>
      <c r="G26" s="83" t="n"/>
      <c r="H26" s="83" t="n"/>
      <c r="I26" s="83" t="n"/>
      <c r="J26" s="83" t="n"/>
      <c r="K26" s="83" t="n"/>
      <c r="L26" s="83" t="n"/>
      <c r="M26" s="83" t="n"/>
      <c r="N26" s="83" t="n"/>
      <c r="O26" s="83" t="n"/>
      <c r="P26" s="83" t="n"/>
      <c r="Q26" s="83" t="n"/>
      <c r="R26" s="83" t="n"/>
      <c r="S26" s="83" t="n"/>
      <c r="T26" s="83" t="n"/>
      <c r="U26" s="83" t="n"/>
      <c r="V26" s="83" t="n"/>
      <c r="W26" s="83" t="n"/>
      <c r="X26" s="83" t="n"/>
      <c r="Y26" s="83" t="n"/>
      <c r="Z26" s="83" t="n"/>
      <c r="AA26" s="83" t="n"/>
      <c r="AB26" s="83" t="n"/>
      <c r="AC26" s="83" t="n"/>
      <c r="AD26" s="83" t="n"/>
      <c r="AE26" s="83" t="n"/>
      <c r="AF26" s="83" t="n"/>
      <c r="AG26" s="83" t="n"/>
      <c r="AH26" s="83" t="n"/>
      <c r="AI26" s="83" t="n"/>
      <c r="AJ26" s="83" t="n"/>
      <c r="AK26" s="83" t="n"/>
      <c r="AL26" s="83" t="n"/>
      <c r="AM26" s="83" t="n"/>
      <c r="AN26" s="83" t="n"/>
      <c r="AO26" s="83" t="n"/>
      <c r="AP26" s="83" t="n"/>
      <c r="AQ26" s="83" t="n"/>
      <c r="AR26" s="83" t="n"/>
      <c r="AS26" s="83" t="n"/>
      <c r="AT26" s="83" t="n"/>
      <c r="AU26" s="83" t="n"/>
      <c r="AV26" s="83" t="n"/>
      <c r="AW26" s="83" t="n"/>
      <c r="AX26" s="83" t="n"/>
      <c r="AY26" s="83" t="n"/>
      <c r="AZ26" s="83" t="n"/>
      <c r="BA26" s="83" t="n"/>
      <c r="BB26" s="83" t="n"/>
      <c r="BC26" s="83" t="n"/>
      <c r="BD26" s="83" t="n"/>
      <c r="BE26" s="83" t="n"/>
    </row>
    <row r="27" ht="18" customHeight="1">
      <c r="A27" s="55" t="str">
        <f>IFERROR(IF(INDEX('İş Planı'!$C$5:$C$204,ROW()-4)="","",INDEX('İş Planı'!$C$5:$C$204,ROW()-4)),"")</f>
        <v>3.2.2. Oturum Yönetimi</v>
      </c>
      <c r="B27" s="55" t="str">
        <f>IFERROR(IF(INDEX('İş Planı'!$B$5:$B$204,ROW()-4)="","",INDEX('İş Planı'!$B$5:$B$204,ROW()-4)),"")</f>
        <v>BIGR (Yönetim Beyanı Ortak Maddeler)</v>
      </c>
      <c r="C27" s="72">
        <f>IFERROR(IF(INDEX('İş Planı'!$I$5:$I$204,ROW()-4)="","",INDEX('İş Planı'!$I$5:$I$204,ROW()-4)),"")</f>
        <v/>
      </c>
      <c r="D27" s="72">
        <f>IFERROR(IF(INDEX('İş Planı'!$M$5:$M$204,ROW()-4)="","",INDEX('İş Planı'!$M$5:$M$204,ROW()-4)),"")</f>
        <v/>
      </c>
      <c r="E27" s="71" t="str">
        <f>IFERROR(IF(INDEX('İş Planı'!$O$5:$O$204,ROW()-4)="","",INDEX('İş Planı'!$O$5:$O$204,ROW()-4)),"")</f>
        <v>Planlanan</v>
      </c>
      <c r="F27" s="83" t="n"/>
      <c r="G27" s="83" t="n"/>
      <c r="H27" s="83" t="n"/>
      <c r="I27" s="83" t="n"/>
      <c r="J27" s="83" t="n"/>
      <c r="K27" s="83" t="n"/>
      <c r="L27" s="83" t="n"/>
      <c r="M27" s="83" t="n"/>
      <c r="N27" s="83" t="n"/>
      <c r="O27" s="83" t="n"/>
      <c r="P27" s="83" t="n"/>
      <c r="Q27" s="83" t="n"/>
      <c r="R27" s="83" t="n"/>
      <c r="S27" s="83" t="n"/>
      <c r="T27" s="83" t="n"/>
      <c r="U27" s="83" t="n"/>
      <c r="V27" s="83" t="n"/>
      <c r="W27" s="83" t="n"/>
      <c r="X27" s="83" t="n"/>
      <c r="Y27" s="83" t="n"/>
      <c r="Z27" s="83" t="n"/>
      <c r="AA27" s="83" t="n"/>
      <c r="AB27" s="83" t="n"/>
      <c r="AC27" s="83" t="n"/>
      <c r="AD27" s="83" t="n"/>
      <c r="AE27" s="83" t="n"/>
      <c r="AF27" s="83" t="n"/>
      <c r="AG27" s="83" t="n"/>
      <c r="AH27" s="83" t="n"/>
      <c r="AI27" s="83" t="n"/>
      <c r="AJ27" s="83" t="n"/>
      <c r="AK27" s="83" t="n"/>
      <c r="AL27" s="83" t="n"/>
      <c r="AM27" s="83" t="n"/>
      <c r="AN27" s="83" t="n"/>
      <c r="AO27" s="83" t="n"/>
      <c r="AP27" s="83" t="n"/>
      <c r="AQ27" s="83" t="n"/>
      <c r="AR27" s="83" t="n"/>
      <c r="AS27" s="83" t="n"/>
      <c r="AT27" s="83" t="n"/>
      <c r="AU27" s="83" t="n"/>
      <c r="AV27" s="83" t="n"/>
      <c r="AW27" s="83" t="n"/>
      <c r="AX27" s="83" t="n"/>
      <c r="AY27" s="83" t="n"/>
      <c r="AZ27" s="83" t="n"/>
      <c r="BA27" s="83" t="n"/>
      <c r="BB27" s="83" t="n"/>
      <c r="BC27" s="83" t="n"/>
      <c r="BD27" s="83" t="n"/>
      <c r="BE27" s="83" t="n"/>
    </row>
    <row r="28" ht="18" customHeight="1">
      <c r="A28" s="55" t="str">
        <f>IFERROR(IF(INDEX('İş Planı'!$C$5:$C$204,ROW()-4)="","",INDEX('İş Planı'!$C$5:$C$204,ROW()-4)),"")</f>
        <v>3.5.1. Genel Güvenlik Tedbirleri</v>
      </c>
      <c r="B28" s="55" t="str">
        <f>IFERROR(IF(INDEX('İş Planı'!$B$5:$B$204,ROW()-4)="","",INDEX('İş Planı'!$B$5:$B$204,ROW()-4)),"")</f>
        <v>BIGR (Yönetim Beyanı Ortak Maddeler)</v>
      </c>
      <c r="C28" s="72">
        <f>IFERROR(IF(INDEX('İş Planı'!$I$5:$I$204,ROW()-4)="","",INDEX('İş Planı'!$I$5:$I$204,ROW()-4)),"")</f>
        <v/>
      </c>
      <c r="D28" s="72">
        <f>IFERROR(IF(INDEX('İş Planı'!$M$5:$M$204,ROW()-4)="","",INDEX('İş Planı'!$M$5:$M$204,ROW()-4)),"")</f>
        <v/>
      </c>
      <c r="E28" s="71" t="str">
        <f>IFERROR(IF(INDEX('İş Planı'!$O$5:$O$204,ROW()-4)="","",INDEX('İş Planı'!$O$5:$O$204,ROW()-4)),"")</f>
        <v>Planlanan</v>
      </c>
      <c r="F28" s="83" t="n"/>
      <c r="G28" s="83" t="n"/>
      <c r="H28" s="83" t="n"/>
      <c r="I28" s="83" t="n"/>
      <c r="J28" s="83" t="n"/>
      <c r="K28" s="83" t="n"/>
      <c r="L28" s="83" t="n"/>
      <c r="M28" s="83" t="n"/>
      <c r="N28" s="83" t="n"/>
      <c r="O28" s="83" t="n"/>
      <c r="P28" s="83" t="n"/>
      <c r="Q28" s="83" t="n"/>
      <c r="R28" s="83" t="n"/>
      <c r="S28" s="83" t="n"/>
      <c r="T28" s="83" t="n"/>
      <c r="U28" s="83" t="n"/>
      <c r="V28" s="83" t="n"/>
      <c r="W28" s="83" t="n"/>
      <c r="X28" s="83" t="n"/>
      <c r="Y28" s="83" t="n"/>
      <c r="Z28" s="83" t="n"/>
      <c r="AA28" s="83" t="n"/>
      <c r="AB28" s="83" t="n"/>
      <c r="AC28" s="83" t="n"/>
      <c r="AD28" s="83" t="n"/>
      <c r="AE28" s="83" t="n"/>
      <c r="AF28" s="83" t="n"/>
      <c r="AG28" s="83" t="n"/>
      <c r="AH28" s="83" t="n"/>
      <c r="AI28" s="83" t="n"/>
      <c r="AJ28" s="83" t="n"/>
      <c r="AK28" s="83" t="n"/>
      <c r="AL28" s="83" t="n"/>
      <c r="AM28" s="83" t="n"/>
      <c r="AN28" s="83" t="n"/>
      <c r="AO28" s="83" t="n"/>
      <c r="AP28" s="83" t="n"/>
      <c r="AQ28" s="83" t="n"/>
      <c r="AR28" s="83" t="n"/>
      <c r="AS28" s="83" t="n"/>
      <c r="AT28" s="83" t="n"/>
      <c r="AU28" s="83" t="n"/>
      <c r="AV28" s="83" t="n"/>
      <c r="AW28" s="83" t="n"/>
      <c r="AX28" s="83" t="n"/>
      <c r="AY28" s="83" t="n"/>
      <c r="AZ28" s="83" t="n"/>
      <c r="BA28" s="83" t="n"/>
      <c r="BB28" s="83" t="n"/>
      <c r="BC28" s="83" t="n"/>
      <c r="BD28" s="83" t="n"/>
      <c r="BE28" s="83" t="n"/>
    </row>
    <row r="29" ht="18" customHeight="1">
      <c r="A29" s="55" t="str">
        <f>IFERROR(IF(INDEX('İş Planı'!$C$5:$C$204,ROW()-4)="","",INDEX('İş Planı'!$C$5:$C$204,ROW()-4)),"")</f>
        <v>3.6.1. Genel Güvenlik Tedbirleri</v>
      </c>
      <c r="B29" s="55" t="str">
        <f>IFERROR(IF(INDEX('İş Planı'!$B$5:$B$204,ROW()-4)="","",INDEX('İş Planı'!$B$5:$B$204,ROW()-4)),"")</f>
        <v>BIGR (Yönetim Beyanı Ortak Maddeler)</v>
      </c>
      <c r="C29" s="72">
        <f>IFERROR(IF(INDEX('İş Planı'!$I$5:$I$204,ROW()-4)="","",INDEX('İş Planı'!$I$5:$I$204,ROW()-4)),"")</f>
        <v/>
      </c>
      <c r="D29" s="72">
        <f>IFERROR(IF(INDEX('İş Planı'!$M$5:$M$204,ROW()-4)="","",INDEX('İş Planı'!$M$5:$M$204,ROW()-4)),"")</f>
        <v/>
      </c>
      <c r="E29" s="71" t="str">
        <f>IFERROR(IF(INDEX('İş Planı'!$O$5:$O$204,ROW()-4)="","",INDEX('İş Planı'!$O$5:$O$204,ROW()-4)),"")</f>
        <v>Planlanan</v>
      </c>
      <c r="F29" s="83" t="n"/>
      <c r="G29" s="83" t="n"/>
      <c r="H29" s="83" t="n"/>
      <c r="I29" s="83" t="n"/>
      <c r="J29" s="83" t="n"/>
      <c r="K29" s="83" t="n"/>
      <c r="L29" s="83" t="n"/>
      <c r="M29" s="83" t="n"/>
      <c r="N29" s="83" t="n"/>
      <c r="O29" s="83" t="n"/>
      <c r="P29" s="83" t="n"/>
      <c r="Q29" s="83" t="n"/>
      <c r="R29" s="83" t="n"/>
      <c r="S29" s="83" t="n"/>
      <c r="T29" s="83" t="n"/>
      <c r="U29" s="83" t="n"/>
      <c r="V29" s="83" t="n"/>
      <c r="W29" s="83" t="n"/>
      <c r="X29" s="83" t="n"/>
      <c r="Y29" s="83" t="n"/>
      <c r="Z29" s="83" t="n"/>
      <c r="AA29" s="83" t="n"/>
      <c r="AB29" s="83" t="n"/>
      <c r="AC29" s="83" t="n"/>
      <c r="AD29" s="83" t="n"/>
      <c r="AE29" s="83" t="n"/>
      <c r="AF29" s="83" t="n"/>
      <c r="AG29" s="83" t="n"/>
      <c r="AH29" s="83" t="n"/>
      <c r="AI29" s="83" t="n"/>
      <c r="AJ29" s="83" t="n"/>
      <c r="AK29" s="83" t="n"/>
      <c r="AL29" s="83" t="n"/>
      <c r="AM29" s="83" t="n"/>
      <c r="AN29" s="83" t="n"/>
      <c r="AO29" s="83" t="n"/>
      <c r="AP29" s="83" t="n"/>
      <c r="AQ29" s="83" t="n"/>
      <c r="AR29" s="83" t="n"/>
      <c r="AS29" s="83" t="n"/>
      <c r="AT29" s="83" t="n"/>
      <c r="AU29" s="83" t="n"/>
      <c r="AV29" s="83" t="n"/>
      <c r="AW29" s="83" t="n"/>
      <c r="AX29" s="83" t="n"/>
      <c r="AY29" s="83" t="n"/>
      <c r="AZ29" s="83" t="n"/>
      <c r="BA29" s="83" t="n"/>
      <c r="BB29" s="83" t="n"/>
      <c r="BC29" s="83" t="n"/>
      <c r="BD29" s="83" t="n"/>
      <c r="BE29" s="83" t="n"/>
    </row>
    <row r="30" ht="18" customHeight="1">
      <c r="A30" s="55" t="str">
        <f>IFERROR(IF(INDEX('İş Planı'!$C$5:$C$204,ROW()-4)="","",INDEX('İş Planı'!$C$5:$C$204,ROW()-4)),"")</f>
        <v>3.6.2. Sistem Odası/Veri Merkezine Yönelik Güvenlik Tedbirleri</v>
      </c>
      <c r="B30" s="55" t="str">
        <f>IFERROR(IF(INDEX('İş Planı'!$B$5:$B$204,ROW()-4)="","",INDEX('İş Planı'!$B$5:$B$204,ROW()-4)),"")</f>
        <v>BIGR (Yönetim Beyanı Ortak Maddeler)</v>
      </c>
      <c r="C30" s="72">
        <f>IFERROR(IF(INDEX('İş Planı'!$I$5:$I$204,ROW()-4)="","",INDEX('İş Planı'!$I$5:$I$204,ROW()-4)),"")</f>
        <v/>
      </c>
      <c r="D30" s="72">
        <f>IFERROR(IF(INDEX('İş Planı'!$M$5:$M$204,ROW()-4)="","",INDEX('İş Planı'!$M$5:$M$204,ROW()-4)),"")</f>
        <v/>
      </c>
      <c r="E30" s="71" t="str">
        <f>IFERROR(IF(INDEX('İş Planı'!$O$5:$O$204,ROW()-4)="","",INDEX('İş Planı'!$O$5:$O$204,ROW()-4)),"")</f>
        <v>Planlanan</v>
      </c>
      <c r="F30" s="83" t="n"/>
      <c r="G30" s="83" t="n"/>
      <c r="H30" s="83" t="n"/>
      <c r="I30" s="83" t="n"/>
      <c r="J30" s="83" t="n"/>
      <c r="K30" s="83" t="n"/>
      <c r="L30" s="83" t="n"/>
      <c r="M30" s="83" t="n"/>
      <c r="N30" s="83" t="n"/>
      <c r="O30" s="83" t="n"/>
      <c r="P30" s="83" t="n"/>
      <c r="Q30" s="83" t="n"/>
      <c r="R30" s="83" t="n"/>
      <c r="S30" s="83" t="n"/>
      <c r="T30" s="83" t="n"/>
      <c r="U30" s="83" t="n"/>
      <c r="V30" s="83" t="n"/>
      <c r="W30" s="83" t="n"/>
      <c r="X30" s="83" t="n"/>
      <c r="Y30" s="83" t="n"/>
      <c r="Z30" s="83" t="n"/>
      <c r="AA30" s="83" t="n"/>
      <c r="AB30" s="83" t="n"/>
      <c r="AC30" s="83" t="n"/>
      <c r="AD30" s="83" t="n"/>
      <c r="AE30" s="83" t="n"/>
      <c r="AF30" s="83" t="n"/>
      <c r="AG30" s="83" t="n"/>
      <c r="AH30" s="83" t="n"/>
      <c r="AI30" s="83" t="n"/>
      <c r="AJ30" s="83" t="n"/>
      <c r="AK30" s="83" t="n"/>
      <c r="AL30" s="83" t="n"/>
      <c r="AM30" s="83" t="n"/>
      <c r="AN30" s="83" t="n"/>
      <c r="AO30" s="83" t="n"/>
      <c r="AP30" s="83" t="n"/>
      <c r="AQ30" s="83" t="n"/>
      <c r="AR30" s="83" t="n"/>
      <c r="AS30" s="83" t="n"/>
      <c r="AT30" s="83" t="n"/>
      <c r="AU30" s="83" t="n"/>
      <c r="AV30" s="83" t="n"/>
      <c r="AW30" s="83" t="n"/>
      <c r="AX30" s="83" t="n"/>
      <c r="AY30" s="83" t="n"/>
      <c r="AZ30" s="83" t="n"/>
      <c r="BA30" s="83" t="n"/>
      <c r="BB30" s="83" t="n"/>
      <c r="BC30" s="83" t="n"/>
      <c r="BD30" s="83" t="n"/>
      <c r="BE30" s="83" t="n"/>
    </row>
    <row r="31" ht="18" customHeight="1">
      <c r="A31" s="55" t="str">
        <f>IFERROR(IF(INDEX('İş Planı'!$C$5:$C$204,ROW()-4)="","",INDEX('İş Planı'!$C$5:$C$204,ROW()-4)),"")</f>
        <v>4.2.1. Genel Güvenlik Tedbirleri</v>
      </c>
      <c r="B31" s="55" t="str">
        <f>IFERROR(IF(INDEX('İş Planı'!$B$5:$B$204,ROW()-4)="","",INDEX('İş Planı'!$B$5:$B$204,ROW()-4)),"")</f>
        <v>BIGR (Yönetim Beyanı Ortak Maddeler)</v>
      </c>
      <c r="C31" s="72">
        <f>IFERROR(IF(INDEX('İş Planı'!$I$5:$I$204,ROW()-4)="","",INDEX('İş Planı'!$I$5:$I$204,ROW()-4)),"")</f>
        <v/>
      </c>
      <c r="D31" s="72">
        <f>IFERROR(IF(INDEX('İş Planı'!$M$5:$M$204,ROW()-4)="","",INDEX('İş Planı'!$M$5:$M$204,ROW()-4)),"")</f>
        <v/>
      </c>
      <c r="E31" s="71" t="str">
        <f>IFERROR(IF(INDEX('İş Planı'!$O$5:$O$204,ROW()-4)="","",INDEX('İş Planı'!$O$5:$O$204,ROW()-4)),"")</f>
        <v>Planlanan</v>
      </c>
      <c r="F31" s="83" t="n"/>
      <c r="G31" s="83" t="n"/>
      <c r="H31" s="83" t="n"/>
      <c r="I31" s="83" t="n"/>
      <c r="J31" s="83" t="n"/>
      <c r="K31" s="83" t="n"/>
      <c r="L31" s="83" t="n"/>
      <c r="M31" s="83" t="n"/>
      <c r="N31" s="83" t="n"/>
      <c r="O31" s="83" t="n"/>
      <c r="P31" s="83" t="n"/>
      <c r="Q31" s="83" t="n"/>
      <c r="R31" s="83" t="n"/>
      <c r="S31" s="83" t="n"/>
      <c r="T31" s="83" t="n"/>
      <c r="U31" s="83" t="n"/>
      <c r="V31" s="83" t="n"/>
      <c r="W31" s="83" t="n"/>
      <c r="X31" s="83" t="n"/>
      <c r="Y31" s="83" t="n"/>
      <c r="Z31" s="83" t="n"/>
      <c r="AA31" s="83" t="n"/>
      <c r="AB31" s="83" t="n"/>
      <c r="AC31" s="83" t="n"/>
      <c r="AD31" s="83" t="n"/>
      <c r="AE31" s="83" t="n"/>
      <c r="AF31" s="83" t="n"/>
      <c r="AG31" s="83" t="n"/>
      <c r="AH31" s="83" t="n"/>
      <c r="AI31" s="83" t="n"/>
      <c r="AJ31" s="83" t="n"/>
      <c r="AK31" s="83" t="n"/>
      <c r="AL31" s="83" t="n"/>
      <c r="AM31" s="83" t="n"/>
      <c r="AN31" s="83" t="n"/>
      <c r="AO31" s="83" t="n"/>
      <c r="AP31" s="83" t="n"/>
      <c r="AQ31" s="83" t="n"/>
      <c r="AR31" s="83" t="n"/>
      <c r="AS31" s="83" t="n"/>
      <c r="AT31" s="83" t="n"/>
      <c r="AU31" s="83" t="n"/>
      <c r="AV31" s="83" t="n"/>
      <c r="AW31" s="83" t="n"/>
      <c r="AX31" s="83" t="n"/>
      <c r="AY31" s="83" t="n"/>
      <c r="AZ31" s="83" t="n"/>
      <c r="BA31" s="83" t="n"/>
      <c r="BB31" s="83" t="n"/>
      <c r="BC31" s="83" t="n"/>
      <c r="BD31" s="83" t="n"/>
      <c r="BE31" s="83" t="n"/>
    </row>
    <row r="32" ht="18" customHeight="1">
      <c r="A32" s="55" t="str">
        <f>IFERROR(IF(INDEX('İş Planı'!$C$5:$C$204,ROW()-4)="","",INDEX('İş Planı'!$C$5:$C$204,ROW()-4)),"")</f>
        <v>4.4.2. Şifreleme ve Anahtar Yönetimi</v>
      </c>
      <c r="B32" s="55" t="str">
        <f>IFERROR(IF(INDEX('İş Planı'!$B$5:$B$204,ROW()-4)="","",INDEX('İş Planı'!$B$5:$B$204,ROW()-4)),"")</f>
        <v>BIGR (Yönetim Beyanı Ortak Maddeler)</v>
      </c>
      <c r="C32" s="72">
        <f>IFERROR(IF(INDEX('İş Planı'!$I$5:$I$204,ROW()-4)="","",INDEX('İş Planı'!$I$5:$I$204,ROW()-4)),"")</f>
        <v/>
      </c>
      <c r="D32" s="72">
        <f>IFERROR(IF(INDEX('İş Planı'!$M$5:$M$204,ROW()-4)="","",INDEX('İş Planı'!$M$5:$M$204,ROW()-4)),"")</f>
        <v/>
      </c>
      <c r="E32" s="71" t="str">
        <f>IFERROR(IF(INDEX('İş Planı'!$O$5:$O$204,ROW()-4)="","",INDEX('İş Planı'!$O$5:$O$204,ROW()-4)),"")</f>
        <v>Planlanan</v>
      </c>
      <c r="F32" s="83" t="n"/>
      <c r="G32" s="83" t="n"/>
      <c r="H32" s="83" t="n"/>
      <c r="I32" s="83" t="n"/>
      <c r="J32" s="83" t="n"/>
      <c r="K32" s="83" t="n"/>
      <c r="L32" s="83" t="n"/>
      <c r="M32" s="83" t="n"/>
      <c r="N32" s="83" t="n"/>
      <c r="O32" s="83" t="n"/>
      <c r="P32" s="83" t="n"/>
      <c r="Q32" s="83" t="n"/>
      <c r="R32" s="83" t="n"/>
      <c r="S32" s="83" t="n"/>
      <c r="T32" s="83" t="n"/>
      <c r="U32" s="83" t="n"/>
      <c r="V32" s="83" t="n"/>
      <c r="W32" s="83" t="n"/>
      <c r="X32" s="83" t="n"/>
      <c r="Y32" s="83" t="n"/>
      <c r="Z32" s="83" t="n"/>
      <c r="AA32" s="83" t="n"/>
      <c r="AB32" s="83" t="n"/>
      <c r="AC32" s="83" t="n"/>
      <c r="AD32" s="83" t="n"/>
      <c r="AE32" s="83" t="n"/>
      <c r="AF32" s="83" t="n"/>
      <c r="AG32" s="83" t="n"/>
      <c r="AH32" s="83" t="n"/>
      <c r="AI32" s="83" t="n"/>
      <c r="AJ32" s="83" t="n"/>
      <c r="AK32" s="83" t="n"/>
      <c r="AL32" s="83" t="n"/>
      <c r="AM32" s="83" t="n"/>
      <c r="AN32" s="83" t="n"/>
      <c r="AO32" s="83" t="n"/>
      <c r="AP32" s="83" t="n"/>
      <c r="AQ32" s="83" t="n"/>
      <c r="AR32" s="83" t="n"/>
      <c r="AS32" s="83" t="n"/>
      <c r="AT32" s="83" t="n"/>
      <c r="AU32" s="83" t="n"/>
      <c r="AV32" s="83" t="n"/>
      <c r="AW32" s="83" t="n"/>
      <c r="AX32" s="83" t="n"/>
      <c r="AY32" s="83" t="n"/>
      <c r="AZ32" s="83" t="n"/>
      <c r="BA32" s="83" t="n"/>
      <c r="BB32" s="83" t="n"/>
      <c r="BC32" s="83" t="n"/>
      <c r="BD32" s="83" t="n"/>
      <c r="BE32" s="83" t="n"/>
    </row>
    <row r="33" ht="18" customHeight="1">
      <c r="A33" s="55" t="str">
        <f>IFERROR(IF(INDEX('İş Planı'!$C$5:$C$204,ROW()-4)="","",INDEX('İş Planı'!$C$5:$C$204,ROW()-4)),"")</f>
        <v>4.4.3. Kriptografik Uygulamalar</v>
      </c>
      <c r="B33" s="55" t="str">
        <f>IFERROR(IF(INDEX('İş Planı'!$B$5:$B$204,ROW()-4)="","",INDEX('İş Planı'!$B$5:$B$204,ROW()-4)),"")</f>
        <v>BIGR (Yönetim Beyanı Ortak Maddeler)</v>
      </c>
      <c r="C33" s="72">
        <f>IFERROR(IF(INDEX('İş Planı'!$I$5:$I$204,ROW()-4)="","",INDEX('İş Planı'!$I$5:$I$204,ROW()-4)),"")</f>
        <v/>
      </c>
      <c r="D33" s="72">
        <f>IFERROR(IF(INDEX('İş Planı'!$M$5:$M$204,ROW()-4)="","",INDEX('İş Planı'!$M$5:$M$204,ROW()-4)),"")</f>
        <v/>
      </c>
      <c r="E33" s="71" t="str">
        <f>IFERROR(IF(INDEX('İş Planı'!$O$5:$O$204,ROW()-4)="","",INDEX('İş Planı'!$O$5:$O$204,ROW()-4)),"")</f>
        <v>Planlanan</v>
      </c>
      <c r="F33" s="83" t="n"/>
      <c r="G33" s="83" t="n"/>
      <c r="H33" s="83" t="n"/>
      <c r="I33" s="83" t="n"/>
      <c r="J33" s="83" t="n"/>
      <c r="K33" s="83" t="n"/>
      <c r="L33" s="83" t="n"/>
      <c r="M33" s="83" t="n"/>
      <c r="N33" s="83" t="n"/>
      <c r="O33" s="83" t="n"/>
      <c r="P33" s="83" t="n"/>
      <c r="Q33" s="83" t="n"/>
      <c r="R33" s="83" t="n"/>
      <c r="S33" s="83" t="n"/>
      <c r="T33" s="83" t="n"/>
      <c r="U33" s="83" t="n"/>
      <c r="V33" s="83" t="n"/>
      <c r="W33" s="83" t="n"/>
      <c r="X33" s="83" t="n"/>
      <c r="Y33" s="83" t="n"/>
      <c r="Z33" s="83" t="n"/>
      <c r="AA33" s="83" t="n"/>
      <c r="AB33" s="83" t="n"/>
      <c r="AC33" s="83" t="n"/>
      <c r="AD33" s="83" t="n"/>
      <c r="AE33" s="83" t="n"/>
      <c r="AF33" s="83" t="n"/>
      <c r="AG33" s="83" t="n"/>
      <c r="AH33" s="83" t="n"/>
      <c r="AI33" s="83" t="n"/>
      <c r="AJ33" s="83" t="n"/>
      <c r="AK33" s="83" t="n"/>
      <c r="AL33" s="83" t="n"/>
      <c r="AM33" s="83" t="n"/>
      <c r="AN33" s="83" t="n"/>
      <c r="AO33" s="83" t="n"/>
      <c r="AP33" s="83" t="n"/>
      <c r="AQ33" s="83" t="n"/>
      <c r="AR33" s="83" t="n"/>
      <c r="AS33" s="83" t="n"/>
      <c r="AT33" s="83" t="n"/>
      <c r="AU33" s="83" t="n"/>
      <c r="AV33" s="83" t="n"/>
      <c r="AW33" s="83" t="n"/>
      <c r="AX33" s="83" t="n"/>
      <c r="AY33" s="83" t="n"/>
      <c r="AZ33" s="83" t="n"/>
      <c r="BA33" s="83" t="n"/>
      <c r="BB33" s="83" t="n"/>
      <c r="BC33" s="83" t="n"/>
      <c r="BD33" s="83" t="n"/>
      <c r="BE33" s="83" t="n"/>
    </row>
    <row r="34" ht="18" customHeight="1">
      <c r="A34" s="55" t="str">
        <f>IFERROR(IF(INDEX('İş Planı'!$C$5:$C$204,ROW()-4)="","",INDEX('İş Planı'!$C$5:$C$204,ROW()-4)),"")</f>
        <v>Hesapkurdu firması ağustos ayında Glasshouse'dan Turkcell veri merkezine sunucularını taşımıştır. İlgili değişiklik sonrasında firmaya iletilmesi gereken talepler paylaşılmıştır. Firma tarafından 2 parça halinde kanıtlar iletilmiştir. BT denetim tarafından kanıtlar 24.09.2026 tarihinde incelenmeye başlanmıştır.</v>
      </c>
      <c r="B34" s="55" t="str">
        <f>IFERROR(IF(INDEX('İş Planı'!$B$5:$B$204,ROW()-4)="","",INDEX('İş Planı'!$B$5:$B$204,ROW()-4)),"")</f>
        <v>Destek Hizmeti Denetimler</v>
      </c>
      <c r="C34" s="72">
        <f>IFERROR(IF(INDEX('İş Planı'!$I$5:$I$204,ROW()-4)="","",INDEX('İş Planı'!$I$5:$I$204,ROW()-4)),"")</f>
        <v>46289</v>
      </c>
      <c r="D34" s="72">
        <f>IFERROR(IF(INDEX('İş Planı'!$M$5:$M$204,ROW()-4)="","",INDEX('İş Planı'!$M$5:$M$204,ROW()-4)),"")</f>
        <v>46294</v>
      </c>
      <c r="E34" s="71" t="str">
        <f>IFERROR(IF(INDEX('İş Planı'!$O$5:$O$204,ROW()-4)="","",INDEX('İş Planı'!$O$5:$O$204,ROW()-4)),"")</f>
        <v>Gecikmiş</v>
      </c>
      <c r="F34" s="83" t="n"/>
      <c r="G34" s="83" t="n"/>
      <c r="H34" s="83" t="n"/>
      <c r="I34" s="83" t="n"/>
      <c r="J34" s="83" t="n"/>
      <c r="K34" s="83" t="n"/>
      <c r="L34" s="83" t="n"/>
      <c r="M34" s="83" t="n"/>
      <c r="N34" s="83" t="n"/>
      <c r="O34" s="83" t="n"/>
      <c r="P34" s="83" t="n"/>
      <c r="Q34" s="83" t="n"/>
      <c r="R34" s="83" t="n"/>
      <c r="S34" s="83" t="n"/>
      <c r="T34" s="83" t="n"/>
      <c r="U34" s="83" t="n"/>
      <c r="V34" s="83" t="n"/>
      <c r="W34" s="83" t="n"/>
      <c r="X34" s="83" t="n"/>
      <c r="Y34" s="83" t="n"/>
      <c r="Z34" s="83" t="n"/>
      <c r="AA34" s="83" t="n"/>
      <c r="AB34" s="83" t="n"/>
      <c r="AC34" s="83" t="n"/>
      <c r="AD34" s="83" t="n"/>
      <c r="AE34" s="83" t="n"/>
      <c r="AF34" s="83" t="n"/>
      <c r="AG34" s="83" t="n"/>
      <c r="AH34" s="83" t="n"/>
      <c r="AI34" s="83" t="n"/>
      <c r="AJ34" s="83" t="n"/>
      <c r="AK34" s="83" t="n"/>
      <c r="AL34" s="83" t="n"/>
      <c r="AM34" s="83" t="n"/>
      <c r="AN34" s="83" t="n"/>
      <c r="AO34" s="83" t="n"/>
      <c r="AP34" s="83" t="n"/>
      <c r="AQ34" s="83" t="n"/>
      <c r="AR34" s="83" t="n"/>
      <c r="AS34" s="83" t="n"/>
      <c r="AT34" s="83" t="n"/>
      <c r="AU34" s="83" t="n"/>
      <c r="AV34" s="83" t="n"/>
      <c r="AW34" s="83" t="n"/>
      <c r="AX34" s="83" t="n"/>
      <c r="AY34" s="83" t="n"/>
      <c r="AZ34" s="83" t="n"/>
      <c r="BA34" s="83" t="n"/>
      <c r="BB34" s="83" t="n"/>
      <c r="BC34" s="83" t="n"/>
      <c r="BD34" s="83" t="n"/>
      <c r="BE34" s="83" t="n"/>
    </row>
    <row r="35" ht="18" customHeight="1">
      <c r="A35" s="55" t="str">
        <f>IFERROR(IF(INDEX('İş Planı'!$C$5:$C$204,ROW()-4)="","",INDEX('İş Planı'!$C$5:$C$204,ROW()-4)),"")</f>
        <v>Madde 14</v>
      </c>
      <c r="B35" s="55" t="str">
        <f>IFERROR(IF(INDEX('İş Planı'!$B$5:$B$204,ROW()-4)="","",INDEX('İş Planı'!$B$5:$B$204,ROW()-4)),"")</f>
        <v>Yönetim Beyanı</v>
      </c>
      <c r="C35" s="72">
        <f>IFERROR(IF(INDEX('İş Planı'!$I$5:$I$204,ROW()-4)="","",INDEX('İş Planı'!$I$5:$I$204,ROW()-4)),"")</f>
        <v>46272</v>
      </c>
      <c r="D35" s="72">
        <f>IFERROR(IF(INDEX('İş Planı'!$M$5:$M$204,ROW()-4)="","",INDEX('İş Planı'!$M$5:$M$204,ROW()-4)),"")</f>
        <v>46315</v>
      </c>
      <c r="E35" s="71" t="str">
        <f>IFERROR(IF(INDEX('İş Planı'!$O$5:$O$204,ROW()-4)="","",INDEX('İş Planı'!$O$5:$O$204,ROW()-4)),"")</f>
        <v>Devam Ediyor</v>
      </c>
      <c r="F35" s="83" t="n"/>
      <c r="G35" s="83" t="n"/>
      <c r="H35" s="83" t="n"/>
      <c r="I35" s="83" t="n"/>
      <c r="J35" s="83" t="n"/>
      <c r="K35" s="83" t="n"/>
      <c r="L35" s="83" t="n"/>
      <c r="M35" s="83" t="n"/>
      <c r="N35" s="83" t="n"/>
      <c r="O35" s="83" t="n"/>
      <c r="P35" s="83" t="n"/>
      <c r="Q35" s="83" t="n"/>
      <c r="R35" s="83" t="n"/>
      <c r="S35" s="83" t="n"/>
      <c r="T35" s="83" t="n"/>
      <c r="U35" s="83" t="n"/>
      <c r="V35" s="83" t="n"/>
      <c r="W35" s="83" t="n"/>
      <c r="X35" s="83" t="n"/>
      <c r="Y35" s="83" t="n"/>
      <c r="Z35" s="83" t="n"/>
      <c r="AA35" s="83" t="n"/>
      <c r="AB35" s="83" t="n"/>
      <c r="AC35" s="83" t="n"/>
      <c r="AD35" s="83" t="n"/>
      <c r="AE35" s="83" t="n"/>
      <c r="AF35" s="83" t="n"/>
      <c r="AG35" s="83" t="n"/>
      <c r="AH35" s="83" t="n"/>
      <c r="AI35" s="83" t="n"/>
      <c r="AJ35" s="83" t="n"/>
      <c r="AK35" s="83" t="n"/>
      <c r="AL35" s="83" t="n"/>
      <c r="AM35" s="83" t="n"/>
      <c r="AN35" s="83" t="n"/>
      <c r="AO35" s="83" t="n"/>
      <c r="AP35" s="83" t="n"/>
      <c r="AQ35" s="83" t="n"/>
      <c r="AR35" s="83" t="n"/>
      <c r="AS35" s="83" t="n"/>
      <c r="AT35" s="83" t="n"/>
      <c r="AU35" s="83" t="n"/>
      <c r="AV35" s="83" t="n"/>
      <c r="AW35" s="83" t="n"/>
      <c r="AX35" s="83" t="n"/>
      <c r="AY35" s="83" t="n"/>
      <c r="AZ35" s="83" t="n"/>
      <c r="BA35" s="83" t="n"/>
      <c r="BB35" s="83" t="n"/>
      <c r="BC35" s="83" t="n"/>
      <c r="BD35" s="83" t="n"/>
      <c r="BE35" s="83" t="n"/>
    </row>
    <row r="36" ht="18" customHeight="1">
      <c r="A36" s="55" t="str">
        <f>IFERROR(IF(INDEX('İş Planı'!$C$5:$C$204,ROW()-4)="","",INDEX('İş Planı'!$C$5:$C$204,ROW()-4)),"")</f>
        <v>3.1.4 E-Posta Sunucusu ve İstemcisi Güvenliği</v>
      </c>
      <c r="B36" s="55" t="str">
        <f>IFERROR(IF(INDEX('İş Planı'!$B$5:$B$204,ROW()-4)="","",INDEX('İş Planı'!$B$5:$B$204,ROW()-4)),"")</f>
        <v>BIGR</v>
      </c>
      <c r="C36" s="72">
        <f>IFERROR(IF(INDEX('İş Planı'!$I$5:$I$204,ROW()-4)="","",INDEX('İş Planı'!$I$5:$I$204,ROW()-4)),"")</f>
        <v>46265</v>
      </c>
      <c r="D36" s="72">
        <f>IFERROR(IF(INDEX('İş Planı'!$M$5:$M$204,ROW()-4)="","",INDEX('İş Planı'!$M$5:$M$204,ROW()-4)),"")</f>
        <v>46284</v>
      </c>
      <c r="E36" s="71" t="str">
        <f>IFERROR(IF(INDEX('İş Planı'!$O$5:$O$204,ROW()-4)="","",INDEX('İş Planı'!$O$5:$O$204,ROW()-4)),"")</f>
        <v>Gecikmiş</v>
      </c>
      <c r="F36" s="83" t="n"/>
      <c r="G36" s="83" t="n"/>
      <c r="H36" s="83" t="n"/>
      <c r="I36" s="83" t="n"/>
      <c r="J36" s="83" t="n"/>
      <c r="K36" s="83" t="n"/>
      <c r="L36" s="83" t="n"/>
      <c r="M36" s="83" t="n"/>
      <c r="N36" s="83" t="n"/>
      <c r="O36" s="83" t="n"/>
      <c r="P36" s="83" t="n"/>
      <c r="Q36" s="83" t="n"/>
      <c r="R36" s="83" t="n"/>
      <c r="S36" s="83" t="n"/>
      <c r="T36" s="83" t="n"/>
      <c r="U36" s="83" t="n"/>
      <c r="V36" s="83" t="n"/>
      <c r="W36" s="83" t="n"/>
      <c r="X36" s="83" t="n"/>
      <c r="Y36" s="83" t="n"/>
      <c r="Z36" s="83" t="n"/>
      <c r="AA36" s="83" t="n"/>
      <c r="AB36" s="83" t="n"/>
      <c r="AC36" s="83" t="n"/>
      <c r="AD36" s="83" t="n"/>
      <c r="AE36" s="83" t="n"/>
      <c r="AF36" s="83" t="n"/>
      <c r="AG36" s="83" t="n"/>
      <c r="AH36" s="83" t="n"/>
      <c r="AI36" s="83" t="n"/>
      <c r="AJ36" s="83" t="n"/>
      <c r="AK36" s="83" t="n"/>
      <c r="AL36" s="83" t="n"/>
      <c r="AM36" s="83" t="n"/>
      <c r="AN36" s="83" t="n"/>
      <c r="AO36" s="83" t="n"/>
      <c r="AP36" s="83" t="n"/>
      <c r="AQ36" s="83" t="n"/>
      <c r="AR36" s="83" t="n"/>
      <c r="AS36" s="83" t="n"/>
      <c r="AT36" s="83" t="n"/>
      <c r="AU36" s="83" t="n"/>
      <c r="AV36" s="83" t="n"/>
      <c r="AW36" s="83" t="n"/>
      <c r="AX36" s="83" t="n"/>
      <c r="AY36" s="83" t="n"/>
      <c r="AZ36" s="83" t="n"/>
      <c r="BA36" s="83" t="n"/>
      <c r="BB36" s="83" t="n"/>
      <c r="BC36" s="83" t="n"/>
      <c r="BD36" s="83" t="n"/>
      <c r="BE36" s="83" t="n"/>
    </row>
    <row r="37" ht="18" customHeight="1">
      <c r="A37" s="55" t="str">
        <f>IFERROR(IF(INDEX('İş Planı'!$C$5:$C$204,ROW()-4)="","",INDEX('İş Planı'!$C$5:$C$204,ROW()-4)),"")</f>
        <v>3.1.5 Zararlı Yazılımlardan Korunma</v>
      </c>
      <c r="B37" s="55" t="str">
        <f>IFERROR(IF(INDEX('İş Planı'!$B$5:$B$204,ROW()-4)="","",INDEX('İş Planı'!$B$5:$B$204,ROW()-4)),"")</f>
        <v>BIGR</v>
      </c>
      <c r="C37" s="72">
        <f>IFERROR(IF(INDEX('İş Planı'!$I$5:$I$204,ROW()-4)="","",INDEX('İş Planı'!$I$5:$I$204,ROW()-4)),"")</f>
        <v>46272</v>
      </c>
      <c r="D37" s="72">
        <f>IFERROR(IF(INDEX('İş Planı'!$M$5:$M$204,ROW()-4)="","",INDEX('İş Planı'!$M$5:$M$204,ROW()-4)),"")</f>
        <v>46284</v>
      </c>
      <c r="E37" s="71" t="str">
        <f>IFERROR(IF(INDEX('İş Planı'!$O$5:$O$204,ROW()-4)="","",INDEX('İş Planı'!$O$5:$O$204,ROW()-4)),"")</f>
        <v>Gecikmiş</v>
      </c>
      <c r="F37" s="83" t="n"/>
      <c r="G37" s="83" t="n"/>
      <c r="H37" s="83" t="n"/>
      <c r="I37" s="83" t="n"/>
      <c r="J37" s="83" t="n"/>
      <c r="K37" s="83" t="n"/>
      <c r="L37" s="83" t="n"/>
      <c r="M37" s="83" t="n"/>
      <c r="N37" s="83" t="n"/>
      <c r="O37" s="83" t="n"/>
      <c r="P37" s="83" t="n"/>
      <c r="Q37" s="83" t="n"/>
      <c r="R37" s="83" t="n"/>
      <c r="S37" s="83" t="n"/>
      <c r="T37" s="83" t="n"/>
      <c r="U37" s="83" t="n"/>
      <c r="V37" s="83" t="n"/>
      <c r="W37" s="83" t="n"/>
      <c r="X37" s="83" t="n"/>
      <c r="Y37" s="83" t="n"/>
      <c r="Z37" s="83" t="n"/>
      <c r="AA37" s="83" t="n"/>
      <c r="AB37" s="83" t="n"/>
      <c r="AC37" s="83" t="n"/>
      <c r="AD37" s="83" t="n"/>
      <c r="AE37" s="83" t="n"/>
      <c r="AF37" s="83" t="n"/>
      <c r="AG37" s="83" t="n"/>
      <c r="AH37" s="83" t="n"/>
      <c r="AI37" s="83" t="n"/>
      <c r="AJ37" s="83" t="n"/>
      <c r="AK37" s="83" t="n"/>
      <c r="AL37" s="83" t="n"/>
      <c r="AM37" s="83" t="n"/>
      <c r="AN37" s="83" t="n"/>
      <c r="AO37" s="83" t="n"/>
      <c r="AP37" s="83" t="n"/>
      <c r="AQ37" s="83" t="n"/>
      <c r="AR37" s="83" t="n"/>
      <c r="AS37" s="83" t="n"/>
      <c r="AT37" s="83" t="n"/>
      <c r="AU37" s="83" t="n"/>
      <c r="AV37" s="83" t="n"/>
      <c r="AW37" s="83" t="n"/>
      <c r="AX37" s="83" t="n"/>
      <c r="AY37" s="83" t="n"/>
      <c r="AZ37" s="83" t="n"/>
      <c r="BA37" s="83" t="n"/>
      <c r="BB37" s="83" t="n"/>
      <c r="BC37" s="83" t="n"/>
      <c r="BD37" s="83" t="n"/>
      <c r="BE37" s="83" t="n"/>
    </row>
    <row r="38" ht="18" customHeight="1">
      <c r="A38" s="55" t="str">
        <f>IFERROR(IF(INDEX('İş Planı'!$C$5:$C$204,ROW()-4)="","",INDEX('İş Planı'!$C$5:$C$204,ROW()-4)),"")</f>
        <v>Bulut Ekibi ile isterler paylaşıldı. (10.08.2026)
Hatırlatma maili atıldı. Dönüş bekleniyor. (24.08.2026)</v>
      </c>
      <c r="B38" s="55" t="str">
        <f>IFERROR(IF(INDEX('İş Planı'!$B$5:$B$204,ROW()-4)="","",INDEX('İş Planı'!$B$5:$B$204,ROW()-4)),"")</f>
        <v>Buluteks Dendeks Bulut Altyapı Denetimi</v>
      </c>
      <c r="C38" s="72">
        <f>IFERROR(IF(INDEX('İş Planı'!$I$5:$I$204,ROW()-4)="","",INDEX('İş Planı'!$I$5:$I$204,ROW()-4)),"")</f>
        <v>46244</v>
      </c>
      <c r="D38" s="72">
        <f>IFERROR(IF(INDEX('İş Planı'!$M$5:$M$204,ROW()-4)="","",INDEX('İş Planı'!$M$5:$M$204,ROW()-4)),"")</f>
        <v>46310</v>
      </c>
      <c r="E38" s="71" t="str">
        <f>IFERROR(IF(INDEX('İş Planı'!$O$5:$O$204,ROW()-4)="","",INDEX('İş Planı'!$O$5:$O$204,ROW()-4)),"")</f>
        <v>Devam Ediyor</v>
      </c>
      <c r="F38" s="83" t="n"/>
      <c r="G38" s="83" t="n"/>
      <c r="H38" s="83" t="n"/>
      <c r="I38" s="83" t="n"/>
      <c r="J38" s="83" t="n"/>
      <c r="K38" s="83" t="n"/>
      <c r="L38" s="83" t="n"/>
      <c r="M38" s="83" t="n"/>
      <c r="N38" s="83" t="n"/>
      <c r="O38" s="83" t="n"/>
      <c r="P38" s="83" t="n"/>
      <c r="Q38" s="83" t="n"/>
      <c r="R38" s="83" t="n"/>
      <c r="S38" s="83" t="n"/>
      <c r="T38" s="83" t="n"/>
      <c r="U38" s="83" t="n"/>
      <c r="V38" s="83" t="n"/>
      <c r="W38" s="83" t="n"/>
      <c r="X38" s="83" t="n"/>
      <c r="Y38" s="83" t="n"/>
      <c r="Z38" s="83" t="n"/>
      <c r="AA38" s="83" t="n"/>
      <c r="AB38" s="83" t="n"/>
      <c r="AC38" s="83" t="n"/>
      <c r="AD38" s="83" t="n"/>
      <c r="AE38" s="83" t="n"/>
      <c r="AF38" s="83" t="n"/>
      <c r="AG38" s="83" t="n"/>
      <c r="AH38" s="83" t="n"/>
      <c r="AI38" s="83" t="n"/>
      <c r="AJ38" s="83" t="n"/>
      <c r="AK38" s="83" t="n"/>
      <c r="AL38" s="83" t="n"/>
      <c r="AM38" s="83" t="n"/>
      <c r="AN38" s="83" t="n"/>
      <c r="AO38" s="83" t="n"/>
      <c r="AP38" s="83" t="n"/>
      <c r="AQ38" s="83" t="n"/>
      <c r="AR38" s="83" t="n"/>
      <c r="AS38" s="83" t="n"/>
      <c r="AT38" s="83" t="n"/>
      <c r="AU38" s="83" t="n"/>
      <c r="AV38" s="83" t="n"/>
      <c r="AW38" s="83" t="n"/>
      <c r="AX38" s="83" t="n"/>
      <c r="AY38" s="83" t="n"/>
      <c r="AZ38" s="83" t="n"/>
      <c r="BA38" s="83" t="n"/>
      <c r="BB38" s="83" t="n"/>
      <c r="BC38" s="83" t="n"/>
      <c r="BD38" s="83" t="n"/>
      <c r="BE38" s="83" t="n"/>
    </row>
    <row r="39" ht="18" customHeight="1">
      <c r="A39" s="55" t="str">
        <f>IFERROR(IF(INDEX('İş Planı'!$C$5:$C$204,ROW()-4)="","",INDEX('İş Planı'!$C$5:$C$204,ROW()-4)),"")</f>
        <v>Madde 11</v>
      </c>
      <c r="B39" s="55" t="str">
        <f>IFERROR(IF(INDEX('İş Planı'!$B$5:$B$204,ROW()-4)="","",INDEX('İş Planı'!$B$5:$B$204,ROW()-4)),"")</f>
        <v>Yönetim Beyanı</v>
      </c>
      <c r="C39" s="72">
        <f>IFERROR(IF(INDEX('İş Planı'!$I$5:$I$204,ROW()-4)="","",INDEX('İş Planı'!$I$5:$I$204,ROW()-4)),"")</f>
        <v>46265</v>
      </c>
      <c r="D39" s="72">
        <f>IFERROR(IF(INDEX('İş Planı'!$M$5:$M$204,ROW()-4)="","",INDEX('İş Planı'!$M$5:$M$204,ROW()-4)),"")</f>
        <v>46311</v>
      </c>
      <c r="E39" s="71" t="str">
        <f>IFERROR(IF(INDEX('İş Planı'!$O$5:$O$204,ROW()-4)="","",INDEX('İş Planı'!$O$5:$O$204,ROW()-4)),"")</f>
        <v>Devam Ediyor</v>
      </c>
      <c r="F39" s="83" t="n"/>
      <c r="G39" s="83" t="n"/>
      <c r="H39" s="83" t="n"/>
      <c r="I39" s="83" t="n"/>
      <c r="J39" s="83" t="n"/>
      <c r="K39" s="83" t="n"/>
      <c r="L39" s="83" t="n"/>
      <c r="M39" s="83" t="n"/>
      <c r="N39" s="83" t="n"/>
      <c r="O39" s="83" t="n"/>
      <c r="P39" s="83" t="n"/>
      <c r="Q39" s="83" t="n"/>
      <c r="R39" s="83" t="n"/>
      <c r="S39" s="83" t="n"/>
      <c r="T39" s="83" t="n"/>
      <c r="U39" s="83" t="n"/>
      <c r="V39" s="83" t="n"/>
      <c r="W39" s="83" t="n"/>
      <c r="X39" s="83" t="n"/>
      <c r="Y39" s="83" t="n"/>
      <c r="Z39" s="83" t="n"/>
      <c r="AA39" s="83" t="n"/>
      <c r="AB39" s="83" t="n"/>
      <c r="AC39" s="83" t="n"/>
      <c r="AD39" s="83" t="n"/>
      <c r="AE39" s="83" t="n"/>
      <c r="AF39" s="83" t="n"/>
      <c r="AG39" s="83" t="n"/>
      <c r="AH39" s="83" t="n"/>
      <c r="AI39" s="83" t="n"/>
      <c r="AJ39" s="83" t="n"/>
      <c r="AK39" s="83" t="n"/>
      <c r="AL39" s="83" t="n"/>
      <c r="AM39" s="83" t="n"/>
      <c r="AN39" s="83" t="n"/>
      <c r="AO39" s="83" t="n"/>
      <c r="AP39" s="83" t="n"/>
      <c r="AQ39" s="83" t="n"/>
      <c r="AR39" s="83" t="n"/>
      <c r="AS39" s="83" t="n"/>
      <c r="AT39" s="83" t="n"/>
      <c r="AU39" s="83" t="n"/>
      <c r="AV39" s="83" t="n"/>
      <c r="AW39" s="83" t="n"/>
      <c r="AX39" s="83" t="n"/>
      <c r="AY39" s="83" t="n"/>
      <c r="AZ39" s="83" t="n"/>
      <c r="BA39" s="83" t="n"/>
      <c r="BB39" s="83" t="n"/>
      <c r="BC39" s="83" t="n"/>
      <c r="BD39" s="83" t="n"/>
      <c r="BE39" s="83" t="n"/>
    </row>
    <row r="40" ht="18" customHeight="1">
      <c r="A40" s="55" t="str">
        <f>IFERROR(IF(INDEX('İş Planı'!$C$5:$C$204,ROW()-4)="","",INDEX('İş Planı'!$C$5:$C$204,ROW()-4)),"")</f>
        <v>Madde 22</v>
      </c>
      <c r="B40" s="55" t="str">
        <f>IFERROR(IF(INDEX('İş Planı'!$B$5:$B$204,ROW()-4)="","",INDEX('İş Planı'!$B$5:$B$204,ROW()-4)),"")</f>
        <v>Yönetim Beyanı</v>
      </c>
      <c r="C40" s="72">
        <f>IFERROR(IF(INDEX('İş Planı'!$I$5:$I$204,ROW()-4)="","",INDEX('İş Planı'!$I$5:$I$204,ROW()-4)),"")</f>
        <v>46266</v>
      </c>
      <c r="D40" s="72">
        <f>IFERROR(IF(INDEX('İş Planı'!$M$5:$M$204,ROW()-4)="","",INDEX('İş Planı'!$M$5:$M$204,ROW()-4)),"")</f>
        <v>46311</v>
      </c>
      <c r="E40" s="71" t="str">
        <f>IFERROR(IF(INDEX('İş Planı'!$O$5:$O$204,ROW()-4)="","",INDEX('İş Planı'!$O$5:$O$204,ROW()-4)),"")</f>
        <v>Devam Ediyor</v>
      </c>
      <c r="F40" s="83" t="n"/>
      <c r="G40" s="83" t="n"/>
      <c r="H40" s="83" t="n"/>
      <c r="I40" s="83" t="n"/>
      <c r="J40" s="83" t="n"/>
      <c r="K40" s="83" t="n"/>
      <c r="L40" s="83" t="n"/>
      <c r="M40" s="83" t="n"/>
      <c r="N40" s="83" t="n"/>
      <c r="O40" s="83" t="n"/>
      <c r="P40" s="83" t="n"/>
      <c r="Q40" s="83" t="n"/>
      <c r="R40" s="83" t="n"/>
      <c r="S40" s="83" t="n"/>
      <c r="T40" s="83" t="n"/>
      <c r="U40" s="83" t="n"/>
      <c r="V40" s="83" t="n"/>
      <c r="W40" s="83" t="n"/>
      <c r="X40" s="83" t="n"/>
      <c r="Y40" s="83" t="n"/>
      <c r="Z40" s="83" t="n"/>
      <c r="AA40" s="83" t="n"/>
      <c r="AB40" s="83" t="n"/>
      <c r="AC40" s="83" t="n"/>
      <c r="AD40" s="83" t="n"/>
      <c r="AE40" s="83" t="n"/>
      <c r="AF40" s="83" t="n"/>
      <c r="AG40" s="83" t="n"/>
      <c r="AH40" s="83" t="n"/>
      <c r="AI40" s="83" t="n"/>
      <c r="AJ40" s="83" t="n"/>
      <c r="AK40" s="83" t="n"/>
      <c r="AL40" s="83" t="n"/>
      <c r="AM40" s="83" t="n"/>
      <c r="AN40" s="83" t="n"/>
      <c r="AO40" s="83" t="n"/>
      <c r="AP40" s="83" t="n"/>
      <c r="AQ40" s="83" t="n"/>
      <c r="AR40" s="83" t="n"/>
      <c r="AS40" s="83" t="n"/>
      <c r="AT40" s="83" t="n"/>
      <c r="AU40" s="83" t="n"/>
      <c r="AV40" s="83" t="n"/>
      <c r="AW40" s="83" t="n"/>
      <c r="AX40" s="83" t="n"/>
      <c r="AY40" s="83" t="n"/>
      <c r="AZ40" s="83" t="n"/>
      <c r="BA40" s="83" t="n"/>
      <c r="BB40" s="83" t="n"/>
      <c r="BC40" s="83" t="n"/>
      <c r="BD40" s="83" t="n"/>
      <c r="BE40" s="83" t="n"/>
    </row>
    <row r="41" ht="18" customHeight="1">
      <c r="A41" s="55" t="str">
        <f>IFERROR(IF(INDEX('İş Planı'!$C$5:$C$204,ROW()-4)="","",INDEX('İş Planı'!$C$5:$C$204,ROW()-4)),"")</f>
        <v>Buluteks Denetimi</v>
      </c>
      <c r="B41" s="55" t="str">
        <f>IFERROR(IF(INDEX('İş Planı'!$B$5:$B$204,ROW()-4)="","",INDEX('İş Planı'!$B$5:$B$204,ROW()-4)),"")</f>
        <v>Buluteks</v>
      </c>
      <c r="C41" s="72">
        <f>IFERROR(IF(INDEX('İş Planı'!$I$5:$I$204,ROW()-4)="","",INDEX('İş Planı'!$I$5:$I$204,ROW()-4)),"")</f>
        <v>46260</v>
      </c>
      <c r="D41" s="72">
        <f>IFERROR(IF(INDEX('İş Planı'!$M$5:$M$204,ROW()-4)="","",INDEX('İş Planı'!$M$5:$M$204,ROW()-4)),"")</f>
        <v>46295</v>
      </c>
      <c r="E41" s="71" t="str">
        <f>IFERROR(IF(INDEX('İş Planı'!$O$5:$O$204,ROW()-4)="","",INDEX('İş Planı'!$O$5:$O$204,ROW()-4)),"")</f>
        <v>Gecikmiş</v>
      </c>
      <c r="F41" s="83" t="n"/>
      <c r="G41" s="83" t="n"/>
      <c r="H41" s="83" t="n"/>
      <c r="I41" s="83" t="n"/>
      <c r="J41" s="83" t="n"/>
      <c r="K41" s="83" t="n"/>
      <c r="L41" s="83" t="n"/>
      <c r="M41" s="83" t="n"/>
      <c r="N41" s="83" t="n"/>
      <c r="O41" s="83" t="n"/>
      <c r="P41" s="83" t="n"/>
      <c r="Q41" s="83" t="n"/>
      <c r="R41" s="83" t="n"/>
      <c r="S41" s="83" t="n"/>
      <c r="T41" s="83" t="n"/>
      <c r="U41" s="83" t="n"/>
      <c r="V41" s="83" t="n"/>
      <c r="W41" s="83" t="n"/>
      <c r="X41" s="83" t="n"/>
      <c r="Y41" s="83" t="n"/>
      <c r="Z41" s="83" t="n"/>
      <c r="AA41" s="83" t="n"/>
      <c r="AB41" s="83" t="n"/>
      <c r="AC41" s="83" t="n"/>
      <c r="AD41" s="83" t="n"/>
      <c r="AE41" s="83" t="n"/>
      <c r="AF41" s="83" t="n"/>
      <c r="AG41" s="83" t="n"/>
      <c r="AH41" s="83" t="n"/>
      <c r="AI41" s="83" t="n"/>
      <c r="AJ41" s="83" t="n"/>
      <c r="AK41" s="83" t="n"/>
      <c r="AL41" s="83" t="n"/>
      <c r="AM41" s="83" t="n"/>
      <c r="AN41" s="83" t="n"/>
      <c r="AO41" s="83" t="n"/>
      <c r="AP41" s="83" t="n"/>
      <c r="AQ41" s="83" t="n"/>
      <c r="AR41" s="83" t="n"/>
      <c r="AS41" s="83" t="n"/>
      <c r="AT41" s="83" t="n"/>
      <c r="AU41" s="83" t="n"/>
      <c r="AV41" s="83" t="n"/>
      <c r="AW41" s="83" t="n"/>
      <c r="AX41" s="83" t="n"/>
      <c r="AY41" s="83" t="n"/>
      <c r="AZ41" s="83" t="n"/>
      <c r="BA41" s="83" t="n"/>
      <c r="BB41" s="83" t="n"/>
      <c r="BC41" s="83" t="n"/>
      <c r="BD41" s="83" t="n"/>
      <c r="BE41" s="83" t="n"/>
    </row>
    <row r="42" ht="18" customHeight="1">
      <c r="A42" s="55" t="str">
        <f>IFERROR(IF(INDEX('İş Planı'!$C$5:$C$204,ROW()-4)="","",INDEX('İş Planı'!$C$5:$C$204,ROW()-4)),"")</f>
        <v>3.2.4 Dosyaların ve Kaynakların Güvenliği</v>
      </c>
      <c r="B42" s="55" t="str">
        <f>IFERROR(IF(INDEX('İş Planı'!$B$5:$B$204,ROW()-4)="","",INDEX('İş Planı'!$B$5:$B$204,ROW()-4)),"")</f>
        <v>BIGR</v>
      </c>
      <c r="C42" s="72">
        <f>IFERROR(IF(INDEX('İş Planı'!$I$5:$I$204,ROW()-4)="","",INDEX('İş Planı'!$I$5:$I$204,ROW()-4)),"")</f>
        <v>46279</v>
      </c>
      <c r="D42" s="72">
        <f>IFERROR(IF(INDEX('İş Planı'!$M$5:$M$204,ROW()-4)="","",INDEX('İş Planı'!$M$5:$M$204,ROW()-4)),"")</f>
        <v>46295</v>
      </c>
      <c r="E42" s="71" t="str">
        <f>IFERROR(IF(INDEX('İş Planı'!$O$5:$O$204,ROW()-4)="","",INDEX('İş Planı'!$O$5:$O$204,ROW()-4)),"")</f>
        <v>Gecikmiş</v>
      </c>
      <c r="F42" s="83" t="n"/>
      <c r="G42" s="83" t="n"/>
      <c r="H42" s="83" t="n"/>
      <c r="I42" s="83" t="n"/>
      <c r="J42" s="83" t="n"/>
      <c r="K42" s="83" t="n"/>
      <c r="L42" s="83" t="n"/>
      <c r="M42" s="83" t="n"/>
      <c r="N42" s="83" t="n"/>
      <c r="O42" s="83" t="n"/>
      <c r="P42" s="83" t="n"/>
      <c r="Q42" s="83" t="n"/>
      <c r="R42" s="83" t="n"/>
      <c r="S42" s="83" t="n"/>
      <c r="T42" s="83" t="n"/>
      <c r="U42" s="83" t="n"/>
      <c r="V42" s="83" t="n"/>
      <c r="W42" s="83" t="n"/>
      <c r="X42" s="83" t="n"/>
      <c r="Y42" s="83" t="n"/>
      <c r="Z42" s="83" t="n"/>
      <c r="AA42" s="83" t="n"/>
      <c r="AB42" s="83" t="n"/>
      <c r="AC42" s="83" t="n"/>
      <c r="AD42" s="83" t="n"/>
      <c r="AE42" s="83" t="n"/>
      <c r="AF42" s="83" t="n"/>
      <c r="AG42" s="83" t="n"/>
      <c r="AH42" s="83" t="n"/>
      <c r="AI42" s="83" t="n"/>
      <c r="AJ42" s="83" t="n"/>
      <c r="AK42" s="83" t="n"/>
      <c r="AL42" s="83" t="n"/>
      <c r="AM42" s="83" t="n"/>
      <c r="AN42" s="83" t="n"/>
      <c r="AO42" s="83" t="n"/>
      <c r="AP42" s="83" t="n"/>
      <c r="AQ42" s="83" t="n"/>
      <c r="AR42" s="83" t="n"/>
      <c r="AS42" s="83" t="n"/>
      <c r="AT42" s="83" t="n"/>
      <c r="AU42" s="83" t="n"/>
      <c r="AV42" s="83" t="n"/>
      <c r="AW42" s="83" t="n"/>
      <c r="AX42" s="83" t="n"/>
      <c r="AY42" s="83" t="n"/>
      <c r="AZ42" s="83" t="n"/>
      <c r="BA42" s="83" t="n"/>
      <c r="BB42" s="83" t="n"/>
      <c r="BC42" s="83" t="n"/>
      <c r="BD42" s="83" t="n"/>
      <c r="BE42" s="83" t="n"/>
    </row>
    <row r="43" ht="18" customHeight="1">
      <c r="A43" s="55" t="str">
        <f>IFERROR(IF(INDEX('İş Planı'!$C$5:$C$204,ROW()-4)="","",INDEX('İş Planı'!$C$5:$C$204,ROW()-4)),"")</f>
        <v>3.2.7 Veri Tabanı ve Kayıt Yönetimi</v>
      </c>
      <c r="B43" s="55" t="str">
        <f>IFERROR(IF(INDEX('İş Planı'!$B$5:$B$204,ROW()-4)="","",INDEX('İş Planı'!$B$5:$B$204,ROW()-4)),"")</f>
        <v>BIGR</v>
      </c>
      <c r="C43" s="72">
        <f>IFERROR(IF(INDEX('İş Planı'!$I$5:$I$204,ROW()-4)="","",INDEX('İş Planı'!$I$5:$I$204,ROW()-4)),"")</f>
        <v>46279</v>
      </c>
      <c r="D43" s="72">
        <f>IFERROR(IF(INDEX('İş Planı'!$M$5:$M$204,ROW()-4)="","",INDEX('İş Planı'!$M$5:$M$204,ROW()-4)),"")</f>
        <v>46295</v>
      </c>
      <c r="E43" s="71" t="str">
        <f>IFERROR(IF(INDEX('İş Planı'!$O$5:$O$204,ROW()-4)="","",INDEX('İş Planı'!$O$5:$O$204,ROW()-4)),"")</f>
        <v>Gecikmiş</v>
      </c>
      <c r="F43" s="83" t="n"/>
      <c r="G43" s="83" t="n"/>
      <c r="H43" s="83" t="n"/>
      <c r="I43" s="83" t="n"/>
      <c r="J43" s="83" t="n"/>
      <c r="K43" s="83" t="n"/>
      <c r="L43" s="83" t="n"/>
      <c r="M43" s="83" t="n"/>
      <c r="N43" s="83" t="n"/>
      <c r="O43" s="83" t="n"/>
      <c r="P43" s="83" t="n"/>
      <c r="Q43" s="83" t="n"/>
      <c r="R43" s="83" t="n"/>
      <c r="S43" s="83" t="n"/>
      <c r="T43" s="83" t="n"/>
      <c r="U43" s="83" t="n"/>
      <c r="V43" s="83" t="n"/>
      <c r="W43" s="83" t="n"/>
      <c r="X43" s="83" t="n"/>
      <c r="Y43" s="83" t="n"/>
      <c r="Z43" s="83" t="n"/>
      <c r="AA43" s="83" t="n"/>
      <c r="AB43" s="83" t="n"/>
      <c r="AC43" s="83" t="n"/>
      <c r="AD43" s="83" t="n"/>
      <c r="AE43" s="83" t="n"/>
      <c r="AF43" s="83" t="n"/>
      <c r="AG43" s="83" t="n"/>
      <c r="AH43" s="83" t="n"/>
      <c r="AI43" s="83" t="n"/>
      <c r="AJ43" s="83" t="n"/>
      <c r="AK43" s="83" t="n"/>
      <c r="AL43" s="83" t="n"/>
      <c r="AM43" s="83" t="n"/>
      <c r="AN43" s="83" t="n"/>
      <c r="AO43" s="83" t="n"/>
      <c r="AP43" s="83" t="n"/>
      <c r="AQ43" s="83" t="n"/>
      <c r="AR43" s="83" t="n"/>
      <c r="AS43" s="83" t="n"/>
      <c r="AT43" s="83" t="n"/>
      <c r="AU43" s="83" t="n"/>
      <c r="AV43" s="83" t="n"/>
      <c r="AW43" s="83" t="n"/>
      <c r="AX43" s="83" t="n"/>
      <c r="AY43" s="83" t="n"/>
      <c r="AZ43" s="83" t="n"/>
      <c r="BA43" s="83" t="n"/>
      <c r="BB43" s="83" t="n"/>
      <c r="BC43" s="83" t="n"/>
      <c r="BD43" s="83" t="n"/>
      <c r="BE43" s="83" t="n"/>
    </row>
    <row r="44" ht="18" customHeight="1">
      <c r="A44" s="55" t="str">
        <f>IFERROR(IF(INDEX('İş Planı'!$C$5:$C$204,ROW()-4)="","",INDEX('İş Planı'!$C$5:$C$204,ROW()-4)),"")</f>
        <v>Madde 10</v>
      </c>
      <c r="B44" s="55" t="str">
        <f>IFERROR(IF(INDEX('İş Planı'!$B$5:$B$204,ROW()-4)="","",INDEX('İş Planı'!$B$5:$B$204,ROW()-4)),"")</f>
        <v>Yönetim Beyanı</v>
      </c>
      <c r="C44" s="72">
        <f>IFERROR(IF(INDEX('İş Planı'!$I$5:$I$204,ROW()-4)="","",INDEX('İş Planı'!$I$5:$I$204,ROW()-4)),"")</f>
        <v>46260</v>
      </c>
      <c r="D44" s="72">
        <f>IFERROR(IF(INDEX('İş Planı'!$M$5:$M$204,ROW()-4)="","",INDEX('İş Planı'!$M$5:$M$204,ROW()-4)),"")</f>
        <v>46293</v>
      </c>
      <c r="E44" s="71" t="str">
        <f>IFERROR(IF(INDEX('İş Planı'!$O$5:$O$204,ROW()-4)="","",INDEX('İş Planı'!$O$5:$O$204,ROW()-4)),"")</f>
        <v>Gecikmiş</v>
      </c>
      <c r="F44" s="83" t="n"/>
      <c r="G44" s="83" t="n"/>
      <c r="H44" s="83" t="n"/>
      <c r="I44" s="83" t="n"/>
      <c r="J44" s="83" t="n"/>
      <c r="K44" s="83" t="n"/>
      <c r="L44" s="83" t="n"/>
      <c r="M44" s="83" t="n"/>
      <c r="N44" s="83" t="n"/>
      <c r="O44" s="83" t="n"/>
      <c r="P44" s="83" t="n"/>
      <c r="Q44" s="83" t="n"/>
      <c r="R44" s="83" t="n"/>
      <c r="S44" s="83" t="n"/>
      <c r="T44" s="83" t="n"/>
      <c r="U44" s="83" t="n"/>
      <c r="V44" s="83" t="n"/>
      <c r="W44" s="83" t="n"/>
      <c r="X44" s="83" t="n"/>
      <c r="Y44" s="83" t="n"/>
      <c r="Z44" s="83" t="n"/>
      <c r="AA44" s="83" t="n"/>
      <c r="AB44" s="83" t="n"/>
      <c r="AC44" s="83" t="n"/>
      <c r="AD44" s="83" t="n"/>
      <c r="AE44" s="83" t="n"/>
      <c r="AF44" s="83" t="n"/>
      <c r="AG44" s="83" t="n"/>
      <c r="AH44" s="83" t="n"/>
      <c r="AI44" s="83" t="n"/>
      <c r="AJ44" s="83" t="n"/>
      <c r="AK44" s="83" t="n"/>
      <c r="AL44" s="83" t="n"/>
      <c r="AM44" s="83" t="n"/>
      <c r="AN44" s="83" t="n"/>
      <c r="AO44" s="83" t="n"/>
      <c r="AP44" s="83" t="n"/>
      <c r="AQ44" s="83" t="n"/>
      <c r="AR44" s="83" t="n"/>
      <c r="AS44" s="83" t="n"/>
      <c r="AT44" s="83" t="n"/>
      <c r="AU44" s="83" t="n"/>
      <c r="AV44" s="83" t="n"/>
      <c r="AW44" s="83" t="n"/>
      <c r="AX44" s="83" t="n"/>
      <c r="AY44" s="83" t="n"/>
      <c r="AZ44" s="83" t="n"/>
      <c r="BA44" s="83" t="n"/>
      <c r="BB44" s="83" t="n"/>
      <c r="BC44" s="83" t="n"/>
      <c r="BD44" s="83" t="n"/>
      <c r="BE44" s="83" t="n"/>
    </row>
    <row r="45" ht="18" customHeight="1">
      <c r="A45" s="55" t="str">
        <f>IFERROR(IF(INDEX('İş Planı'!$C$5:$C$204,ROW()-4)="","",INDEX('İş Planı'!$C$5:$C$204,ROW()-4)),"")</f>
        <v>Madde 23</v>
      </c>
      <c r="B45" s="55" t="str">
        <f>IFERROR(IF(INDEX('İş Planı'!$B$5:$B$204,ROW()-4)="","",INDEX('İş Planı'!$B$5:$B$204,ROW()-4)),"")</f>
        <v>Yönetim Beyanı</v>
      </c>
      <c r="C45" s="72">
        <f>IFERROR(IF(INDEX('İş Planı'!$I$5:$I$204,ROW()-4)="","",INDEX('İş Planı'!$I$5:$I$204,ROW()-4)),"")</f>
        <v>46286</v>
      </c>
      <c r="D45" s="72">
        <f>IFERROR(IF(INDEX('İş Planı'!$M$5:$M$204,ROW()-4)="","",INDEX('İş Planı'!$M$5:$M$204,ROW()-4)),"")</f>
        <v>46318</v>
      </c>
      <c r="E45" s="71" t="str">
        <f>IFERROR(IF(INDEX('İş Planı'!$O$5:$O$204,ROW()-4)="","",INDEX('İş Planı'!$O$5:$O$204,ROW()-4)),"")</f>
        <v>Devam Ediyor</v>
      </c>
      <c r="F45" s="83" t="n"/>
      <c r="G45" s="83" t="n"/>
      <c r="H45" s="83" t="n"/>
      <c r="I45" s="83" t="n"/>
      <c r="J45" s="83" t="n"/>
      <c r="K45" s="83" t="n"/>
      <c r="L45" s="83" t="n"/>
      <c r="M45" s="83" t="n"/>
      <c r="N45" s="83" t="n"/>
      <c r="O45" s="83" t="n"/>
      <c r="P45" s="83" t="n"/>
      <c r="Q45" s="83" t="n"/>
      <c r="R45" s="83" t="n"/>
      <c r="S45" s="83" t="n"/>
      <c r="T45" s="83" t="n"/>
      <c r="U45" s="83" t="n"/>
      <c r="V45" s="83" t="n"/>
      <c r="W45" s="83" t="n"/>
      <c r="X45" s="83" t="n"/>
      <c r="Y45" s="83" t="n"/>
      <c r="Z45" s="83" t="n"/>
      <c r="AA45" s="83" t="n"/>
      <c r="AB45" s="83" t="n"/>
      <c r="AC45" s="83" t="n"/>
      <c r="AD45" s="83" t="n"/>
      <c r="AE45" s="83" t="n"/>
      <c r="AF45" s="83" t="n"/>
      <c r="AG45" s="83" t="n"/>
      <c r="AH45" s="83" t="n"/>
      <c r="AI45" s="83" t="n"/>
      <c r="AJ45" s="83" t="n"/>
      <c r="AK45" s="83" t="n"/>
      <c r="AL45" s="83" t="n"/>
      <c r="AM45" s="83" t="n"/>
      <c r="AN45" s="83" t="n"/>
      <c r="AO45" s="83" t="n"/>
      <c r="AP45" s="83" t="n"/>
      <c r="AQ45" s="83" t="n"/>
      <c r="AR45" s="83" t="n"/>
      <c r="AS45" s="83" t="n"/>
      <c r="AT45" s="83" t="n"/>
      <c r="AU45" s="83" t="n"/>
      <c r="AV45" s="83" t="n"/>
      <c r="AW45" s="83" t="n"/>
      <c r="AX45" s="83" t="n"/>
      <c r="AY45" s="83" t="n"/>
      <c r="AZ45" s="83" t="n"/>
      <c r="BA45" s="83" t="n"/>
      <c r="BB45" s="83" t="n"/>
      <c r="BC45" s="83" t="n"/>
      <c r="BD45" s="83" t="n"/>
      <c r="BE45" s="83" t="n"/>
    </row>
    <row r="46" ht="18" customHeight="1">
      <c r="A46" s="55" t="str">
        <f>IFERROR(IF(INDEX('İş Planı'!$C$5:$C$204,ROW()-4)="","",INDEX('İş Planı'!$C$5:$C$204,ROW()-4)),"")</f>
        <v>3.1.7 Veri Sızıntısı Önleme</v>
      </c>
      <c r="B46" s="55" t="str">
        <f>IFERROR(IF(INDEX('İş Planı'!$B$5:$B$204,ROW()-4)="","",INDEX('İş Planı'!$B$5:$B$204,ROW()-4)),"")</f>
        <v>BIGR</v>
      </c>
      <c r="C46" s="72">
        <f>IFERROR(IF(INDEX('İş Planı'!$I$5:$I$204,ROW()-4)="","",INDEX('İş Planı'!$I$5:$I$204,ROW()-4)),"")</f>
        <v>46274</v>
      </c>
      <c r="D46" s="72">
        <f>IFERROR(IF(INDEX('İş Planı'!$M$5:$M$204,ROW()-4)="","",INDEX('İş Planı'!$M$5:$M$204,ROW()-4)),"")</f>
        <v>46288</v>
      </c>
      <c r="E46" s="71" t="str">
        <f>IFERROR(IF(INDEX('İş Planı'!$O$5:$O$204,ROW()-4)="","",INDEX('İş Planı'!$O$5:$O$204,ROW()-4)),"")</f>
        <v>Gecikmiş</v>
      </c>
      <c r="F46" s="83" t="n"/>
      <c r="G46" s="83" t="n"/>
      <c r="H46" s="83" t="n"/>
      <c r="I46" s="83" t="n"/>
      <c r="J46" s="83" t="n"/>
      <c r="K46" s="83" t="n"/>
      <c r="L46" s="83" t="n"/>
      <c r="M46" s="83" t="n"/>
      <c r="N46" s="83" t="n"/>
      <c r="O46" s="83" t="n"/>
      <c r="P46" s="83" t="n"/>
      <c r="Q46" s="83" t="n"/>
      <c r="R46" s="83" t="n"/>
      <c r="S46" s="83" t="n"/>
      <c r="T46" s="83" t="n"/>
      <c r="U46" s="83" t="n"/>
      <c r="V46" s="83" t="n"/>
      <c r="W46" s="83" t="n"/>
      <c r="X46" s="83" t="n"/>
      <c r="Y46" s="83" t="n"/>
      <c r="Z46" s="83" t="n"/>
      <c r="AA46" s="83" t="n"/>
      <c r="AB46" s="83" t="n"/>
      <c r="AC46" s="83" t="n"/>
      <c r="AD46" s="83" t="n"/>
      <c r="AE46" s="83" t="n"/>
      <c r="AF46" s="83" t="n"/>
      <c r="AG46" s="83" t="n"/>
      <c r="AH46" s="83" t="n"/>
      <c r="AI46" s="83" t="n"/>
      <c r="AJ46" s="83" t="n"/>
      <c r="AK46" s="83" t="n"/>
      <c r="AL46" s="83" t="n"/>
      <c r="AM46" s="83" t="n"/>
      <c r="AN46" s="83" t="n"/>
      <c r="AO46" s="83" t="n"/>
      <c r="AP46" s="83" t="n"/>
      <c r="AQ46" s="83" t="n"/>
      <c r="AR46" s="83" t="n"/>
      <c r="AS46" s="83" t="n"/>
      <c r="AT46" s="83" t="n"/>
      <c r="AU46" s="83" t="n"/>
      <c r="AV46" s="83" t="n"/>
      <c r="AW46" s="83" t="n"/>
      <c r="AX46" s="83" t="n"/>
      <c r="AY46" s="83" t="n"/>
      <c r="AZ46" s="83" t="n"/>
      <c r="BA46" s="83" t="n"/>
      <c r="BB46" s="83" t="n"/>
      <c r="BC46" s="83" t="n"/>
      <c r="BD46" s="83" t="n"/>
      <c r="BE46" s="83" t="n"/>
    </row>
    <row r="47" ht="18" customHeight="1">
      <c r="A47" s="55" t="str">
        <f>IFERROR(IF(INDEX('İş Planı'!$C$5:$C$204,ROW()-4)="","",INDEX('İş Planı'!$C$5:$C$204,ROW()-4)),"")</f>
        <v>Madde 28</v>
      </c>
      <c r="B47" s="55" t="str">
        <f>IFERROR(IF(INDEX('İş Planı'!$B$5:$B$204,ROW()-4)="","",INDEX('İş Planı'!$B$5:$B$204,ROW()-4)),"")</f>
        <v>Yönetim Beyanı</v>
      </c>
      <c r="C47" s="72">
        <f>IFERROR(IF(INDEX('İş Planı'!$I$5:$I$204,ROW()-4)="","",INDEX('İş Planı'!$I$5:$I$204,ROW()-4)),"")</f>
        <v>46314</v>
      </c>
      <c r="D47" s="72">
        <f>IFERROR(IF(INDEX('İş Planı'!$M$5:$M$204,ROW()-4)="","",INDEX('İş Planı'!$M$5:$M$204,ROW()-4)),"")</f>
        <v>46332</v>
      </c>
      <c r="E47" s="71" t="str">
        <f>IFERROR(IF(INDEX('İş Planı'!$O$5:$O$204,ROW()-4)="","",INDEX('İş Planı'!$O$5:$O$204,ROW()-4)),"")</f>
        <v>Planlanan</v>
      </c>
      <c r="F47" s="83" t="n"/>
      <c r="G47" s="83" t="n"/>
      <c r="H47" s="83" t="n"/>
      <c r="I47" s="83" t="n"/>
      <c r="J47" s="83" t="n"/>
      <c r="K47" s="83" t="n"/>
      <c r="L47" s="83" t="n"/>
      <c r="M47" s="83" t="n"/>
      <c r="N47" s="83" t="n"/>
      <c r="O47" s="83" t="n"/>
      <c r="P47" s="83" t="n"/>
      <c r="Q47" s="83" t="n"/>
      <c r="R47" s="83" t="n"/>
      <c r="S47" s="83" t="n"/>
      <c r="T47" s="83" t="n"/>
      <c r="U47" s="83" t="n"/>
      <c r="V47" s="83" t="n"/>
      <c r="W47" s="83" t="n"/>
      <c r="X47" s="83" t="n"/>
      <c r="Y47" s="83" t="n"/>
      <c r="Z47" s="83" t="n"/>
      <c r="AA47" s="83" t="n"/>
      <c r="AB47" s="83" t="n"/>
      <c r="AC47" s="83" t="n"/>
      <c r="AD47" s="83" t="n"/>
      <c r="AE47" s="83" t="n"/>
      <c r="AF47" s="83" t="n"/>
      <c r="AG47" s="83" t="n"/>
      <c r="AH47" s="83" t="n"/>
      <c r="AI47" s="83" t="n"/>
      <c r="AJ47" s="83" t="n"/>
      <c r="AK47" s="83" t="n"/>
      <c r="AL47" s="83" t="n"/>
      <c r="AM47" s="83" t="n"/>
      <c r="AN47" s="83" t="n"/>
      <c r="AO47" s="83" t="n"/>
      <c r="AP47" s="83" t="n"/>
      <c r="AQ47" s="83" t="n"/>
      <c r="AR47" s="83" t="n"/>
      <c r="AS47" s="83" t="n"/>
      <c r="AT47" s="83" t="n"/>
      <c r="AU47" s="83" t="n"/>
      <c r="AV47" s="83" t="n"/>
      <c r="AW47" s="83" t="n"/>
      <c r="AX47" s="83" t="n"/>
      <c r="AY47" s="83" t="n"/>
      <c r="AZ47" s="83" t="n"/>
      <c r="BA47" s="83" t="n"/>
      <c r="BB47" s="83" t="n"/>
      <c r="BC47" s="83" t="n"/>
      <c r="BD47" s="83" t="n"/>
      <c r="BE47" s="83" t="n"/>
    </row>
    <row r="48" ht="18" customHeight="1">
      <c r="A48" s="55" t="str">
        <f>IFERROR(IF(INDEX('İş Planı'!$C$5:$C$204,ROW()-4)="","",INDEX('İş Planı'!$C$5:$C$204,ROW()-4)),"")</f>
        <v>Madde 29</v>
      </c>
      <c r="B48" s="55" t="str">
        <f>IFERROR(IF(INDEX('İş Planı'!$B$5:$B$204,ROW()-4)="","",INDEX('İş Planı'!$B$5:$B$204,ROW()-4)),"")</f>
        <v>Yönetim Beyanı</v>
      </c>
      <c r="C48" s="72">
        <f>IFERROR(IF(INDEX('İş Planı'!$I$5:$I$204,ROW()-4)="","",INDEX('İş Planı'!$I$5:$I$204,ROW()-4)),"")</f>
        <v>46300</v>
      </c>
      <c r="D48" s="72">
        <f>IFERROR(IF(INDEX('İş Planı'!$M$5:$M$204,ROW()-4)="","",INDEX('İş Planı'!$M$5:$M$204,ROW()-4)),"")</f>
        <v>46318</v>
      </c>
      <c r="E48" s="71" t="str">
        <f>IFERROR(IF(INDEX('İş Planı'!$O$5:$O$204,ROW()-4)="","",INDEX('İş Planı'!$O$5:$O$204,ROW()-4)),"")</f>
        <v>Devam Ediyor</v>
      </c>
      <c r="F48" s="83" t="n"/>
      <c r="G48" s="83" t="n"/>
      <c r="H48" s="83" t="n"/>
      <c r="I48" s="83" t="n"/>
      <c r="J48" s="83" t="n"/>
      <c r="K48" s="83" t="n"/>
      <c r="L48" s="83" t="n"/>
      <c r="M48" s="83" t="n"/>
      <c r="N48" s="83" t="n"/>
      <c r="O48" s="83" t="n"/>
      <c r="P48" s="83" t="n"/>
      <c r="Q48" s="83" t="n"/>
      <c r="R48" s="83" t="n"/>
      <c r="S48" s="83" t="n"/>
      <c r="T48" s="83" t="n"/>
      <c r="U48" s="83" t="n"/>
      <c r="V48" s="83" t="n"/>
      <c r="W48" s="83" t="n"/>
      <c r="X48" s="83" t="n"/>
      <c r="Y48" s="83" t="n"/>
      <c r="Z48" s="83" t="n"/>
      <c r="AA48" s="83" t="n"/>
      <c r="AB48" s="83" t="n"/>
      <c r="AC48" s="83" t="n"/>
      <c r="AD48" s="83" t="n"/>
      <c r="AE48" s="83" t="n"/>
      <c r="AF48" s="83" t="n"/>
      <c r="AG48" s="83" t="n"/>
      <c r="AH48" s="83" t="n"/>
      <c r="AI48" s="83" t="n"/>
      <c r="AJ48" s="83" t="n"/>
      <c r="AK48" s="83" t="n"/>
      <c r="AL48" s="83" t="n"/>
      <c r="AM48" s="83" t="n"/>
      <c r="AN48" s="83" t="n"/>
      <c r="AO48" s="83" t="n"/>
      <c r="AP48" s="83" t="n"/>
      <c r="AQ48" s="83" t="n"/>
      <c r="AR48" s="83" t="n"/>
      <c r="AS48" s="83" t="n"/>
      <c r="AT48" s="83" t="n"/>
      <c r="AU48" s="83" t="n"/>
      <c r="AV48" s="83" t="n"/>
      <c r="AW48" s="83" t="n"/>
      <c r="AX48" s="83" t="n"/>
      <c r="AY48" s="83" t="n"/>
      <c r="AZ48" s="83" t="n"/>
      <c r="BA48" s="83" t="n"/>
      <c r="BB48" s="83" t="n"/>
      <c r="BC48" s="83" t="n"/>
      <c r="BD48" s="83" t="n"/>
      <c r="BE48" s="83" t="n"/>
    </row>
    <row r="49" ht="18" customHeight="1">
      <c r="A49" s="55" t="str">
        <f>IFERROR(IF(INDEX('İş Planı'!$C$5:$C$204,ROW()-4)="","",INDEX('İş Planı'!$C$5:$C$204,ROW()-4)),"")</f>
        <v>3.1.7. Veri Sızıntısı Önleme</v>
      </c>
      <c r="B49" s="55" t="str">
        <f>IFERROR(IF(INDEX('İş Planı'!$B$5:$B$204,ROW()-4)="","",INDEX('İş Planı'!$B$5:$B$204,ROW()-4)),"")</f>
        <v>BIGR (Yönetim Beyanı Ortak Maddeler)</v>
      </c>
      <c r="C49" s="72">
        <f>IFERROR(IF(INDEX('İş Planı'!$I$5:$I$204,ROW()-4)="","",INDEX('İş Planı'!$I$5:$I$204,ROW()-4)),"")</f>
        <v/>
      </c>
      <c r="D49" s="72">
        <f>IFERROR(IF(INDEX('İş Planı'!$M$5:$M$204,ROW()-4)="","",INDEX('İş Planı'!$M$5:$M$204,ROW()-4)),"")</f>
        <v/>
      </c>
      <c r="E49" s="71" t="str">
        <f>IFERROR(IF(INDEX('İş Planı'!$O$5:$O$204,ROW()-4)="","",INDEX('İş Planı'!$O$5:$O$204,ROW()-4)),"")</f>
        <v>Planlanan</v>
      </c>
      <c r="F49" s="83" t="n"/>
      <c r="G49" s="83" t="n"/>
      <c r="H49" s="83" t="n"/>
      <c r="I49" s="83" t="n"/>
      <c r="J49" s="83" t="n"/>
      <c r="K49" s="83" t="n"/>
      <c r="L49" s="83" t="n"/>
      <c r="M49" s="83" t="n"/>
      <c r="N49" s="83" t="n"/>
      <c r="O49" s="83" t="n"/>
      <c r="P49" s="83" t="n"/>
      <c r="Q49" s="83" t="n"/>
      <c r="R49" s="83" t="n"/>
      <c r="S49" s="83" t="n"/>
      <c r="T49" s="83" t="n"/>
      <c r="U49" s="83" t="n"/>
      <c r="V49" s="83" t="n"/>
      <c r="W49" s="83" t="n"/>
      <c r="X49" s="83" t="n"/>
      <c r="Y49" s="83" t="n"/>
      <c r="Z49" s="83" t="n"/>
      <c r="AA49" s="83" t="n"/>
      <c r="AB49" s="83" t="n"/>
      <c r="AC49" s="83" t="n"/>
      <c r="AD49" s="83" t="n"/>
      <c r="AE49" s="83" t="n"/>
      <c r="AF49" s="83" t="n"/>
      <c r="AG49" s="83" t="n"/>
      <c r="AH49" s="83" t="n"/>
      <c r="AI49" s="83" t="n"/>
      <c r="AJ49" s="83" t="n"/>
      <c r="AK49" s="83" t="n"/>
      <c r="AL49" s="83" t="n"/>
      <c r="AM49" s="83" t="n"/>
      <c r="AN49" s="83" t="n"/>
      <c r="AO49" s="83" t="n"/>
      <c r="AP49" s="83" t="n"/>
      <c r="AQ49" s="83" t="n"/>
      <c r="AR49" s="83" t="n"/>
      <c r="AS49" s="83" t="n"/>
      <c r="AT49" s="83" t="n"/>
      <c r="AU49" s="83" t="n"/>
      <c r="AV49" s="83" t="n"/>
      <c r="AW49" s="83" t="n"/>
      <c r="AX49" s="83" t="n"/>
      <c r="AY49" s="83" t="n"/>
      <c r="AZ49" s="83" t="n"/>
      <c r="BA49" s="83" t="n"/>
      <c r="BB49" s="83" t="n"/>
      <c r="BC49" s="83" t="n"/>
      <c r="BD49" s="83" t="n"/>
      <c r="BE49" s="83" t="n"/>
    </row>
    <row r="50" ht="18" customHeight="1">
      <c r="A50" s="55" t="str">
        <f>IFERROR(IF(INDEX('İş Planı'!$C$5:$C$204,ROW()-4)="","",INDEX('İş Planı'!$C$5:$C$204,ROW()-4)),"")</f>
        <v>3.1.8. İz ve Denetim Kayıtlarının Tutulması ve İzlenmesi</v>
      </c>
      <c r="B50" s="55" t="str">
        <f>IFERROR(IF(INDEX('İş Planı'!$B$5:$B$204,ROW()-4)="","",INDEX('İş Planı'!$B$5:$B$204,ROW()-4)),"")</f>
        <v>BIGR (Yönetim Beyanı Ortak Maddeler)</v>
      </c>
      <c r="C50" s="72">
        <f>IFERROR(IF(INDEX('İş Planı'!$I$5:$I$204,ROW()-4)="","",INDEX('İş Planı'!$I$5:$I$204,ROW()-4)),"")</f>
        <v/>
      </c>
      <c r="D50" s="72">
        <f>IFERROR(IF(INDEX('İş Planı'!$M$5:$M$204,ROW()-4)="","",INDEX('İş Planı'!$M$5:$M$204,ROW()-4)),"")</f>
        <v/>
      </c>
      <c r="E50" s="71" t="str">
        <f>IFERROR(IF(INDEX('İş Planı'!$O$5:$O$204,ROW()-4)="","",INDEX('İş Planı'!$O$5:$O$204,ROW()-4)),"")</f>
        <v>Planlanan</v>
      </c>
      <c r="F50" s="83" t="n"/>
      <c r="G50" s="83" t="n"/>
      <c r="H50" s="83" t="n"/>
      <c r="I50" s="83" t="n"/>
      <c r="J50" s="83" t="n"/>
      <c r="K50" s="83" t="n"/>
      <c r="L50" s="83" t="n"/>
      <c r="M50" s="83" t="n"/>
      <c r="N50" s="83" t="n"/>
      <c r="O50" s="83" t="n"/>
      <c r="P50" s="83" t="n"/>
      <c r="Q50" s="83" t="n"/>
      <c r="R50" s="83" t="n"/>
      <c r="S50" s="83" t="n"/>
      <c r="T50" s="83" t="n"/>
      <c r="U50" s="83" t="n"/>
      <c r="V50" s="83" t="n"/>
      <c r="W50" s="83" t="n"/>
      <c r="X50" s="83" t="n"/>
      <c r="Y50" s="83" t="n"/>
      <c r="Z50" s="83" t="n"/>
      <c r="AA50" s="83" t="n"/>
      <c r="AB50" s="83" t="n"/>
      <c r="AC50" s="83" t="n"/>
      <c r="AD50" s="83" t="n"/>
      <c r="AE50" s="83" t="n"/>
      <c r="AF50" s="83" t="n"/>
      <c r="AG50" s="83" t="n"/>
      <c r="AH50" s="83" t="n"/>
      <c r="AI50" s="83" t="n"/>
      <c r="AJ50" s="83" t="n"/>
      <c r="AK50" s="83" t="n"/>
      <c r="AL50" s="83" t="n"/>
      <c r="AM50" s="83" t="n"/>
      <c r="AN50" s="83" t="n"/>
      <c r="AO50" s="83" t="n"/>
      <c r="AP50" s="83" t="n"/>
      <c r="AQ50" s="83" t="n"/>
      <c r="AR50" s="83" t="n"/>
      <c r="AS50" s="83" t="n"/>
      <c r="AT50" s="83" t="n"/>
      <c r="AU50" s="83" t="n"/>
      <c r="AV50" s="83" t="n"/>
      <c r="AW50" s="83" t="n"/>
      <c r="AX50" s="83" t="n"/>
      <c r="AY50" s="83" t="n"/>
      <c r="AZ50" s="83" t="n"/>
      <c r="BA50" s="83" t="n"/>
      <c r="BB50" s="83" t="n"/>
      <c r="BC50" s="83" t="n"/>
      <c r="BD50" s="83" t="n"/>
      <c r="BE50" s="83" t="n"/>
    </row>
    <row r="51" ht="18" customHeight="1">
      <c r="A51" s="55" t="str">
        <f>IFERROR(IF(INDEX('İş Planı'!$C$5:$C$204,ROW()-4)="","",INDEX('İş Planı'!$C$5:$C$204,ROW()-4)),"")</f>
        <v>3.2.10. Kötücül İşlemleri Engelleme</v>
      </c>
      <c r="B51" s="55" t="str">
        <f>IFERROR(IF(INDEX('İş Planı'!$B$5:$B$204,ROW()-4)="","",INDEX('İş Planı'!$B$5:$B$204,ROW()-4)),"")</f>
        <v>BIGR (Yönetim Beyanı Ortak Maddeler)</v>
      </c>
      <c r="C51" s="72">
        <f>IFERROR(IF(INDEX('İş Planı'!$I$5:$I$204,ROW()-4)="","",INDEX('İş Planı'!$I$5:$I$204,ROW()-4)),"")</f>
        <v/>
      </c>
      <c r="D51" s="72">
        <f>IFERROR(IF(INDEX('İş Planı'!$M$5:$M$204,ROW()-4)="","",INDEX('İş Planı'!$M$5:$M$204,ROW()-4)),"")</f>
        <v/>
      </c>
      <c r="E51" s="71" t="str">
        <f>IFERROR(IF(INDEX('İş Planı'!$O$5:$O$204,ROW()-4)="","",INDEX('İş Planı'!$O$5:$O$204,ROW()-4)),"")</f>
        <v>Planlanan</v>
      </c>
      <c r="F51" s="83" t="n"/>
      <c r="G51" s="83" t="n"/>
      <c r="H51" s="83" t="n"/>
      <c r="I51" s="83" t="n"/>
      <c r="J51" s="83" t="n"/>
      <c r="K51" s="83" t="n"/>
      <c r="L51" s="83" t="n"/>
      <c r="M51" s="83" t="n"/>
      <c r="N51" s="83" t="n"/>
      <c r="O51" s="83" t="n"/>
      <c r="P51" s="83" t="n"/>
      <c r="Q51" s="83" t="n"/>
      <c r="R51" s="83" t="n"/>
      <c r="S51" s="83" t="n"/>
      <c r="T51" s="83" t="n"/>
      <c r="U51" s="83" t="n"/>
      <c r="V51" s="83" t="n"/>
      <c r="W51" s="83" t="n"/>
      <c r="X51" s="83" t="n"/>
      <c r="Y51" s="83" t="n"/>
      <c r="Z51" s="83" t="n"/>
      <c r="AA51" s="83" t="n"/>
      <c r="AB51" s="83" t="n"/>
      <c r="AC51" s="83" t="n"/>
      <c r="AD51" s="83" t="n"/>
      <c r="AE51" s="83" t="n"/>
      <c r="AF51" s="83" t="n"/>
      <c r="AG51" s="83" t="n"/>
      <c r="AH51" s="83" t="n"/>
      <c r="AI51" s="83" t="n"/>
      <c r="AJ51" s="83" t="n"/>
      <c r="AK51" s="83" t="n"/>
      <c r="AL51" s="83" t="n"/>
      <c r="AM51" s="83" t="n"/>
      <c r="AN51" s="83" t="n"/>
      <c r="AO51" s="83" t="n"/>
      <c r="AP51" s="83" t="n"/>
      <c r="AQ51" s="83" t="n"/>
      <c r="AR51" s="83" t="n"/>
      <c r="AS51" s="83" t="n"/>
      <c r="AT51" s="83" t="n"/>
      <c r="AU51" s="83" t="n"/>
      <c r="AV51" s="83" t="n"/>
      <c r="AW51" s="83" t="n"/>
      <c r="AX51" s="83" t="n"/>
      <c r="AY51" s="83" t="n"/>
      <c r="AZ51" s="83" t="n"/>
      <c r="BA51" s="83" t="n"/>
      <c r="BB51" s="83" t="n"/>
      <c r="BC51" s="83" t="n"/>
      <c r="BD51" s="83" t="n"/>
      <c r="BE51" s="83" t="n"/>
    </row>
    <row r="52" ht="18" customHeight="1">
      <c r="A52" s="55" t="str">
        <f>IFERROR(IF(INDEX('İş Planı'!$C$5:$C$204,ROW()-4)="","",INDEX('İş Planı'!$C$5:$C$204,ROW()-4)),"")</f>
        <v>3.1.12. Kimlik Doğrulama ve Erişim Yönetimi</v>
      </c>
      <c r="B52" s="55" t="str">
        <f>IFERROR(IF(INDEX('İş Planı'!$B$5:$B$204,ROW()-4)="","",INDEX('İş Planı'!$B$5:$B$204,ROW()-4)),"")</f>
        <v>BIGR (Yönetim Beyanı Ortak Maddeler)</v>
      </c>
      <c r="C52" s="72">
        <f>IFERROR(IF(INDEX('İş Planı'!$I$5:$I$204,ROW()-4)="","",INDEX('İş Planı'!$I$5:$I$204,ROW()-4)),"")</f>
        <v/>
      </c>
      <c r="D52" s="72">
        <f>IFERROR(IF(INDEX('İş Planı'!$M$5:$M$204,ROW()-4)="","",INDEX('İş Planı'!$M$5:$M$204,ROW()-4)),"")</f>
        <v/>
      </c>
      <c r="E52" s="71" t="str">
        <f>IFERROR(IF(INDEX('İş Planı'!$O$5:$O$204,ROW()-4)="","",INDEX('İş Planı'!$O$5:$O$204,ROW()-4)),"")</f>
        <v>Planlanan</v>
      </c>
      <c r="F52" s="83" t="n"/>
      <c r="G52" s="83" t="n"/>
      <c r="H52" s="83" t="n"/>
      <c r="I52" s="83" t="n"/>
      <c r="J52" s="83" t="n"/>
      <c r="K52" s="83" t="n"/>
      <c r="L52" s="83" t="n"/>
      <c r="M52" s="83" t="n"/>
      <c r="N52" s="83" t="n"/>
      <c r="O52" s="83" t="n"/>
      <c r="P52" s="83" t="n"/>
      <c r="Q52" s="83" t="n"/>
      <c r="R52" s="83" t="n"/>
      <c r="S52" s="83" t="n"/>
      <c r="T52" s="83" t="n"/>
      <c r="U52" s="83" t="n"/>
      <c r="V52" s="83" t="n"/>
      <c r="W52" s="83" t="n"/>
      <c r="X52" s="83" t="n"/>
      <c r="Y52" s="83" t="n"/>
      <c r="Z52" s="83" t="n"/>
      <c r="AA52" s="83" t="n"/>
      <c r="AB52" s="83" t="n"/>
      <c r="AC52" s="83" t="n"/>
      <c r="AD52" s="83" t="n"/>
      <c r="AE52" s="83" t="n"/>
      <c r="AF52" s="83" t="n"/>
      <c r="AG52" s="83" t="n"/>
      <c r="AH52" s="83" t="n"/>
      <c r="AI52" s="83" t="n"/>
      <c r="AJ52" s="83" t="n"/>
      <c r="AK52" s="83" t="n"/>
      <c r="AL52" s="83" t="n"/>
      <c r="AM52" s="83" t="n"/>
      <c r="AN52" s="83" t="n"/>
      <c r="AO52" s="83" t="n"/>
      <c r="AP52" s="83" t="n"/>
      <c r="AQ52" s="83" t="n"/>
      <c r="AR52" s="83" t="n"/>
      <c r="AS52" s="83" t="n"/>
      <c r="AT52" s="83" t="n"/>
      <c r="AU52" s="83" t="n"/>
      <c r="AV52" s="83" t="n"/>
      <c r="AW52" s="83" t="n"/>
      <c r="AX52" s="83" t="n"/>
      <c r="AY52" s="83" t="n"/>
      <c r="AZ52" s="83" t="n"/>
      <c r="BA52" s="83" t="n"/>
      <c r="BB52" s="83" t="n"/>
      <c r="BC52" s="83" t="n"/>
      <c r="BD52" s="83" t="n"/>
      <c r="BE52" s="83" t="n"/>
    </row>
    <row r="53" ht="18" customHeight="1">
      <c r="A53" s="55" t="str">
        <f>IFERROR(IF(INDEX('İş Planı'!$C$5:$C$204,ROW()-4)="","",INDEX('İş Planı'!$C$5:$C$204,ROW()-4)),"")</f>
        <v>3.1.9. Sanallaştırma Güvenliği</v>
      </c>
      <c r="B53" s="55" t="str">
        <f>IFERROR(IF(INDEX('İş Planı'!$B$5:$B$204,ROW()-4)="","",INDEX('İş Planı'!$B$5:$B$204,ROW()-4)),"")</f>
        <v>BIGR (Yönetim Beyanı Ortak Maddeler)</v>
      </c>
      <c r="C53" s="72">
        <f>IFERROR(IF(INDEX('İş Planı'!$I$5:$I$204,ROW()-4)="","",INDEX('İş Planı'!$I$5:$I$204,ROW()-4)),"")</f>
        <v/>
      </c>
      <c r="D53" s="72">
        <f>IFERROR(IF(INDEX('İş Planı'!$M$5:$M$204,ROW()-4)="","",INDEX('İş Planı'!$M$5:$M$204,ROW()-4)),"")</f>
        <v/>
      </c>
      <c r="E53" s="71" t="str">
        <f>IFERROR(IF(INDEX('İş Planı'!$O$5:$O$204,ROW()-4)="","",INDEX('İş Planı'!$O$5:$O$204,ROW()-4)),"")</f>
        <v>Planlanan</v>
      </c>
      <c r="F53" s="83" t="n"/>
      <c r="G53" s="83" t="n"/>
      <c r="H53" s="83" t="n"/>
      <c r="I53" s="83" t="n"/>
      <c r="J53" s="83" t="n"/>
      <c r="K53" s="83" t="n"/>
      <c r="L53" s="83" t="n"/>
      <c r="M53" s="83" t="n"/>
      <c r="N53" s="83" t="n"/>
      <c r="O53" s="83" t="n"/>
      <c r="P53" s="83" t="n"/>
      <c r="Q53" s="83" t="n"/>
      <c r="R53" s="83" t="n"/>
      <c r="S53" s="83" t="n"/>
      <c r="T53" s="83" t="n"/>
      <c r="U53" s="83" t="n"/>
      <c r="V53" s="83" t="n"/>
      <c r="W53" s="83" t="n"/>
      <c r="X53" s="83" t="n"/>
      <c r="Y53" s="83" t="n"/>
      <c r="Z53" s="83" t="n"/>
      <c r="AA53" s="83" t="n"/>
      <c r="AB53" s="83" t="n"/>
      <c r="AC53" s="83" t="n"/>
      <c r="AD53" s="83" t="n"/>
      <c r="AE53" s="83" t="n"/>
      <c r="AF53" s="83" t="n"/>
      <c r="AG53" s="83" t="n"/>
      <c r="AH53" s="83" t="n"/>
      <c r="AI53" s="83" t="n"/>
      <c r="AJ53" s="83" t="n"/>
      <c r="AK53" s="83" t="n"/>
      <c r="AL53" s="83" t="n"/>
      <c r="AM53" s="83" t="n"/>
      <c r="AN53" s="83" t="n"/>
      <c r="AO53" s="83" t="n"/>
      <c r="AP53" s="83" t="n"/>
      <c r="AQ53" s="83" t="n"/>
      <c r="AR53" s="83" t="n"/>
      <c r="AS53" s="83" t="n"/>
      <c r="AT53" s="83" t="n"/>
      <c r="AU53" s="83" t="n"/>
      <c r="AV53" s="83" t="n"/>
      <c r="AW53" s="83" t="n"/>
      <c r="AX53" s="83" t="n"/>
      <c r="AY53" s="83" t="n"/>
      <c r="AZ53" s="83" t="n"/>
      <c r="BA53" s="83" t="n"/>
      <c r="BB53" s="83" t="n"/>
      <c r="BC53" s="83" t="n"/>
      <c r="BD53" s="83" t="n"/>
      <c r="BE53" s="83" t="n"/>
    </row>
    <row r="54" ht="18" customHeight="1">
      <c r="A54" s="55" t="str">
        <f>IFERROR(IF(INDEX('İş Planı'!$C$5:$C$204,ROW()-4)="","",INDEX('İş Planı'!$C$5:$C$204,ROW()-4)),"")</f>
        <v>3.2.1. Kimlik Doğrulama</v>
      </c>
      <c r="B54" s="55" t="str">
        <f>IFERROR(IF(INDEX('İş Planı'!$B$5:$B$204,ROW()-4)="","",INDEX('İş Planı'!$B$5:$B$204,ROW()-4)),"")</f>
        <v>BIGR (Yönetim Beyanı Ortak Maddeler)</v>
      </c>
      <c r="C54" s="72">
        <f>IFERROR(IF(INDEX('İş Planı'!$I$5:$I$204,ROW()-4)="","",INDEX('İş Planı'!$I$5:$I$204,ROW()-4)),"")</f>
        <v/>
      </c>
      <c r="D54" s="72">
        <f>IFERROR(IF(INDEX('İş Planı'!$M$5:$M$204,ROW()-4)="","",INDEX('İş Planı'!$M$5:$M$204,ROW()-4)),"")</f>
        <v/>
      </c>
      <c r="E54" s="71" t="str">
        <f>IFERROR(IF(INDEX('İş Planı'!$O$5:$O$204,ROW()-4)="","",INDEX('İş Planı'!$O$5:$O$204,ROW()-4)),"")</f>
        <v>Planlanan</v>
      </c>
      <c r="F54" s="83" t="n"/>
      <c r="G54" s="83" t="n"/>
      <c r="H54" s="83" t="n"/>
      <c r="I54" s="83" t="n"/>
      <c r="J54" s="83" t="n"/>
      <c r="K54" s="83" t="n"/>
      <c r="L54" s="83" t="n"/>
      <c r="M54" s="83" t="n"/>
      <c r="N54" s="83" t="n"/>
      <c r="O54" s="83" t="n"/>
      <c r="P54" s="83" t="n"/>
      <c r="Q54" s="83" t="n"/>
      <c r="R54" s="83" t="n"/>
      <c r="S54" s="83" t="n"/>
      <c r="T54" s="83" t="n"/>
      <c r="U54" s="83" t="n"/>
      <c r="V54" s="83" t="n"/>
      <c r="W54" s="83" t="n"/>
      <c r="X54" s="83" t="n"/>
      <c r="Y54" s="83" t="n"/>
      <c r="Z54" s="83" t="n"/>
      <c r="AA54" s="83" t="n"/>
      <c r="AB54" s="83" t="n"/>
      <c r="AC54" s="83" t="n"/>
      <c r="AD54" s="83" t="n"/>
      <c r="AE54" s="83" t="n"/>
      <c r="AF54" s="83" t="n"/>
      <c r="AG54" s="83" t="n"/>
      <c r="AH54" s="83" t="n"/>
      <c r="AI54" s="83" t="n"/>
      <c r="AJ54" s="83" t="n"/>
      <c r="AK54" s="83" t="n"/>
      <c r="AL54" s="83" t="n"/>
      <c r="AM54" s="83" t="n"/>
      <c r="AN54" s="83" t="n"/>
      <c r="AO54" s="83" t="n"/>
      <c r="AP54" s="83" t="n"/>
      <c r="AQ54" s="83" t="n"/>
      <c r="AR54" s="83" t="n"/>
      <c r="AS54" s="83" t="n"/>
      <c r="AT54" s="83" t="n"/>
      <c r="AU54" s="83" t="n"/>
      <c r="AV54" s="83" t="n"/>
      <c r="AW54" s="83" t="n"/>
      <c r="AX54" s="83" t="n"/>
      <c r="AY54" s="83" t="n"/>
      <c r="AZ54" s="83" t="n"/>
      <c r="BA54" s="83" t="n"/>
      <c r="BB54" s="83" t="n"/>
      <c r="BC54" s="83" t="n"/>
      <c r="BD54" s="83" t="n"/>
      <c r="BE54" s="83" t="n"/>
    </row>
    <row r="55" ht="18" customHeight="1">
      <c r="A55" s="55" t="str">
        <f>IFERROR(IF(INDEX('İş Planı'!$C$5:$C$204,ROW()-4)="","",INDEX('İş Planı'!$C$5:$C$204,ROW()-4)),"")</f>
        <v>3.2.11. Dış Sistem Entegrasyonlarının Güvenliği</v>
      </c>
      <c r="B55" s="55" t="str">
        <f>IFERROR(IF(INDEX('İş Planı'!$B$5:$B$204,ROW()-4)="","",INDEX('İş Planı'!$B$5:$B$204,ROW()-4)),"")</f>
        <v>BIGR (Yönetim Beyanı Ortak Maddeler)</v>
      </c>
      <c r="C55" s="72">
        <f>IFERROR(IF(INDEX('İş Planı'!$I$5:$I$204,ROW()-4)="","",INDEX('İş Planı'!$I$5:$I$204,ROW()-4)),"")</f>
        <v/>
      </c>
      <c r="D55" s="72">
        <f>IFERROR(IF(INDEX('İş Planı'!$M$5:$M$204,ROW()-4)="","",INDEX('İş Planı'!$M$5:$M$204,ROW()-4)),"")</f>
        <v/>
      </c>
      <c r="E55" s="71" t="str">
        <f>IFERROR(IF(INDEX('İş Planı'!$O$5:$O$204,ROW()-4)="","",INDEX('İş Planı'!$O$5:$O$204,ROW()-4)),"")</f>
        <v>Planlanan</v>
      </c>
      <c r="F55" s="83" t="n"/>
      <c r="G55" s="83" t="n"/>
      <c r="H55" s="83" t="n"/>
      <c r="I55" s="83" t="n"/>
      <c r="J55" s="83" t="n"/>
      <c r="K55" s="83" t="n"/>
      <c r="L55" s="83" t="n"/>
      <c r="M55" s="83" t="n"/>
      <c r="N55" s="83" t="n"/>
      <c r="O55" s="83" t="n"/>
      <c r="P55" s="83" t="n"/>
      <c r="Q55" s="83" t="n"/>
      <c r="R55" s="83" t="n"/>
      <c r="S55" s="83" t="n"/>
      <c r="T55" s="83" t="n"/>
      <c r="U55" s="83" t="n"/>
      <c r="V55" s="83" t="n"/>
      <c r="W55" s="83" t="n"/>
      <c r="X55" s="83" t="n"/>
      <c r="Y55" s="83" t="n"/>
      <c r="Z55" s="83" t="n"/>
      <c r="AA55" s="83" t="n"/>
      <c r="AB55" s="83" t="n"/>
      <c r="AC55" s="83" t="n"/>
      <c r="AD55" s="83" t="n"/>
      <c r="AE55" s="83" t="n"/>
      <c r="AF55" s="83" t="n"/>
      <c r="AG55" s="83" t="n"/>
      <c r="AH55" s="83" t="n"/>
      <c r="AI55" s="83" t="n"/>
      <c r="AJ55" s="83" t="n"/>
      <c r="AK55" s="83" t="n"/>
      <c r="AL55" s="83" t="n"/>
      <c r="AM55" s="83" t="n"/>
      <c r="AN55" s="83" t="n"/>
      <c r="AO55" s="83" t="n"/>
      <c r="AP55" s="83" t="n"/>
      <c r="AQ55" s="83" t="n"/>
      <c r="AR55" s="83" t="n"/>
      <c r="AS55" s="83" t="n"/>
      <c r="AT55" s="83" t="n"/>
      <c r="AU55" s="83" t="n"/>
      <c r="AV55" s="83" t="n"/>
      <c r="AW55" s="83" t="n"/>
      <c r="AX55" s="83" t="n"/>
      <c r="AY55" s="83" t="n"/>
      <c r="AZ55" s="83" t="n"/>
      <c r="BA55" s="83" t="n"/>
      <c r="BB55" s="83" t="n"/>
      <c r="BC55" s="83" t="n"/>
      <c r="BD55" s="83" t="n"/>
      <c r="BE55" s="83" t="n"/>
    </row>
    <row r="56" ht="18" customHeight="1">
      <c r="A56" s="55" t="str">
        <f>IFERROR(IF(INDEX('İş Planı'!$C$5:$C$204,ROW()-4)="","",INDEX('İş Planı'!$C$5:$C$204,ROW()-4)),"")</f>
        <v>3.2.5. Güvenli Kurulum ve Yapılandırma</v>
      </c>
      <c r="B56" s="55" t="str">
        <f>IFERROR(IF(INDEX('İş Planı'!$B$5:$B$204,ROW()-4)="","",INDEX('İş Planı'!$B$5:$B$204,ROW()-4)),"")</f>
        <v>BIGR (Yönetim Beyanı Ortak Maddeler)</v>
      </c>
      <c r="C56" s="72">
        <f>IFERROR(IF(INDEX('İş Planı'!$I$5:$I$204,ROW()-4)="","",INDEX('İş Planı'!$I$5:$I$204,ROW()-4)),"")</f>
        <v/>
      </c>
      <c r="D56" s="72">
        <f>IFERROR(IF(INDEX('İş Planı'!$M$5:$M$204,ROW()-4)="","",INDEX('İş Planı'!$M$5:$M$204,ROW()-4)),"")</f>
        <v/>
      </c>
      <c r="E56" s="71" t="str">
        <f>IFERROR(IF(INDEX('İş Planı'!$O$5:$O$204,ROW()-4)="","",INDEX('İş Planı'!$O$5:$O$204,ROW()-4)),"")</f>
        <v>Planlanan</v>
      </c>
      <c r="F56" s="83" t="n"/>
      <c r="G56" s="83" t="n"/>
      <c r="H56" s="83" t="n"/>
      <c r="I56" s="83" t="n"/>
      <c r="J56" s="83" t="n"/>
      <c r="K56" s="83" t="n"/>
      <c r="L56" s="83" t="n"/>
      <c r="M56" s="83" t="n"/>
      <c r="N56" s="83" t="n"/>
      <c r="O56" s="83" t="n"/>
      <c r="P56" s="83" t="n"/>
      <c r="Q56" s="83" t="n"/>
      <c r="R56" s="83" t="n"/>
      <c r="S56" s="83" t="n"/>
      <c r="T56" s="83" t="n"/>
      <c r="U56" s="83" t="n"/>
      <c r="V56" s="83" t="n"/>
      <c r="W56" s="83" t="n"/>
      <c r="X56" s="83" t="n"/>
      <c r="Y56" s="83" t="n"/>
      <c r="Z56" s="83" t="n"/>
      <c r="AA56" s="83" t="n"/>
      <c r="AB56" s="83" t="n"/>
      <c r="AC56" s="83" t="n"/>
      <c r="AD56" s="83" t="n"/>
      <c r="AE56" s="83" t="n"/>
      <c r="AF56" s="83" t="n"/>
      <c r="AG56" s="83" t="n"/>
      <c r="AH56" s="83" t="n"/>
      <c r="AI56" s="83" t="n"/>
      <c r="AJ56" s="83" t="n"/>
      <c r="AK56" s="83" t="n"/>
      <c r="AL56" s="83" t="n"/>
      <c r="AM56" s="83" t="n"/>
      <c r="AN56" s="83" t="n"/>
      <c r="AO56" s="83" t="n"/>
      <c r="AP56" s="83" t="n"/>
      <c r="AQ56" s="83" t="n"/>
      <c r="AR56" s="83" t="n"/>
      <c r="AS56" s="83" t="n"/>
      <c r="AT56" s="83" t="n"/>
      <c r="AU56" s="83" t="n"/>
      <c r="AV56" s="83" t="n"/>
      <c r="AW56" s="83" t="n"/>
      <c r="AX56" s="83" t="n"/>
      <c r="AY56" s="83" t="n"/>
      <c r="AZ56" s="83" t="n"/>
      <c r="BA56" s="83" t="n"/>
      <c r="BB56" s="83" t="n"/>
      <c r="BC56" s="83" t="n"/>
      <c r="BD56" s="83" t="n"/>
      <c r="BE56" s="83" t="n"/>
    </row>
    <row r="57" ht="18" customHeight="1">
      <c r="A57" s="55" t="str">
        <f>IFERROR(IF(INDEX('İş Planı'!$C$5:$C$204,ROW()-4)="","",INDEX('İş Planı'!$C$5:$C$204,ROW()-4)),"")</f>
        <v>4.6.1. Genel Güvenlik Tedbirleri</v>
      </c>
      <c r="B57" s="55" t="str">
        <f>IFERROR(IF(INDEX('İş Planı'!$B$5:$B$204,ROW()-4)="","",INDEX('İş Planı'!$B$5:$B$204,ROW()-4)),"")</f>
        <v>BIGR (Yönetim Beyanı Ortak Maddeler)</v>
      </c>
      <c r="C57" s="72">
        <f>IFERROR(IF(INDEX('İş Planı'!$I$5:$I$204,ROW()-4)="","",INDEX('İş Planı'!$I$5:$I$204,ROW()-4)),"")</f>
        <v/>
      </c>
      <c r="D57" s="72">
        <f>IFERROR(IF(INDEX('İş Planı'!$M$5:$M$204,ROW()-4)="","",INDEX('İş Planı'!$M$5:$M$204,ROW()-4)),"")</f>
        <v/>
      </c>
      <c r="E57" s="71" t="str">
        <f>IFERROR(IF(INDEX('İş Planı'!$O$5:$O$204,ROW()-4)="","",INDEX('İş Planı'!$O$5:$O$204,ROW()-4)),"")</f>
        <v>Planlanan</v>
      </c>
      <c r="F57" s="83" t="n"/>
      <c r="G57" s="83" t="n"/>
      <c r="H57" s="83" t="n"/>
      <c r="I57" s="83" t="n"/>
      <c r="J57" s="83" t="n"/>
      <c r="K57" s="83" t="n"/>
      <c r="L57" s="83" t="n"/>
      <c r="M57" s="83" t="n"/>
      <c r="N57" s="83" t="n"/>
      <c r="O57" s="83" t="n"/>
      <c r="P57" s="83" t="n"/>
      <c r="Q57" s="83" t="n"/>
      <c r="R57" s="83" t="n"/>
      <c r="S57" s="83" t="n"/>
      <c r="T57" s="83" t="n"/>
      <c r="U57" s="83" t="n"/>
      <c r="V57" s="83" t="n"/>
      <c r="W57" s="83" t="n"/>
      <c r="X57" s="83" t="n"/>
      <c r="Y57" s="83" t="n"/>
      <c r="Z57" s="83" t="n"/>
      <c r="AA57" s="83" t="n"/>
      <c r="AB57" s="83" t="n"/>
      <c r="AC57" s="83" t="n"/>
      <c r="AD57" s="83" t="n"/>
      <c r="AE57" s="83" t="n"/>
      <c r="AF57" s="83" t="n"/>
      <c r="AG57" s="83" t="n"/>
      <c r="AH57" s="83" t="n"/>
      <c r="AI57" s="83" t="n"/>
      <c r="AJ57" s="83" t="n"/>
      <c r="AK57" s="83" t="n"/>
      <c r="AL57" s="83" t="n"/>
      <c r="AM57" s="83" t="n"/>
      <c r="AN57" s="83" t="n"/>
      <c r="AO57" s="83" t="n"/>
      <c r="AP57" s="83" t="n"/>
      <c r="AQ57" s="83" t="n"/>
      <c r="AR57" s="83" t="n"/>
      <c r="AS57" s="83" t="n"/>
      <c r="AT57" s="83" t="n"/>
      <c r="AU57" s="83" t="n"/>
      <c r="AV57" s="83" t="n"/>
      <c r="AW57" s="83" t="n"/>
      <c r="AX57" s="83" t="n"/>
      <c r="AY57" s="83" t="n"/>
      <c r="AZ57" s="83" t="n"/>
      <c r="BA57" s="83" t="n"/>
      <c r="BB57" s="83" t="n"/>
      <c r="BC57" s="83" t="n"/>
      <c r="BD57" s="83" t="n"/>
      <c r="BE57" s="83" t="n"/>
    </row>
    <row r="58" ht="18" customHeight="1">
      <c r="A58" s="55" t="str">
        <f>IFERROR(IF(INDEX('İş Planı'!$C$5:$C$204,ROW()-4)="","",INDEX('İş Planı'!$C$5:$C$204,ROW()-4)),"")</f>
        <v>5.1.1. Genel Sıkılaştırma Tedbirleri</v>
      </c>
      <c r="B58" s="55" t="str">
        <f>IFERROR(IF(INDEX('İş Planı'!$B$5:$B$204,ROW()-4)="","",INDEX('İş Planı'!$B$5:$B$204,ROW()-4)),"")</f>
        <v>BIGR (Yönetim Beyanı Ortak Maddeler)</v>
      </c>
      <c r="C58" s="72">
        <f>IFERROR(IF(INDEX('İş Planı'!$I$5:$I$204,ROW()-4)="","",INDEX('İş Planı'!$I$5:$I$204,ROW()-4)),"")</f>
        <v/>
      </c>
      <c r="D58" s="72">
        <f>IFERROR(IF(INDEX('İş Planı'!$M$5:$M$204,ROW()-4)="","",INDEX('İş Planı'!$M$5:$M$204,ROW()-4)),"")</f>
        <v/>
      </c>
      <c r="E58" s="71" t="str">
        <f>IFERROR(IF(INDEX('İş Planı'!$O$5:$O$204,ROW()-4)="","",INDEX('İş Planı'!$O$5:$O$204,ROW()-4)),"")</f>
        <v>Planlanan</v>
      </c>
      <c r="F58" s="83" t="n"/>
      <c r="G58" s="83" t="n"/>
      <c r="H58" s="83" t="n"/>
      <c r="I58" s="83" t="n"/>
      <c r="J58" s="83" t="n"/>
      <c r="K58" s="83" t="n"/>
      <c r="L58" s="83" t="n"/>
      <c r="M58" s="83" t="n"/>
      <c r="N58" s="83" t="n"/>
      <c r="O58" s="83" t="n"/>
      <c r="P58" s="83" t="n"/>
      <c r="Q58" s="83" t="n"/>
      <c r="R58" s="83" t="n"/>
      <c r="S58" s="83" t="n"/>
      <c r="T58" s="83" t="n"/>
      <c r="U58" s="83" t="n"/>
      <c r="V58" s="83" t="n"/>
      <c r="W58" s="83" t="n"/>
      <c r="X58" s="83" t="n"/>
      <c r="Y58" s="83" t="n"/>
      <c r="Z58" s="83" t="n"/>
      <c r="AA58" s="83" t="n"/>
      <c r="AB58" s="83" t="n"/>
      <c r="AC58" s="83" t="n"/>
      <c r="AD58" s="83" t="n"/>
      <c r="AE58" s="83" t="n"/>
      <c r="AF58" s="83" t="n"/>
      <c r="AG58" s="83" t="n"/>
      <c r="AH58" s="83" t="n"/>
      <c r="AI58" s="83" t="n"/>
      <c r="AJ58" s="83" t="n"/>
      <c r="AK58" s="83" t="n"/>
      <c r="AL58" s="83" t="n"/>
      <c r="AM58" s="83" t="n"/>
      <c r="AN58" s="83" t="n"/>
      <c r="AO58" s="83" t="n"/>
      <c r="AP58" s="83" t="n"/>
      <c r="AQ58" s="83" t="n"/>
      <c r="AR58" s="83" t="n"/>
      <c r="AS58" s="83" t="n"/>
      <c r="AT58" s="83" t="n"/>
      <c r="AU58" s="83" t="n"/>
      <c r="AV58" s="83" t="n"/>
      <c r="AW58" s="83" t="n"/>
      <c r="AX58" s="83" t="n"/>
      <c r="AY58" s="83" t="n"/>
      <c r="AZ58" s="83" t="n"/>
      <c r="BA58" s="83" t="n"/>
      <c r="BB58" s="83" t="n"/>
      <c r="BC58" s="83" t="n"/>
      <c r="BD58" s="83" t="n"/>
      <c r="BE58" s="83" t="n"/>
    </row>
    <row r="59" ht="18" customHeight="1">
      <c r="A59" s="55" t="str">
        <f>IFERROR(IF(INDEX('İş Planı'!$C$5:$C$204,ROW()-4)="","",INDEX('İş Planı'!$C$5:$C$204,ROW()-4)),"")</f>
        <v>5.1.2. Linux İşletim Sistemi Sıkılaştırma Tedbirleri</v>
      </c>
      <c r="B59" s="55" t="str">
        <f>IFERROR(IF(INDEX('İş Planı'!$B$5:$B$204,ROW()-4)="","",INDEX('İş Planı'!$B$5:$B$204,ROW()-4)),"")</f>
        <v>BIGR (Yönetim Beyanı Ortak Maddeler)</v>
      </c>
      <c r="C59" s="72">
        <f>IFERROR(IF(INDEX('İş Planı'!$I$5:$I$204,ROW()-4)="","",INDEX('İş Planı'!$I$5:$I$204,ROW()-4)),"")</f>
        <v/>
      </c>
      <c r="D59" s="72">
        <f>IFERROR(IF(INDEX('İş Planı'!$M$5:$M$204,ROW()-4)="","",INDEX('İş Planı'!$M$5:$M$204,ROW()-4)),"")</f>
        <v/>
      </c>
      <c r="E59" s="71" t="str">
        <f>IFERROR(IF(INDEX('İş Planı'!$O$5:$O$204,ROW()-4)="","",INDEX('İş Planı'!$O$5:$O$204,ROW()-4)),"")</f>
        <v>Planlanan</v>
      </c>
      <c r="F59" s="83" t="n"/>
      <c r="G59" s="83" t="n"/>
      <c r="H59" s="83" t="n"/>
      <c r="I59" s="83" t="n"/>
      <c r="J59" s="83" t="n"/>
      <c r="K59" s="83" t="n"/>
      <c r="L59" s="83" t="n"/>
      <c r="M59" s="83" t="n"/>
      <c r="N59" s="83" t="n"/>
      <c r="O59" s="83" t="n"/>
      <c r="P59" s="83" t="n"/>
      <c r="Q59" s="83" t="n"/>
      <c r="R59" s="83" t="n"/>
      <c r="S59" s="83" t="n"/>
      <c r="T59" s="83" t="n"/>
      <c r="U59" s="83" t="n"/>
      <c r="V59" s="83" t="n"/>
      <c r="W59" s="83" t="n"/>
      <c r="X59" s="83" t="n"/>
      <c r="Y59" s="83" t="n"/>
      <c r="Z59" s="83" t="n"/>
      <c r="AA59" s="83" t="n"/>
      <c r="AB59" s="83" t="n"/>
      <c r="AC59" s="83" t="n"/>
      <c r="AD59" s="83" t="n"/>
      <c r="AE59" s="83" t="n"/>
      <c r="AF59" s="83" t="n"/>
      <c r="AG59" s="83" t="n"/>
      <c r="AH59" s="83" t="n"/>
      <c r="AI59" s="83" t="n"/>
      <c r="AJ59" s="83" t="n"/>
      <c r="AK59" s="83" t="n"/>
      <c r="AL59" s="83" t="n"/>
      <c r="AM59" s="83" t="n"/>
      <c r="AN59" s="83" t="n"/>
      <c r="AO59" s="83" t="n"/>
      <c r="AP59" s="83" t="n"/>
      <c r="AQ59" s="83" t="n"/>
      <c r="AR59" s="83" t="n"/>
      <c r="AS59" s="83" t="n"/>
      <c r="AT59" s="83" t="n"/>
      <c r="AU59" s="83" t="n"/>
      <c r="AV59" s="83" t="n"/>
      <c r="AW59" s="83" t="n"/>
      <c r="AX59" s="83" t="n"/>
      <c r="AY59" s="83" t="n"/>
      <c r="AZ59" s="83" t="n"/>
      <c r="BA59" s="83" t="n"/>
      <c r="BB59" s="83" t="n"/>
      <c r="BC59" s="83" t="n"/>
      <c r="BD59" s="83" t="n"/>
      <c r="BE59" s="83" t="n"/>
    </row>
    <row r="60" ht="18" customHeight="1">
      <c r="A60" s="55" t="str">
        <f>IFERROR(IF(INDEX('İş Planı'!$C$5:$C$204,ROW()-4)="","",INDEX('İş Planı'!$C$5:$C$204,ROW()-4)),"")</f>
        <v>3.1.14. Uzaktan Çalışma</v>
      </c>
      <c r="B60" s="55" t="str">
        <f>IFERROR(IF(INDEX('İş Planı'!$B$5:$B$204,ROW()-4)="","",INDEX('İş Planı'!$B$5:$B$204,ROW()-4)),"")</f>
        <v>BIGR (Yönetim Beyanı Ortak Maddeler)</v>
      </c>
      <c r="C60" s="72">
        <f>IFERROR(IF(INDEX('İş Planı'!$I$5:$I$204,ROW()-4)="","",INDEX('İş Planı'!$I$5:$I$204,ROW()-4)),"")</f>
        <v/>
      </c>
      <c r="D60" s="72">
        <f>IFERROR(IF(INDEX('İş Planı'!$M$5:$M$204,ROW()-4)="","",INDEX('İş Planı'!$M$5:$M$204,ROW()-4)),"")</f>
        <v/>
      </c>
      <c r="E60" s="71" t="str">
        <f>IFERROR(IF(INDEX('İş Planı'!$O$5:$O$204,ROW()-4)="","",INDEX('İş Planı'!$O$5:$O$204,ROW()-4)),"")</f>
        <v>Planlanan</v>
      </c>
      <c r="F60" s="83" t="n"/>
      <c r="G60" s="83" t="n"/>
      <c r="H60" s="83" t="n"/>
      <c r="I60" s="83" t="n"/>
      <c r="J60" s="83" t="n"/>
      <c r="K60" s="83" t="n"/>
      <c r="L60" s="83" t="n"/>
      <c r="M60" s="83" t="n"/>
      <c r="N60" s="83" t="n"/>
      <c r="O60" s="83" t="n"/>
      <c r="P60" s="83" t="n"/>
      <c r="Q60" s="83" t="n"/>
      <c r="R60" s="83" t="n"/>
      <c r="S60" s="83" t="n"/>
      <c r="T60" s="83" t="n"/>
      <c r="U60" s="83" t="n"/>
      <c r="V60" s="83" t="n"/>
      <c r="W60" s="83" t="n"/>
      <c r="X60" s="83" t="n"/>
      <c r="Y60" s="83" t="n"/>
      <c r="Z60" s="83" t="n"/>
      <c r="AA60" s="83" t="n"/>
      <c r="AB60" s="83" t="n"/>
      <c r="AC60" s="83" t="n"/>
      <c r="AD60" s="83" t="n"/>
      <c r="AE60" s="83" t="n"/>
      <c r="AF60" s="83" t="n"/>
      <c r="AG60" s="83" t="n"/>
      <c r="AH60" s="83" t="n"/>
      <c r="AI60" s="83" t="n"/>
      <c r="AJ60" s="83" t="n"/>
      <c r="AK60" s="83" t="n"/>
      <c r="AL60" s="83" t="n"/>
      <c r="AM60" s="83" t="n"/>
      <c r="AN60" s="83" t="n"/>
      <c r="AO60" s="83" t="n"/>
      <c r="AP60" s="83" t="n"/>
      <c r="AQ60" s="83" t="n"/>
      <c r="AR60" s="83" t="n"/>
      <c r="AS60" s="83" t="n"/>
      <c r="AT60" s="83" t="n"/>
      <c r="AU60" s="83" t="n"/>
      <c r="AV60" s="83" t="n"/>
      <c r="AW60" s="83" t="n"/>
      <c r="AX60" s="83" t="n"/>
      <c r="AY60" s="83" t="n"/>
      <c r="AZ60" s="83" t="n"/>
      <c r="BA60" s="83" t="n"/>
      <c r="BB60" s="83" t="n"/>
      <c r="BC60" s="83" t="n"/>
      <c r="BD60" s="83" t="n"/>
      <c r="BE60" s="83" t="n"/>
    </row>
    <row r="61" ht="18" customHeight="1">
      <c r="A61" s="55" t="str">
        <f>IFERROR(IF(INDEX('İş Planı'!$C$5:$C$204,ROW()-4)="","",INDEX('İş Planı'!$C$5:$C$204,ROW()-4)),"")</f>
        <v>3.1.3. Tehdit ve Zafiyet Yönetimi</v>
      </c>
      <c r="B61" s="55" t="str">
        <f>IFERROR(IF(INDEX('İş Planı'!$B$5:$B$204,ROW()-4)="","",INDEX('İş Planı'!$B$5:$B$204,ROW()-4)),"")</f>
        <v>BIGR (Yönetim Beyanı Ortak Maddeler)</v>
      </c>
      <c r="C61" s="72">
        <f>IFERROR(IF(INDEX('İş Planı'!$I$5:$I$204,ROW()-4)="","",INDEX('İş Planı'!$I$5:$I$204,ROW()-4)),"")</f>
        <v/>
      </c>
      <c r="D61" s="72">
        <f>IFERROR(IF(INDEX('İş Planı'!$M$5:$M$204,ROW()-4)="","",INDEX('İş Planı'!$M$5:$M$204,ROW()-4)),"")</f>
        <v/>
      </c>
      <c r="E61" s="71" t="str">
        <f>IFERROR(IF(INDEX('İş Planı'!$O$5:$O$204,ROW()-4)="","",INDEX('İş Planı'!$O$5:$O$204,ROW()-4)),"")</f>
        <v>Planlanan</v>
      </c>
      <c r="F61" s="83" t="n"/>
      <c r="G61" s="83" t="n"/>
      <c r="H61" s="83" t="n"/>
      <c r="I61" s="83" t="n"/>
      <c r="J61" s="83" t="n"/>
      <c r="K61" s="83" t="n"/>
      <c r="L61" s="83" t="n"/>
      <c r="M61" s="83" t="n"/>
      <c r="N61" s="83" t="n"/>
      <c r="O61" s="83" t="n"/>
      <c r="P61" s="83" t="n"/>
      <c r="Q61" s="83" t="n"/>
      <c r="R61" s="83" t="n"/>
      <c r="S61" s="83" t="n"/>
      <c r="T61" s="83" t="n"/>
      <c r="U61" s="83" t="n"/>
      <c r="V61" s="83" t="n"/>
      <c r="W61" s="83" t="n"/>
      <c r="X61" s="83" t="n"/>
      <c r="Y61" s="83" t="n"/>
      <c r="Z61" s="83" t="n"/>
      <c r="AA61" s="83" t="n"/>
      <c r="AB61" s="83" t="n"/>
      <c r="AC61" s="83" t="n"/>
      <c r="AD61" s="83" t="n"/>
      <c r="AE61" s="83" t="n"/>
      <c r="AF61" s="83" t="n"/>
      <c r="AG61" s="83" t="n"/>
      <c r="AH61" s="83" t="n"/>
      <c r="AI61" s="83" t="n"/>
      <c r="AJ61" s="83" t="n"/>
      <c r="AK61" s="83" t="n"/>
      <c r="AL61" s="83" t="n"/>
      <c r="AM61" s="83" t="n"/>
      <c r="AN61" s="83" t="n"/>
      <c r="AO61" s="83" t="n"/>
      <c r="AP61" s="83" t="n"/>
      <c r="AQ61" s="83" t="n"/>
      <c r="AR61" s="83" t="n"/>
      <c r="AS61" s="83" t="n"/>
      <c r="AT61" s="83" t="n"/>
      <c r="AU61" s="83" t="n"/>
      <c r="AV61" s="83" t="n"/>
      <c r="AW61" s="83" t="n"/>
      <c r="AX61" s="83" t="n"/>
      <c r="AY61" s="83" t="n"/>
      <c r="AZ61" s="83" t="n"/>
      <c r="BA61" s="83" t="n"/>
      <c r="BB61" s="83" t="n"/>
      <c r="BC61" s="83" t="n"/>
      <c r="BD61" s="83" t="n"/>
      <c r="BE61" s="83" t="n"/>
    </row>
    <row r="62" ht="18" customHeight="1">
      <c r="A62" s="55" t="str">
        <f>IFERROR(IF(INDEX('İş Planı'!$C$5:$C$204,ROW()-4)="","",INDEX('İş Planı'!$C$5:$C$204,ROW()-4)),"")</f>
        <v>3.1.6. Ağ Güvenliği</v>
      </c>
      <c r="B62" s="55" t="str">
        <f>IFERROR(IF(INDEX('İş Planı'!$B$5:$B$204,ROW()-4)="","",INDEX('İş Planı'!$B$5:$B$204,ROW()-4)),"")</f>
        <v>BIGR (Yönetim Beyanı Ortak Maddeler)</v>
      </c>
      <c r="C62" s="72">
        <f>IFERROR(IF(INDEX('İş Planı'!$I$5:$I$204,ROW()-4)="","",INDEX('İş Planı'!$I$5:$I$204,ROW()-4)),"")</f>
        <v/>
      </c>
      <c r="D62" s="72">
        <f>IFERROR(IF(INDEX('İş Planı'!$M$5:$M$204,ROW()-4)="","",INDEX('İş Planı'!$M$5:$M$204,ROW()-4)),"")</f>
        <v/>
      </c>
      <c r="E62" s="71" t="str">
        <f>IFERROR(IF(INDEX('İş Planı'!$O$5:$O$204,ROW()-4)="","",INDEX('İş Planı'!$O$5:$O$204,ROW()-4)),"")</f>
        <v>Planlanan</v>
      </c>
      <c r="F62" s="83" t="n"/>
      <c r="G62" s="83" t="n"/>
      <c r="H62" s="83" t="n"/>
      <c r="I62" s="83" t="n"/>
      <c r="J62" s="83" t="n"/>
      <c r="K62" s="83" t="n"/>
      <c r="L62" s="83" t="n"/>
      <c r="M62" s="83" t="n"/>
      <c r="N62" s="83" t="n"/>
      <c r="O62" s="83" t="n"/>
      <c r="P62" s="83" t="n"/>
      <c r="Q62" s="83" t="n"/>
      <c r="R62" s="83" t="n"/>
      <c r="S62" s="83" t="n"/>
      <c r="T62" s="83" t="n"/>
      <c r="U62" s="83" t="n"/>
      <c r="V62" s="83" t="n"/>
      <c r="W62" s="83" t="n"/>
      <c r="X62" s="83" t="n"/>
      <c r="Y62" s="83" t="n"/>
      <c r="Z62" s="83" t="n"/>
      <c r="AA62" s="83" t="n"/>
      <c r="AB62" s="83" t="n"/>
      <c r="AC62" s="83" t="n"/>
      <c r="AD62" s="83" t="n"/>
      <c r="AE62" s="83" t="n"/>
      <c r="AF62" s="83" t="n"/>
      <c r="AG62" s="83" t="n"/>
      <c r="AH62" s="83" t="n"/>
      <c r="AI62" s="83" t="n"/>
      <c r="AJ62" s="83" t="n"/>
      <c r="AK62" s="83" t="n"/>
      <c r="AL62" s="83" t="n"/>
      <c r="AM62" s="83" t="n"/>
      <c r="AN62" s="83" t="n"/>
      <c r="AO62" s="83" t="n"/>
      <c r="AP62" s="83" t="n"/>
      <c r="AQ62" s="83" t="n"/>
      <c r="AR62" s="83" t="n"/>
      <c r="AS62" s="83" t="n"/>
      <c r="AT62" s="83" t="n"/>
      <c r="AU62" s="83" t="n"/>
      <c r="AV62" s="83" t="n"/>
      <c r="AW62" s="83" t="n"/>
      <c r="AX62" s="83" t="n"/>
      <c r="AY62" s="83" t="n"/>
      <c r="AZ62" s="83" t="n"/>
      <c r="BA62" s="83" t="n"/>
      <c r="BB62" s="83" t="n"/>
      <c r="BC62" s="83" t="n"/>
      <c r="BD62" s="83" t="n"/>
      <c r="BE62" s="83" t="n"/>
    </row>
    <row r="63" ht="18" customHeight="1">
      <c r="A63" s="55" t="str">
        <f>IFERROR(IF(INDEX('İş Planı'!$C$5:$C$204,ROW()-4)="","",INDEX('İş Planı'!$C$5:$C$204,ROW()-4)),"")</f>
        <v>5.1.3. Windows İşletim Sistemi Sıkılaştırma Tedbirleri</v>
      </c>
      <c r="B63" s="55" t="str">
        <f>IFERROR(IF(INDEX('İş Planı'!$B$5:$B$204,ROW()-4)="","",INDEX('İş Planı'!$B$5:$B$204,ROW()-4)),"")</f>
        <v>BIGR (Yönetim Beyanı Ortak Maddeler)</v>
      </c>
      <c r="C63" s="72">
        <f>IFERROR(IF(INDEX('İş Planı'!$I$5:$I$204,ROW()-4)="","",INDEX('İş Planı'!$I$5:$I$204,ROW()-4)),"")</f>
        <v/>
      </c>
      <c r="D63" s="72">
        <f>IFERROR(IF(INDEX('İş Planı'!$M$5:$M$204,ROW()-4)="","",INDEX('İş Planı'!$M$5:$M$204,ROW()-4)),"")</f>
        <v/>
      </c>
      <c r="E63" s="71" t="str">
        <f>IFERROR(IF(INDEX('İş Planı'!$O$5:$O$204,ROW()-4)="","",INDEX('İş Planı'!$O$5:$O$204,ROW()-4)),"")</f>
        <v>Planlanan</v>
      </c>
      <c r="F63" s="83" t="n"/>
      <c r="G63" s="83" t="n"/>
      <c r="H63" s="83" t="n"/>
      <c r="I63" s="83" t="n"/>
      <c r="J63" s="83" t="n"/>
      <c r="K63" s="83" t="n"/>
      <c r="L63" s="83" t="n"/>
      <c r="M63" s="83" t="n"/>
      <c r="N63" s="83" t="n"/>
      <c r="O63" s="83" t="n"/>
      <c r="P63" s="83" t="n"/>
      <c r="Q63" s="83" t="n"/>
      <c r="R63" s="83" t="n"/>
      <c r="S63" s="83" t="n"/>
      <c r="T63" s="83" t="n"/>
      <c r="U63" s="83" t="n"/>
      <c r="V63" s="83" t="n"/>
      <c r="W63" s="83" t="n"/>
      <c r="X63" s="83" t="n"/>
      <c r="Y63" s="83" t="n"/>
      <c r="Z63" s="83" t="n"/>
      <c r="AA63" s="83" t="n"/>
      <c r="AB63" s="83" t="n"/>
      <c r="AC63" s="83" t="n"/>
      <c r="AD63" s="83" t="n"/>
      <c r="AE63" s="83" t="n"/>
      <c r="AF63" s="83" t="n"/>
      <c r="AG63" s="83" t="n"/>
      <c r="AH63" s="83" t="n"/>
      <c r="AI63" s="83" t="n"/>
      <c r="AJ63" s="83" t="n"/>
      <c r="AK63" s="83" t="n"/>
      <c r="AL63" s="83" t="n"/>
      <c r="AM63" s="83" t="n"/>
      <c r="AN63" s="83" t="n"/>
      <c r="AO63" s="83" t="n"/>
      <c r="AP63" s="83" t="n"/>
      <c r="AQ63" s="83" t="n"/>
      <c r="AR63" s="83" t="n"/>
      <c r="AS63" s="83" t="n"/>
      <c r="AT63" s="83" t="n"/>
      <c r="AU63" s="83" t="n"/>
      <c r="AV63" s="83" t="n"/>
      <c r="AW63" s="83" t="n"/>
      <c r="AX63" s="83" t="n"/>
      <c r="AY63" s="83" t="n"/>
      <c r="AZ63" s="83" t="n"/>
      <c r="BA63" s="83" t="n"/>
      <c r="BB63" s="83" t="n"/>
      <c r="BC63" s="83" t="n"/>
      <c r="BD63" s="83" t="n"/>
      <c r="BE63" s="83" t="n"/>
    </row>
    <row r="64" ht="18" customHeight="1">
      <c r="A64" s="55" t="str">
        <f>IFERROR(IF(INDEX('İş Planı'!$C$5:$C$204,ROW()-4)="","",INDEX('İş Planı'!$C$5:$C$204,ROW()-4)),"")</f>
        <v>5.2.1. Genel Sıkılaştırma Tedbirleri</v>
      </c>
      <c r="B64" s="55" t="str">
        <f>IFERROR(IF(INDEX('İş Planı'!$B$5:$B$204,ROW()-4)="","",INDEX('İş Planı'!$B$5:$B$204,ROW()-4)),"")</f>
        <v>BIGR (Yönetim Beyanı Ortak Maddeler)</v>
      </c>
      <c r="C64" s="72">
        <f>IFERROR(IF(INDEX('İş Planı'!$I$5:$I$204,ROW()-4)="","",INDEX('İş Planı'!$I$5:$I$204,ROW()-4)),"")</f>
        <v/>
      </c>
      <c r="D64" s="72">
        <f>IFERROR(IF(INDEX('İş Planı'!$M$5:$M$204,ROW()-4)="","",INDEX('İş Planı'!$M$5:$M$204,ROW()-4)),"")</f>
        <v/>
      </c>
      <c r="E64" s="71" t="str">
        <f>IFERROR(IF(INDEX('İş Planı'!$O$5:$O$204,ROW()-4)="","",INDEX('İş Planı'!$O$5:$O$204,ROW()-4)),"")</f>
        <v>Planlanan</v>
      </c>
      <c r="F64" s="83" t="n"/>
      <c r="G64" s="83" t="n"/>
      <c r="H64" s="83" t="n"/>
      <c r="I64" s="83" t="n"/>
      <c r="J64" s="83" t="n"/>
      <c r="K64" s="83" t="n"/>
      <c r="L64" s="83" t="n"/>
      <c r="M64" s="83" t="n"/>
      <c r="N64" s="83" t="n"/>
      <c r="O64" s="83" t="n"/>
      <c r="P64" s="83" t="n"/>
      <c r="Q64" s="83" t="n"/>
      <c r="R64" s="83" t="n"/>
      <c r="S64" s="83" t="n"/>
      <c r="T64" s="83" t="n"/>
      <c r="U64" s="83" t="n"/>
      <c r="V64" s="83" t="n"/>
      <c r="W64" s="83" t="n"/>
      <c r="X64" s="83" t="n"/>
      <c r="Y64" s="83" t="n"/>
      <c r="Z64" s="83" t="n"/>
      <c r="AA64" s="83" t="n"/>
      <c r="AB64" s="83" t="n"/>
      <c r="AC64" s="83" t="n"/>
      <c r="AD64" s="83" t="n"/>
      <c r="AE64" s="83" t="n"/>
      <c r="AF64" s="83" t="n"/>
      <c r="AG64" s="83" t="n"/>
      <c r="AH64" s="83" t="n"/>
      <c r="AI64" s="83" t="n"/>
      <c r="AJ64" s="83" t="n"/>
      <c r="AK64" s="83" t="n"/>
      <c r="AL64" s="83" t="n"/>
      <c r="AM64" s="83" t="n"/>
      <c r="AN64" s="83" t="n"/>
      <c r="AO64" s="83" t="n"/>
      <c r="AP64" s="83" t="n"/>
      <c r="AQ64" s="83" t="n"/>
      <c r="AR64" s="83" t="n"/>
      <c r="AS64" s="83" t="n"/>
      <c r="AT64" s="83" t="n"/>
      <c r="AU64" s="83" t="n"/>
      <c r="AV64" s="83" t="n"/>
      <c r="AW64" s="83" t="n"/>
      <c r="AX64" s="83" t="n"/>
      <c r="AY64" s="83" t="n"/>
      <c r="AZ64" s="83" t="n"/>
      <c r="BA64" s="83" t="n"/>
      <c r="BB64" s="83" t="n"/>
      <c r="BC64" s="83" t="n"/>
      <c r="BD64" s="83" t="n"/>
      <c r="BE64" s="83" t="n"/>
    </row>
    <row r="65" ht="18" customHeight="1">
      <c r="A65" s="55" t="str">
        <f>IFERROR(IF(INDEX('İş Planı'!$C$5:$C$204,ROW()-4)="","",INDEX('İş Planı'!$C$5:$C$204,ROW()-4)),"")</f>
        <v>3.2.4. Dosyaların ve Kaynakların Güvenliği</v>
      </c>
      <c r="B65" s="55" t="str">
        <f>IFERROR(IF(INDEX('İş Planı'!$B$5:$B$204,ROW()-4)="","",INDEX('İş Planı'!$B$5:$B$204,ROW()-4)),"")</f>
        <v>BIGR (Yönetim Beyanı Ortak Maddeler)</v>
      </c>
      <c r="C65" s="72">
        <f>IFERROR(IF(INDEX('İş Planı'!$I$5:$I$204,ROW()-4)="","",INDEX('İş Planı'!$I$5:$I$204,ROW()-4)),"")</f>
        <v/>
      </c>
      <c r="D65" s="72">
        <f>IFERROR(IF(INDEX('İş Planı'!$M$5:$M$204,ROW()-4)="","",INDEX('İş Planı'!$M$5:$M$204,ROW()-4)),"")</f>
        <v/>
      </c>
      <c r="E65" s="71" t="str">
        <f>IFERROR(IF(INDEX('İş Planı'!$O$5:$O$204,ROW()-4)="","",INDEX('İş Planı'!$O$5:$O$204,ROW()-4)),"")</f>
        <v>Planlanan</v>
      </c>
      <c r="F65" s="83" t="n"/>
      <c r="G65" s="83" t="n"/>
      <c r="H65" s="83" t="n"/>
      <c r="I65" s="83" t="n"/>
      <c r="J65" s="83" t="n"/>
      <c r="K65" s="83" t="n"/>
      <c r="L65" s="83" t="n"/>
      <c r="M65" s="83" t="n"/>
      <c r="N65" s="83" t="n"/>
      <c r="O65" s="83" t="n"/>
      <c r="P65" s="83" t="n"/>
      <c r="Q65" s="83" t="n"/>
      <c r="R65" s="83" t="n"/>
      <c r="S65" s="83" t="n"/>
      <c r="T65" s="83" t="n"/>
      <c r="U65" s="83" t="n"/>
      <c r="V65" s="83" t="n"/>
      <c r="W65" s="83" t="n"/>
      <c r="X65" s="83" t="n"/>
      <c r="Y65" s="83" t="n"/>
      <c r="Z65" s="83" t="n"/>
      <c r="AA65" s="83" t="n"/>
      <c r="AB65" s="83" t="n"/>
      <c r="AC65" s="83" t="n"/>
      <c r="AD65" s="83" t="n"/>
      <c r="AE65" s="83" t="n"/>
      <c r="AF65" s="83" t="n"/>
      <c r="AG65" s="83" t="n"/>
      <c r="AH65" s="83" t="n"/>
      <c r="AI65" s="83" t="n"/>
      <c r="AJ65" s="83" t="n"/>
      <c r="AK65" s="83" t="n"/>
      <c r="AL65" s="83" t="n"/>
      <c r="AM65" s="83" t="n"/>
      <c r="AN65" s="83" t="n"/>
      <c r="AO65" s="83" t="n"/>
      <c r="AP65" s="83" t="n"/>
      <c r="AQ65" s="83" t="n"/>
      <c r="AR65" s="83" t="n"/>
      <c r="AS65" s="83" t="n"/>
      <c r="AT65" s="83" t="n"/>
      <c r="AU65" s="83" t="n"/>
      <c r="AV65" s="83" t="n"/>
      <c r="AW65" s="83" t="n"/>
      <c r="AX65" s="83" t="n"/>
      <c r="AY65" s="83" t="n"/>
      <c r="AZ65" s="83" t="n"/>
      <c r="BA65" s="83" t="n"/>
      <c r="BB65" s="83" t="n"/>
      <c r="BC65" s="83" t="n"/>
      <c r="BD65" s="83" t="n"/>
      <c r="BE65" s="83" t="n"/>
    </row>
    <row r="66" ht="18" customHeight="1">
      <c r="A66" s="55" t="str">
        <f>IFERROR(IF(INDEX('İş Planı'!$C$5:$C$204,ROW()-4)="","",INDEX('İş Planı'!$C$5:$C$204,ROW()-4)),"")</f>
        <v>3.2.7. Veri Tabanı ve Kayıt Yönetimi</v>
      </c>
      <c r="B66" s="55" t="str">
        <f>IFERROR(IF(INDEX('İş Planı'!$B$5:$B$204,ROW()-4)="","",INDEX('İş Planı'!$B$5:$B$204,ROW()-4)),"")</f>
        <v>BIGR (Yönetim Beyanı Ortak Maddeler)</v>
      </c>
      <c r="C66" s="72">
        <f>IFERROR(IF(INDEX('İş Planı'!$I$5:$I$204,ROW()-4)="","",INDEX('İş Planı'!$I$5:$I$204,ROW()-4)),"")</f>
        <v/>
      </c>
      <c r="D66" s="72">
        <f>IFERROR(IF(INDEX('İş Planı'!$M$5:$M$204,ROW()-4)="","",INDEX('İş Planı'!$M$5:$M$204,ROW()-4)),"")</f>
        <v/>
      </c>
      <c r="E66" s="71" t="str">
        <f>IFERROR(IF(INDEX('İş Planı'!$O$5:$O$204,ROW()-4)="","",INDEX('İş Planı'!$O$5:$O$204,ROW()-4)),"")</f>
        <v>Planlanan</v>
      </c>
      <c r="F66" s="83" t="n"/>
      <c r="G66" s="83" t="n"/>
      <c r="H66" s="83" t="n"/>
      <c r="I66" s="83" t="n"/>
      <c r="J66" s="83" t="n"/>
      <c r="K66" s="83" t="n"/>
      <c r="L66" s="83" t="n"/>
      <c r="M66" s="83" t="n"/>
      <c r="N66" s="83" t="n"/>
      <c r="O66" s="83" t="n"/>
      <c r="P66" s="83" t="n"/>
      <c r="Q66" s="83" t="n"/>
      <c r="R66" s="83" t="n"/>
      <c r="S66" s="83" t="n"/>
      <c r="T66" s="83" t="n"/>
      <c r="U66" s="83" t="n"/>
      <c r="V66" s="83" t="n"/>
      <c r="W66" s="83" t="n"/>
      <c r="X66" s="83" t="n"/>
      <c r="Y66" s="83" t="n"/>
      <c r="Z66" s="83" t="n"/>
      <c r="AA66" s="83" t="n"/>
      <c r="AB66" s="83" t="n"/>
      <c r="AC66" s="83" t="n"/>
      <c r="AD66" s="83" t="n"/>
      <c r="AE66" s="83" t="n"/>
      <c r="AF66" s="83" t="n"/>
      <c r="AG66" s="83" t="n"/>
      <c r="AH66" s="83" t="n"/>
      <c r="AI66" s="83" t="n"/>
      <c r="AJ66" s="83" t="n"/>
      <c r="AK66" s="83" t="n"/>
      <c r="AL66" s="83" t="n"/>
      <c r="AM66" s="83" t="n"/>
      <c r="AN66" s="83" t="n"/>
      <c r="AO66" s="83" t="n"/>
      <c r="AP66" s="83" t="n"/>
      <c r="AQ66" s="83" t="n"/>
      <c r="AR66" s="83" t="n"/>
      <c r="AS66" s="83" t="n"/>
      <c r="AT66" s="83" t="n"/>
      <c r="AU66" s="83" t="n"/>
      <c r="AV66" s="83" t="n"/>
      <c r="AW66" s="83" t="n"/>
      <c r="AX66" s="83" t="n"/>
      <c r="AY66" s="83" t="n"/>
      <c r="AZ66" s="83" t="n"/>
      <c r="BA66" s="83" t="n"/>
      <c r="BB66" s="83" t="n"/>
      <c r="BC66" s="83" t="n"/>
      <c r="BD66" s="83" t="n"/>
      <c r="BE66" s="83" t="n"/>
    </row>
    <row r="67" ht="18" customHeight="1">
      <c r="A67" s="55" t="str">
        <f>IFERROR(IF(INDEX('İş Planı'!$C$5:$C$204,ROW()-4)="","",INDEX('İş Planı'!$C$5:$C$204,ROW()-4)),"")</f>
        <v>3.2.8. Hata Ele Alma ve Kayıt Yönetimi</v>
      </c>
      <c r="B67" s="55" t="str">
        <f>IFERROR(IF(INDEX('İş Planı'!$B$5:$B$204,ROW()-4)="","",INDEX('İş Planı'!$B$5:$B$204,ROW()-4)),"")</f>
        <v>BIGR (Yönetim Beyanı Ortak Maddeler)</v>
      </c>
      <c r="C67" s="72">
        <f>IFERROR(IF(INDEX('İş Planı'!$I$5:$I$204,ROW()-4)="","",INDEX('İş Planı'!$I$5:$I$204,ROW()-4)),"")</f>
        <v/>
      </c>
      <c r="D67" s="72">
        <f>IFERROR(IF(INDEX('İş Planı'!$M$5:$M$204,ROW()-4)="","",INDEX('İş Planı'!$M$5:$M$204,ROW()-4)),"")</f>
        <v/>
      </c>
      <c r="E67" s="71" t="str">
        <f>IFERROR(IF(INDEX('İş Planı'!$O$5:$O$204,ROW()-4)="","",INDEX('İş Planı'!$O$5:$O$204,ROW()-4)),"")</f>
        <v>Planlanan</v>
      </c>
      <c r="F67" s="83" t="n"/>
      <c r="G67" s="83" t="n"/>
      <c r="H67" s="83" t="n"/>
      <c r="I67" s="83" t="n"/>
      <c r="J67" s="83" t="n"/>
      <c r="K67" s="83" t="n"/>
      <c r="L67" s="83" t="n"/>
      <c r="M67" s="83" t="n"/>
      <c r="N67" s="83" t="n"/>
      <c r="O67" s="83" t="n"/>
      <c r="P67" s="83" t="n"/>
      <c r="Q67" s="83" t="n"/>
      <c r="R67" s="83" t="n"/>
      <c r="S67" s="83" t="n"/>
      <c r="T67" s="83" t="n"/>
      <c r="U67" s="83" t="n"/>
      <c r="V67" s="83" t="n"/>
      <c r="W67" s="83" t="n"/>
      <c r="X67" s="83" t="n"/>
      <c r="Y67" s="83" t="n"/>
      <c r="Z67" s="83" t="n"/>
      <c r="AA67" s="83" t="n"/>
      <c r="AB67" s="83" t="n"/>
      <c r="AC67" s="83" t="n"/>
      <c r="AD67" s="83" t="n"/>
      <c r="AE67" s="83" t="n"/>
      <c r="AF67" s="83" t="n"/>
      <c r="AG67" s="83" t="n"/>
      <c r="AH67" s="83" t="n"/>
      <c r="AI67" s="83" t="n"/>
      <c r="AJ67" s="83" t="n"/>
      <c r="AK67" s="83" t="n"/>
      <c r="AL67" s="83" t="n"/>
      <c r="AM67" s="83" t="n"/>
      <c r="AN67" s="83" t="n"/>
      <c r="AO67" s="83" t="n"/>
      <c r="AP67" s="83" t="n"/>
      <c r="AQ67" s="83" t="n"/>
      <c r="AR67" s="83" t="n"/>
      <c r="AS67" s="83" t="n"/>
      <c r="AT67" s="83" t="n"/>
      <c r="AU67" s="83" t="n"/>
      <c r="AV67" s="83" t="n"/>
      <c r="AW67" s="83" t="n"/>
      <c r="AX67" s="83" t="n"/>
      <c r="AY67" s="83" t="n"/>
      <c r="AZ67" s="83" t="n"/>
      <c r="BA67" s="83" t="n"/>
      <c r="BB67" s="83" t="n"/>
      <c r="BC67" s="83" t="n"/>
      <c r="BD67" s="83" t="n"/>
      <c r="BE67" s="83" t="n"/>
    </row>
    <row r="68" ht="18" customHeight="1">
      <c r="A68" s="55" t="str">
        <f>IFERROR(IF(INDEX('İş Planı'!$C$5:$C$204,ROW()-4)="","",INDEX('İş Planı'!$C$5:$C$204,ROW()-4)),"")</f>
        <v>4.1.1. Kayıt Yönetimi</v>
      </c>
      <c r="B68" s="55" t="str">
        <f>IFERROR(IF(INDEX('İş Planı'!$B$5:$B$204,ROW()-4)="","",INDEX('İş Planı'!$B$5:$B$204,ROW()-4)),"")</f>
        <v>BIGR (Yönetim Beyanı Ortak Maddeler)</v>
      </c>
      <c r="C68" s="72">
        <f>IFERROR(IF(INDEX('İş Planı'!$I$5:$I$204,ROW()-4)="","",INDEX('İş Planı'!$I$5:$I$204,ROW()-4)),"")</f>
        <v/>
      </c>
      <c r="D68" s="72">
        <f>IFERROR(IF(INDEX('İş Planı'!$M$5:$M$204,ROW()-4)="","",INDEX('İş Planı'!$M$5:$M$204,ROW()-4)),"")</f>
        <v/>
      </c>
      <c r="E68" s="71" t="str">
        <f>IFERROR(IF(INDEX('İş Planı'!$O$5:$O$204,ROW()-4)="","",INDEX('İş Planı'!$O$5:$O$204,ROW()-4)),"")</f>
        <v>Planlanan</v>
      </c>
      <c r="F68" s="83" t="n"/>
      <c r="G68" s="83" t="n"/>
      <c r="H68" s="83" t="n"/>
      <c r="I68" s="83" t="n"/>
      <c r="J68" s="83" t="n"/>
      <c r="K68" s="83" t="n"/>
      <c r="L68" s="83" t="n"/>
      <c r="M68" s="83" t="n"/>
      <c r="N68" s="83" t="n"/>
      <c r="O68" s="83" t="n"/>
      <c r="P68" s="83" t="n"/>
      <c r="Q68" s="83" t="n"/>
      <c r="R68" s="83" t="n"/>
      <c r="S68" s="83" t="n"/>
      <c r="T68" s="83" t="n"/>
      <c r="U68" s="83" t="n"/>
      <c r="V68" s="83" t="n"/>
      <c r="W68" s="83" t="n"/>
      <c r="X68" s="83" t="n"/>
      <c r="Y68" s="83" t="n"/>
      <c r="Z68" s="83" t="n"/>
      <c r="AA68" s="83" t="n"/>
      <c r="AB68" s="83" t="n"/>
      <c r="AC68" s="83" t="n"/>
      <c r="AD68" s="83" t="n"/>
      <c r="AE68" s="83" t="n"/>
      <c r="AF68" s="83" t="n"/>
      <c r="AG68" s="83" t="n"/>
      <c r="AH68" s="83" t="n"/>
      <c r="AI68" s="83" t="n"/>
      <c r="AJ68" s="83" t="n"/>
      <c r="AK68" s="83" t="n"/>
      <c r="AL68" s="83" t="n"/>
      <c r="AM68" s="83" t="n"/>
      <c r="AN68" s="83" t="n"/>
      <c r="AO68" s="83" t="n"/>
      <c r="AP68" s="83" t="n"/>
      <c r="AQ68" s="83" t="n"/>
      <c r="AR68" s="83" t="n"/>
      <c r="AS68" s="83" t="n"/>
      <c r="AT68" s="83" t="n"/>
      <c r="AU68" s="83" t="n"/>
      <c r="AV68" s="83" t="n"/>
      <c r="AW68" s="83" t="n"/>
      <c r="AX68" s="83" t="n"/>
      <c r="AY68" s="83" t="n"/>
      <c r="AZ68" s="83" t="n"/>
      <c r="BA68" s="83" t="n"/>
      <c r="BB68" s="83" t="n"/>
      <c r="BC68" s="83" t="n"/>
      <c r="BD68" s="83" t="n"/>
      <c r="BE68" s="83" t="n"/>
    </row>
    <row r="69" ht="18" customHeight="1">
      <c r="A69" s="55" t="str">
        <f>IFERROR(IF(INDEX('İş Planı'!$C$5:$C$204,ROW()-4)="","",INDEX('İş Planı'!$C$5:$C$204,ROW()-4)),"")</f>
        <v>4.1.2. Erişim Kayıtları Yönetimi</v>
      </c>
      <c r="B69" s="55" t="str">
        <f>IFERROR(IF(INDEX('İş Planı'!$B$5:$B$204,ROW()-4)="","",INDEX('İş Planı'!$B$5:$B$204,ROW()-4)),"")</f>
        <v>BIGR (Yönetim Beyanı Ortak Maddeler)</v>
      </c>
      <c r="C69" s="72">
        <f>IFERROR(IF(INDEX('İş Planı'!$I$5:$I$204,ROW()-4)="","",INDEX('İş Planı'!$I$5:$I$204,ROW()-4)),"")</f>
        <v/>
      </c>
      <c r="D69" s="72">
        <f>IFERROR(IF(INDEX('İş Planı'!$M$5:$M$204,ROW()-4)="","",INDEX('İş Planı'!$M$5:$M$204,ROW()-4)),"")</f>
        <v/>
      </c>
      <c r="E69" s="71" t="str">
        <f>IFERROR(IF(INDEX('İş Planı'!$O$5:$O$204,ROW()-4)="","",INDEX('İş Planı'!$O$5:$O$204,ROW()-4)),"")</f>
        <v>Planlanan</v>
      </c>
      <c r="F69" s="83" t="n"/>
      <c r="G69" s="83" t="n"/>
      <c r="H69" s="83" t="n"/>
      <c r="I69" s="83" t="n"/>
      <c r="J69" s="83" t="n"/>
      <c r="K69" s="83" t="n"/>
      <c r="L69" s="83" t="n"/>
      <c r="M69" s="83" t="n"/>
      <c r="N69" s="83" t="n"/>
      <c r="O69" s="83" t="n"/>
      <c r="P69" s="83" t="n"/>
      <c r="Q69" s="83" t="n"/>
      <c r="R69" s="83" t="n"/>
      <c r="S69" s="83" t="n"/>
      <c r="T69" s="83" t="n"/>
      <c r="U69" s="83" t="n"/>
      <c r="V69" s="83" t="n"/>
      <c r="W69" s="83" t="n"/>
      <c r="X69" s="83" t="n"/>
      <c r="Y69" s="83" t="n"/>
      <c r="Z69" s="83" t="n"/>
      <c r="AA69" s="83" t="n"/>
      <c r="AB69" s="83" t="n"/>
      <c r="AC69" s="83" t="n"/>
      <c r="AD69" s="83" t="n"/>
      <c r="AE69" s="83" t="n"/>
      <c r="AF69" s="83" t="n"/>
      <c r="AG69" s="83" t="n"/>
      <c r="AH69" s="83" t="n"/>
      <c r="AI69" s="83" t="n"/>
      <c r="AJ69" s="83" t="n"/>
      <c r="AK69" s="83" t="n"/>
      <c r="AL69" s="83" t="n"/>
      <c r="AM69" s="83" t="n"/>
      <c r="AN69" s="83" t="n"/>
      <c r="AO69" s="83" t="n"/>
      <c r="AP69" s="83" t="n"/>
      <c r="AQ69" s="83" t="n"/>
      <c r="AR69" s="83" t="n"/>
      <c r="AS69" s="83" t="n"/>
      <c r="AT69" s="83" t="n"/>
      <c r="AU69" s="83" t="n"/>
      <c r="AV69" s="83" t="n"/>
      <c r="AW69" s="83" t="n"/>
      <c r="AX69" s="83" t="n"/>
      <c r="AY69" s="83" t="n"/>
      <c r="AZ69" s="83" t="n"/>
      <c r="BA69" s="83" t="n"/>
      <c r="BB69" s="83" t="n"/>
      <c r="BC69" s="83" t="n"/>
      <c r="BD69" s="83" t="n"/>
      <c r="BE69" s="83" t="n"/>
    </row>
    <row r="70" ht="18" customHeight="1">
      <c r="A70" s="55" t="str">
        <f>IFERROR(IF(INDEX('İş Planı'!$C$5:$C$204,ROW()-4)="","",INDEX('İş Planı'!$C$5:$C$204,ROW()-4)),"")</f>
        <v>4.1.3. Yetkilendirme</v>
      </c>
      <c r="B70" s="55" t="str">
        <f>IFERROR(IF(INDEX('İş Planı'!$B$5:$B$204,ROW()-4)="","",INDEX('İş Planı'!$B$5:$B$204,ROW()-4)),"")</f>
        <v>BIGR (Yönetim Beyanı Ortak Maddeler)</v>
      </c>
      <c r="C70" s="72">
        <f>IFERROR(IF(INDEX('İş Planı'!$I$5:$I$204,ROW()-4)="","",INDEX('İş Planı'!$I$5:$I$204,ROW()-4)),"")</f>
        <v/>
      </c>
      <c r="D70" s="72">
        <f>IFERROR(IF(INDEX('İş Planı'!$M$5:$M$204,ROW()-4)="","",INDEX('İş Planı'!$M$5:$M$204,ROW()-4)),"")</f>
        <v/>
      </c>
      <c r="E70" s="71" t="str">
        <f>IFERROR(IF(INDEX('İş Planı'!$O$5:$O$204,ROW()-4)="","",INDEX('İş Planı'!$O$5:$O$204,ROW()-4)),"")</f>
        <v>Planlanan</v>
      </c>
      <c r="F70" s="83" t="n"/>
      <c r="G70" s="83" t="n"/>
      <c r="H70" s="83" t="n"/>
      <c r="I70" s="83" t="n"/>
      <c r="J70" s="83" t="n"/>
      <c r="K70" s="83" t="n"/>
      <c r="L70" s="83" t="n"/>
      <c r="M70" s="83" t="n"/>
      <c r="N70" s="83" t="n"/>
      <c r="O70" s="83" t="n"/>
      <c r="P70" s="83" t="n"/>
      <c r="Q70" s="83" t="n"/>
      <c r="R70" s="83" t="n"/>
      <c r="S70" s="83" t="n"/>
      <c r="T70" s="83" t="n"/>
      <c r="U70" s="83" t="n"/>
      <c r="V70" s="83" t="n"/>
      <c r="W70" s="83" t="n"/>
      <c r="X70" s="83" t="n"/>
      <c r="Y70" s="83" t="n"/>
      <c r="Z70" s="83" t="n"/>
      <c r="AA70" s="83" t="n"/>
      <c r="AB70" s="83" t="n"/>
      <c r="AC70" s="83" t="n"/>
      <c r="AD70" s="83" t="n"/>
      <c r="AE70" s="83" t="n"/>
      <c r="AF70" s="83" t="n"/>
      <c r="AG70" s="83" t="n"/>
      <c r="AH70" s="83" t="n"/>
      <c r="AI70" s="83" t="n"/>
      <c r="AJ70" s="83" t="n"/>
      <c r="AK70" s="83" t="n"/>
      <c r="AL70" s="83" t="n"/>
      <c r="AM70" s="83" t="n"/>
      <c r="AN70" s="83" t="n"/>
      <c r="AO70" s="83" t="n"/>
      <c r="AP70" s="83" t="n"/>
      <c r="AQ70" s="83" t="n"/>
      <c r="AR70" s="83" t="n"/>
      <c r="AS70" s="83" t="n"/>
      <c r="AT70" s="83" t="n"/>
      <c r="AU70" s="83" t="n"/>
      <c r="AV70" s="83" t="n"/>
      <c r="AW70" s="83" t="n"/>
      <c r="AX70" s="83" t="n"/>
      <c r="AY70" s="83" t="n"/>
      <c r="AZ70" s="83" t="n"/>
      <c r="BA70" s="83" t="n"/>
      <c r="BB70" s="83" t="n"/>
      <c r="BC70" s="83" t="n"/>
      <c r="BD70" s="83" t="n"/>
      <c r="BE70" s="83" t="n"/>
    </row>
    <row r="71" ht="18" customHeight="1">
      <c r="A71" s="55" t="str">
        <f>IFERROR(IF(INDEX('İş Planı'!$C$5:$C$204,ROW()-4)="","",INDEX('İş Planı'!$C$5:$C$204,ROW()-4)),"")</f>
        <v>4.1.4. Şifreleme</v>
      </c>
      <c r="B71" s="55" t="str">
        <f>IFERROR(IF(INDEX('İş Planı'!$B$5:$B$204,ROW()-4)="","",INDEX('İş Planı'!$B$5:$B$204,ROW()-4)),"")</f>
        <v>BIGR (Yönetim Beyanı Ortak Maddeler)</v>
      </c>
      <c r="C71" s="72">
        <f>IFERROR(IF(INDEX('İş Planı'!$I$5:$I$204,ROW()-4)="","",INDEX('İş Planı'!$I$5:$I$204,ROW()-4)),"")</f>
        <v/>
      </c>
      <c r="D71" s="72">
        <f>IFERROR(IF(INDEX('İş Planı'!$M$5:$M$204,ROW()-4)="","",INDEX('İş Planı'!$M$5:$M$204,ROW()-4)),"")</f>
        <v/>
      </c>
      <c r="E71" s="71" t="str">
        <f>IFERROR(IF(INDEX('İş Planı'!$O$5:$O$204,ROW()-4)="","",INDEX('İş Planı'!$O$5:$O$204,ROW()-4)),"")</f>
        <v>Planlanan</v>
      </c>
      <c r="F71" s="83" t="n"/>
      <c r="G71" s="83" t="n"/>
      <c r="H71" s="83" t="n"/>
      <c r="I71" s="83" t="n"/>
      <c r="J71" s="83" t="n"/>
      <c r="K71" s="83" t="n"/>
      <c r="L71" s="83" t="n"/>
      <c r="M71" s="83" t="n"/>
      <c r="N71" s="83" t="n"/>
      <c r="O71" s="83" t="n"/>
      <c r="P71" s="83" t="n"/>
      <c r="Q71" s="83" t="n"/>
      <c r="R71" s="83" t="n"/>
      <c r="S71" s="83" t="n"/>
      <c r="T71" s="83" t="n"/>
      <c r="U71" s="83" t="n"/>
      <c r="V71" s="83" t="n"/>
      <c r="W71" s="83" t="n"/>
      <c r="X71" s="83" t="n"/>
      <c r="Y71" s="83" t="n"/>
      <c r="Z71" s="83" t="n"/>
      <c r="AA71" s="83" t="n"/>
      <c r="AB71" s="83" t="n"/>
      <c r="AC71" s="83" t="n"/>
      <c r="AD71" s="83" t="n"/>
      <c r="AE71" s="83" t="n"/>
      <c r="AF71" s="83" t="n"/>
      <c r="AG71" s="83" t="n"/>
      <c r="AH71" s="83" t="n"/>
      <c r="AI71" s="83" t="n"/>
      <c r="AJ71" s="83" t="n"/>
      <c r="AK71" s="83" t="n"/>
      <c r="AL71" s="83" t="n"/>
      <c r="AM71" s="83" t="n"/>
      <c r="AN71" s="83" t="n"/>
      <c r="AO71" s="83" t="n"/>
      <c r="AP71" s="83" t="n"/>
      <c r="AQ71" s="83" t="n"/>
      <c r="AR71" s="83" t="n"/>
      <c r="AS71" s="83" t="n"/>
      <c r="AT71" s="83" t="n"/>
      <c r="AU71" s="83" t="n"/>
      <c r="AV71" s="83" t="n"/>
      <c r="AW71" s="83" t="n"/>
      <c r="AX71" s="83" t="n"/>
      <c r="AY71" s="83" t="n"/>
      <c r="AZ71" s="83" t="n"/>
      <c r="BA71" s="83" t="n"/>
      <c r="BB71" s="83" t="n"/>
      <c r="BC71" s="83" t="n"/>
      <c r="BD71" s="83" t="n"/>
      <c r="BE71" s="83" t="n"/>
    </row>
    <row r="72" ht="18" customHeight="1">
      <c r="A72" s="55" t="str">
        <f>IFERROR(IF(INDEX('İş Planı'!$C$5:$C$204,ROW()-4)="","",INDEX('İş Planı'!$C$5:$C$204,ROW()-4)),"")</f>
        <v>4.1.5. Yedekleme, Silme, Yok Etme ve Anonim Hale Getirme</v>
      </c>
      <c r="B72" s="55" t="str">
        <f>IFERROR(IF(INDEX('İş Planı'!$B$5:$B$204,ROW()-4)="","",INDEX('İş Planı'!$B$5:$B$204,ROW()-4)),"")</f>
        <v>BIGR (Yönetim Beyanı Ortak Maddeler)</v>
      </c>
      <c r="C72" s="72">
        <f>IFERROR(IF(INDEX('İş Planı'!$I$5:$I$204,ROW()-4)="","",INDEX('İş Planı'!$I$5:$I$204,ROW()-4)),"")</f>
        <v/>
      </c>
      <c r="D72" s="72">
        <f>IFERROR(IF(INDEX('İş Planı'!$M$5:$M$204,ROW()-4)="","",INDEX('İş Planı'!$M$5:$M$204,ROW()-4)),"")</f>
        <v/>
      </c>
      <c r="E72" s="71" t="str">
        <f>IFERROR(IF(INDEX('İş Planı'!$O$5:$O$204,ROW()-4)="","",INDEX('İş Planı'!$O$5:$O$204,ROW()-4)),"")</f>
        <v>Planlanan</v>
      </c>
      <c r="F72" s="83" t="n"/>
      <c r="G72" s="83" t="n"/>
      <c r="H72" s="83" t="n"/>
      <c r="I72" s="83" t="n"/>
      <c r="J72" s="83" t="n"/>
      <c r="K72" s="83" t="n"/>
      <c r="L72" s="83" t="n"/>
      <c r="M72" s="83" t="n"/>
      <c r="N72" s="83" t="n"/>
      <c r="O72" s="83" t="n"/>
      <c r="P72" s="83" t="n"/>
      <c r="Q72" s="83" t="n"/>
      <c r="R72" s="83" t="n"/>
      <c r="S72" s="83" t="n"/>
      <c r="T72" s="83" t="n"/>
      <c r="U72" s="83" t="n"/>
      <c r="V72" s="83" t="n"/>
      <c r="W72" s="83" t="n"/>
      <c r="X72" s="83" t="n"/>
      <c r="Y72" s="83" t="n"/>
      <c r="Z72" s="83" t="n"/>
      <c r="AA72" s="83" t="n"/>
      <c r="AB72" s="83" t="n"/>
      <c r="AC72" s="83" t="n"/>
      <c r="AD72" s="83" t="n"/>
      <c r="AE72" s="83" t="n"/>
      <c r="AF72" s="83" t="n"/>
      <c r="AG72" s="83" t="n"/>
      <c r="AH72" s="83" t="n"/>
      <c r="AI72" s="83" t="n"/>
      <c r="AJ72" s="83" t="n"/>
      <c r="AK72" s="83" t="n"/>
      <c r="AL72" s="83" t="n"/>
      <c r="AM72" s="83" t="n"/>
      <c r="AN72" s="83" t="n"/>
      <c r="AO72" s="83" t="n"/>
      <c r="AP72" s="83" t="n"/>
      <c r="AQ72" s="83" t="n"/>
      <c r="AR72" s="83" t="n"/>
      <c r="AS72" s="83" t="n"/>
      <c r="AT72" s="83" t="n"/>
      <c r="AU72" s="83" t="n"/>
      <c r="AV72" s="83" t="n"/>
      <c r="AW72" s="83" t="n"/>
      <c r="AX72" s="83" t="n"/>
      <c r="AY72" s="83" t="n"/>
      <c r="AZ72" s="83" t="n"/>
      <c r="BA72" s="83" t="n"/>
      <c r="BB72" s="83" t="n"/>
      <c r="BC72" s="83" t="n"/>
      <c r="BD72" s="83" t="n"/>
      <c r="BE72" s="83" t="n"/>
    </row>
    <row r="73" ht="18" customHeight="1">
      <c r="A73" s="55" t="str">
        <f>IFERROR(IF(INDEX('İş Planı'!$C$5:$C$204,ROW()-4)="","",INDEX('İş Planı'!$C$5:$C$204,ROW()-4)),"")</f>
        <v>3.1.13. Felaket Kurtarma ve İş Sürekliliği Yönetimi</v>
      </c>
      <c r="B73" s="55" t="str">
        <f>IFERROR(IF(INDEX('İş Planı'!$B$5:$B$204,ROW()-4)="","",INDEX('İş Planı'!$B$5:$B$204,ROW()-4)),"")</f>
        <v>BIGR (Yönetim Beyanı Ortak Maddeler)</v>
      </c>
      <c r="C73" s="72">
        <f>IFERROR(IF(INDEX('İş Planı'!$I$5:$I$204,ROW()-4)="","",INDEX('İş Planı'!$I$5:$I$204,ROW()-4)),"")</f>
        <v/>
      </c>
      <c r="D73" s="72">
        <f>IFERROR(IF(INDEX('İş Planı'!$M$5:$M$204,ROW()-4)="","",INDEX('İş Planı'!$M$5:$M$204,ROW()-4)),"")</f>
        <v/>
      </c>
      <c r="E73" s="71" t="str">
        <f>IFERROR(IF(INDEX('İş Planı'!$O$5:$O$204,ROW()-4)="","",INDEX('İş Planı'!$O$5:$O$204,ROW()-4)),"")</f>
        <v>Planlanan</v>
      </c>
      <c r="F73" s="83" t="n"/>
      <c r="G73" s="83" t="n"/>
      <c r="H73" s="83" t="n"/>
      <c r="I73" s="83" t="n"/>
      <c r="J73" s="83" t="n"/>
      <c r="K73" s="83" t="n"/>
      <c r="L73" s="83" t="n"/>
      <c r="M73" s="83" t="n"/>
      <c r="N73" s="83" t="n"/>
      <c r="O73" s="83" t="n"/>
      <c r="P73" s="83" t="n"/>
      <c r="Q73" s="83" t="n"/>
      <c r="R73" s="83" t="n"/>
      <c r="S73" s="83" t="n"/>
      <c r="T73" s="83" t="n"/>
      <c r="U73" s="83" t="n"/>
      <c r="V73" s="83" t="n"/>
      <c r="W73" s="83" t="n"/>
      <c r="X73" s="83" t="n"/>
      <c r="Y73" s="83" t="n"/>
      <c r="Z73" s="83" t="n"/>
      <c r="AA73" s="83" t="n"/>
      <c r="AB73" s="83" t="n"/>
      <c r="AC73" s="83" t="n"/>
      <c r="AD73" s="83" t="n"/>
      <c r="AE73" s="83" t="n"/>
      <c r="AF73" s="83" t="n"/>
      <c r="AG73" s="83" t="n"/>
      <c r="AH73" s="83" t="n"/>
      <c r="AI73" s="83" t="n"/>
      <c r="AJ73" s="83" t="n"/>
      <c r="AK73" s="83" t="n"/>
      <c r="AL73" s="83" t="n"/>
      <c r="AM73" s="83" t="n"/>
      <c r="AN73" s="83" t="n"/>
      <c r="AO73" s="83" t="n"/>
      <c r="AP73" s="83" t="n"/>
      <c r="AQ73" s="83" t="n"/>
      <c r="AR73" s="83" t="n"/>
      <c r="AS73" s="83" t="n"/>
      <c r="AT73" s="83" t="n"/>
      <c r="AU73" s="83" t="n"/>
      <c r="AV73" s="83" t="n"/>
      <c r="AW73" s="83" t="n"/>
      <c r="AX73" s="83" t="n"/>
      <c r="AY73" s="83" t="n"/>
      <c r="AZ73" s="83" t="n"/>
      <c r="BA73" s="83" t="n"/>
      <c r="BB73" s="83" t="n"/>
      <c r="BC73" s="83" t="n"/>
      <c r="BD73" s="83" t="n"/>
      <c r="BE73" s="83" t="n"/>
    </row>
    <row r="74" ht="18" customHeight="1">
      <c r="A74" s="55" t="str">
        <f>IFERROR(IF(INDEX('İş Planı'!$C$5:$C$204,ROW()-4)="","",INDEX('İş Planı'!$C$5:$C$204,ROW()-4)),"")</f>
        <v>3.1.4. E-Posta Sunucusu ve İstemcisi Güvenliği</v>
      </c>
      <c r="B74" s="55" t="str">
        <f>IFERROR(IF(INDEX('İş Planı'!$B$5:$B$204,ROW()-4)="","",INDEX('İş Planı'!$B$5:$B$204,ROW()-4)),"")</f>
        <v>BIGR (Yönetim Beyanı Ortak Maddeler)</v>
      </c>
      <c r="C74" s="72">
        <f>IFERROR(IF(INDEX('İş Planı'!$I$5:$I$204,ROW()-4)="","",INDEX('İş Planı'!$I$5:$I$204,ROW()-4)),"")</f>
        <v/>
      </c>
      <c r="D74" s="72">
        <f>IFERROR(IF(INDEX('İş Planı'!$M$5:$M$204,ROW()-4)="","",INDEX('İş Planı'!$M$5:$M$204,ROW()-4)),"")</f>
        <v/>
      </c>
      <c r="E74" s="71" t="str">
        <f>IFERROR(IF(INDEX('İş Planı'!$O$5:$O$204,ROW()-4)="","",INDEX('İş Planı'!$O$5:$O$204,ROW()-4)),"")</f>
        <v>Planlanan</v>
      </c>
      <c r="F74" s="83" t="n"/>
      <c r="G74" s="83" t="n"/>
      <c r="H74" s="83" t="n"/>
      <c r="I74" s="83" t="n"/>
      <c r="J74" s="83" t="n"/>
      <c r="K74" s="83" t="n"/>
      <c r="L74" s="83" t="n"/>
      <c r="M74" s="83" t="n"/>
      <c r="N74" s="83" t="n"/>
      <c r="O74" s="83" t="n"/>
      <c r="P74" s="83" t="n"/>
      <c r="Q74" s="83" t="n"/>
      <c r="R74" s="83" t="n"/>
      <c r="S74" s="83" t="n"/>
      <c r="T74" s="83" t="n"/>
      <c r="U74" s="83" t="n"/>
      <c r="V74" s="83" t="n"/>
      <c r="W74" s="83" t="n"/>
      <c r="X74" s="83" t="n"/>
      <c r="Y74" s="83" t="n"/>
      <c r="Z74" s="83" t="n"/>
      <c r="AA74" s="83" t="n"/>
      <c r="AB74" s="83" t="n"/>
      <c r="AC74" s="83" t="n"/>
      <c r="AD74" s="83" t="n"/>
      <c r="AE74" s="83" t="n"/>
      <c r="AF74" s="83" t="n"/>
      <c r="AG74" s="83" t="n"/>
      <c r="AH74" s="83" t="n"/>
      <c r="AI74" s="83" t="n"/>
      <c r="AJ74" s="83" t="n"/>
      <c r="AK74" s="83" t="n"/>
      <c r="AL74" s="83" t="n"/>
      <c r="AM74" s="83" t="n"/>
      <c r="AN74" s="83" t="n"/>
      <c r="AO74" s="83" t="n"/>
      <c r="AP74" s="83" t="n"/>
      <c r="AQ74" s="83" t="n"/>
      <c r="AR74" s="83" t="n"/>
      <c r="AS74" s="83" t="n"/>
      <c r="AT74" s="83" t="n"/>
      <c r="AU74" s="83" t="n"/>
      <c r="AV74" s="83" t="n"/>
      <c r="AW74" s="83" t="n"/>
      <c r="AX74" s="83" t="n"/>
      <c r="AY74" s="83" t="n"/>
      <c r="AZ74" s="83" t="n"/>
      <c r="BA74" s="83" t="n"/>
      <c r="BB74" s="83" t="n"/>
      <c r="BC74" s="83" t="n"/>
      <c r="BD74" s="83" t="n"/>
      <c r="BE74" s="83" t="n"/>
    </row>
    <row r="75" ht="18" customHeight="1">
      <c r="A75" s="55" t="str">
        <f>IFERROR(IF(INDEX('İş Planı'!$C$5:$C$204,ROW()-4)="","",INDEX('İş Planı'!$C$5:$C$204,ROW()-4)),"")</f>
        <v>3.1.5. Zararlı Yazılımlardan Korunma</v>
      </c>
      <c r="B75" s="55" t="str">
        <f>IFERROR(IF(INDEX('İş Planı'!$B$5:$B$204,ROW()-4)="","",INDEX('İş Planı'!$B$5:$B$204,ROW()-4)),"")</f>
        <v>BIGR (Yönetim Beyanı Ortak Maddeler)</v>
      </c>
      <c r="C75" s="72">
        <f>IFERROR(IF(INDEX('İş Planı'!$I$5:$I$204,ROW()-4)="","",INDEX('İş Planı'!$I$5:$I$204,ROW()-4)),"")</f>
        <v/>
      </c>
      <c r="D75" s="72">
        <f>IFERROR(IF(INDEX('İş Planı'!$M$5:$M$204,ROW()-4)="","",INDEX('İş Planı'!$M$5:$M$204,ROW()-4)),"")</f>
        <v/>
      </c>
      <c r="E75" s="71" t="str">
        <f>IFERROR(IF(INDEX('İş Planı'!$O$5:$O$204,ROW()-4)="","",INDEX('İş Planı'!$O$5:$O$204,ROW()-4)),"")</f>
        <v>Planlanan</v>
      </c>
      <c r="F75" s="83" t="n"/>
      <c r="G75" s="83" t="n"/>
      <c r="H75" s="83" t="n"/>
      <c r="I75" s="83" t="n"/>
      <c r="J75" s="83" t="n"/>
      <c r="K75" s="83" t="n"/>
      <c r="L75" s="83" t="n"/>
      <c r="M75" s="83" t="n"/>
      <c r="N75" s="83" t="n"/>
      <c r="O75" s="83" t="n"/>
      <c r="P75" s="83" t="n"/>
      <c r="Q75" s="83" t="n"/>
      <c r="R75" s="83" t="n"/>
      <c r="S75" s="83" t="n"/>
      <c r="T75" s="83" t="n"/>
      <c r="U75" s="83" t="n"/>
      <c r="V75" s="83" t="n"/>
      <c r="W75" s="83" t="n"/>
      <c r="X75" s="83" t="n"/>
      <c r="Y75" s="83" t="n"/>
      <c r="Z75" s="83" t="n"/>
      <c r="AA75" s="83" t="n"/>
      <c r="AB75" s="83" t="n"/>
      <c r="AC75" s="83" t="n"/>
      <c r="AD75" s="83" t="n"/>
      <c r="AE75" s="83" t="n"/>
      <c r="AF75" s="83" t="n"/>
      <c r="AG75" s="83" t="n"/>
      <c r="AH75" s="83" t="n"/>
      <c r="AI75" s="83" t="n"/>
      <c r="AJ75" s="83" t="n"/>
      <c r="AK75" s="83" t="n"/>
      <c r="AL75" s="83" t="n"/>
      <c r="AM75" s="83" t="n"/>
      <c r="AN75" s="83" t="n"/>
      <c r="AO75" s="83" t="n"/>
      <c r="AP75" s="83" t="n"/>
      <c r="AQ75" s="83" t="n"/>
      <c r="AR75" s="83" t="n"/>
      <c r="AS75" s="83" t="n"/>
      <c r="AT75" s="83" t="n"/>
      <c r="AU75" s="83" t="n"/>
      <c r="AV75" s="83" t="n"/>
      <c r="AW75" s="83" t="n"/>
      <c r="AX75" s="83" t="n"/>
      <c r="AY75" s="83" t="n"/>
      <c r="AZ75" s="83" t="n"/>
      <c r="BA75" s="83" t="n"/>
      <c r="BB75" s="83" t="n"/>
      <c r="BC75" s="83" t="n"/>
      <c r="BD75" s="83" t="n"/>
      <c r="BE75" s="83" t="n"/>
    </row>
    <row r="76" ht="18" customHeight="1">
      <c r="A76" s="55" t="str">
        <f>IFERROR(IF(INDEX('İş Planı'!$C$5:$C$204,ROW()-4)="","",INDEX('İş Planı'!$C$5:$C$204,ROW()-4)),"")</f>
        <v>3.2.3. Yetkilendirme</v>
      </c>
      <c r="B76" s="55" t="str">
        <f>IFERROR(IF(INDEX('İş Planı'!$B$5:$B$204,ROW()-4)="","",INDEX('İş Planı'!$B$5:$B$204,ROW()-4)),"")</f>
        <v>BIGR (Yönetim Beyanı Ortak Maddeler)</v>
      </c>
      <c r="C76" s="72">
        <f>IFERROR(IF(INDEX('İş Planı'!$I$5:$I$204,ROW()-4)="","",INDEX('İş Planı'!$I$5:$I$204,ROW()-4)),"")</f>
        <v/>
      </c>
      <c r="D76" s="72">
        <f>IFERROR(IF(INDEX('İş Planı'!$M$5:$M$204,ROW()-4)="","",INDEX('İş Planı'!$M$5:$M$204,ROW()-4)),"")</f>
        <v/>
      </c>
      <c r="E76" s="71" t="str">
        <f>IFERROR(IF(INDEX('İş Planı'!$O$5:$O$204,ROW()-4)="","",INDEX('İş Planı'!$O$5:$O$204,ROW()-4)),"")</f>
        <v>Planlanan</v>
      </c>
      <c r="F76" s="83" t="n"/>
      <c r="G76" s="83" t="n"/>
      <c r="H76" s="83" t="n"/>
      <c r="I76" s="83" t="n"/>
      <c r="J76" s="83" t="n"/>
      <c r="K76" s="83" t="n"/>
      <c r="L76" s="83" t="n"/>
      <c r="M76" s="83" t="n"/>
      <c r="N76" s="83" t="n"/>
      <c r="O76" s="83" t="n"/>
      <c r="P76" s="83" t="n"/>
      <c r="Q76" s="83" t="n"/>
      <c r="R76" s="83" t="n"/>
      <c r="S76" s="83" t="n"/>
      <c r="T76" s="83" t="n"/>
      <c r="U76" s="83" t="n"/>
      <c r="V76" s="83" t="n"/>
      <c r="W76" s="83" t="n"/>
      <c r="X76" s="83" t="n"/>
      <c r="Y76" s="83" t="n"/>
      <c r="Z76" s="83" t="n"/>
      <c r="AA76" s="83" t="n"/>
      <c r="AB76" s="83" t="n"/>
      <c r="AC76" s="83" t="n"/>
      <c r="AD76" s="83" t="n"/>
      <c r="AE76" s="83" t="n"/>
      <c r="AF76" s="83" t="n"/>
      <c r="AG76" s="83" t="n"/>
      <c r="AH76" s="83" t="n"/>
      <c r="AI76" s="83" t="n"/>
      <c r="AJ76" s="83" t="n"/>
      <c r="AK76" s="83" t="n"/>
      <c r="AL76" s="83" t="n"/>
      <c r="AM76" s="83" t="n"/>
      <c r="AN76" s="83" t="n"/>
      <c r="AO76" s="83" t="n"/>
      <c r="AP76" s="83" t="n"/>
      <c r="AQ76" s="83" t="n"/>
      <c r="AR76" s="83" t="n"/>
      <c r="AS76" s="83" t="n"/>
      <c r="AT76" s="83" t="n"/>
      <c r="AU76" s="83" t="n"/>
      <c r="AV76" s="83" t="n"/>
      <c r="AW76" s="83" t="n"/>
      <c r="AX76" s="83" t="n"/>
      <c r="AY76" s="83" t="n"/>
      <c r="AZ76" s="83" t="n"/>
      <c r="BA76" s="83" t="n"/>
      <c r="BB76" s="83" t="n"/>
      <c r="BC76" s="83" t="n"/>
      <c r="BD76" s="83" t="n"/>
      <c r="BE76" s="83" t="n"/>
    </row>
    <row r="77" ht="18" customHeight="1">
      <c r="A77" s="55" t="str">
        <f>IFERROR(IF(INDEX('İş Planı'!$C$5:$C$204,ROW()-4)="","",INDEX('İş Planı'!$C$5:$C$204,ROW()-4)),"")</f>
        <v>3.2.9. İletişim Güvenliği</v>
      </c>
      <c r="B77" s="55" t="str">
        <f>IFERROR(IF(INDEX('İş Planı'!$B$5:$B$204,ROW()-4)="","",INDEX('İş Planı'!$B$5:$B$204,ROW()-4)),"")</f>
        <v>BIGR (Yönetim Beyanı Ortak Maddeler)</v>
      </c>
      <c r="C77" s="72">
        <f>IFERROR(IF(INDEX('İş Planı'!$I$5:$I$204,ROW()-4)="","",INDEX('İş Planı'!$I$5:$I$204,ROW()-4)),"")</f>
        <v/>
      </c>
      <c r="D77" s="72">
        <f>IFERROR(IF(INDEX('İş Planı'!$M$5:$M$204,ROW()-4)="","",INDEX('İş Planı'!$M$5:$M$204,ROW()-4)),"")</f>
        <v/>
      </c>
      <c r="E77" s="71" t="str">
        <f>IFERROR(IF(INDEX('İş Planı'!$O$5:$O$204,ROW()-4)="","",INDEX('İş Planı'!$O$5:$O$204,ROW()-4)),"")</f>
        <v>Planlanan</v>
      </c>
      <c r="F77" s="83" t="n"/>
      <c r="G77" s="83" t="n"/>
      <c r="H77" s="83" t="n"/>
      <c r="I77" s="83" t="n"/>
      <c r="J77" s="83" t="n"/>
      <c r="K77" s="83" t="n"/>
      <c r="L77" s="83" t="n"/>
      <c r="M77" s="83" t="n"/>
      <c r="N77" s="83" t="n"/>
      <c r="O77" s="83" t="n"/>
      <c r="P77" s="83" t="n"/>
      <c r="Q77" s="83" t="n"/>
      <c r="R77" s="83" t="n"/>
      <c r="S77" s="83" t="n"/>
      <c r="T77" s="83" t="n"/>
      <c r="U77" s="83" t="n"/>
      <c r="V77" s="83" t="n"/>
      <c r="W77" s="83" t="n"/>
      <c r="X77" s="83" t="n"/>
      <c r="Y77" s="83" t="n"/>
      <c r="Z77" s="83" t="n"/>
      <c r="AA77" s="83" t="n"/>
      <c r="AB77" s="83" t="n"/>
      <c r="AC77" s="83" t="n"/>
      <c r="AD77" s="83" t="n"/>
      <c r="AE77" s="83" t="n"/>
      <c r="AF77" s="83" t="n"/>
      <c r="AG77" s="83" t="n"/>
      <c r="AH77" s="83" t="n"/>
      <c r="AI77" s="83" t="n"/>
      <c r="AJ77" s="83" t="n"/>
      <c r="AK77" s="83" t="n"/>
      <c r="AL77" s="83" t="n"/>
      <c r="AM77" s="83" t="n"/>
      <c r="AN77" s="83" t="n"/>
      <c r="AO77" s="83" t="n"/>
      <c r="AP77" s="83" t="n"/>
      <c r="AQ77" s="83" t="n"/>
      <c r="AR77" s="83" t="n"/>
      <c r="AS77" s="83" t="n"/>
      <c r="AT77" s="83" t="n"/>
      <c r="AU77" s="83" t="n"/>
      <c r="AV77" s="83" t="n"/>
      <c r="AW77" s="83" t="n"/>
      <c r="AX77" s="83" t="n"/>
      <c r="AY77" s="83" t="n"/>
      <c r="AZ77" s="83" t="n"/>
      <c r="BA77" s="83" t="n"/>
      <c r="BB77" s="83" t="n"/>
      <c r="BC77" s="83" t="n"/>
      <c r="BD77" s="83" t="n"/>
      <c r="BE77" s="83" t="n"/>
    </row>
    <row r="78" ht="18" customHeight="1">
      <c r="A78" s="55" t="str">
        <f>IFERROR(IF(INDEX('İş Planı'!$C$5:$C$204,ROW()-4)="","",INDEX('İş Planı'!$C$5:$C$204,ROW()-4)),"")</f>
        <v>5.3.1. Web Sunucusu Sıkılaştırma Tedbirler</v>
      </c>
      <c r="B78" s="55" t="str">
        <f>IFERROR(IF(INDEX('İş Planı'!$B$5:$B$204,ROW()-4)="","",INDEX('İş Planı'!$B$5:$B$204,ROW()-4)),"")</f>
        <v>BIGR (Yönetim Beyanı Ortak Maddeler)</v>
      </c>
      <c r="C78" s="72">
        <f>IFERROR(IF(INDEX('İş Planı'!$I$5:$I$204,ROW()-4)="","",INDEX('İş Planı'!$I$5:$I$204,ROW()-4)),"")</f>
        <v/>
      </c>
      <c r="D78" s="72">
        <f>IFERROR(IF(INDEX('İş Planı'!$M$5:$M$204,ROW()-4)="","",INDEX('İş Planı'!$M$5:$M$204,ROW()-4)),"")</f>
        <v/>
      </c>
      <c r="E78" s="71" t="str">
        <f>IFERROR(IF(INDEX('İş Planı'!$O$5:$O$204,ROW()-4)="","",INDEX('İş Planı'!$O$5:$O$204,ROW()-4)),"")</f>
        <v>Planlanan</v>
      </c>
      <c r="F78" s="83" t="n"/>
      <c r="G78" s="83" t="n"/>
      <c r="H78" s="83" t="n"/>
      <c r="I78" s="83" t="n"/>
      <c r="J78" s="83" t="n"/>
      <c r="K78" s="83" t="n"/>
      <c r="L78" s="83" t="n"/>
      <c r="M78" s="83" t="n"/>
      <c r="N78" s="83" t="n"/>
      <c r="O78" s="83" t="n"/>
      <c r="P78" s="83" t="n"/>
      <c r="Q78" s="83" t="n"/>
      <c r="R78" s="83" t="n"/>
      <c r="S78" s="83" t="n"/>
      <c r="T78" s="83" t="n"/>
      <c r="U78" s="83" t="n"/>
      <c r="V78" s="83" t="n"/>
      <c r="W78" s="83" t="n"/>
      <c r="X78" s="83" t="n"/>
      <c r="Y78" s="83" t="n"/>
      <c r="Z78" s="83" t="n"/>
      <c r="AA78" s="83" t="n"/>
      <c r="AB78" s="83" t="n"/>
      <c r="AC78" s="83" t="n"/>
      <c r="AD78" s="83" t="n"/>
      <c r="AE78" s="83" t="n"/>
      <c r="AF78" s="83" t="n"/>
      <c r="AG78" s="83" t="n"/>
      <c r="AH78" s="83" t="n"/>
      <c r="AI78" s="83" t="n"/>
      <c r="AJ78" s="83" t="n"/>
      <c r="AK78" s="83" t="n"/>
      <c r="AL78" s="83" t="n"/>
      <c r="AM78" s="83" t="n"/>
      <c r="AN78" s="83" t="n"/>
      <c r="AO78" s="83" t="n"/>
      <c r="AP78" s="83" t="n"/>
      <c r="AQ78" s="83" t="n"/>
      <c r="AR78" s="83" t="n"/>
      <c r="AS78" s="83" t="n"/>
      <c r="AT78" s="83" t="n"/>
      <c r="AU78" s="83" t="n"/>
      <c r="AV78" s="83" t="n"/>
      <c r="AW78" s="83" t="n"/>
      <c r="AX78" s="83" t="n"/>
      <c r="AY78" s="83" t="n"/>
      <c r="AZ78" s="83" t="n"/>
      <c r="BA78" s="83" t="n"/>
      <c r="BB78" s="83" t="n"/>
      <c r="BC78" s="83" t="n"/>
      <c r="BD78" s="83" t="n"/>
      <c r="BE78" s="83" t="n"/>
    </row>
    <row r="79" ht="18" customHeight="1">
      <c r="A79" s="55" t="str">
        <f>IFERROR(IF(INDEX('İş Planı'!$C$5:$C$204,ROW()-4)="","",INDEX('İş Planı'!$C$5:$C$204,ROW()-4)),"")</f>
        <v>5.3.2. Sanallaştırma Sunucusu Sıkılaştırma Tedbirleri</v>
      </c>
      <c r="B79" s="55" t="str">
        <f>IFERROR(IF(INDEX('İş Planı'!$B$5:$B$204,ROW()-4)="","",INDEX('İş Planı'!$B$5:$B$204,ROW()-4)),"")</f>
        <v>BIGR (Yönetim Beyanı Ortak Maddeler)</v>
      </c>
      <c r="C79" s="72">
        <f>IFERROR(IF(INDEX('İş Planı'!$I$5:$I$204,ROW()-4)="","",INDEX('İş Planı'!$I$5:$I$204,ROW()-4)),"")</f>
        <v/>
      </c>
      <c r="D79" s="72">
        <f>IFERROR(IF(INDEX('İş Planı'!$M$5:$M$204,ROW()-4)="","",INDEX('İş Planı'!$M$5:$M$204,ROW()-4)),"")</f>
        <v/>
      </c>
      <c r="E79" s="71" t="str">
        <f>IFERROR(IF(INDEX('İş Planı'!$O$5:$O$204,ROW()-4)="","",INDEX('İş Planı'!$O$5:$O$204,ROW()-4)),"")</f>
        <v>Planlanan</v>
      </c>
      <c r="F79" s="83" t="n"/>
      <c r="G79" s="83" t="n"/>
      <c r="H79" s="83" t="n"/>
      <c r="I79" s="83" t="n"/>
      <c r="J79" s="83" t="n"/>
      <c r="K79" s="83" t="n"/>
      <c r="L79" s="83" t="n"/>
      <c r="M79" s="83" t="n"/>
      <c r="N79" s="83" t="n"/>
      <c r="O79" s="83" t="n"/>
      <c r="P79" s="83" t="n"/>
      <c r="Q79" s="83" t="n"/>
      <c r="R79" s="83" t="n"/>
      <c r="S79" s="83" t="n"/>
      <c r="T79" s="83" t="n"/>
      <c r="U79" s="83" t="n"/>
      <c r="V79" s="83" t="n"/>
      <c r="W79" s="83" t="n"/>
      <c r="X79" s="83" t="n"/>
      <c r="Y79" s="83" t="n"/>
      <c r="Z79" s="83" t="n"/>
      <c r="AA79" s="83" t="n"/>
      <c r="AB79" s="83" t="n"/>
      <c r="AC79" s="83" t="n"/>
      <c r="AD79" s="83" t="n"/>
      <c r="AE79" s="83" t="n"/>
      <c r="AF79" s="83" t="n"/>
      <c r="AG79" s="83" t="n"/>
      <c r="AH79" s="83" t="n"/>
      <c r="AI79" s="83" t="n"/>
      <c r="AJ79" s="83" t="n"/>
      <c r="AK79" s="83" t="n"/>
      <c r="AL79" s="83" t="n"/>
      <c r="AM79" s="83" t="n"/>
      <c r="AN79" s="83" t="n"/>
      <c r="AO79" s="83" t="n"/>
      <c r="AP79" s="83" t="n"/>
      <c r="AQ79" s="83" t="n"/>
      <c r="AR79" s="83" t="n"/>
      <c r="AS79" s="83" t="n"/>
      <c r="AT79" s="83" t="n"/>
      <c r="AU79" s="83" t="n"/>
      <c r="AV79" s="83" t="n"/>
      <c r="AW79" s="83" t="n"/>
      <c r="AX79" s="83" t="n"/>
      <c r="AY79" s="83" t="n"/>
      <c r="AZ79" s="83" t="n"/>
      <c r="BA79" s="83" t="n"/>
      <c r="BB79" s="83" t="n"/>
      <c r="BC79" s="83" t="n"/>
      <c r="BD79" s="83" t="n"/>
      <c r="BE79" s="83" t="n"/>
    </row>
    <row r="80" ht="18" customHeight="1">
      <c r="A80" s="55" t="str">
        <f>IFERROR(IF(INDEX('İş Planı'!$C$5:$C$204,ROW()-4)="","",INDEX('İş Planı'!$C$5:$C$204,ROW()-4)),"")</f>
        <v>3.1.10. Siber Güvenlik Olay Yönetimi</v>
      </c>
      <c r="B80" s="55" t="str">
        <f>IFERROR(IF(INDEX('İş Planı'!$B$5:$B$204,ROW()-4)="","",INDEX('İş Planı'!$B$5:$B$204,ROW()-4)),"")</f>
        <v>BIGR (Yönetim Beyanı Ortak Maddeler)</v>
      </c>
      <c r="C80" s="72">
        <f>IFERROR(IF(INDEX('İş Planı'!$I$5:$I$204,ROW()-4)="","",INDEX('İş Planı'!$I$5:$I$204,ROW()-4)),"")</f>
        <v/>
      </c>
      <c r="D80" s="72">
        <f>IFERROR(IF(INDEX('İş Planı'!$M$5:$M$204,ROW()-4)="","",INDEX('İş Planı'!$M$5:$M$204,ROW()-4)),"")</f>
        <v/>
      </c>
      <c r="E80" s="71" t="str">
        <f>IFERROR(IF(INDEX('İş Planı'!$O$5:$O$204,ROW()-4)="","",INDEX('İş Planı'!$O$5:$O$204,ROW()-4)),"")</f>
        <v>Planlanan</v>
      </c>
      <c r="F80" s="83" t="n"/>
      <c r="G80" s="83" t="n"/>
      <c r="H80" s="83" t="n"/>
      <c r="I80" s="83" t="n"/>
      <c r="J80" s="83" t="n"/>
      <c r="K80" s="83" t="n"/>
      <c r="L80" s="83" t="n"/>
      <c r="M80" s="83" t="n"/>
      <c r="N80" s="83" t="n"/>
      <c r="O80" s="83" t="n"/>
      <c r="P80" s="83" t="n"/>
      <c r="Q80" s="83" t="n"/>
      <c r="R80" s="83" t="n"/>
      <c r="S80" s="83" t="n"/>
      <c r="T80" s="83" t="n"/>
      <c r="U80" s="83" t="n"/>
      <c r="V80" s="83" t="n"/>
      <c r="W80" s="83" t="n"/>
      <c r="X80" s="83" t="n"/>
      <c r="Y80" s="83" t="n"/>
      <c r="Z80" s="83" t="n"/>
      <c r="AA80" s="83" t="n"/>
      <c r="AB80" s="83" t="n"/>
      <c r="AC80" s="83" t="n"/>
      <c r="AD80" s="83" t="n"/>
      <c r="AE80" s="83" t="n"/>
      <c r="AF80" s="83" t="n"/>
      <c r="AG80" s="83" t="n"/>
      <c r="AH80" s="83" t="n"/>
      <c r="AI80" s="83" t="n"/>
      <c r="AJ80" s="83" t="n"/>
      <c r="AK80" s="83" t="n"/>
      <c r="AL80" s="83" t="n"/>
      <c r="AM80" s="83" t="n"/>
      <c r="AN80" s="83" t="n"/>
      <c r="AO80" s="83" t="n"/>
      <c r="AP80" s="83" t="n"/>
      <c r="AQ80" s="83" t="n"/>
      <c r="AR80" s="83" t="n"/>
      <c r="AS80" s="83" t="n"/>
      <c r="AT80" s="83" t="n"/>
      <c r="AU80" s="83" t="n"/>
      <c r="AV80" s="83" t="n"/>
      <c r="AW80" s="83" t="n"/>
      <c r="AX80" s="83" t="n"/>
      <c r="AY80" s="83" t="n"/>
      <c r="AZ80" s="83" t="n"/>
      <c r="BA80" s="83" t="n"/>
      <c r="BB80" s="83" t="n"/>
      <c r="BC80" s="83" t="n"/>
      <c r="BD80" s="83" t="n"/>
      <c r="BE80" s="83" t="n"/>
    </row>
    <row r="81" ht="18" customHeight="1">
      <c r="A81" s="55" t="str">
        <f>IFERROR(IF(INDEX('İş Planı'!$C$5:$C$204,ROW()-4)="","",INDEX('İş Planı'!$C$5:$C$204,ROW()-4)),"")</f>
        <v>3.1.11. Sızma Testleri ve Güvenlik Denetimleri</v>
      </c>
      <c r="B81" s="55" t="str">
        <f>IFERROR(IF(INDEX('İş Planı'!$B$5:$B$204,ROW()-4)="","",INDEX('İş Planı'!$B$5:$B$204,ROW()-4)),"")</f>
        <v>BIGR (Yönetim Beyanı Ortak Maddeler)</v>
      </c>
      <c r="C81" s="72">
        <f>IFERROR(IF(INDEX('İş Planı'!$I$5:$I$204,ROW()-4)="","",INDEX('İş Planı'!$I$5:$I$204,ROW()-4)),"")</f>
        <v/>
      </c>
      <c r="D81" s="72">
        <f>IFERROR(IF(INDEX('İş Planı'!$M$5:$M$204,ROW()-4)="","",INDEX('İş Planı'!$M$5:$M$204,ROW()-4)),"")</f>
        <v/>
      </c>
      <c r="E81" s="71" t="str">
        <f>IFERROR(IF(INDEX('İş Planı'!$O$5:$O$204,ROW()-4)="","",INDEX('İş Planı'!$O$5:$O$204,ROW()-4)),"")</f>
        <v>Planlanan</v>
      </c>
      <c r="F81" s="83" t="n"/>
      <c r="G81" s="83" t="n"/>
      <c r="H81" s="83" t="n"/>
      <c r="I81" s="83" t="n"/>
      <c r="J81" s="83" t="n"/>
      <c r="K81" s="83" t="n"/>
      <c r="L81" s="83" t="n"/>
      <c r="M81" s="83" t="n"/>
      <c r="N81" s="83" t="n"/>
      <c r="O81" s="83" t="n"/>
      <c r="P81" s="83" t="n"/>
      <c r="Q81" s="83" t="n"/>
      <c r="R81" s="83" t="n"/>
      <c r="S81" s="83" t="n"/>
      <c r="T81" s="83" t="n"/>
      <c r="U81" s="83" t="n"/>
      <c r="V81" s="83" t="n"/>
      <c r="W81" s="83" t="n"/>
      <c r="X81" s="83" t="n"/>
      <c r="Y81" s="83" t="n"/>
      <c r="Z81" s="83" t="n"/>
      <c r="AA81" s="83" t="n"/>
      <c r="AB81" s="83" t="n"/>
      <c r="AC81" s="83" t="n"/>
      <c r="AD81" s="83" t="n"/>
      <c r="AE81" s="83" t="n"/>
      <c r="AF81" s="83" t="n"/>
      <c r="AG81" s="83" t="n"/>
      <c r="AH81" s="83" t="n"/>
      <c r="AI81" s="83" t="n"/>
      <c r="AJ81" s="83" t="n"/>
      <c r="AK81" s="83" t="n"/>
      <c r="AL81" s="83" t="n"/>
      <c r="AM81" s="83" t="n"/>
      <c r="AN81" s="83" t="n"/>
      <c r="AO81" s="83" t="n"/>
      <c r="AP81" s="83" t="n"/>
      <c r="AQ81" s="83" t="n"/>
      <c r="AR81" s="83" t="n"/>
      <c r="AS81" s="83" t="n"/>
      <c r="AT81" s="83" t="n"/>
      <c r="AU81" s="83" t="n"/>
      <c r="AV81" s="83" t="n"/>
      <c r="AW81" s="83" t="n"/>
      <c r="AX81" s="83" t="n"/>
      <c r="AY81" s="83" t="n"/>
      <c r="AZ81" s="83" t="n"/>
      <c r="BA81" s="83" t="n"/>
      <c r="BB81" s="83" t="n"/>
      <c r="BC81" s="83" t="n"/>
      <c r="BD81" s="83" t="n"/>
      <c r="BE81" s="83" t="n"/>
    </row>
    <row r="82" ht="18" customHeight="1">
      <c r="A82" s="55" t="str">
        <f>IFERROR(IF(INDEX('İş Planı'!$C$5:$C$204,ROW()-4)="","",INDEX('İş Planı'!$C$5:$C$204,ROW()-4)),"")</f>
        <v>3.1.13. Felaket Kurtarma ve İş Sürekliliği Yönetimi</v>
      </c>
      <c r="B82" s="55" t="str">
        <f>IFERROR(IF(INDEX('İş Planı'!$B$5:$B$204,ROW()-4)="","",INDEX('İş Planı'!$B$5:$B$204,ROW()-4)),"")</f>
        <v>BIGR (Yönetim Beyanı Ortak Maddeler)</v>
      </c>
      <c r="C82" s="72">
        <f>IFERROR(IF(INDEX('İş Planı'!$I$5:$I$204,ROW()-4)="","",INDEX('İş Planı'!$I$5:$I$204,ROW()-4)),"")</f>
        <v/>
      </c>
      <c r="D82" s="72">
        <f>IFERROR(IF(INDEX('İş Planı'!$M$5:$M$204,ROW()-4)="","",INDEX('İş Planı'!$M$5:$M$204,ROW()-4)),"")</f>
        <v/>
      </c>
      <c r="E82" s="71" t="str">
        <f>IFERROR(IF(INDEX('İş Planı'!$O$5:$O$204,ROW()-4)="","",INDEX('İş Planı'!$O$5:$O$204,ROW()-4)),"")</f>
        <v>Planlanan</v>
      </c>
      <c r="F82" s="83" t="n"/>
      <c r="G82" s="83" t="n"/>
      <c r="H82" s="83" t="n"/>
      <c r="I82" s="83" t="n"/>
      <c r="J82" s="83" t="n"/>
      <c r="K82" s="83" t="n"/>
      <c r="L82" s="83" t="n"/>
      <c r="M82" s="83" t="n"/>
      <c r="N82" s="83" t="n"/>
      <c r="O82" s="83" t="n"/>
      <c r="P82" s="83" t="n"/>
      <c r="Q82" s="83" t="n"/>
      <c r="R82" s="83" t="n"/>
      <c r="S82" s="83" t="n"/>
      <c r="T82" s="83" t="n"/>
      <c r="U82" s="83" t="n"/>
      <c r="V82" s="83" t="n"/>
      <c r="W82" s="83" t="n"/>
      <c r="X82" s="83" t="n"/>
      <c r="Y82" s="83" t="n"/>
      <c r="Z82" s="83" t="n"/>
      <c r="AA82" s="83" t="n"/>
      <c r="AB82" s="83" t="n"/>
      <c r="AC82" s="83" t="n"/>
      <c r="AD82" s="83" t="n"/>
      <c r="AE82" s="83" t="n"/>
      <c r="AF82" s="83" t="n"/>
      <c r="AG82" s="83" t="n"/>
      <c r="AH82" s="83" t="n"/>
      <c r="AI82" s="83" t="n"/>
      <c r="AJ82" s="83" t="n"/>
      <c r="AK82" s="83" t="n"/>
      <c r="AL82" s="83" t="n"/>
      <c r="AM82" s="83" t="n"/>
      <c r="AN82" s="83" t="n"/>
      <c r="AO82" s="83" t="n"/>
      <c r="AP82" s="83" t="n"/>
      <c r="AQ82" s="83" t="n"/>
      <c r="AR82" s="83" t="n"/>
      <c r="AS82" s="83" t="n"/>
      <c r="AT82" s="83" t="n"/>
      <c r="AU82" s="83" t="n"/>
      <c r="AV82" s="83" t="n"/>
      <c r="AW82" s="83" t="n"/>
      <c r="AX82" s="83" t="n"/>
      <c r="AY82" s="83" t="n"/>
      <c r="AZ82" s="83" t="n"/>
      <c r="BA82" s="83" t="n"/>
      <c r="BB82" s="83" t="n"/>
      <c r="BC82" s="83" t="n"/>
      <c r="BD82" s="83" t="n"/>
      <c r="BE82" s="83" t="n"/>
    </row>
    <row r="83" ht="18" customHeight="1">
      <c r="A83" s="55" t="str">
        <f>IFERROR(IF(INDEX('İş Planı'!$C$5:$C$204,ROW()-4)="","",INDEX('İş Planı'!$C$5:$C$204,ROW()-4)),"")</f>
        <v>3.2.6. Güvenli Yazılım Geliştirme</v>
      </c>
      <c r="B83" s="55" t="str">
        <f>IFERROR(IF(INDEX('İş Planı'!$B$5:$B$204,ROW()-4)="","",INDEX('İş Planı'!$B$5:$B$204,ROW()-4)),"")</f>
        <v>BIGR (Yönetim Beyanı Ortak Maddeler)</v>
      </c>
      <c r="C83" s="72">
        <f>IFERROR(IF(INDEX('İş Planı'!$I$5:$I$204,ROW()-4)="","",INDEX('İş Planı'!$I$5:$I$204,ROW()-4)),"")</f>
        <v/>
      </c>
      <c r="D83" s="72">
        <f>IFERROR(IF(INDEX('İş Planı'!$M$5:$M$204,ROW()-4)="","",INDEX('İş Planı'!$M$5:$M$204,ROW()-4)),"")</f>
        <v/>
      </c>
      <c r="E83" s="71" t="str">
        <f>IFERROR(IF(INDEX('İş Planı'!$O$5:$O$204,ROW()-4)="","",INDEX('İş Planı'!$O$5:$O$204,ROW()-4)),"")</f>
        <v>Planlanan</v>
      </c>
      <c r="F83" s="83" t="n"/>
      <c r="G83" s="83" t="n"/>
      <c r="H83" s="83" t="n"/>
      <c r="I83" s="83" t="n"/>
      <c r="J83" s="83" t="n"/>
      <c r="K83" s="83" t="n"/>
      <c r="L83" s="83" t="n"/>
      <c r="M83" s="83" t="n"/>
      <c r="N83" s="83" t="n"/>
      <c r="O83" s="83" t="n"/>
      <c r="P83" s="83" t="n"/>
      <c r="Q83" s="83" t="n"/>
      <c r="R83" s="83" t="n"/>
      <c r="S83" s="83" t="n"/>
      <c r="T83" s="83" t="n"/>
      <c r="U83" s="83" t="n"/>
      <c r="V83" s="83" t="n"/>
      <c r="W83" s="83" t="n"/>
      <c r="X83" s="83" t="n"/>
      <c r="Y83" s="83" t="n"/>
      <c r="Z83" s="83" t="n"/>
      <c r="AA83" s="83" t="n"/>
      <c r="AB83" s="83" t="n"/>
      <c r="AC83" s="83" t="n"/>
      <c r="AD83" s="83" t="n"/>
      <c r="AE83" s="83" t="n"/>
      <c r="AF83" s="83" t="n"/>
      <c r="AG83" s="83" t="n"/>
      <c r="AH83" s="83" t="n"/>
      <c r="AI83" s="83" t="n"/>
      <c r="AJ83" s="83" t="n"/>
      <c r="AK83" s="83" t="n"/>
      <c r="AL83" s="83" t="n"/>
      <c r="AM83" s="83" t="n"/>
      <c r="AN83" s="83" t="n"/>
      <c r="AO83" s="83" t="n"/>
      <c r="AP83" s="83" t="n"/>
      <c r="AQ83" s="83" t="n"/>
      <c r="AR83" s="83" t="n"/>
      <c r="AS83" s="83" t="n"/>
      <c r="AT83" s="83" t="n"/>
      <c r="AU83" s="83" t="n"/>
      <c r="AV83" s="83" t="n"/>
      <c r="AW83" s="83" t="n"/>
      <c r="AX83" s="83" t="n"/>
      <c r="AY83" s="83" t="n"/>
      <c r="AZ83" s="83" t="n"/>
      <c r="BA83" s="83" t="n"/>
      <c r="BB83" s="83" t="n"/>
      <c r="BC83" s="83" t="n"/>
      <c r="BD83" s="83" t="n"/>
      <c r="BE83" s="83" t="n"/>
    </row>
    <row r="84" ht="18" customHeight="1">
      <c r="A84" s="55" t="str">
        <f>IFERROR(IF(INDEX('İş Planı'!$C$5:$C$204,ROW()-4)="","",INDEX('İş Planı'!$C$5:$C$204,ROW()-4)),"")</f>
        <v>3.3.1. Akıllı Telefon ve Tablet Güvenliği</v>
      </c>
      <c r="B84" s="55" t="str">
        <f>IFERROR(IF(INDEX('İş Planı'!$B$5:$B$204,ROW()-4)="","",INDEX('İş Planı'!$B$5:$B$204,ROW()-4)),"")</f>
        <v>BIGR (Yönetim Beyanı Ortak Maddeler)</v>
      </c>
      <c r="C84" s="72">
        <f>IFERROR(IF(INDEX('İş Planı'!$I$5:$I$204,ROW()-4)="","",INDEX('İş Planı'!$I$5:$I$204,ROW()-4)),"")</f>
        <v/>
      </c>
      <c r="D84" s="72">
        <f>IFERROR(IF(INDEX('İş Planı'!$M$5:$M$204,ROW()-4)="","",INDEX('İş Planı'!$M$5:$M$204,ROW()-4)),"")</f>
        <v/>
      </c>
      <c r="E84" s="71" t="str">
        <f>IFERROR(IF(INDEX('İş Planı'!$O$5:$O$204,ROW()-4)="","",INDEX('İş Planı'!$O$5:$O$204,ROW()-4)),"")</f>
        <v>Planlanan</v>
      </c>
      <c r="F84" s="83" t="n"/>
      <c r="G84" s="83" t="n"/>
      <c r="H84" s="83" t="n"/>
      <c r="I84" s="83" t="n"/>
      <c r="J84" s="83" t="n"/>
      <c r="K84" s="83" t="n"/>
      <c r="L84" s="83" t="n"/>
      <c r="M84" s="83" t="n"/>
      <c r="N84" s="83" t="n"/>
      <c r="O84" s="83" t="n"/>
      <c r="P84" s="83" t="n"/>
      <c r="Q84" s="83" t="n"/>
      <c r="R84" s="83" t="n"/>
      <c r="S84" s="83" t="n"/>
      <c r="T84" s="83" t="n"/>
      <c r="U84" s="83" t="n"/>
      <c r="V84" s="83" t="n"/>
      <c r="W84" s="83" t="n"/>
      <c r="X84" s="83" t="n"/>
      <c r="Y84" s="83" t="n"/>
      <c r="Z84" s="83" t="n"/>
      <c r="AA84" s="83" t="n"/>
      <c r="AB84" s="83" t="n"/>
      <c r="AC84" s="83" t="n"/>
      <c r="AD84" s="83" t="n"/>
      <c r="AE84" s="83" t="n"/>
      <c r="AF84" s="83" t="n"/>
      <c r="AG84" s="83" t="n"/>
      <c r="AH84" s="83" t="n"/>
      <c r="AI84" s="83" t="n"/>
      <c r="AJ84" s="83" t="n"/>
      <c r="AK84" s="83" t="n"/>
      <c r="AL84" s="83" t="n"/>
      <c r="AM84" s="83" t="n"/>
      <c r="AN84" s="83" t="n"/>
      <c r="AO84" s="83" t="n"/>
      <c r="AP84" s="83" t="n"/>
      <c r="AQ84" s="83" t="n"/>
      <c r="AR84" s="83" t="n"/>
      <c r="AS84" s="83" t="n"/>
      <c r="AT84" s="83" t="n"/>
      <c r="AU84" s="83" t="n"/>
      <c r="AV84" s="83" t="n"/>
      <c r="AW84" s="83" t="n"/>
      <c r="AX84" s="83" t="n"/>
      <c r="AY84" s="83" t="n"/>
      <c r="AZ84" s="83" t="n"/>
      <c r="BA84" s="83" t="n"/>
      <c r="BB84" s="83" t="n"/>
      <c r="BC84" s="83" t="n"/>
      <c r="BD84" s="83" t="n"/>
      <c r="BE84" s="83" t="n"/>
    </row>
    <row r="85" ht="18" customHeight="1">
      <c r="A85" s="55" t="str">
        <f>IFERROR(IF(INDEX('İş Planı'!$C$5:$C$204,ROW()-4)="","",INDEX('İş Planı'!$C$5:$C$204,ROW()-4)),"")</f>
        <v>3.3.2. Taşınabilir Bilgisayar Güvenliği</v>
      </c>
      <c r="B85" s="55" t="str">
        <f>IFERROR(IF(INDEX('İş Planı'!$B$5:$B$204,ROW()-4)="","",INDEX('İş Planı'!$B$5:$B$204,ROW()-4)),"")</f>
        <v>BIGR (Yönetim Beyanı Ortak Maddeler)</v>
      </c>
      <c r="C85" s="72">
        <f>IFERROR(IF(INDEX('İş Planı'!$I$5:$I$204,ROW()-4)="","",INDEX('İş Planı'!$I$5:$I$204,ROW()-4)),"")</f>
        <v/>
      </c>
      <c r="D85" s="72">
        <f>IFERROR(IF(INDEX('İş Planı'!$M$5:$M$204,ROW()-4)="","",INDEX('İş Planı'!$M$5:$M$204,ROW()-4)),"")</f>
        <v/>
      </c>
      <c r="E85" s="71" t="str">
        <f>IFERROR(IF(INDEX('İş Planı'!$O$5:$O$204,ROW()-4)="","",INDEX('İş Planı'!$O$5:$O$204,ROW()-4)),"")</f>
        <v>Planlanan</v>
      </c>
      <c r="F85" s="83" t="n"/>
      <c r="G85" s="83" t="n"/>
      <c r="H85" s="83" t="n"/>
      <c r="I85" s="83" t="n"/>
      <c r="J85" s="83" t="n"/>
      <c r="K85" s="83" t="n"/>
      <c r="L85" s="83" t="n"/>
      <c r="M85" s="83" t="n"/>
      <c r="N85" s="83" t="n"/>
      <c r="O85" s="83" t="n"/>
      <c r="P85" s="83" t="n"/>
      <c r="Q85" s="83" t="n"/>
      <c r="R85" s="83" t="n"/>
      <c r="S85" s="83" t="n"/>
      <c r="T85" s="83" t="n"/>
      <c r="U85" s="83" t="n"/>
      <c r="V85" s="83" t="n"/>
      <c r="W85" s="83" t="n"/>
      <c r="X85" s="83" t="n"/>
      <c r="Y85" s="83" t="n"/>
      <c r="Z85" s="83" t="n"/>
      <c r="AA85" s="83" t="n"/>
      <c r="AB85" s="83" t="n"/>
      <c r="AC85" s="83" t="n"/>
      <c r="AD85" s="83" t="n"/>
      <c r="AE85" s="83" t="n"/>
      <c r="AF85" s="83" t="n"/>
      <c r="AG85" s="83" t="n"/>
      <c r="AH85" s="83" t="n"/>
      <c r="AI85" s="83" t="n"/>
      <c r="AJ85" s="83" t="n"/>
      <c r="AK85" s="83" t="n"/>
      <c r="AL85" s="83" t="n"/>
      <c r="AM85" s="83" t="n"/>
      <c r="AN85" s="83" t="n"/>
      <c r="AO85" s="83" t="n"/>
      <c r="AP85" s="83" t="n"/>
      <c r="AQ85" s="83" t="n"/>
      <c r="AR85" s="83" t="n"/>
      <c r="AS85" s="83" t="n"/>
      <c r="AT85" s="83" t="n"/>
      <c r="AU85" s="83" t="n"/>
      <c r="AV85" s="83" t="n"/>
      <c r="AW85" s="83" t="n"/>
      <c r="AX85" s="83" t="n"/>
      <c r="AY85" s="83" t="n"/>
      <c r="AZ85" s="83" t="n"/>
      <c r="BA85" s="83" t="n"/>
      <c r="BB85" s="83" t="n"/>
      <c r="BC85" s="83" t="n"/>
      <c r="BD85" s="83" t="n"/>
      <c r="BE85" s="83" t="n"/>
    </row>
    <row r="86" ht="18" customHeight="1">
      <c r="A86" s="55" t="str">
        <f>IFERROR(IF(INDEX('İş Planı'!$C$5:$C$204,ROW()-4)="","",INDEX('İş Planı'!$C$5:$C$204,ROW()-4)),"")</f>
        <v>3.5.3. Tedarikçi İlişkileri Güvenliği</v>
      </c>
      <c r="B86" s="55" t="str">
        <f>IFERROR(IF(INDEX('İş Planı'!$B$5:$B$204,ROW()-4)="","",INDEX('İş Planı'!$B$5:$B$204,ROW()-4)),"")</f>
        <v>BIGR (Yönetim Beyanı Ortak Maddeler)</v>
      </c>
      <c r="C86" s="72">
        <f>IFERROR(IF(INDEX('İş Planı'!$I$5:$I$204,ROW()-4)="","",INDEX('İş Planı'!$I$5:$I$204,ROW()-4)),"")</f>
        <v/>
      </c>
      <c r="D86" s="72">
        <f>IFERROR(IF(INDEX('İş Planı'!$M$5:$M$204,ROW()-4)="","",INDEX('İş Planı'!$M$5:$M$204,ROW()-4)),"")</f>
        <v/>
      </c>
      <c r="E86" s="71" t="str">
        <f>IFERROR(IF(INDEX('İş Planı'!$O$5:$O$204,ROW()-4)="","",INDEX('İş Planı'!$O$5:$O$204,ROW()-4)),"")</f>
        <v>Planlanan</v>
      </c>
      <c r="F86" s="83" t="n"/>
      <c r="G86" s="83" t="n"/>
      <c r="H86" s="83" t="n"/>
      <c r="I86" s="83" t="n"/>
      <c r="J86" s="83" t="n"/>
      <c r="K86" s="83" t="n"/>
      <c r="L86" s="83" t="n"/>
      <c r="M86" s="83" t="n"/>
      <c r="N86" s="83" t="n"/>
      <c r="O86" s="83" t="n"/>
      <c r="P86" s="83" t="n"/>
      <c r="Q86" s="83" t="n"/>
      <c r="R86" s="83" t="n"/>
      <c r="S86" s="83" t="n"/>
      <c r="T86" s="83" t="n"/>
      <c r="U86" s="83" t="n"/>
      <c r="V86" s="83" t="n"/>
      <c r="W86" s="83" t="n"/>
      <c r="X86" s="83" t="n"/>
      <c r="Y86" s="83" t="n"/>
      <c r="Z86" s="83" t="n"/>
      <c r="AA86" s="83" t="n"/>
      <c r="AB86" s="83" t="n"/>
      <c r="AC86" s="83" t="n"/>
      <c r="AD86" s="83" t="n"/>
      <c r="AE86" s="83" t="n"/>
      <c r="AF86" s="83" t="n"/>
      <c r="AG86" s="83" t="n"/>
      <c r="AH86" s="83" t="n"/>
      <c r="AI86" s="83" t="n"/>
      <c r="AJ86" s="83" t="n"/>
      <c r="AK86" s="83" t="n"/>
      <c r="AL86" s="83" t="n"/>
      <c r="AM86" s="83" t="n"/>
      <c r="AN86" s="83" t="n"/>
      <c r="AO86" s="83" t="n"/>
      <c r="AP86" s="83" t="n"/>
      <c r="AQ86" s="83" t="n"/>
      <c r="AR86" s="83" t="n"/>
      <c r="AS86" s="83" t="n"/>
      <c r="AT86" s="83" t="n"/>
      <c r="AU86" s="83" t="n"/>
      <c r="AV86" s="83" t="n"/>
      <c r="AW86" s="83" t="n"/>
      <c r="AX86" s="83" t="n"/>
      <c r="AY86" s="83" t="n"/>
      <c r="AZ86" s="83" t="n"/>
      <c r="BA86" s="83" t="n"/>
      <c r="BB86" s="83" t="n"/>
      <c r="BC86" s="83" t="n"/>
      <c r="BD86" s="83" t="n"/>
      <c r="BE86" s="83" t="n"/>
    </row>
    <row r="87" ht="18" customHeight="1">
      <c r="A87" s="55" t="str">
        <f>IFERROR(IF(INDEX('İş Planı'!$C$5:$C$204,ROW()-4)="","",INDEX('İş Planı'!$C$5:$C$204,ROW()-4)),"")</f>
        <v>4.1.7. Açık Rıza Yönetimi</v>
      </c>
      <c r="B87" s="55" t="str">
        <f>IFERROR(IF(INDEX('İş Planı'!$B$5:$B$204,ROW()-4)="","",INDEX('İş Planı'!$B$5:$B$204,ROW()-4)),"")</f>
        <v>BIGR (Yönetim Beyanı Ortak Maddeler)</v>
      </c>
      <c r="C87" s="72">
        <f>IFERROR(IF(INDEX('İş Planı'!$I$5:$I$204,ROW()-4)="","",INDEX('İş Planı'!$I$5:$I$204,ROW()-4)),"")</f>
        <v/>
      </c>
      <c r="D87" s="72">
        <f>IFERROR(IF(INDEX('İş Planı'!$M$5:$M$204,ROW()-4)="","",INDEX('İş Planı'!$M$5:$M$204,ROW()-4)),"")</f>
        <v/>
      </c>
      <c r="E87" s="71" t="str">
        <f>IFERROR(IF(INDEX('İş Planı'!$O$5:$O$204,ROW()-4)="","",INDEX('İş Planı'!$O$5:$O$204,ROW()-4)),"")</f>
        <v>Planlanan</v>
      </c>
      <c r="F87" s="83" t="n"/>
      <c r="G87" s="83" t="n"/>
      <c r="H87" s="83" t="n"/>
      <c r="I87" s="83" t="n"/>
      <c r="J87" s="83" t="n"/>
      <c r="K87" s="83" t="n"/>
      <c r="L87" s="83" t="n"/>
      <c r="M87" s="83" t="n"/>
      <c r="N87" s="83" t="n"/>
      <c r="O87" s="83" t="n"/>
      <c r="P87" s="83" t="n"/>
      <c r="Q87" s="83" t="n"/>
      <c r="R87" s="83" t="n"/>
      <c r="S87" s="83" t="n"/>
      <c r="T87" s="83" t="n"/>
      <c r="U87" s="83" t="n"/>
      <c r="V87" s="83" t="n"/>
      <c r="W87" s="83" t="n"/>
      <c r="X87" s="83" t="n"/>
      <c r="Y87" s="83" t="n"/>
      <c r="Z87" s="83" t="n"/>
      <c r="AA87" s="83" t="n"/>
      <c r="AB87" s="83" t="n"/>
      <c r="AC87" s="83" t="n"/>
      <c r="AD87" s="83" t="n"/>
      <c r="AE87" s="83" t="n"/>
      <c r="AF87" s="83" t="n"/>
      <c r="AG87" s="83" t="n"/>
      <c r="AH87" s="83" t="n"/>
      <c r="AI87" s="83" t="n"/>
      <c r="AJ87" s="83" t="n"/>
      <c r="AK87" s="83" t="n"/>
      <c r="AL87" s="83" t="n"/>
      <c r="AM87" s="83" t="n"/>
      <c r="AN87" s="83" t="n"/>
      <c r="AO87" s="83" t="n"/>
      <c r="AP87" s="83" t="n"/>
      <c r="AQ87" s="83" t="n"/>
      <c r="AR87" s="83" t="n"/>
      <c r="AS87" s="83" t="n"/>
      <c r="AT87" s="83" t="n"/>
      <c r="AU87" s="83" t="n"/>
      <c r="AV87" s="83" t="n"/>
      <c r="AW87" s="83" t="n"/>
      <c r="AX87" s="83" t="n"/>
      <c r="AY87" s="83" t="n"/>
      <c r="AZ87" s="83" t="n"/>
      <c r="BA87" s="83" t="n"/>
      <c r="BB87" s="83" t="n"/>
      <c r="BC87" s="83" t="n"/>
      <c r="BD87" s="83" t="n"/>
      <c r="BE87" s="83" t="n"/>
    </row>
    <row r="88" ht="18" customHeight="1">
      <c r="A88" s="55" t="str">
        <f>IFERROR(IF(INDEX('İş Planı'!$C$5:$C$204,ROW()-4)="","",INDEX('İş Planı'!$C$5:$C$204,ROW()-4)),"")</f>
        <v>3.2.3 Yetkilendirme</v>
      </c>
      <c r="B88" s="55" t="str">
        <f>IFERROR(IF(INDEX('İş Planı'!$B$5:$B$204,ROW()-4)="","",INDEX('İş Planı'!$B$5:$B$204,ROW()-4)),"")</f>
        <v>BIGR</v>
      </c>
      <c r="C88" s="72">
        <f>IFERROR(IF(INDEX('İş Planı'!$I$5:$I$204,ROW()-4)="","",INDEX('İş Planı'!$I$5:$I$204,ROW()-4)),"")</f>
        <v>46283</v>
      </c>
      <c r="D88" s="72">
        <f>IFERROR(IF(INDEX('İş Planı'!$M$5:$M$204,ROW()-4)="","",INDEX('İş Planı'!$M$5:$M$204,ROW()-4)),"")</f>
        <v>46295</v>
      </c>
      <c r="E88" s="71" t="str">
        <f>IFERROR(IF(INDEX('İş Planı'!$O$5:$O$204,ROW()-4)="","",INDEX('İş Planı'!$O$5:$O$204,ROW()-4)),"")</f>
        <v>Gecikmiş</v>
      </c>
      <c r="F88" s="83" t="n"/>
      <c r="G88" s="83" t="n"/>
      <c r="H88" s="83" t="n"/>
      <c r="I88" s="83" t="n"/>
      <c r="J88" s="83" t="n"/>
      <c r="K88" s="83" t="n"/>
      <c r="L88" s="83" t="n"/>
      <c r="M88" s="83" t="n"/>
      <c r="N88" s="83" t="n"/>
      <c r="O88" s="83" t="n"/>
      <c r="P88" s="83" t="n"/>
      <c r="Q88" s="83" t="n"/>
      <c r="R88" s="83" t="n"/>
      <c r="S88" s="83" t="n"/>
      <c r="T88" s="83" t="n"/>
      <c r="U88" s="83" t="n"/>
      <c r="V88" s="83" t="n"/>
      <c r="W88" s="83" t="n"/>
      <c r="X88" s="83" t="n"/>
      <c r="Y88" s="83" t="n"/>
      <c r="Z88" s="83" t="n"/>
      <c r="AA88" s="83" t="n"/>
      <c r="AB88" s="83" t="n"/>
      <c r="AC88" s="83" t="n"/>
      <c r="AD88" s="83" t="n"/>
      <c r="AE88" s="83" t="n"/>
      <c r="AF88" s="83" t="n"/>
      <c r="AG88" s="83" t="n"/>
      <c r="AH88" s="83" t="n"/>
      <c r="AI88" s="83" t="n"/>
      <c r="AJ88" s="83" t="n"/>
      <c r="AK88" s="83" t="n"/>
      <c r="AL88" s="83" t="n"/>
      <c r="AM88" s="83" t="n"/>
      <c r="AN88" s="83" t="n"/>
      <c r="AO88" s="83" t="n"/>
      <c r="AP88" s="83" t="n"/>
      <c r="AQ88" s="83" t="n"/>
      <c r="AR88" s="83" t="n"/>
      <c r="AS88" s="83" t="n"/>
      <c r="AT88" s="83" t="n"/>
      <c r="AU88" s="83" t="n"/>
      <c r="AV88" s="83" t="n"/>
      <c r="AW88" s="83" t="n"/>
      <c r="AX88" s="83" t="n"/>
      <c r="AY88" s="83" t="n"/>
      <c r="AZ88" s="83" t="n"/>
      <c r="BA88" s="83" t="n"/>
      <c r="BB88" s="83" t="n"/>
      <c r="BC88" s="83" t="n"/>
      <c r="BD88" s="83" t="n"/>
      <c r="BE88" s="83" t="n"/>
    </row>
    <row r="89" ht="18" customHeight="1">
      <c r="A89" s="55" t="str">
        <f>IFERROR(IF(INDEX('İş Planı'!$C$5:$C$204,ROW()-4)="","",INDEX('İş Planı'!$C$5:$C$204,ROW()-4)),"")</f>
        <v>3.2.8 Hata Ele Alma ve Kayıt Yönetimi</v>
      </c>
      <c r="B89" s="55" t="str">
        <f>IFERROR(IF(INDEX('İş Planı'!$B$5:$B$204,ROW()-4)="","",INDEX('İş Planı'!$B$5:$B$204,ROW()-4)),"")</f>
        <v>BIGR</v>
      </c>
      <c r="C89" s="72">
        <f>IFERROR(IF(INDEX('İş Planı'!$I$5:$I$204,ROW()-4)="","",INDEX('İş Planı'!$I$5:$I$204,ROW()-4)),"")</f>
        <v>46296</v>
      </c>
      <c r="D89" s="72">
        <f>IFERROR(IF(INDEX('İş Planı'!$M$5:$M$204,ROW()-4)="","",INDEX('İş Planı'!$M$5:$M$204,ROW()-4)),"")</f>
        <v>46308</v>
      </c>
      <c r="E89" s="71" t="str">
        <f>IFERROR(IF(INDEX('İş Planı'!$O$5:$O$204,ROW()-4)="","",INDEX('İş Planı'!$O$5:$O$204,ROW()-4)),"")</f>
        <v>Devam Ediyor</v>
      </c>
      <c r="F89" s="83" t="n"/>
      <c r="G89" s="83" t="n"/>
      <c r="H89" s="83" t="n"/>
      <c r="I89" s="83" t="n"/>
      <c r="J89" s="83" t="n"/>
      <c r="K89" s="83" t="n"/>
      <c r="L89" s="83" t="n"/>
      <c r="M89" s="83" t="n"/>
      <c r="N89" s="83" t="n"/>
      <c r="O89" s="83" t="n"/>
      <c r="P89" s="83" t="n"/>
      <c r="Q89" s="83" t="n"/>
      <c r="R89" s="83" t="n"/>
      <c r="S89" s="83" t="n"/>
      <c r="T89" s="83" t="n"/>
      <c r="U89" s="83" t="n"/>
      <c r="V89" s="83" t="n"/>
      <c r="W89" s="83" t="n"/>
      <c r="X89" s="83" t="n"/>
      <c r="Y89" s="83" t="n"/>
      <c r="Z89" s="83" t="n"/>
      <c r="AA89" s="83" t="n"/>
      <c r="AB89" s="83" t="n"/>
      <c r="AC89" s="83" t="n"/>
      <c r="AD89" s="83" t="n"/>
      <c r="AE89" s="83" t="n"/>
      <c r="AF89" s="83" t="n"/>
      <c r="AG89" s="83" t="n"/>
      <c r="AH89" s="83" t="n"/>
      <c r="AI89" s="83" t="n"/>
      <c r="AJ89" s="83" t="n"/>
      <c r="AK89" s="83" t="n"/>
      <c r="AL89" s="83" t="n"/>
      <c r="AM89" s="83" t="n"/>
      <c r="AN89" s="83" t="n"/>
      <c r="AO89" s="83" t="n"/>
      <c r="AP89" s="83" t="n"/>
      <c r="AQ89" s="83" t="n"/>
      <c r="AR89" s="83" t="n"/>
      <c r="AS89" s="83" t="n"/>
      <c r="AT89" s="83" t="n"/>
      <c r="AU89" s="83" t="n"/>
      <c r="AV89" s="83" t="n"/>
      <c r="AW89" s="83" t="n"/>
      <c r="AX89" s="83" t="n"/>
      <c r="AY89" s="83" t="n"/>
      <c r="AZ89" s="83" t="n"/>
      <c r="BA89" s="83" t="n"/>
      <c r="BB89" s="83" t="n"/>
      <c r="BC89" s="83" t="n"/>
      <c r="BD89" s="83" t="n"/>
      <c r="BE89" s="83" t="n"/>
    </row>
    <row r="90" ht="18" customHeight="1">
      <c r="A90" s="55" t="str">
        <f>IFERROR(IF(INDEX('İş Planı'!$C$5:$C$204,ROW()-4)="","",INDEX('İş Planı'!$C$5:$C$204,ROW()-4)),"")</f>
        <v>3.2.10 Kötücül İşlemleri Engelleme</v>
      </c>
      <c r="B90" s="55" t="str">
        <f>IFERROR(IF(INDEX('İş Planı'!$B$5:$B$204,ROW()-4)="","",INDEX('İş Planı'!$B$5:$B$204,ROW()-4)),"")</f>
        <v>BIGR</v>
      </c>
      <c r="C90" s="72">
        <f>IFERROR(IF(INDEX('İş Planı'!$I$5:$I$204,ROW()-4)="","",INDEX('İş Planı'!$I$5:$I$204,ROW()-4)),"")</f>
        <v>46296</v>
      </c>
      <c r="D90" s="72">
        <f>IFERROR(IF(INDEX('İş Planı'!$M$5:$M$204,ROW()-4)="","",INDEX('İş Planı'!$M$5:$M$204,ROW()-4)),"")</f>
        <v>46309</v>
      </c>
      <c r="E90" s="71" t="str">
        <f>IFERROR(IF(INDEX('İş Planı'!$O$5:$O$204,ROW()-4)="","",INDEX('İş Planı'!$O$5:$O$204,ROW()-4)),"")</f>
        <v>Devam Ediyor</v>
      </c>
      <c r="F90" s="83" t="n"/>
      <c r="G90" s="83" t="n"/>
      <c r="H90" s="83" t="n"/>
      <c r="I90" s="83" t="n"/>
      <c r="J90" s="83" t="n"/>
      <c r="K90" s="83" t="n"/>
      <c r="L90" s="83" t="n"/>
      <c r="M90" s="83" t="n"/>
      <c r="N90" s="83" t="n"/>
      <c r="O90" s="83" t="n"/>
      <c r="P90" s="83" t="n"/>
      <c r="Q90" s="83" t="n"/>
      <c r="R90" s="83" t="n"/>
      <c r="S90" s="83" t="n"/>
      <c r="T90" s="83" t="n"/>
      <c r="U90" s="83" t="n"/>
      <c r="V90" s="83" t="n"/>
      <c r="W90" s="83" t="n"/>
      <c r="X90" s="83" t="n"/>
      <c r="Y90" s="83" t="n"/>
      <c r="Z90" s="83" t="n"/>
      <c r="AA90" s="83" t="n"/>
      <c r="AB90" s="83" t="n"/>
      <c r="AC90" s="83" t="n"/>
      <c r="AD90" s="83" t="n"/>
      <c r="AE90" s="83" t="n"/>
      <c r="AF90" s="83" t="n"/>
      <c r="AG90" s="83" t="n"/>
      <c r="AH90" s="83" t="n"/>
      <c r="AI90" s="83" t="n"/>
      <c r="AJ90" s="83" t="n"/>
      <c r="AK90" s="83" t="n"/>
      <c r="AL90" s="83" t="n"/>
      <c r="AM90" s="83" t="n"/>
      <c r="AN90" s="83" t="n"/>
      <c r="AO90" s="83" t="n"/>
      <c r="AP90" s="83" t="n"/>
      <c r="AQ90" s="83" t="n"/>
      <c r="AR90" s="83" t="n"/>
      <c r="AS90" s="83" t="n"/>
      <c r="AT90" s="83" t="n"/>
      <c r="AU90" s="83" t="n"/>
      <c r="AV90" s="83" t="n"/>
      <c r="AW90" s="83" t="n"/>
      <c r="AX90" s="83" t="n"/>
      <c r="AY90" s="83" t="n"/>
      <c r="AZ90" s="83" t="n"/>
      <c r="BA90" s="83" t="n"/>
      <c r="BB90" s="83" t="n"/>
      <c r="BC90" s="83" t="n"/>
      <c r="BD90" s="83" t="n"/>
      <c r="BE90" s="83" t="n"/>
    </row>
    <row r="91" ht="18" customHeight="1">
      <c r="A91" s="55" t="str">
        <f>IFERROR(IF(INDEX('İş Planı'!$C$5:$C$204,ROW()-4)="","",INDEX('İş Planı'!$C$5:$C$204,ROW()-4)),"")</f>
        <v>4.1.1 Kayıt Yönetimi</v>
      </c>
      <c r="B91" s="55" t="str">
        <f>IFERROR(IF(INDEX('İş Planı'!$B$5:$B$204,ROW()-4)="","",INDEX('İş Planı'!$B$5:$B$204,ROW()-4)),"")</f>
        <v>BIGR</v>
      </c>
      <c r="C91" s="72">
        <f>IFERROR(IF(INDEX('İş Planı'!$I$5:$I$204,ROW()-4)="","",INDEX('İş Planı'!$I$5:$I$204,ROW()-4)),"")</f>
        <v>46296</v>
      </c>
      <c r="D91" s="72">
        <f>IFERROR(IF(INDEX('İş Planı'!$M$5:$M$204,ROW()-4)="","",INDEX('İş Planı'!$M$5:$M$204,ROW()-4)),"")</f>
        <v>46310</v>
      </c>
      <c r="E91" s="71" t="str">
        <f>IFERROR(IF(INDEX('İş Planı'!$O$5:$O$204,ROW()-4)="","",INDEX('İş Planı'!$O$5:$O$204,ROW()-4)),"")</f>
        <v>Devam Ediyor</v>
      </c>
      <c r="F91" s="83" t="n"/>
      <c r="G91" s="83" t="n"/>
      <c r="H91" s="83" t="n"/>
      <c r="I91" s="83" t="n"/>
      <c r="J91" s="83" t="n"/>
      <c r="K91" s="83" t="n"/>
      <c r="L91" s="83" t="n"/>
      <c r="M91" s="83" t="n"/>
      <c r="N91" s="83" t="n"/>
      <c r="O91" s="83" t="n"/>
      <c r="P91" s="83" t="n"/>
      <c r="Q91" s="83" t="n"/>
      <c r="R91" s="83" t="n"/>
      <c r="S91" s="83" t="n"/>
      <c r="T91" s="83" t="n"/>
      <c r="U91" s="83" t="n"/>
      <c r="V91" s="83" t="n"/>
      <c r="W91" s="83" t="n"/>
      <c r="X91" s="83" t="n"/>
      <c r="Y91" s="83" t="n"/>
      <c r="Z91" s="83" t="n"/>
      <c r="AA91" s="83" t="n"/>
      <c r="AB91" s="83" t="n"/>
      <c r="AC91" s="83" t="n"/>
      <c r="AD91" s="83" t="n"/>
      <c r="AE91" s="83" t="n"/>
      <c r="AF91" s="83" t="n"/>
      <c r="AG91" s="83" t="n"/>
      <c r="AH91" s="83" t="n"/>
      <c r="AI91" s="83" t="n"/>
      <c r="AJ91" s="83" t="n"/>
      <c r="AK91" s="83" t="n"/>
      <c r="AL91" s="83" t="n"/>
      <c r="AM91" s="83" t="n"/>
      <c r="AN91" s="83" t="n"/>
      <c r="AO91" s="83" t="n"/>
      <c r="AP91" s="83" t="n"/>
      <c r="AQ91" s="83" t="n"/>
      <c r="AR91" s="83" t="n"/>
      <c r="AS91" s="83" t="n"/>
      <c r="AT91" s="83" t="n"/>
      <c r="AU91" s="83" t="n"/>
      <c r="AV91" s="83" t="n"/>
      <c r="AW91" s="83" t="n"/>
      <c r="AX91" s="83" t="n"/>
      <c r="AY91" s="83" t="n"/>
      <c r="AZ91" s="83" t="n"/>
      <c r="BA91" s="83" t="n"/>
      <c r="BB91" s="83" t="n"/>
      <c r="BC91" s="83" t="n"/>
      <c r="BD91" s="83" t="n"/>
      <c r="BE91" s="83" t="n"/>
    </row>
    <row r="92" ht="18" customHeight="1">
      <c r="A92" s="55" t="str">
        <f>IFERROR(IF(INDEX('İş Planı'!$C$5:$C$204,ROW()-4)="","",INDEX('İş Planı'!$C$5:$C$204,ROW()-4)),"")</f>
        <v>4.1.2  Erişim Kayıtları Yönetimi</v>
      </c>
      <c r="B92" s="55" t="str">
        <f>IFERROR(IF(INDEX('İş Planı'!$B$5:$B$204,ROW()-4)="","",INDEX('İş Planı'!$B$5:$B$204,ROW()-4)),"")</f>
        <v>BIGR</v>
      </c>
      <c r="C92" s="72">
        <f>IFERROR(IF(INDEX('İş Planı'!$I$5:$I$204,ROW()-4)="","",INDEX('İş Planı'!$I$5:$I$204,ROW()-4)),"")</f>
        <v>46307</v>
      </c>
      <c r="D92" s="72">
        <f>IFERROR(IF(INDEX('İş Planı'!$M$5:$M$204,ROW()-4)="","",INDEX('İş Planı'!$M$5:$M$204,ROW()-4)),"")</f>
        <v>46328</v>
      </c>
      <c r="E92" s="71" t="str">
        <f>IFERROR(IF(INDEX('İş Planı'!$O$5:$O$204,ROW()-4)="","",INDEX('İş Planı'!$O$5:$O$204,ROW()-4)),"")</f>
        <v>Planlanan</v>
      </c>
      <c r="F92" s="83" t="n"/>
      <c r="G92" s="83" t="n"/>
      <c r="H92" s="83" t="n"/>
      <c r="I92" s="83" t="n"/>
      <c r="J92" s="83" t="n"/>
      <c r="K92" s="83" t="n"/>
      <c r="L92" s="83" t="n"/>
      <c r="M92" s="83" t="n"/>
      <c r="N92" s="83" t="n"/>
      <c r="O92" s="83" t="n"/>
      <c r="P92" s="83" t="n"/>
      <c r="Q92" s="83" t="n"/>
      <c r="R92" s="83" t="n"/>
      <c r="S92" s="83" t="n"/>
      <c r="T92" s="83" t="n"/>
      <c r="U92" s="83" t="n"/>
      <c r="V92" s="83" t="n"/>
      <c r="W92" s="83" t="n"/>
      <c r="X92" s="83" t="n"/>
      <c r="Y92" s="83" t="n"/>
      <c r="Z92" s="83" t="n"/>
      <c r="AA92" s="83" t="n"/>
      <c r="AB92" s="83" t="n"/>
      <c r="AC92" s="83" t="n"/>
      <c r="AD92" s="83" t="n"/>
      <c r="AE92" s="83" t="n"/>
      <c r="AF92" s="83" t="n"/>
      <c r="AG92" s="83" t="n"/>
      <c r="AH92" s="83" t="n"/>
      <c r="AI92" s="83" t="n"/>
      <c r="AJ92" s="83" t="n"/>
      <c r="AK92" s="83" t="n"/>
      <c r="AL92" s="83" t="n"/>
      <c r="AM92" s="83" t="n"/>
      <c r="AN92" s="83" t="n"/>
      <c r="AO92" s="83" t="n"/>
      <c r="AP92" s="83" t="n"/>
      <c r="AQ92" s="83" t="n"/>
      <c r="AR92" s="83" t="n"/>
      <c r="AS92" s="83" t="n"/>
      <c r="AT92" s="83" t="n"/>
      <c r="AU92" s="83" t="n"/>
      <c r="AV92" s="83" t="n"/>
      <c r="AW92" s="83" t="n"/>
      <c r="AX92" s="83" t="n"/>
      <c r="AY92" s="83" t="n"/>
      <c r="AZ92" s="83" t="n"/>
      <c r="BA92" s="83" t="n"/>
      <c r="BB92" s="83" t="n"/>
      <c r="BC92" s="83" t="n"/>
      <c r="BD92" s="83" t="n"/>
      <c r="BE92" s="83" t="n"/>
    </row>
    <row r="93" ht="18" customHeight="1">
      <c r="A93" s="55" t="str">
        <f>IFERROR(IF(INDEX('İş Planı'!$C$5:$C$204,ROW()-4)="","",INDEX('İş Planı'!$C$5:$C$204,ROW()-4)),"")</f>
        <v>4.1.3 Yetkilendirme</v>
      </c>
      <c r="B93" s="55" t="str">
        <f>IFERROR(IF(INDEX('İş Planı'!$B$5:$B$204,ROW()-4)="","",INDEX('İş Planı'!$B$5:$B$204,ROW()-4)),"")</f>
        <v>BIGR</v>
      </c>
      <c r="C93" s="72">
        <f>IFERROR(IF(INDEX('İş Planı'!$I$5:$I$204,ROW()-4)="","",INDEX('İş Planı'!$I$5:$I$204,ROW()-4)),"")</f>
        <v>46283</v>
      </c>
      <c r="D93" s="72">
        <f>IFERROR(IF(INDEX('İş Planı'!$M$5:$M$204,ROW()-4)="","",INDEX('İş Planı'!$M$5:$M$204,ROW()-4)),"")</f>
        <v>46295</v>
      </c>
      <c r="E93" s="71" t="str">
        <f>IFERROR(IF(INDEX('İş Planı'!$O$5:$O$204,ROW()-4)="","",INDEX('İş Planı'!$O$5:$O$204,ROW()-4)),"")</f>
        <v>Gecikmiş</v>
      </c>
      <c r="F93" s="83" t="n"/>
      <c r="G93" s="83" t="n"/>
      <c r="H93" s="83" t="n"/>
      <c r="I93" s="83" t="n"/>
      <c r="J93" s="83" t="n"/>
      <c r="K93" s="83" t="n"/>
      <c r="L93" s="83" t="n"/>
      <c r="M93" s="83" t="n"/>
      <c r="N93" s="83" t="n"/>
      <c r="O93" s="83" t="n"/>
      <c r="P93" s="83" t="n"/>
      <c r="Q93" s="83" t="n"/>
      <c r="R93" s="83" t="n"/>
      <c r="S93" s="83" t="n"/>
      <c r="T93" s="83" t="n"/>
      <c r="U93" s="83" t="n"/>
      <c r="V93" s="83" t="n"/>
      <c r="W93" s="83" t="n"/>
      <c r="X93" s="83" t="n"/>
      <c r="Y93" s="83" t="n"/>
      <c r="Z93" s="83" t="n"/>
      <c r="AA93" s="83" t="n"/>
      <c r="AB93" s="83" t="n"/>
      <c r="AC93" s="83" t="n"/>
      <c r="AD93" s="83" t="n"/>
      <c r="AE93" s="83" t="n"/>
      <c r="AF93" s="83" t="n"/>
      <c r="AG93" s="83" t="n"/>
      <c r="AH93" s="83" t="n"/>
      <c r="AI93" s="83" t="n"/>
      <c r="AJ93" s="83" t="n"/>
      <c r="AK93" s="83" t="n"/>
      <c r="AL93" s="83" t="n"/>
      <c r="AM93" s="83" t="n"/>
      <c r="AN93" s="83" t="n"/>
      <c r="AO93" s="83" t="n"/>
      <c r="AP93" s="83" t="n"/>
      <c r="AQ93" s="83" t="n"/>
      <c r="AR93" s="83" t="n"/>
      <c r="AS93" s="83" t="n"/>
      <c r="AT93" s="83" t="n"/>
      <c r="AU93" s="83" t="n"/>
      <c r="AV93" s="83" t="n"/>
      <c r="AW93" s="83" t="n"/>
      <c r="AX93" s="83" t="n"/>
      <c r="AY93" s="83" t="n"/>
      <c r="AZ93" s="83" t="n"/>
      <c r="BA93" s="83" t="n"/>
      <c r="BB93" s="83" t="n"/>
      <c r="BC93" s="83" t="n"/>
      <c r="BD93" s="83" t="n"/>
      <c r="BE93" s="83" t="n"/>
    </row>
    <row r="94" ht="18" customHeight="1">
      <c r="A94" s="55" t="str">
        <f>IFERROR(IF(INDEX('İş Planı'!$C$5:$C$204,ROW()-4)="","",INDEX('İş Planı'!$C$5:$C$204,ROW()-4)),"")</f>
        <v>4.1.4 Şifreleme</v>
      </c>
      <c r="B94" s="55" t="str">
        <f>IFERROR(IF(INDEX('İş Planı'!$B$5:$B$204,ROW()-4)="","",INDEX('İş Planı'!$B$5:$B$204,ROW()-4)),"")</f>
        <v>BIGR</v>
      </c>
      <c r="C94" s="72">
        <f>IFERROR(IF(INDEX('İş Planı'!$I$5:$I$204,ROW()-4)="","",INDEX('İş Planı'!$I$5:$I$204,ROW()-4)),"")</f>
        <v>46307</v>
      </c>
      <c r="D94" s="72">
        <f>IFERROR(IF(INDEX('İş Planı'!$M$5:$M$204,ROW()-4)="","",INDEX('İş Planı'!$M$5:$M$204,ROW()-4)),"")</f>
        <v>46331</v>
      </c>
      <c r="E94" s="71" t="str">
        <f>IFERROR(IF(INDEX('İş Planı'!$O$5:$O$204,ROW()-4)="","",INDEX('İş Planı'!$O$5:$O$204,ROW()-4)),"")</f>
        <v>Planlanan</v>
      </c>
      <c r="F94" s="83" t="n"/>
      <c r="G94" s="83" t="n"/>
      <c r="H94" s="83" t="n"/>
      <c r="I94" s="83" t="n"/>
      <c r="J94" s="83" t="n"/>
      <c r="K94" s="83" t="n"/>
      <c r="L94" s="83" t="n"/>
      <c r="M94" s="83" t="n"/>
      <c r="N94" s="83" t="n"/>
      <c r="O94" s="83" t="n"/>
      <c r="P94" s="83" t="n"/>
      <c r="Q94" s="83" t="n"/>
      <c r="R94" s="83" t="n"/>
      <c r="S94" s="83" t="n"/>
      <c r="T94" s="83" t="n"/>
      <c r="U94" s="83" t="n"/>
      <c r="V94" s="83" t="n"/>
      <c r="W94" s="83" t="n"/>
      <c r="X94" s="83" t="n"/>
      <c r="Y94" s="83" t="n"/>
      <c r="Z94" s="83" t="n"/>
      <c r="AA94" s="83" t="n"/>
      <c r="AB94" s="83" t="n"/>
      <c r="AC94" s="83" t="n"/>
      <c r="AD94" s="83" t="n"/>
      <c r="AE94" s="83" t="n"/>
      <c r="AF94" s="83" t="n"/>
      <c r="AG94" s="83" t="n"/>
      <c r="AH94" s="83" t="n"/>
      <c r="AI94" s="83" t="n"/>
      <c r="AJ94" s="83" t="n"/>
      <c r="AK94" s="83" t="n"/>
      <c r="AL94" s="83" t="n"/>
      <c r="AM94" s="83" t="n"/>
      <c r="AN94" s="83" t="n"/>
      <c r="AO94" s="83" t="n"/>
      <c r="AP94" s="83" t="n"/>
      <c r="AQ94" s="83" t="n"/>
      <c r="AR94" s="83" t="n"/>
      <c r="AS94" s="83" t="n"/>
      <c r="AT94" s="83" t="n"/>
      <c r="AU94" s="83" t="n"/>
      <c r="AV94" s="83" t="n"/>
      <c r="AW94" s="83" t="n"/>
      <c r="AX94" s="83" t="n"/>
      <c r="AY94" s="83" t="n"/>
      <c r="AZ94" s="83" t="n"/>
      <c r="BA94" s="83" t="n"/>
      <c r="BB94" s="83" t="n"/>
      <c r="BC94" s="83" t="n"/>
      <c r="BD94" s="83" t="n"/>
      <c r="BE94" s="83" t="n"/>
    </row>
    <row r="95" ht="18" customHeight="1">
      <c r="A95" s="55" t="str">
        <f>IFERROR(IF(INDEX('İş Planı'!$C$5:$C$204,ROW()-4)="","",INDEX('İş Planı'!$C$5:$C$204,ROW()-4)),"")</f>
        <v>4.1.5 Yedekleme, Silme, Yok Etme ve Anonim Hale Getirme</v>
      </c>
      <c r="B95" s="55" t="str">
        <f>IFERROR(IF(INDEX('İş Planı'!$B$5:$B$204,ROW()-4)="","",INDEX('İş Planı'!$B$5:$B$204,ROW()-4)),"")</f>
        <v>BIGR</v>
      </c>
      <c r="C95" s="72">
        <f>IFERROR(IF(INDEX('İş Planı'!$I$5:$I$204,ROW()-4)="","",INDEX('İş Planı'!$I$5:$I$204,ROW()-4)),"")</f>
        <v>46307</v>
      </c>
      <c r="D95" s="72">
        <f>IFERROR(IF(INDEX('İş Planı'!$M$5:$M$204,ROW()-4)="","",INDEX('İş Planı'!$M$5:$M$204,ROW()-4)),"")</f>
        <v>46331</v>
      </c>
      <c r="E95" s="71" t="str">
        <f>IFERROR(IF(INDEX('İş Planı'!$O$5:$O$204,ROW()-4)="","",INDEX('İş Planı'!$O$5:$O$204,ROW()-4)),"")</f>
        <v>Planlanan</v>
      </c>
      <c r="F95" s="83" t="n"/>
      <c r="G95" s="83" t="n"/>
      <c r="H95" s="83" t="n"/>
      <c r="I95" s="83" t="n"/>
      <c r="J95" s="83" t="n"/>
      <c r="K95" s="83" t="n"/>
      <c r="L95" s="83" t="n"/>
      <c r="M95" s="83" t="n"/>
      <c r="N95" s="83" t="n"/>
      <c r="O95" s="83" t="n"/>
      <c r="P95" s="83" t="n"/>
      <c r="Q95" s="83" t="n"/>
      <c r="R95" s="83" t="n"/>
      <c r="S95" s="83" t="n"/>
      <c r="T95" s="83" t="n"/>
      <c r="U95" s="83" t="n"/>
      <c r="V95" s="83" t="n"/>
      <c r="W95" s="83" t="n"/>
      <c r="X95" s="83" t="n"/>
      <c r="Y95" s="83" t="n"/>
      <c r="Z95" s="83" t="n"/>
      <c r="AA95" s="83" t="n"/>
      <c r="AB95" s="83" t="n"/>
      <c r="AC95" s="83" t="n"/>
      <c r="AD95" s="83" t="n"/>
      <c r="AE95" s="83" t="n"/>
      <c r="AF95" s="83" t="n"/>
      <c r="AG95" s="83" t="n"/>
      <c r="AH95" s="83" t="n"/>
      <c r="AI95" s="83" t="n"/>
      <c r="AJ95" s="83" t="n"/>
      <c r="AK95" s="83" t="n"/>
      <c r="AL95" s="83" t="n"/>
      <c r="AM95" s="83" t="n"/>
      <c r="AN95" s="83" t="n"/>
      <c r="AO95" s="83" t="n"/>
      <c r="AP95" s="83" t="n"/>
      <c r="AQ95" s="83" t="n"/>
      <c r="AR95" s="83" t="n"/>
      <c r="AS95" s="83" t="n"/>
      <c r="AT95" s="83" t="n"/>
      <c r="AU95" s="83" t="n"/>
      <c r="AV95" s="83" t="n"/>
      <c r="AW95" s="83" t="n"/>
      <c r="AX95" s="83" t="n"/>
      <c r="AY95" s="83" t="n"/>
      <c r="AZ95" s="83" t="n"/>
      <c r="BA95" s="83" t="n"/>
      <c r="BB95" s="83" t="n"/>
      <c r="BC95" s="83" t="n"/>
      <c r="BD95" s="83" t="n"/>
      <c r="BE95" s="83" t="n"/>
    </row>
    <row r="96" ht="18" customHeight="1">
      <c r="A96" s="55" t="str">
        <f>IFERROR(IF(INDEX('İş Planı'!$C$5:$C$204,ROW()-4)="","",INDEX('İş Planı'!$C$5:$C$204,ROW()-4)),"")</f>
        <v>5.3.1 Web Sunucusu Sıkılaştırma Tedbirler</v>
      </c>
      <c r="B96" s="55" t="str">
        <f>IFERROR(IF(INDEX('İş Planı'!$B$5:$B$204,ROW()-4)="","",INDEX('İş Planı'!$B$5:$B$204,ROW()-4)),"")</f>
        <v>BIGR</v>
      </c>
      <c r="C96" s="72">
        <f>IFERROR(IF(INDEX('İş Planı'!$I$5:$I$204,ROW()-4)="","",INDEX('İş Planı'!$I$5:$I$204,ROW()-4)),"")</f>
        <v>46314</v>
      </c>
      <c r="D96" s="72">
        <f>IFERROR(IF(INDEX('İş Planı'!$M$5:$M$204,ROW()-4)="","",INDEX('İş Planı'!$M$5:$M$204,ROW()-4)),"")</f>
        <v>46328</v>
      </c>
      <c r="E96" s="71" t="str">
        <f>IFERROR(IF(INDEX('İş Planı'!$O$5:$O$204,ROW()-4)="","",INDEX('İş Planı'!$O$5:$O$204,ROW()-4)),"")</f>
        <v>Planlanan</v>
      </c>
      <c r="F96" s="83" t="n"/>
      <c r="G96" s="83" t="n"/>
      <c r="H96" s="83" t="n"/>
      <c r="I96" s="83" t="n"/>
      <c r="J96" s="83" t="n"/>
      <c r="K96" s="83" t="n"/>
      <c r="L96" s="83" t="n"/>
      <c r="M96" s="83" t="n"/>
      <c r="N96" s="83" t="n"/>
      <c r="O96" s="83" t="n"/>
      <c r="P96" s="83" t="n"/>
      <c r="Q96" s="83" t="n"/>
      <c r="R96" s="83" t="n"/>
      <c r="S96" s="83" t="n"/>
      <c r="T96" s="83" t="n"/>
      <c r="U96" s="83" t="n"/>
      <c r="V96" s="83" t="n"/>
      <c r="W96" s="83" t="n"/>
      <c r="X96" s="83" t="n"/>
      <c r="Y96" s="83" t="n"/>
      <c r="Z96" s="83" t="n"/>
      <c r="AA96" s="83" t="n"/>
      <c r="AB96" s="83" t="n"/>
      <c r="AC96" s="83" t="n"/>
      <c r="AD96" s="83" t="n"/>
      <c r="AE96" s="83" t="n"/>
      <c r="AF96" s="83" t="n"/>
      <c r="AG96" s="83" t="n"/>
      <c r="AH96" s="83" t="n"/>
      <c r="AI96" s="83" t="n"/>
      <c r="AJ96" s="83" t="n"/>
      <c r="AK96" s="83" t="n"/>
      <c r="AL96" s="83" t="n"/>
      <c r="AM96" s="83" t="n"/>
      <c r="AN96" s="83" t="n"/>
      <c r="AO96" s="83" t="n"/>
      <c r="AP96" s="83" t="n"/>
      <c r="AQ96" s="83" t="n"/>
      <c r="AR96" s="83" t="n"/>
      <c r="AS96" s="83" t="n"/>
      <c r="AT96" s="83" t="n"/>
      <c r="AU96" s="83" t="n"/>
      <c r="AV96" s="83" t="n"/>
      <c r="AW96" s="83" t="n"/>
      <c r="AX96" s="83" t="n"/>
      <c r="AY96" s="83" t="n"/>
      <c r="AZ96" s="83" t="n"/>
      <c r="BA96" s="83" t="n"/>
      <c r="BB96" s="83" t="n"/>
      <c r="BC96" s="83" t="n"/>
      <c r="BD96" s="83" t="n"/>
      <c r="BE96" s="83" t="n"/>
    </row>
    <row r="97" ht="18" customHeight="1">
      <c r="A97" s="55" t="str">
        <f>IFERROR(IF(INDEX('İş Planı'!$C$5:$C$204,ROW()-4)="","",INDEX('İş Planı'!$C$5:$C$204,ROW()-4)),"")</f>
        <v>5.3.2 Sanallaştırma Sunucusu Sıkılaştırma Tedbirleri</v>
      </c>
      <c r="B97" s="55" t="str">
        <f>IFERROR(IF(INDEX('İş Planı'!$B$5:$B$204,ROW()-4)="","",INDEX('İş Planı'!$B$5:$B$204,ROW()-4)),"")</f>
        <v>BIGR</v>
      </c>
      <c r="C97" s="72">
        <f>IFERROR(IF(INDEX('İş Planı'!$I$5:$I$204,ROW()-4)="","",INDEX('İş Planı'!$I$5:$I$204,ROW()-4)),"")</f>
        <v>46314</v>
      </c>
      <c r="D97" s="72">
        <f>IFERROR(IF(INDEX('İş Planı'!$M$5:$M$204,ROW()-4)="","",INDEX('İş Planı'!$M$5:$M$204,ROW()-4)),"")</f>
        <v>46328</v>
      </c>
      <c r="E97" s="71" t="str">
        <f>IFERROR(IF(INDEX('İş Planı'!$O$5:$O$204,ROW()-4)="","",INDEX('İş Planı'!$O$5:$O$204,ROW()-4)),"")</f>
        <v>Planlanan</v>
      </c>
      <c r="F97" s="83" t="n"/>
      <c r="G97" s="83" t="n"/>
      <c r="H97" s="83" t="n"/>
      <c r="I97" s="83" t="n"/>
      <c r="J97" s="83" t="n"/>
      <c r="K97" s="83" t="n"/>
      <c r="L97" s="83" t="n"/>
      <c r="M97" s="83" t="n"/>
      <c r="N97" s="83" t="n"/>
      <c r="O97" s="83" t="n"/>
      <c r="P97" s="83" t="n"/>
      <c r="Q97" s="83" t="n"/>
      <c r="R97" s="83" t="n"/>
      <c r="S97" s="83" t="n"/>
      <c r="T97" s="83" t="n"/>
      <c r="U97" s="83" t="n"/>
      <c r="V97" s="83" t="n"/>
      <c r="W97" s="83" t="n"/>
      <c r="X97" s="83" t="n"/>
      <c r="Y97" s="83" t="n"/>
      <c r="Z97" s="83" t="n"/>
      <c r="AA97" s="83" t="n"/>
      <c r="AB97" s="83" t="n"/>
      <c r="AC97" s="83" t="n"/>
      <c r="AD97" s="83" t="n"/>
      <c r="AE97" s="83" t="n"/>
      <c r="AF97" s="83" t="n"/>
      <c r="AG97" s="83" t="n"/>
      <c r="AH97" s="83" t="n"/>
      <c r="AI97" s="83" t="n"/>
      <c r="AJ97" s="83" t="n"/>
      <c r="AK97" s="83" t="n"/>
      <c r="AL97" s="83" t="n"/>
      <c r="AM97" s="83" t="n"/>
      <c r="AN97" s="83" t="n"/>
      <c r="AO97" s="83" t="n"/>
      <c r="AP97" s="83" t="n"/>
      <c r="AQ97" s="83" t="n"/>
      <c r="AR97" s="83" t="n"/>
      <c r="AS97" s="83" t="n"/>
      <c r="AT97" s="83" t="n"/>
      <c r="AU97" s="83" t="n"/>
      <c r="AV97" s="83" t="n"/>
      <c r="AW97" s="83" t="n"/>
      <c r="AX97" s="83" t="n"/>
      <c r="AY97" s="83" t="n"/>
      <c r="AZ97" s="83" t="n"/>
      <c r="BA97" s="83" t="n"/>
      <c r="BB97" s="83" t="n"/>
      <c r="BC97" s="83" t="n"/>
      <c r="BD97" s="83" t="n"/>
      <c r="BE97" s="83" t="n"/>
    </row>
    <row r="98" ht="18" customHeight="1">
      <c r="A98" s="55" t="str">
        <f>IFERROR(IF(INDEX('İş Planı'!$C$5:$C$204,ROW()-4)="","",INDEX('İş Planı'!$C$5:$C$204,ROW()-4)),"")</f>
        <v>Teleperformance Dış Hizmet Denetimi
Sözleşmeye uyum ve yasal durumu incelenecek. RM hizmeti de olduğu için ek konular çıkabilir.</v>
      </c>
      <c r="B98" s="55" t="str">
        <f>IFERROR(IF(INDEX('İş Planı'!$B$5:$B$204,ROW()-4)="","",INDEX('İş Planı'!$B$5:$B$204,ROW()-4)),"")</f>
        <v>Destek Hizmeti Denetimler</v>
      </c>
      <c r="C98" s="72">
        <f>IFERROR(IF(INDEX('İş Planı'!$I$5:$I$204,ROW()-4)="","",INDEX('İş Planı'!$I$5:$I$204,ROW()-4)),"")</f>
        <v>46276</v>
      </c>
      <c r="D98" s="72">
        <f>IFERROR(IF(INDEX('İş Planı'!$M$5:$M$204,ROW()-4)="","",INDEX('İş Planı'!$M$5:$M$204,ROW()-4)),"")</f>
        <v>46328</v>
      </c>
      <c r="E98" s="71" t="str">
        <f>IFERROR(IF(INDEX('İş Planı'!$O$5:$O$204,ROW()-4)="","",INDEX('İş Planı'!$O$5:$O$204,ROW()-4)),"")</f>
        <v>Devam Ediyor</v>
      </c>
      <c r="F98" s="83" t="n"/>
      <c r="G98" s="83" t="n"/>
      <c r="H98" s="83" t="n"/>
      <c r="I98" s="83" t="n"/>
      <c r="J98" s="83" t="n"/>
      <c r="K98" s="83" t="n"/>
      <c r="L98" s="83" t="n"/>
      <c r="M98" s="83" t="n"/>
      <c r="N98" s="83" t="n"/>
      <c r="O98" s="83" t="n"/>
      <c r="P98" s="83" t="n"/>
      <c r="Q98" s="83" t="n"/>
      <c r="R98" s="83" t="n"/>
      <c r="S98" s="83" t="n"/>
      <c r="T98" s="83" t="n"/>
      <c r="U98" s="83" t="n"/>
      <c r="V98" s="83" t="n"/>
      <c r="W98" s="83" t="n"/>
      <c r="X98" s="83" t="n"/>
      <c r="Y98" s="83" t="n"/>
      <c r="Z98" s="83" t="n"/>
      <c r="AA98" s="83" t="n"/>
      <c r="AB98" s="83" t="n"/>
      <c r="AC98" s="83" t="n"/>
      <c r="AD98" s="83" t="n"/>
      <c r="AE98" s="83" t="n"/>
      <c r="AF98" s="83" t="n"/>
      <c r="AG98" s="83" t="n"/>
      <c r="AH98" s="83" t="n"/>
      <c r="AI98" s="83" t="n"/>
      <c r="AJ98" s="83" t="n"/>
      <c r="AK98" s="83" t="n"/>
      <c r="AL98" s="83" t="n"/>
      <c r="AM98" s="83" t="n"/>
      <c r="AN98" s="83" t="n"/>
      <c r="AO98" s="83" t="n"/>
      <c r="AP98" s="83" t="n"/>
      <c r="AQ98" s="83" t="n"/>
      <c r="AR98" s="83" t="n"/>
      <c r="AS98" s="83" t="n"/>
      <c r="AT98" s="83" t="n"/>
      <c r="AU98" s="83" t="n"/>
      <c r="AV98" s="83" t="n"/>
      <c r="AW98" s="83" t="n"/>
      <c r="AX98" s="83" t="n"/>
      <c r="AY98" s="83" t="n"/>
      <c r="AZ98" s="83" t="n"/>
      <c r="BA98" s="83" t="n"/>
      <c r="BB98" s="83" t="n"/>
      <c r="BC98" s="83" t="n"/>
      <c r="BD98" s="83" t="n"/>
      <c r="BE98" s="83" t="n"/>
    </row>
    <row r="99" ht="18" customHeight="1">
      <c r="A99" s="55" t="str">
        <f>IFERROR(IF(INDEX('İş Planı'!$C$5:$C$204,ROW()-4)="","",INDEX('İş Planı'!$C$5:$C$204,ROW()-4)),"")</f>
        <v>Faaliyet İzni İptal Edilen Kurumlara İlişkin Yetki İptal Sürecinin İncelenmesi
Finans ve İş Birimleri Ekibi'ne denetim sürecinde destek olunacaktır.
30.09.2026 tarihinde Yetkilendirme Yönetimi Ekibi ile toplantı yapılmıştır.</v>
      </c>
      <c r="B99" s="55" t="str">
        <f>IFERROR(IF(INDEX('İş Planı'!$B$5:$B$204,ROW()-4)="","",INDEX('İş Planı'!$B$5:$B$204,ROW()-4)),"")</f>
        <v>Ad-Hoc İşler</v>
      </c>
      <c r="C99" s="72">
        <f>IFERROR(IF(INDEX('İş Planı'!$I$5:$I$204,ROW()-4)="","",INDEX('İş Planı'!$I$5:$I$204,ROW()-4)),"")</f>
        <v>46295</v>
      </c>
      <c r="D99" s="72">
        <f>IFERROR(IF(INDEX('İş Planı'!$M$5:$M$204,ROW()-4)="","",INDEX('İş Planı'!$M$5:$M$204,ROW()-4)),"")</f>
        <v/>
      </c>
      <c r="E99" s="71" t="str">
        <f>IFERROR(IF(INDEX('İş Planı'!$O$5:$O$204,ROW()-4)="","",INDEX('İş Planı'!$O$5:$O$204,ROW()-4)),"")</f>
        <v>Devam Ediyor</v>
      </c>
      <c r="F99" s="83" t="n"/>
      <c r="G99" s="83" t="n"/>
      <c r="H99" s="83" t="n"/>
      <c r="I99" s="83" t="n"/>
      <c r="J99" s="83" t="n"/>
      <c r="K99" s="83" t="n"/>
      <c r="L99" s="83" t="n"/>
      <c r="M99" s="83" t="n"/>
      <c r="N99" s="83" t="n"/>
      <c r="O99" s="83" t="n"/>
      <c r="P99" s="83" t="n"/>
      <c r="Q99" s="83" t="n"/>
      <c r="R99" s="83" t="n"/>
      <c r="S99" s="83" t="n"/>
      <c r="T99" s="83" t="n"/>
      <c r="U99" s="83" t="n"/>
      <c r="V99" s="83" t="n"/>
      <c r="W99" s="83" t="n"/>
      <c r="X99" s="83" t="n"/>
      <c r="Y99" s="83" t="n"/>
      <c r="Z99" s="83" t="n"/>
      <c r="AA99" s="83" t="n"/>
      <c r="AB99" s="83" t="n"/>
      <c r="AC99" s="83" t="n"/>
      <c r="AD99" s="83" t="n"/>
      <c r="AE99" s="83" t="n"/>
      <c r="AF99" s="83" t="n"/>
      <c r="AG99" s="83" t="n"/>
      <c r="AH99" s="83" t="n"/>
      <c r="AI99" s="83" t="n"/>
      <c r="AJ99" s="83" t="n"/>
      <c r="AK99" s="83" t="n"/>
      <c r="AL99" s="83" t="n"/>
      <c r="AM99" s="83" t="n"/>
      <c r="AN99" s="83" t="n"/>
      <c r="AO99" s="83" t="n"/>
      <c r="AP99" s="83" t="n"/>
      <c r="AQ99" s="83" t="n"/>
      <c r="AR99" s="83" t="n"/>
      <c r="AS99" s="83" t="n"/>
      <c r="AT99" s="83" t="n"/>
      <c r="AU99" s="83" t="n"/>
      <c r="AV99" s="83" t="n"/>
      <c r="AW99" s="83" t="n"/>
      <c r="AX99" s="83" t="n"/>
      <c r="AY99" s="83" t="n"/>
      <c r="AZ99" s="83" t="n"/>
      <c r="BA99" s="83" t="n"/>
      <c r="BB99" s="83" t="n"/>
      <c r="BC99" s="83" t="n"/>
      <c r="BD99" s="83" t="n"/>
      <c r="BE99" s="83" t="n"/>
    </row>
    <row r="100" ht="18" customHeight="1">
      <c r="A100" s="55">
        <f>IFERROR(IF(INDEX('İş Planı'!$C$5:$C$204,ROW()-4)="","",INDEX('İş Planı'!$C$5:$C$204,ROW()-4)),"")</f>
        <v/>
      </c>
      <c r="B100" s="55">
        <f>IFERROR(IF(INDEX('İş Planı'!$B$5:$B$204,ROW()-4)="","",INDEX('İş Planı'!$B$5:$B$204,ROW()-4)),"")</f>
        <v/>
      </c>
      <c r="C100" s="72">
        <f>IFERROR(IF(INDEX('İş Planı'!$I$5:$I$204,ROW()-4)="","",INDEX('İş Planı'!$I$5:$I$204,ROW()-4)),"")</f>
        <v/>
      </c>
      <c r="D100" s="72">
        <f>IFERROR(IF(INDEX('İş Planı'!$M$5:$M$204,ROW()-4)="","",INDEX('İş Planı'!$M$5:$M$204,ROW()-4)),"")</f>
        <v/>
      </c>
      <c r="E100" s="71">
        <f>IFERROR(IF(INDEX('İş Planı'!$O$5:$O$204,ROW()-4)="","",INDEX('İş Planı'!$O$5:$O$204,ROW()-4)),"")</f>
        <v/>
      </c>
      <c r="F100" s="83" t="n"/>
      <c r="G100" s="83" t="n"/>
      <c r="H100" s="83" t="n"/>
      <c r="I100" s="83" t="n"/>
      <c r="J100" s="83" t="n"/>
      <c r="K100" s="83" t="n"/>
      <c r="L100" s="83" t="n"/>
      <c r="M100" s="83" t="n"/>
      <c r="N100" s="83" t="n"/>
      <c r="O100" s="83" t="n"/>
      <c r="P100" s="83" t="n"/>
      <c r="Q100" s="83" t="n"/>
      <c r="R100" s="83" t="n"/>
      <c r="S100" s="83" t="n"/>
      <c r="T100" s="83" t="n"/>
      <c r="U100" s="83" t="n"/>
      <c r="V100" s="83" t="n"/>
      <c r="W100" s="83" t="n"/>
      <c r="X100" s="83" t="n"/>
      <c r="Y100" s="83" t="n"/>
      <c r="Z100" s="83" t="n"/>
      <c r="AA100" s="83" t="n"/>
      <c r="AB100" s="83" t="n"/>
      <c r="AC100" s="83" t="n"/>
      <c r="AD100" s="83" t="n"/>
      <c r="AE100" s="83" t="n"/>
      <c r="AF100" s="83" t="n"/>
      <c r="AG100" s="83" t="n"/>
      <c r="AH100" s="83" t="n"/>
      <c r="AI100" s="83" t="n"/>
      <c r="AJ100" s="83" t="n"/>
      <c r="AK100" s="83" t="n"/>
      <c r="AL100" s="83" t="n"/>
      <c r="AM100" s="83" t="n"/>
      <c r="AN100" s="83" t="n"/>
      <c r="AO100" s="83" t="n"/>
      <c r="AP100" s="83" t="n"/>
      <c r="AQ100" s="83" t="n"/>
      <c r="AR100" s="83" t="n"/>
      <c r="AS100" s="83" t="n"/>
      <c r="AT100" s="83" t="n"/>
      <c r="AU100" s="83" t="n"/>
      <c r="AV100" s="83" t="n"/>
      <c r="AW100" s="83" t="n"/>
      <c r="AX100" s="83" t="n"/>
      <c r="AY100" s="83" t="n"/>
      <c r="AZ100" s="83" t="n"/>
      <c r="BA100" s="83" t="n"/>
      <c r="BB100" s="83" t="n"/>
      <c r="BC100" s="83" t="n"/>
      <c r="BD100" s="83" t="n"/>
      <c r="BE100" s="83" t="n"/>
    </row>
    <row r="101" ht="18" customHeight="1">
      <c r="A101" s="55">
        <f>IFERROR(IF(INDEX('İş Planı'!$C$5:$C$204,ROW()-4)="","",INDEX('İş Planı'!$C$5:$C$204,ROW()-4)),"")</f>
        <v/>
      </c>
      <c r="B101" s="55">
        <f>IFERROR(IF(INDEX('İş Planı'!$B$5:$B$204,ROW()-4)="","",INDEX('İş Planı'!$B$5:$B$204,ROW()-4)),"")</f>
        <v/>
      </c>
      <c r="C101" s="72">
        <f>IFERROR(IF(INDEX('İş Planı'!$I$5:$I$204,ROW()-4)="","",INDEX('İş Planı'!$I$5:$I$204,ROW()-4)),"")</f>
        <v/>
      </c>
      <c r="D101" s="72">
        <f>IFERROR(IF(INDEX('İş Planı'!$M$5:$M$204,ROW()-4)="","",INDEX('İş Planı'!$M$5:$M$204,ROW()-4)),"")</f>
        <v/>
      </c>
      <c r="E101" s="71">
        <f>IFERROR(IF(INDEX('İş Planı'!$O$5:$O$204,ROW()-4)="","",INDEX('İş Planı'!$O$5:$O$204,ROW()-4)),"")</f>
        <v/>
      </c>
      <c r="F101" s="83" t="n"/>
      <c r="G101" s="83" t="n"/>
      <c r="H101" s="83" t="n"/>
      <c r="I101" s="83" t="n"/>
      <c r="J101" s="83" t="n"/>
      <c r="K101" s="83" t="n"/>
      <c r="L101" s="83" t="n"/>
      <c r="M101" s="83" t="n"/>
      <c r="N101" s="83" t="n"/>
      <c r="O101" s="83" t="n"/>
      <c r="P101" s="83" t="n"/>
      <c r="Q101" s="83" t="n"/>
      <c r="R101" s="83" t="n"/>
      <c r="S101" s="83" t="n"/>
      <c r="T101" s="83" t="n"/>
      <c r="U101" s="83" t="n"/>
      <c r="V101" s="83" t="n"/>
      <c r="W101" s="83" t="n"/>
      <c r="X101" s="83" t="n"/>
      <c r="Y101" s="83" t="n"/>
      <c r="Z101" s="83" t="n"/>
      <c r="AA101" s="83" t="n"/>
      <c r="AB101" s="83" t="n"/>
      <c r="AC101" s="83" t="n"/>
      <c r="AD101" s="83" t="n"/>
      <c r="AE101" s="83" t="n"/>
      <c r="AF101" s="83" t="n"/>
      <c r="AG101" s="83" t="n"/>
      <c r="AH101" s="83" t="n"/>
      <c r="AI101" s="83" t="n"/>
      <c r="AJ101" s="83" t="n"/>
      <c r="AK101" s="83" t="n"/>
      <c r="AL101" s="83" t="n"/>
      <c r="AM101" s="83" t="n"/>
      <c r="AN101" s="83" t="n"/>
      <c r="AO101" s="83" t="n"/>
      <c r="AP101" s="83" t="n"/>
      <c r="AQ101" s="83" t="n"/>
      <c r="AR101" s="83" t="n"/>
      <c r="AS101" s="83" t="n"/>
      <c r="AT101" s="83" t="n"/>
      <c r="AU101" s="83" t="n"/>
      <c r="AV101" s="83" t="n"/>
      <c r="AW101" s="83" t="n"/>
      <c r="AX101" s="83" t="n"/>
      <c r="AY101" s="83" t="n"/>
      <c r="AZ101" s="83" t="n"/>
      <c r="BA101" s="83" t="n"/>
      <c r="BB101" s="83" t="n"/>
      <c r="BC101" s="83" t="n"/>
      <c r="BD101" s="83" t="n"/>
      <c r="BE101" s="83" t="n"/>
    </row>
    <row r="102" ht="18" customHeight="1">
      <c r="A102" s="55">
        <f>IFERROR(IF(INDEX('İş Planı'!$C$5:$C$204,ROW()-4)="","",INDEX('İş Planı'!$C$5:$C$204,ROW()-4)),"")</f>
        <v/>
      </c>
      <c r="B102" s="55">
        <f>IFERROR(IF(INDEX('İş Planı'!$B$5:$B$204,ROW()-4)="","",INDEX('İş Planı'!$B$5:$B$204,ROW()-4)),"")</f>
        <v/>
      </c>
      <c r="C102" s="72">
        <f>IFERROR(IF(INDEX('İş Planı'!$I$5:$I$204,ROW()-4)="","",INDEX('İş Planı'!$I$5:$I$204,ROW()-4)),"")</f>
        <v/>
      </c>
      <c r="D102" s="72">
        <f>IFERROR(IF(INDEX('İş Planı'!$M$5:$M$204,ROW()-4)="","",INDEX('İş Planı'!$M$5:$M$204,ROW()-4)),"")</f>
        <v/>
      </c>
      <c r="E102" s="71">
        <f>IFERROR(IF(INDEX('İş Planı'!$O$5:$O$204,ROW()-4)="","",INDEX('İş Planı'!$O$5:$O$204,ROW()-4)),"")</f>
        <v/>
      </c>
      <c r="F102" s="83" t="n"/>
      <c r="G102" s="83" t="n"/>
      <c r="H102" s="83" t="n"/>
      <c r="I102" s="83" t="n"/>
      <c r="J102" s="83" t="n"/>
      <c r="K102" s="83" t="n"/>
      <c r="L102" s="83" t="n"/>
      <c r="M102" s="83" t="n"/>
      <c r="N102" s="83" t="n"/>
      <c r="O102" s="83" t="n"/>
      <c r="P102" s="83" t="n"/>
      <c r="Q102" s="83" t="n"/>
      <c r="R102" s="83" t="n"/>
      <c r="S102" s="83" t="n"/>
      <c r="T102" s="83" t="n"/>
      <c r="U102" s="83" t="n"/>
      <c r="V102" s="83" t="n"/>
      <c r="W102" s="83" t="n"/>
      <c r="X102" s="83" t="n"/>
      <c r="Y102" s="83" t="n"/>
      <c r="Z102" s="83" t="n"/>
      <c r="AA102" s="83" t="n"/>
      <c r="AB102" s="83" t="n"/>
      <c r="AC102" s="83" t="n"/>
      <c r="AD102" s="83" t="n"/>
      <c r="AE102" s="83" t="n"/>
      <c r="AF102" s="83" t="n"/>
      <c r="AG102" s="83" t="n"/>
      <c r="AH102" s="83" t="n"/>
      <c r="AI102" s="83" t="n"/>
      <c r="AJ102" s="83" t="n"/>
      <c r="AK102" s="83" t="n"/>
      <c r="AL102" s="83" t="n"/>
      <c r="AM102" s="83" t="n"/>
      <c r="AN102" s="83" t="n"/>
      <c r="AO102" s="83" t="n"/>
      <c r="AP102" s="83" t="n"/>
      <c r="AQ102" s="83" t="n"/>
      <c r="AR102" s="83" t="n"/>
      <c r="AS102" s="83" t="n"/>
      <c r="AT102" s="83" t="n"/>
      <c r="AU102" s="83" t="n"/>
      <c r="AV102" s="83" t="n"/>
      <c r="AW102" s="83" t="n"/>
      <c r="AX102" s="83" t="n"/>
      <c r="AY102" s="83" t="n"/>
      <c r="AZ102" s="83" t="n"/>
      <c r="BA102" s="83" t="n"/>
      <c r="BB102" s="83" t="n"/>
      <c r="BC102" s="83" t="n"/>
      <c r="BD102" s="83" t="n"/>
      <c r="BE102" s="83" t="n"/>
    </row>
    <row r="103" ht="18" customHeight="1">
      <c r="A103" s="55">
        <f>IFERROR(IF(INDEX('İş Planı'!$C$5:$C$204,ROW()-4)="","",INDEX('İş Planı'!$C$5:$C$204,ROW()-4)),"")</f>
        <v/>
      </c>
      <c r="B103" s="55">
        <f>IFERROR(IF(INDEX('İş Planı'!$B$5:$B$204,ROW()-4)="","",INDEX('İş Planı'!$B$5:$B$204,ROW()-4)),"")</f>
        <v/>
      </c>
      <c r="C103" s="72">
        <f>IFERROR(IF(INDEX('İş Planı'!$I$5:$I$204,ROW()-4)="","",INDEX('İş Planı'!$I$5:$I$204,ROW()-4)),"")</f>
        <v/>
      </c>
      <c r="D103" s="72">
        <f>IFERROR(IF(INDEX('İş Planı'!$M$5:$M$204,ROW()-4)="","",INDEX('İş Planı'!$M$5:$M$204,ROW()-4)),"")</f>
        <v/>
      </c>
      <c r="E103" s="71">
        <f>IFERROR(IF(INDEX('İş Planı'!$O$5:$O$204,ROW()-4)="","",INDEX('İş Planı'!$O$5:$O$204,ROW()-4)),"")</f>
        <v/>
      </c>
      <c r="F103" s="83" t="n"/>
      <c r="G103" s="83" t="n"/>
      <c r="H103" s="83" t="n"/>
      <c r="I103" s="83" t="n"/>
      <c r="J103" s="83" t="n"/>
      <c r="K103" s="83" t="n"/>
      <c r="L103" s="83" t="n"/>
      <c r="M103" s="83" t="n"/>
      <c r="N103" s="83" t="n"/>
      <c r="O103" s="83" t="n"/>
      <c r="P103" s="83" t="n"/>
      <c r="Q103" s="83" t="n"/>
      <c r="R103" s="83" t="n"/>
      <c r="S103" s="83" t="n"/>
      <c r="T103" s="83" t="n"/>
      <c r="U103" s="83" t="n"/>
      <c r="V103" s="83" t="n"/>
      <c r="W103" s="83" t="n"/>
      <c r="X103" s="83" t="n"/>
      <c r="Y103" s="83" t="n"/>
      <c r="Z103" s="83" t="n"/>
      <c r="AA103" s="83" t="n"/>
      <c r="AB103" s="83" t="n"/>
      <c r="AC103" s="83" t="n"/>
      <c r="AD103" s="83" t="n"/>
      <c r="AE103" s="83" t="n"/>
      <c r="AF103" s="83" t="n"/>
      <c r="AG103" s="83" t="n"/>
      <c r="AH103" s="83" t="n"/>
      <c r="AI103" s="83" t="n"/>
      <c r="AJ103" s="83" t="n"/>
      <c r="AK103" s="83" t="n"/>
      <c r="AL103" s="83" t="n"/>
      <c r="AM103" s="83" t="n"/>
      <c r="AN103" s="83" t="n"/>
      <c r="AO103" s="83" t="n"/>
      <c r="AP103" s="83" t="n"/>
      <c r="AQ103" s="83" t="n"/>
      <c r="AR103" s="83" t="n"/>
      <c r="AS103" s="83" t="n"/>
      <c r="AT103" s="83" t="n"/>
      <c r="AU103" s="83" t="n"/>
      <c r="AV103" s="83" t="n"/>
      <c r="AW103" s="83" t="n"/>
      <c r="AX103" s="83" t="n"/>
      <c r="AY103" s="83" t="n"/>
      <c r="AZ103" s="83" t="n"/>
      <c r="BA103" s="83" t="n"/>
      <c r="BB103" s="83" t="n"/>
      <c r="BC103" s="83" t="n"/>
      <c r="BD103" s="83" t="n"/>
      <c r="BE103" s="83" t="n"/>
    </row>
    <row r="104" ht="18" customHeight="1">
      <c r="A104" s="55">
        <f>IFERROR(IF(INDEX('İş Planı'!$C$5:$C$204,ROW()-4)="","",INDEX('İş Planı'!$C$5:$C$204,ROW()-4)),"")</f>
        <v/>
      </c>
      <c r="B104" s="55">
        <f>IFERROR(IF(INDEX('İş Planı'!$B$5:$B$204,ROW()-4)="","",INDEX('İş Planı'!$B$5:$B$204,ROW()-4)),"")</f>
        <v/>
      </c>
      <c r="C104" s="72">
        <f>IFERROR(IF(INDEX('İş Planı'!$I$5:$I$204,ROW()-4)="","",INDEX('İş Planı'!$I$5:$I$204,ROW()-4)),"")</f>
        <v/>
      </c>
      <c r="D104" s="72">
        <f>IFERROR(IF(INDEX('İş Planı'!$M$5:$M$204,ROW()-4)="","",INDEX('İş Planı'!$M$5:$M$204,ROW()-4)),"")</f>
        <v/>
      </c>
      <c r="E104" s="71">
        <f>IFERROR(IF(INDEX('İş Planı'!$O$5:$O$204,ROW()-4)="","",INDEX('İş Planı'!$O$5:$O$204,ROW()-4)),"")</f>
        <v/>
      </c>
      <c r="F104" s="83" t="n"/>
      <c r="G104" s="83" t="n"/>
      <c r="H104" s="83" t="n"/>
      <c r="I104" s="83" t="n"/>
      <c r="J104" s="83" t="n"/>
      <c r="K104" s="83" t="n"/>
      <c r="L104" s="83" t="n"/>
      <c r="M104" s="83" t="n"/>
      <c r="N104" s="83" t="n"/>
      <c r="O104" s="83" t="n"/>
      <c r="P104" s="83" t="n"/>
      <c r="Q104" s="83" t="n"/>
      <c r="R104" s="83" t="n"/>
      <c r="S104" s="83" t="n"/>
      <c r="T104" s="83" t="n"/>
      <c r="U104" s="83" t="n"/>
      <c r="V104" s="83" t="n"/>
      <c r="W104" s="83" t="n"/>
      <c r="X104" s="83" t="n"/>
      <c r="Y104" s="83" t="n"/>
      <c r="Z104" s="83" t="n"/>
      <c r="AA104" s="83" t="n"/>
      <c r="AB104" s="83" t="n"/>
      <c r="AC104" s="83" t="n"/>
      <c r="AD104" s="83" t="n"/>
      <c r="AE104" s="83" t="n"/>
      <c r="AF104" s="83" t="n"/>
      <c r="AG104" s="83" t="n"/>
      <c r="AH104" s="83" t="n"/>
      <c r="AI104" s="83" t="n"/>
      <c r="AJ104" s="83" t="n"/>
      <c r="AK104" s="83" t="n"/>
      <c r="AL104" s="83" t="n"/>
      <c r="AM104" s="83" t="n"/>
      <c r="AN104" s="83" t="n"/>
      <c r="AO104" s="83" t="n"/>
      <c r="AP104" s="83" t="n"/>
      <c r="AQ104" s="83" t="n"/>
      <c r="AR104" s="83" t="n"/>
      <c r="AS104" s="83" t="n"/>
      <c r="AT104" s="83" t="n"/>
      <c r="AU104" s="83" t="n"/>
      <c r="AV104" s="83" t="n"/>
      <c r="AW104" s="83" t="n"/>
      <c r="AX104" s="83" t="n"/>
      <c r="AY104" s="83" t="n"/>
      <c r="AZ104" s="83" t="n"/>
      <c r="BA104" s="83" t="n"/>
      <c r="BB104" s="83" t="n"/>
      <c r="BC104" s="83" t="n"/>
      <c r="BD104" s="83" t="n"/>
      <c r="BE104" s="83" t="n"/>
    </row>
    <row r="105" ht="18" customHeight="1">
      <c r="A105" s="55">
        <f>IFERROR(IF(INDEX('İş Planı'!$C$5:$C$204,ROW()-4)="","",INDEX('İş Planı'!$C$5:$C$204,ROW()-4)),"")</f>
        <v/>
      </c>
      <c r="B105" s="55">
        <f>IFERROR(IF(INDEX('İş Planı'!$B$5:$B$204,ROW()-4)="","",INDEX('İş Planı'!$B$5:$B$204,ROW()-4)),"")</f>
        <v/>
      </c>
      <c r="C105" s="72">
        <f>IFERROR(IF(INDEX('İş Planı'!$I$5:$I$204,ROW()-4)="","",INDEX('İş Planı'!$I$5:$I$204,ROW()-4)),"")</f>
        <v/>
      </c>
      <c r="D105" s="72">
        <f>IFERROR(IF(INDEX('İş Planı'!$M$5:$M$204,ROW()-4)="","",INDEX('İş Planı'!$M$5:$M$204,ROW()-4)),"")</f>
        <v/>
      </c>
      <c r="E105" s="71">
        <f>IFERROR(IF(INDEX('İş Planı'!$O$5:$O$204,ROW()-4)="","",INDEX('İş Planı'!$O$5:$O$204,ROW()-4)),"")</f>
        <v/>
      </c>
      <c r="F105" s="83" t="n"/>
      <c r="G105" s="83" t="n"/>
      <c r="H105" s="83" t="n"/>
      <c r="I105" s="83" t="n"/>
      <c r="J105" s="83" t="n"/>
      <c r="K105" s="83" t="n"/>
      <c r="L105" s="83" t="n"/>
      <c r="M105" s="83" t="n"/>
      <c r="N105" s="83" t="n"/>
      <c r="O105" s="83" t="n"/>
      <c r="P105" s="83" t="n"/>
      <c r="Q105" s="83" t="n"/>
      <c r="R105" s="83" t="n"/>
      <c r="S105" s="83" t="n"/>
      <c r="T105" s="83" t="n"/>
      <c r="U105" s="83" t="n"/>
      <c r="V105" s="83" t="n"/>
      <c r="W105" s="83" t="n"/>
      <c r="X105" s="83" t="n"/>
      <c r="Y105" s="83" t="n"/>
      <c r="Z105" s="83" t="n"/>
      <c r="AA105" s="83" t="n"/>
      <c r="AB105" s="83" t="n"/>
      <c r="AC105" s="83" t="n"/>
      <c r="AD105" s="83" t="n"/>
      <c r="AE105" s="83" t="n"/>
      <c r="AF105" s="83" t="n"/>
      <c r="AG105" s="83" t="n"/>
      <c r="AH105" s="83" t="n"/>
      <c r="AI105" s="83" t="n"/>
      <c r="AJ105" s="83" t="n"/>
      <c r="AK105" s="83" t="n"/>
      <c r="AL105" s="83" t="n"/>
      <c r="AM105" s="83" t="n"/>
      <c r="AN105" s="83" t="n"/>
      <c r="AO105" s="83" t="n"/>
      <c r="AP105" s="83" t="n"/>
      <c r="AQ105" s="83" t="n"/>
      <c r="AR105" s="83" t="n"/>
      <c r="AS105" s="83" t="n"/>
      <c r="AT105" s="83" t="n"/>
      <c r="AU105" s="83" t="n"/>
      <c r="AV105" s="83" t="n"/>
      <c r="AW105" s="83" t="n"/>
      <c r="AX105" s="83" t="n"/>
      <c r="AY105" s="83" t="n"/>
      <c r="AZ105" s="83" t="n"/>
      <c r="BA105" s="83" t="n"/>
      <c r="BB105" s="83" t="n"/>
      <c r="BC105" s="83" t="n"/>
      <c r="BD105" s="83" t="n"/>
      <c r="BE105" s="83" t="n"/>
    </row>
    <row r="106" ht="18" customHeight="1">
      <c r="A106" s="55">
        <f>IFERROR(IF(INDEX('İş Planı'!$C$5:$C$204,ROW()-4)="","",INDEX('İş Planı'!$C$5:$C$204,ROW()-4)),"")</f>
        <v/>
      </c>
      <c r="B106" s="55">
        <f>IFERROR(IF(INDEX('İş Planı'!$B$5:$B$204,ROW()-4)="","",INDEX('İş Planı'!$B$5:$B$204,ROW()-4)),"")</f>
        <v/>
      </c>
      <c r="C106" s="72">
        <f>IFERROR(IF(INDEX('İş Planı'!$I$5:$I$204,ROW()-4)="","",INDEX('İş Planı'!$I$5:$I$204,ROW()-4)),"")</f>
        <v/>
      </c>
      <c r="D106" s="72">
        <f>IFERROR(IF(INDEX('İş Planı'!$M$5:$M$204,ROW()-4)="","",INDEX('İş Planı'!$M$5:$M$204,ROW()-4)),"")</f>
        <v/>
      </c>
      <c r="E106" s="71">
        <f>IFERROR(IF(INDEX('İş Planı'!$O$5:$O$204,ROW()-4)="","",INDEX('İş Planı'!$O$5:$O$204,ROW()-4)),"")</f>
        <v/>
      </c>
      <c r="F106" s="83" t="n"/>
      <c r="G106" s="83" t="n"/>
      <c r="H106" s="83" t="n"/>
      <c r="I106" s="83" t="n"/>
      <c r="J106" s="83" t="n"/>
      <c r="K106" s="83" t="n"/>
      <c r="L106" s="83" t="n"/>
      <c r="M106" s="83" t="n"/>
      <c r="N106" s="83" t="n"/>
      <c r="O106" s="83" t="n"/>
      <c r="P106" s="83" t="n"/>
      <c r="Q106" s="83" t="n"/>
      <c r="R106" s="83" t="n"/>
      <c r="S106" s="83" t="n"/>
      <c r="T106" s="83" t="n"/>
      <c r="U106" s="83" t="n"/>
      <c r="V106" s="83" t="n"/>
      <c r="W106" s="83" t="n"/>
      <c r="X106" s="83" t="n"/>
      <c r="Y106" s="83" t="n"/>
      <c r="Z106" s="83" t="n"/>
      <c r="AA106" s="83" t="n"/>
      <c r="AB106" s="83" t="n"/>
      <c r="AC106" s="83" t="n"/>
      <c r="AD106" s="83" t="n"/>
      <c r="AE106" s="83" t="n"/>
      <c r="AF106" s="83" t="n"/>
      <c r="AG106" s="83" t="n"/>
      <c r="AH106" s="83" t="n"/>
      <c r="AI106" s="83" t="n"/>
      <c r="AJ106" s="83" t="n"/>
      <c r="AK106" s="83" t="n"/>
      <c r="AL106" s="83" t="n"/>
      <c r="AM106" s="83" t="n"/>
      <c r="AN106" s="83" t="n"/>
      <c r="AO106" s="83" t="n"/>
      <c r="AP106" s="83" t="n"/>
      <c r="AQ106" s="83" t="n"/>
      <c r="AR106" s="83" t="n"/>
      <c r="AS106" s="83" t="n"/>
      <c r="AT106" s="83" t="n"/>
      <c r="AU106" s="83" t="n"/>
      <c r="AV106" s="83" t="n"/>
      <c r="AW106" s="83" t="n"/>
      <c r="AX106" s="83" t="n"/>
      <c r="AY106" s="83" t="n"/>
      <c r="AZ106" s="83" t="n"/>
      <c r="BA106" s="83" t="n"/>
      <c r="BB106" s="83" t="n"/>
      <c r="BC106" s="83" t="n"/>
      <c r="BD106" s="83" t="n"/>
      <c r="BE106" s="83" t="n"/>
    </row>
    <row r="107" ht="18" customHeight="1">
      <c r="A107" s="55">
        <f>IFERROR(IF(INDEX('İş Planı'!$C$5:$C$204,ROW()-4)="","",INDEX('İş Planı'!$C$5:$C$204,ROW()-4)),"")</f>
        <v/>
      </c>
      <c r="B107" s="55">
        <f>IFERROR(IF(INDEX('İş Planı'!$B$5:$B$204,ROW()-4)="","",INDEX('İş Planı'!$B$5:$B$204,ROW()-4)),"")</f>
        <v/>
      </c>
      <c r="C107" s="72">
        <f>IFERROR(IF(INDEX('İş Planı'!$I$5:$I$204,ROW()-4)="","",INDEX('İş Planı'!$I$5:$I$204,ROW()-4)),"")</f>
        <v/>
      </c>
      <c r="D107" s="72">
        <f>IFERROR(IF(INDEX('İş Planı'!$M$5:$M$204,ROW()-4)="","",INDEX('İş Planı'!$M$5:$M$204,ROW()-4)),"")</f>
        <v/>
      </c>
      <c r="E107" s="71">
        <f>IFERROR(IF(INDEX('İş Planı'!$O$5:$O$204,ROW()-4)="","",INDEX('İş Planı'!$O$5:$O$204,ROW()-4)),"")</f>
        <v/>
      </c>
      <c r="F107" s="83" t="n"/>
      <c r="G107" s="83" t="n"/>
      <c r="H107" s="83" t="n"/>
      <c r="I107" s="83" t="n"/>
      <c r="J107" s="83" t="n"/>
      <c r="K107" s="83" t="n"/>
      <c r="L107" s="83" t="n"/>
      <c r="M107" s="83" t="n"/>
      <c r="N107" s="83" t="n"/>
      <c r="O107" s="83" t="n"/>
      <c r="P107" s="83" t="n"/>
      <c r="Q107" s="83" t="n"/>
      <c r="R107" s="83" t="n"/>
      <c r="S107" s="83" t="n"/>
      <c r="T107" s="83" t="n"/>
      <c r="U107" s="83" t="n"/>
      <c r="V107" s="83" t="n"/>
      <c r="W107" s="83" t="n"/>
      <c r="X107" s="83" t="n"/>
      <c r="Y107" s="83" t="n"/>
      <c r="Z107" s="83" t="n"/>
      <c r="AA107" s="83" t="n"/>
      <c r="AB107" s="83" t="n"/>
      <c r="AC107" s="83" t="n"/>
      <c r="AD107" s="83" t="n"/>
      <c r="AE107" s="83" t="n"/>
      <c r="AF107" s="83" t="n"/>
      <c r="AG107" s="83" t="n"/>
      <c r="AH107" s="83" t="n"/>
      <c r="AI107" s="83" t="n"/>
      <c r="AJ107" s="83" t="n"/>
      <c r="AK107" s="83" t="n"/>
      <c r="AL107" s="83" t="n"/>
      <c r="AM107" s="83" t="n"/>
      <c r="AN107" s="83" t="n"/>
      <c r="AO107" s="83" t="n"/>
      <c r="AP107" s="83" t="n"/>
      <c r="AQ107" s="83" t="n"/>
      <c r="AR107" s="83" t="n"/>
      <c r="AS107" s="83" t="n"/>
      <c r="AT107" s="83" t="n"/>
      <c r="AU107" s="83" t="n"/>
      <c r="AV107" s="83" t="n"/>
      <c r="AW107" s="83" t="n"/>
      <c r="AX107" s="83" t="n"/>
      <c r="AY107" s="83" t="n"/>
      <c r="AZ107" s="83" t="n"/>
      <c r="BA107" s="83" t="n"/>
      <c r="BB107" s="83" t="n"/>
      <c r="BC107" s="83" t="n"/>
      <c r="BD107" s="83" t="n"/>
      <c r="BE107" s="83" t="n"/>
    </row>
    <row r="108" ht="18" customHeight="1">
      <c r="A108" s="55">
        <f>IFERROR(IF(INDEX('İş Planı'!$C$5:$C$204,ROW()-4)="","",INDEX('İş Planı'!$C$5:$C$204,ROW()-4)),"")</f>
        <v/>
      </c>
      <c r="B108" s="55">
        <f>IFERROR(IF(INDEX('İş Planı'!$B$5:$B$204,ROW()-4)="","",INDEX('İş Planı'!$B$5:$B$204,ROW()-4)),"")</f>
        <v/>
      </c>
      <c r="C108" s="72">
        <f>IFERROR(IF(INDEX('İş Planı'!$I$5:$I$204,ROW()-4)="","",INDEX('İş Planı'!$I$5:$I$204,ROW()-4)),"")</f>
        <v/>
      </c>
      <c r="D108" s="72">
        <f>IFERROR(IF(INDEX('İş Planı'!$M$5:$M$204,ROW()-4)="","",INDEX('İş Planı'!$M$5:$M$204,ROW()-4)),"")</f>
        <v/>
      </c>
      <c r="E108" s="71">
        <f>IFERROR(IF(INDEX('İş Planı'!$O$5:$O$204,ROW()-4)="","",INDEX('İş Planı'!$O$5:$O$204,ROW()-4)),"")</f>
        <v/>
      </c>
      <c r="F108" s="83" t="n"/>
      <c r="G108" s="83" t="n"/>
      <c r="H108" s="83" t="n"/>
      <c r="I108" s="83" t="n"/>
      <c r="J108" s="83" t="n"/>
      <c r="K108" s="83" t="n"/>
      <c r="L108" s="83" t="n"/>
      <c r="M108" s="83" t="n"/>
      <c r="N108" s="83" t="n"/>
      <c r="O108" s="83" t="n"/>
      <c r="P108" s="83" t="n"/>
      <c r="Q108" s="83" t="n"/>
      <c r="R108" s="83" t="n"/>
      <c r="S108" s="83" t="n"/>
      <c r="T108" s="83" t="n"/>
      <c r="U108" s="83" t="n"/>
      <c r="V108" s="83" t="n"/>
      <c r="W108" s="83" t="n"/>
      <c r="X108" s="83" t="n"/>
      <c r="Y108" s="83" t="n"/>
      <c r="Z108" s="83" t="n"/>
      <c r="AA108" s="83" t="n"/>
      <c r="AB108" s="83" t="n"/>
      <c r="AC108" s="83" t="n"/>
      <c r="AD108" s="83" t="n"/>
      <c r="AE108" s="83" t="n"/>
      <c r="AF108" s="83" t="n"/>
      <c r="AG108" s="83" t="n"/>
      <c r="AH108" s="83" t="n"/>
      <c r="AI108" s="83" t="n"/>
      <c r="AJ108" s="83" t="n"/>
      <c r="AK108" s="83" t="n"/>
      <c r="AL108" s="83" t="n"/>
      <c r="AM108" s="83" t="n"/>
      <c r="AN108" s="83" t="n"/>
      <c r="AO108" s="83" t="n"/>
      <c r="AP108" s="83" t="n"/>
      <c r="AQ108" s="83" t="n"/>
      <c r="AR108" s="83" t="n"/>
      <c r="AS108" s="83" t="n"/>
      <c r="AT108" s="83" t="n"/>
      <c r="AU108" s="83" t="n"/>
      <c r="AV108" s="83" t="n"/>
      <c r="AW108" s="83" t="n"/>
      <c r="AX108" s="83" t="n"/>
      <c r="AY108" s="83" t="n"/>
      <c r="AZ108" s="83" t="n"/>
      <c r="BA108" s="83" t="n"/>
      <c r="BB108" s="83" t="n"/>
      <c r="BC108" s="83" t="n"/>
      <c r="BD108" s="83" t="n"/>
      <c r="BE108" s="83" t="n"/>
    </row>
    <row r="109" ht="18" customHeight="1">
      <c r="A109" s="55">
        <f>IFERROR(IF(INDEX('İş Planı'!$C$5:$C$204,ROW()-4)="","",INDEX('İş Planı'!$C$5:$C$204,ROW()-4)),"")</f>
        <v/>
      </c>
      <c r="B109" s="55">
        <f>IFERROR(IF(INDEX('İş Planı'!$B$5:$B$204,ROW()-4)="","",INDEX('İş Planı'!$B$5:$B$204,ROW()-4)),"")</f>
        <v/>
      </c>
      <c r="C109" s="72">
        <f>IFERROR(IF(INDEX('İş Planı'!$I$5:$I$204,ROW()-4)="","",INDEX('İş Planı'!$I$5:$I$204,ROW()-4)),"")</f>
        <v/>
      </c>
      <c r="D109" s="72">
        <f>IFERROR(IF(INDEX('İş Planı'!$M$5:$M$204,ROW()-4)="","",INDEX('İş Planı'!$M$5:$M$204,ROW()-4)),"")</f>
        <v/>
      </c>
      <c r="E109" s="71">
        <f>IFERROR(IF(INDEX('İş Planı'!$O$5:$O$204,ROW()-4)="","",INDEX('İş Planı'!$O$5:$O$204,ROW()-4)),"")</f>
        <v/>
      </c>
      <c r="F109" s="83" t="n"/>
      <c r="G109" s="83" t="n"/>
      <c r="H109" s="83" t="n"/>
      <c r="I109" s="83" t="n"/>
      <c r="J109" s="83" t="n"/>
      <c r="K109" s="83" t="n"/>
      <c r="L109" s="83" t="n"/>
      <c r="M109" s="83" t="n"/>
      <c r="N109" s="83" t="n"/>
      <c r="O109" s="83" t="n"/>
      <c r="P109" s="83" t="n"/>
      <c r="Q109" s="83" t="n"/>
      <c r="R109" s="83" t="n"/>
      <c r="S109" s="83" t="n"/>
      <c r="T109" s="83" t="n"/>
      <c r="U109" s="83" t="n"/>
      <c r="V109" s="83" t="n"/>
      <c r="W109" s="83" t="n"/>
      <c r="X109" s="83" t="n"/>
      <c r="Y109" s="83" t="n"/>
      <c r="Z109" s="83" t="n"/>
      <c r="AA109" s="83" t="n"/>
      <c r="AB109" s="83" t="n"/>
      <c r="AC109" s="83" t="n"/>
      <c r="AD109" s="83" t="n"/>
      <c r="AE109" s="83" t="n"/>
      <c r="AF109" s="83" t="n"/>
      <c r="AG109" s="83" t="n"/>
      <c r="AH109" s="83" t="n"/>
      <c r="AI109" s="83" t="n"/>
      <c r="AJ109" s="83" t="n"/>
      <c r="AK109" s="83" t="n"/>
      <c r="AL109" s="83" t="n"/>
      <c r="AM109" s="83" t="n"/>
      <c r="AN109" s="83" t="n"/>
      <c r="AO109" s="83" t="n"/>
      <c r="AP109" s="83" t="n"/>
      <c r="AQ109" s="83" t="n"/>
      <c r="AR109" s="83" t="n"/>
      <c r="AS109" s="83" t="n"/>
      <c r="AT109" s="83" t="n"/>
      <c r="AU109" s="83" t="n"/>
      <c r="AV109" s="83" t="n"/>
      <c r="AW109" s="83" t="n"/>
      <c r="AX109" s="83" t="n"/>
      <c r="AY109" s="83" t="n"/>
      <c r="AZ109" s="83" t="n"/>
      <c r="BA109" s="83" t="n"/>
      <c r="BB109" s="83" t="n"/>
      <c r="BC109" s="83" t="n"/>
      <c r="BD109" s="83" t="n"/>
      <c r="BE109" s="83" t="n"/>
    </row>
    <row r="110" ht="18" customHeight="1">
      <c r="A110" s="55">
        <f>IFERROR(IF(INDEX('İş Planı'!$C$5:$C$204,ROW()-4)="","",INDEX('İş Planı'!$C$5:$C$204,ROW()-4)),"")</f>
        <v/>
      </c>
      <c r="B110" s="55">
        <f>IFERROR(IF(INDEX('İş Planı'!$B$5:$B$204,ROW()-4)="","",INDEX('İş Planı'!$B$5:$B$204,ROW()-4)),"")</f>
        <v/>
      </c>
      <c r="C110" s="72">
        <f>IFERROR(IF(INDEX('İş Planı'!$I$5:$I$204,ROW()-4)="","",INDEX('İş Planı'!$I$5:$I$204,ROW()-4)),"")</f>
        <v/>
      </c>
      <c r="D110" s="72">
        <f>IFERROR(IF(INDEX('İş Planı'!$M$5:$M$204,ROW()-4)="","",INDEX('İş Planı'!$M$5:$M$204,ROW()-4)),"")</f>
        <v/>
      </c>
      <c r="E110" s="71">
        <f>IFERROR(IF(INDEX('İş Planı'!$O$5:$O$204,ROW()-4)="","",INDEX('İş Planı'!$O$5:$O$204,ROW()-4)),"")</f>
        <v/>
      </c>
      <c r="F110" s="83" t="n"/>
      <c r="G110" s="83" t="n"/>
      <c r="H110" s="83" t="n"/>
      <c r="I110" s="83" t="n"/>
      <c r="J110" s="83" t="n"/>
      <c r="K110" s="83" t="n"/>
      <c r="L110" s="83" t="n"/>
      <c r="M110" s="83" t="n"/>
      <c r="N110" s="83" t="n"/>
      <c r="O110" s="83" t="n"/>
      <c r="P110" s="83" t="n"/>
      <c r="Q110" s="83" t="n"/>
      <c r="R110" s="83" t="n"/>
      <c r="S110" s="83" t="n"/>
      <c r="T110" s="83" t="n"/>
      <c r="U110" s="83" t="n"/>
      <c r="V110" s="83" t="n"/>
      <c r="W110" s="83" t="n"/>
      <c r="X110" s="83" t="n"/>
      <c r="Y110" s="83" t="n"/>
      <c r="Z110" s="83" t="n"/>
      <c r="AA110" s="83" t="n"/>
      <c r="AB110" s="83" t="n"/>
      <c r="AC110" s="83" t="n"/>
      <c r="AD110" s="83" t="n"/>
      <c r="AE110" s="83" t="n"/>
      <c r="AF110" s="83" t="n"/>
      <c r="AG110" s="83" t="n"/>
      <c r="AH110" s="83" t="n"/>
      <c r="AI110" s="83" t="n"/>
      <c r="AJ110" s="83" t="n"/>
      <c r="AK110" s="83" t="n"/>
      <c r="AL110" s="83" t="n"/>
      <c r="AM110" s="83" t="n"/>
      <c r="AN110" s="83" t="n"/>
      <c r="AO110" s="83" t="n"/>
      <c r="AP110" s="83" t="n"/>
      <c r="AQ110" s="83" t="n"/>
      <c r="AR110" s="83" t="n"/>
      <c r="AS110" s="83" t="n"/>
      <c r="AT110" s="83" t="n"/>
      <c r="AU110" s="83" t="n"/>
      <c r="AV110" s="83" t="n"/>
      <c r="AW110" s="83" t="n"/>
      <c r="AX110" s="83" t="n"/>
      <c r="AY110" s="83" t="n"/>
      <c r="AZ110" s="83" t="n"/>
      <c r="BA110" s="83" t="n"/>
      <c r="BB110" s="83" t="n"/>
      <c r="BC110" s="83" t="n"/>
      <c r="BD110" s="83" t="n"/>
      <c r="BE110" s="83" t="n"/>
    </row>
    <row r="111" ht="18" customHeight="1">
      <c r="A111" s="55">
        <f>IFERROR(IF(INDEX('İş Planı'!$C$5:$C$204,ROW()-4)="","",INDEX('İş Planı'!$C$5:$C$204,ROW()-4)),"")</f>
        <v/>
      </c>
      <c r="B111" s="55">
        <f>IFERROR(IF(INDEX('İş Planı'!$B$5:$B$204,ROW()-4)="","",INDEX('İş Planı'!$B$5:$B$204,ROW()-4)),"")</f>
        <v/>
      </c>
      <c r="C111" s="72">
        <f>IFERROR(IF(INDEX('İş Planı'!$I$5:$I$204,ROW()-4)="","",INDEX('İş Planı'!$I$5:$I$204,ROW()-4)),"")</f>
        <v/>
      </c>
      <c r="D111" s="72">
        <f>IFERROR(IF(INDEX('İş Planı'!$M$5:$M$204,ROW()-4)="","",INDEX('İş Planı'!$M$5:$M$204,ROW()-4)),"")</f>
        <v/>
      </c>
      <c r="E111" s="71">
        <f>IFERROR(IF(INDEX('İş Planı'!$O$5:$O$204,ROW()-4)="","",INDEX('İş Planı'!$O$5:$O$204,ROW()-4)),"")</f>
        <v/>
      </c>
      <c r="F111" s="83" t="n"/>
      <c r="G111" s="83" t="n"/>
      <c r="H111" s="83" t="n"/>
      <c r="I111" s="83" t="n"/>
      <c r="J111" s="83" t="n"/>
      <c r="K111" s="83" t="n"/>
      <c r="L111" s="83" t="n"/>
      <c r="M111" s="83" t="n"/>
      <c r="N111" s="83" t="n"/>
      <c r="O111" s="83" t="n"/>
      <c r="P111" s="83" t="n"/>
      <c r="Q111" s="83" t="n"/>
      <c r="R111" s="83" t="n"/>
      <c r="S111" s="83" t="n"/>
      <c r="T111" s="83" t="n"/>
      <c r="U111" s="83" t="n"/>
      <c r="V111" s="83" t="n"/>
      <c r="W111" s="83" t="n"/>
      <c r="X111" s="83" t="n"/>
      <c r="Y111" s="83" t="n"/>
      <c r="Z111" s="83" t="n"/>
      <c r="AA111" s="83" t="n"/>
      <c r="AB111" s="83" t="n"/>
      <c r="AC111" s="83" t="n"/>
      <c r="AD111" s="83" t="n"/>
      <c r="AE111" s="83" t="n"/>
      <c r="AF111" s="83" t="n"/>
      <c r="AG111" s="83" t="n"/>
      <c r="AH111" s="83" t="n"/>
      <c r="AI111" s="83" t="n"/>
      <c r="AJ111" s="83" t="n"/>
      <c r="AK111" s="83" t="n"/>
      <c r="AL111" s="83" t="n"/>
      <c r="AM111" s="83" t="n"/>
      <c r="AN111" s="83" t="n"/>
      <c r="AO111" s="83" t="n"/>
      <c r="AP111" s="83" t="n"/>
      <c r="AQ111" s="83" t="n"/>
      <c r="AR111" s="83" t="n"/>
      <c r="AS111" s="83" t="n"/>
      <c r="AT111" s="83" t="n"/>
      <c r="AU111" s="83" t="n"/>
      <c r="AV111" s="83" t="n"/>
      <c r="AW111" s="83" t="n"/>
      <c r="AX111" s="83" t="n"/>
      <c r="AY111" s="83" t="n"/>
      <c r="AZ111" s="83" t="n"/>
      <c r="BA111" s="83" t="n"/>
      <c r="BB111" s="83" t="n"/>
      <c r="BC111" s="83" t="n"/>
      <c r="BD111" s="83" t="n"/>
      <c r="BE111" s="83" t="n"/>
    </row>
    <row r="112" ht="18" customHeight="1">
      <c r="A112" s="55">
        <f>IFERROR(IF(INDEX('İş Planı'!$C$5:$C$204,ROW()-4)="","",INDEX('İş Planı'!$C$5:$C$204,ROW()-4)),"")</f>
        <v/>
      </c>
      <c r="B112" s="55">
        <f>IFERROR(IF(INDEX('İş Planı'!$B$5:$B$204,ROW()-4)="","",INDEX('İş Planı'!$B$5:$B$204,ROW()-4)),"")</f>
        <v/>
      </c>
      <c r="C112" s="72">
        <f>IFERROR(IF(INDEX('İş Planı'!$I$5:$I$204,ROW()-4)="","",INDEX('İş Planı'!$I$5:$I$204,ROW()-4)),"")</f>
        <v/>
      </c>
      <c r="D112" s="72">
        <f>IFERROR(IF(INDEX('İş Planı'!$M$5:$M$204,ROW()-4)="","",INDEX('İş Planı'!$M$5:$M$204,ROW()-4)),"")</f>
        <v/>
      </c>
      <c r="E112" s="71">
        <f>IFERROR(IF(INDEX('İş Planı'!$O$5:$O$204,ROW()-4)="","",INDEX('İş Planı'!$O$5:$O$204,ROW()-4)),"")</f>
        <v/>
      </c>
      <c r="F112" s="83" t="n"/>
      <c r="G112" s="83" t="n"/>
      <c r="H112" s="83" t="n"/>
      <c r="I112" s="83" t="n"/>
      <c r="J112" s="83" t="n"/>
      <c r="K112" s="83" t="n"/>
      <c r="L112" s="83" t="n"/>
      <c r="M112" s="83" t="n"/>
      <c r="N112" s="83" t="n"/>
      <c r="O112" s="83" t="n"/>
      <c r="P112" s="83" t="n"/>
      <c r="Q112" s="83" t="n"/>
      <c r="R112" s="83" t="n"/>
      <c r="S112" s="83" t="n"/>
      <c r="T112" s="83" t="n"/>
      <c r="U112" s="83" t="n"/>
      <c r="V112" s="83" t="n"/>
      <c r="W112" s="83" t="n"/>
      <c r="X112" s="83" t="n"/>
      <c r="Y112" s="83" t="n"/>
      <c r="Z112" s="83" t="n"/>
      <c r="AA112" s="83" t="n"/>
      <c r="AB112" s="83" t="n"/>
      <c r="AC112" s="83" t="n"/>
      <c r="AD112" s="83" t="n"/>
      <c r="AE112" s="83" t="n"/>
      <c r="AF112" s="83" t="n"/>
      <c r="AG112" s="83" t="n"/>
      <c r="AH112" s="83" t="n"/>
      <c r="AI112" s="83" t="n"/>
      <c r="AJ112" s="83" t="n"/>
      <c r="AK112" s="83" t="n"/>
      <c r="AL112" s="83" t="n"/>
      <c r="AM112" s="83" t="n"/>
      <c r="AN112" s="83" t="n"/>
      <c r="AO112" s="83" t="n"/>
      <c r="AP112" s="83" t="n"/>
      <c r="AQ112" s="83" t="n"/>
      <c r="AR112" s="83" t="n"/>
      <c r="AS112" s="83" t="n"/>
      <c r="AT112" s="83" t="n"/>
      <c r="AU112" s="83" t="n"/>
      <c r="AV112" s="83" t="n"/>
      <c r="AW112" s="83" t="n"/>
      <c r="AX112" s="83" t="n"/>
      <c r="AY112" s="83" t="n"/>
      <c r="AZ112" s="83" t="n"/>
      <c r="BA112" s="83" t="n"/>
      <c r="BB112" s="83" t="n"/>
      <c r="BC112" s="83" t="n"/>
      <c r="BD112" s="83" t="n"/>
      <c r="BE112" s="83" t="n"/>
    </row>
    <row r="113" ht="18" customHeight="1">
      <c r="A113" s="55">
        <f>IFERROR(IF(INDEX('İş Planı'!$C$5:$C$204,ROW()-4)="","",INDEX('İş Planı'!$C$5:$C$204,ROW()-4)),"")</f>
        <v/>
      </c>
      <c r="B113" s="55">
        <f>IFERROR(IF(INDEX('İş Planı'!$B$5:$B$204,ROW()-4)="","",INDEX('İş Planı'!$B$5:$B$204,ROW()-4)),"")</f>
        <v/>
      </c>
      <c r="C113" s="72">
        <f>IFERROR(IF(INDEX('İş Planı'!$I$5:$I$204,ROW()-4)="","",INDEX('İş Planı'!$I$5:$I$204,ROW()-4)),"")</f>
        <v/>
      </c>
      <c r="D113" s="72">
        <f>IFERROR(IF(INDEX('İş Planı'!$M$5:$M$204,ROW()-4)="","",INDEX('İş Planı'!$M$5:$M$204,ROW()-4)),"")</f>
        <v/>
      </c>
      <c r="E113" s="71">
        <f>IFERROR(IF(INDEX('İş Planı'!$O$5:$O$204,ROW()-4)="","",INDEX('İş Planı'!$O$5:$O$204,ROW()-4)),"")</f>
        <v/>
      </c>
      <c r="F113" s="83" t="n"/>
      <c r="G113" s="83" t="n"/>
      <c r="H113" s="83" t="n"/>
      <c r="I113" s="83" t="n"/>
      <c r="J113" s="83" t="n"/>
      <c r="K113" s="83" t="n"/>
      <c r="L113" s="83" t="n"/>
      <c r="M113" s="83" t="n"/>
      <c r="N113" s="83" t="n"/>
      <c r="O113" s="83" t="n"/>
      <c r="P113" s="83" t="n"/>
      <c r="Q113" s="83" t="n"/>
      <c r="R113" s="83" t="n"/>
      <c r="S113" s="83" t="n"/>
      <c r="T113" s="83" t="n"/>
      <c r="U113" s="83" t="n"/>
      <c r="V113" s="83" t="n"/>
      <c r="W113" s="83" t="n"/>
      <c r="X113" s="83" t="n"/>
      <c r="Y113" s="83" t="n"/>
      <c r="Z113" s="83" t="n"/>
      <c r="AA113" s="83" t="n"/>
      <c r="AB113" s="83" t="n"/>
      <c r="AC113" s="83" t="n"/>
      <c r="AD113" s="83" t="n"/>
      <c r="AE113" s="83" t="n"/>
      <c r="AF113" s="83" t="n"/>
      <c r="AG113" s="83" t="n"/>
      <c r="AH113" s="83" t="n"/>
      <c r="AI113" s="83" t="n"/>
      <c r="AJ113" s="83" t="n"/>
      <c r="AK113" s="83" t="n"/>
      <c r="AL113" s="83" t="n"/>
      <c r="AM113" s="83" t="n"/>
      <c r="AN113" s="83" t="n"/>
      <c r="AO113" s="83" t="n"/>
      <c r="AP113" s="83" t="n"/>
      <c r="AQ113" s="83" t="n"/>
      <c r="AR113" s="83" t="n"/>
      <c r="AS113" s="83" t="n"/>
      <c r="AT113" s="83" t="n"/>
      <c r="AU113" s="83" t="n"/>
      <c r="AV113" s="83" t="n"/>
      <c r="AW113" s="83" t="n"/>
      <c r="AX113" s="83" t="n"/>
      <c r="AY113" s="83" t="n"/>
      <c r="AZ113" s="83" t="n"/>
      <c r="BA113" s="83" t="n"/>
      <c r="BB113" s="83" t="n"/>
      <c r="BC113" s="83" t="n"/>
      <c r="BD113" s="83" t="n"/>
      <c r="BE113" s="83" t="n"/>
    </row>
    <row r="114" ht="18" customHeight="1">
      <c r="A114" s="55">
        <f>IFERROR(IF(INDEX('İş Planı'!$C$5:$C$204,ROW()-4)="","",INDEX('İş Planı'!$C$5:$C$204,ROW()-4)),"")</f>
        <v/>
      </c>
      <c r="B114" s="55">
        <f>IFERROR(IF(INDEX('İş Planı'!$B$5:$B$204,ROW()-4)="","",INDEX('İş Planı'!$B$5:$B$204,ROW()-4)),"")</f>
        <v/>
      </c>
      <c r="C114" s="72">
        <f>IFERROR(IF(INDEX('İş Planı'!$I$5:$I$204,ROW()-4)="","",INDEX('İş Planı'!$I$5:$I$204,ROW()-4)),"")</f>
        <v/>
      </c>
      <c r="D114" s="72">
        <f>IFERROR(IF(INDEX('İş Planı'!$M$5:$M$204,ROW()-4)="","",INDEX('İş Planı'!$M$5:$M$204,ROW()-4)),"")</f>
        <v/>
      </c>
      <c r="E114" s="71">
        <f>IFERROR(IF(INDEX('İş Planı'!$O$5:$O$204,ROW()-4)="","",INDEX('İş Planı'!$O$5:$O$204,ROW()-4)),"")</f>
        <v/>
      </c>
      <c r="F114" s="83" t="n"/>
      <c r="G114" s="83" t="n"/>
      <c r="H114" s="83" t="n"/>
      <c r="I114" s="83" t="n"/>
      <c r="J114" s="83" t="n"/>
      <c r="K114" s="83" t="n"/>
      <c r="L114" s="83" t="n"/>
      <c r="M114" s="83" t="n"/>
      <c r="N114" s="83" t="n"/>
      <c r="O114" s="83" t="n"/>
      <c r="P114" s="83" t="n"/>
      <c r="Q114" s="83" t="n"/>
      <c r="R114" s="83" t="n"/>
      <c r="S114" s="83" t="n"/>
      <c r="T114" s="83" t="n"/>
      <c r="U114" s="83" t="n"/>
      <c r="V114" s="83" t="n"/>
      <c r="W114" s="83" t="n"/>
      <c r="X114" s="83" t="n"/>
      <c r="Y114" s="83" t="n"/>
      <c r="Z114" s="83" t="n"/>
      <c r="AA114" s="83" t="n"/>
      <c r="AB114" s="83" t="n"/>
      <c r="AC114" s="83" t="n"/>
      <c r="AD114" s="83" t="n"/>
      <c r="AE114" s="83" t="n"/>
      <c r="AF114" s="83" t="n"/>
      <c r="AG114" s="83" t="n"/>
      <c r="AH114" s="83" t="n"/>
      <c r="AI114" s="83" t="n"/>
      <c r="AJ114" s="83" t="n"/>
      <c r="AK114" s="83" t="n"/>
      <c r="AL114" s="83" t="n"/>
      <c r="AM114" s="83" t="n"/>
      <c r="AN114" s="83" t="n"/>
      <c r="AO114" s="83" t="n"/>
      <c r="AP114" s="83" t="n"/>
      <c r="AQ114" s="83" t="n"/>
      <c r="AR114" s="83" t="n"/>
      <c r="AS114" s="83" t="n"/>
      <c r="AT114" s="83" t="n"/>
      <c r="AU114" s="83" t="n"/>
      <c r="AV114" s="83" t="n"/>
      <c r="AW114" s="83" t="n"/>
      <c r="AX114" s="83" t="n"/>
      <c r="AY114" s="83" t="n"/>
      <c r="AZ114" s="83" t="n"/>
      <c r="BA114" s="83" t="n"/>
      <c r="BB114" s="83" t="n"/>
      <c r="BC114" s="83" t="n"/>
      <c r="BD114" s="83" t="n"/>
      <c r="BE114" s="83" t="n"/>
    </row>
    <row r="115" ht="18" customHeight="1">
      <c r="A115" s="55">
        <f>IFERROR(IF(INDEX('İş Planı'!$C$5:$C$204,ROW()-4)="","",INDEX('İş Planı'!$C$5:$C$204,ROW()-4)),"")</f>
        <v/>
      </c>
      <c r="B115" s="55">
        <f>IFERROR(IF(INDEX('İş Planı'!$B$5:$B$204,ROW()-4)="","",INDEX('İş Planı'!$B$5:$B$204,ROW()-4)),"")</f>
        <v/>
      </c>
      <c r="C115" s="72">
        <f>IFERROR(IF(INDEX('İş Planı'!$I$5:$I$204,ROW()-4)="","",INDEX('İş Planı'!$I$5:$I$204,ROW()-4)),"")</f>
        <v/>
      </c>
      <c r="D115" s="72">
        <f>IFERROR(IF(INDEX('İş Planı'!$M$5:$M$204,ROW()-4)="","",INDEX('İş Planı'!$M$5:$M$204,ROW()-4)),"")</f>
        <v/>
      </c>
      <c r="E115" s="71">
        <f>IFERROR(IF(INDEX('İş Planı'!$O$5:$O$204,ROW()-4)="","",INDEX('İş Planı'!$O$5:$O$204,ROW()-4)),"")</f>
        <v/>
      </c>
      <c r="F115" s="83" t="n"/>
      <c r="G115" s="83" t="n"/>
      <c r="H115" s="83" t="n"/>
      <c r="I115" s="83" t="n"/>
      <c r="J115" s="83" t="n"/>
      <c r="K115" s="83" t="n"/>
      <c r="L115" s="83" t="n"/>
      <c r="M115" s="83" t="n"/>
      <c r="N115" s="83" t="n"/>
      <c r="O115" s="83" t="n"/>
      <c r="P115" s="83" t="n"/>
      <c r="Q115" s="83" t="n"/>
      <c r="R115" s="83" t="n"/>
      <c r="S115" s="83" t="n"/>
      <c r="T115" s="83" t="n"/>
      <c r="U115" s="83" t="n"/>
      <c r="V115" s="83" t="n"/>
      <c r="W115" s="83" t="n"/>
      <c r="X115" s="83" t="n"/>
      <c r="Y115" s="83" t="n"/>
      <c r="Z115" s="83" t="n"/>
      <c r="AA115" s="83" t="n"/>
      <c r="AB115" s="83" t="n"/>
      <c r="AC115" s="83" t="n"/>
      <c r="AD115" s="83" t="n"/>
      <c r="AE115" s="83" t="n"/>
      <c r="AF115" s="83" t="n"/>
      <c r="AG115" s="83" t="n"/>
      <c r="AH115" s="83" t="n"/>
      <c r="AI115" s="83" t="n"/>
      <c r="AJ115" s="83" t="n"/>
      <c r="AK115" s="83" t="n"/>
      <c r="AL115" s="83" t="n"/>
      <c r="AM115" s="83" t="n"/>
      <c r="AN115" s="83" t="n"/>
      <c r="AO115" s="83" t="n"/>
      <c r="AP115" s="83" t="n"/>
      <c r="AQ115" s="83" t="n"/>
      <c r="AR115" s="83" t="n"/>
      <c r="AS115" s="83" t="n"/>
      <c r="AT115" s="83" t="n"/>
      <c r="AU115" s="83" t="n"/>
      <c r="AV115" s="83" t="n"/>
      <c r="AW115" s="83" t="n"/>
      <c r="AX115" s="83" t="n"/>
      <c r="AY115" s="83" t="n"/>
      <c r="AZ115" s="83" t="n"/>
      <c r="BA115" s="83" t="n"/>
      <c r="BB115" s="83" t="n"/>
      <c r="BC115" s="83" t="n"/>
      <c r="BD115" s="83" t="n"/>
      <c r="BE115" s="83" t="n"/>
    </row>
    <row r="116" ht="18" customHeight="1">
      <c r="A116" s="55">
        <f>IFERROR(IF(INDEX('İş Planı'!$C$5:$C$204,ROW()-4)="","",INDEX('İş Planı'!$C$5:$C$204,ROW()-4)),"")</f>
        <v/>
      </c>
      <c r="B116" s="55">
        <f>IFERROR(IF(INDEX('İş Planı'!$B$5:$B$204,ROW()-4)="","",INDEX('İş Planı'!$B$5:$B$204,ROW()-4)),"")</f>
        <v/>
      </c>
      <c r="C116" s="72">
        <f>IFERROR(IF(INDEX('İş Planı'!$I$5:$I$204,ROW()-4)="","",INDEX('İş Planı'!$I$5:$I$204,ROW()-4)),"")</f>
        <v/>
      </c>
      <c r="D116" s="72">
        <f>IFERROR(IF(INDEX('İş Planı'!$M$5:$M$204,ROW()-4)="","",INDEX('İş Planı'!$M$5:$M$204,ROW()-4)),"")</f>
        <v/>
      </c>
      <c r="E116" s="71">
        <f>IFERROR(IF(INDEX('İş Planı'!$O$5:$O$204,ROW()-4)="","",INDEX('İş Planı'!$O$5:$O$204,ROW()-4)),"")</f>
        <v/>
      </c>
      <c r="F116" s="83" t="n"/>
      <c r="G116" s="83" t="n"/>
      <c r="H116" s="83" t="n"/>
      <c r="I116" s="83" t="n"/>
      <c r="J116" s="83" t="n"/>
      <c r="K116" s="83" t="n"/>
      <c r="L116" s="83" t="n"/>
      <c r="M116" s="83" t="n"/>
      <c r="N116" s="83" t="n"/>
      <c r="O116" s="83" t="n"/>
      <c r="P116" s="83" t="n"/>
      <c r="Q116" s="83" t="n"/>
      <c r="R116" s="83" t="n"/>
      <c r="S116" s="83" t="n"/>
      <c r="T116" s="83" t="n"/>
      <c r="U116" s="83" t="n"/>
      <c r="V116" s="83" t="n"/>
      <c r="W116" s="83" t="n"/>
      <c r="X116" s="83" t="n"/>
      <c r="Y116" s="83" t="n"/>
      <c r="Z116" s="83" t="n"/>
      <c r="AA116" s="83" t="n"/>
      <c r="AB116" s="83" t="n"/>
      <c r="AC116" s="83" t="n"/>
      <c r="AD116" s="83" t="n"/>
      <c r="AE116" s="83" t="n"/>
      <c r="AF116" s="83" t="n"/>
      <c r="AG116" s="83" t="n"/>
      <c r="AH116" s="83" t="n"/>
      <c r="AI116" s="83" t="n"/>
      <c r="AJ116" s="83" t="n"/>
      <c r="AK116" s="83" t="n"/>
      <c r="AL116" s="83" t="n"/>
      <c r="AM116" s="83" t="n"/>
      <c r="AN116" s="83" t="n"/>
      <c r="AO116" s="83" t="n"/>
      <c r="AP116" s="83" t="n"/>
      <c r="AQ116" s="83" t="n"/>
      <c r="AR116" s="83" t="n"/>
      <c r="AS116" s="83" t="n"/>
      <c r="AT116" s="83" t="n"/>
      <c r="AU116" s="83" t="n"/>
      <c r="AV116" s="83" t="n"/>
      <c r="AW116" s="83" t="n"/>
      <c r="AX116" s="83" t="n"/>
      <c r="AY116" s="83" t="n"/>
      <c r="AZ116" s="83" t="n"/>
      <c r="BA116" s="83" t="n"/>
      <c r="BB116" s="83" t="n"/>
      <c r="BC116" s="83" t="n"/>
      <c r="BD116" s="83" t="n"/>
      <c r="BE116" s="83" t="n"/>
    </row>
    <row r="117" ht="18" customHeight="1">
      <c r="A117" s="55">
        <f>IFERROR(IF(INDEX('İş Planı'!$C$5:$C$204,ROW()-4)="","",INDEX('İş Planı'!$C$5:$C$204,ROW()-4)),"")</f>
        <v/>
      </c>
      <c r="B117" s="55">
        <f>IFERROR(IF(INDEX('İş Planı'!$B$5:$B$204,ROW()-4)="","",INDEX('İş Planı'!$B$5:$B$204,ROW()-4)),"")</f>
        <v/>
      </c>
      <c r="C117" s="72">
        <f>IFERROR(IF(INDEX('İş Planı'!$I$5:$I$204,ROW()-4)="","",INDEX('İş Planı'!$I$5:$I$204,ROW()-4)),"")</f>
        <v/>
      </c>
      <c r="D117" s="72">
        <f>IFERROR(IF(INDEX('İş Planı'!$M$5:$M$204,ROW()-4)="","",INDEX('İş Planı'!$M$5:$M$204,ROW()-4)),"")</f>
        <v/>
      </c>
      <c r="E117" s="71">
        <f>IFERROR(IF(INDEX('İş Planı'!$O$5:$O$204,ROW()-4)="","",INDEX('İş Planı'!$O$5:$O$204,ROW()-4)),"")</f>
        <v/>
      </c>
      <c r="F117" s="83" t="n"/>
      <c r="G117" s="83" t="n"/>
      <c r="H117" s="83" t="n"/>
      <c r="I117" s="83" t="n"/>
      <c r="J117" s="83" t="n"/>
      <c r="K117" s="83" t="n"/>
      <c r="L117" s="83" t="n"/>
      <c r="M117" s="83" t="n"/>
      <c r="N117" s="83" t="n"/>
      <c r="O117" s="83" t="n"/>
      <c r="P117" s="83" t="n"/>
      <c r="Q117" s="83" t="n"/>
      <c r="R117" s="83" t="n"/>
      <c r="S117" s="83" t="n"/>
      <c r="T117" s="83" t="n"/>
      <c r="U117" s="83" t="n"/>
      <c r="V117" s="83" t="n"/>
      <c r="W117" s="83" t="n"/>
      <c r="X117" s="83" t="n"/>
      <c r="Y117" s="83" t="n"/>
      <c r="Z117" s="83" t="n"/>
      <c r="AA117" s="83" t="n"/>
      <c r="AB117" s="83" t="n"/>
      <c r="AC117" s="83" t="n"/>
      <c r="AD117" s="83" t="n"/>
      <c r="AE117" s="83" t="n"/>
      <c r="AF117" s="83" t="n"/>
      <c r="AG117" s="83" t="n"/>
      <c r="AH117" s="83" t="n"/>
      <c r="AI117" s="83" t="n"/>
      <c r="AJ117" s="83" t="n"/>
      <c r="AK117" s="83" t="n"/>
      <c r="AL117" s="83" t="n"/>
      <c r="AM117" s="83" t="n"/>
      <c r="AN117" s="83" t="n"/>
      <c r="AO117" s="83" t="n"/>
      <c r="AP117" s="83" t="n"/>
      <c r="AQ117" s="83" t="n"/>
      <c r="AR117" s="83" t="n"/>
      <c r="AS117" s="83" t="n"/>
      <c r="AT117" s="83" t="n"/>
      <c r="AU117" s="83" t="n"/>
      <c r="AV117" s="83" t="n"/>
      <c r="AW117" s="83" t="n"/>
      <c r="AX117" s="83" t="n"/>
      <c r="AY117" s="83" t="n"/>
      <c r="AZ117" s="83" t="n"/>
      <c r="BA117" s="83" t="n"/>
      <c r="BB117" s="83" t="n"/>
      <c r="BC117" s="83" t="n"/>
      <c r="BD117" s="83" t="n"/>
      <c r="BE117" s="83" t="n"/>
    </row>
    <row r="118" ht="18" customHeight="1">
      <c r="A118" s="55">
        <f>IFERROR(IF(INDEX('İş Planı'!$C$5:$C$204,ROW()-4)="","",INDEX('İş Planı'!$C$5:$C$204,ROW()-4)),"")</f>
        <v/>
      </c>
      <c r="B118" s="55">
        <f>IFERROR(IF(INDEX('İş Planı'!$B$5:$B$204,ROW()-4)="","",INDEX('İş Planı'!$B$5:$B$204,ROW()-4)),"")</f>
        <v/>
      </c>
      <c r="C118" s="72">
        <f>IFERROR(IF(INDEX('İş Planı'!$I$5:$I$204,ROW()-4)="","",INDEX('İş Planı'!$I$5:$I$204,ROW()-4)),"")</f>
        <v/>
      </c>
      <c r="D118" s="72">
        <f>IFERROR(IF(INDEX('İş Planı'!$M$5:$M$204,ROW()-4)="","",INDEX('İş Planı'!$M$5:$M$204,ROW()-4)),"")</f>
        <v/>
      </c>
      <c r="E118" s="71">
        <f>IFERROR(IF(INDEX('İş Planı'!$O$5:$O$204,ROW()-4)="","",INDEX('İş Planı'!$O$5:$O$204,ROW()-4)),"")</f>
        <v/>
      </c>
      <c r="F118" s="83" t="n"/>
      <c r="G118" s="83" t="n"/>
      <c r="H118" s="83" t="n"/>
      <c r="I118" s="83" t="n"/>
      <c r="J118" s="83" t="n"/>
      <c r="K118" s="83" t="n"/>
      <c r="L118" s="83" t="n"/>
      <c r="M118" s="83" t="n"/>
      <c r="N118" s="83" t="n"/>
      <c r="O118" s="83" t="n"/>
      <c r="P118" s="83" t="n"/>
      <c r="Q118" s="83" t="n"/>
      <c r="R118" s="83" t="n"/>
      <c r="S118" s="83" t="n"/>
      <c r="T118" s="83" t="n"/>
      <c r="U118" s="83" t="n"/>
      <c r="V118" s="83" t="n"/>
      <c r="W118" s="83" t="n"/>
      <c r="X118" s="83" t="n"/>
      <c r="Y118" s="83" t="n"/>
      <c r="Z118" s="83" t="n"/>
      <c r="AA118" s="83" t="n"/>
      <c r="AB118" s="83" t="n"/>
      <c r="AC118" s="83" t="n"/>
      <c r="AD118" s="83" t="n"/>
      <c r="AE118" s="83" t="n"/>
      <c r="AF118" s="83" t="n"/>
      <c r="AG118" s="83" t="n"/>
      <c r="AH118" s="83" t="n"/>
      <c r="AI118" s="83" t="n"/>
      <c r="AJ118" s="83" t="n"/>
      <c r="AK118" s="83" t="n"/>
      <c r="AL118" s="83" t="n"/>
      <c r="AM118" s="83" t="n"/>
      <c r="AN118" s="83" t="n"/>
      <c r="AO118" s="83" t="n"/>
      <c r="AP118" s="83" t="n"/>
      <c r="AQ118" s="83" t="n"/>
      <c r="AR118" s="83" t="n"/>
      <c r="AS118" s="83" t="n"/>
      <c r="AT118" s="83" t="n"/>
      <c r="AU118" s="83" t="n"/>
      <c r="AV118" s="83" t="n"/>
      <c r="AW118" s="83" t="n"/>
      <c r="AX118" s="83" t="n"/>
      <c r="AY118" s="83" t="n"/>
      <c r="AZ118" s="83" t="n"/>
      <c r="BA118" s="83" t="n"/>
      <c r="BB118" s="83" t="n"/>
      <c r="BC118" s="83" t="n"/>
      <c r="BD118" s="83" t="n"/>
      <c r="BE118" s="83" t="n"/>
    </row>
    <row r="119" ht="18" customHeight="1">
      <c r="A119" s="55">
        <f>IFERROR(IF(INDEX('İş Planı'!$C$5:$C$204,ROW()-4)="","",INDEX('İş Planı'!$C$5:$C$204,ROW()-4)),"")</f>
        <v/>
      </c>
      <c r="B119" s="55">
        <f>IFERROR(IF(INDEX('İş Planı'!$B$5:$B$204,ROW()-4)="","",INDEX('İş Planı'!$B$5:$B$204,ROW()-4)),"")</f>
        <v/>
      </c>
      <c r="C119" s="72">
        <f>IFERROR(IF(INDEX('İş Planı'!$I$5:$I$204,ROW()-4)="","",INDEX('İş Planı'!$I$5:$I$204,ROW()-4)),"")</f>
        <v/>
      </c>
      <c r="D119" s="72">
        <f>IFERROR(IF(INDEX('İş Planı'!$M$5:$M$204,ROW()-4)="","",INDEX('İş Planı'!$M$5:$M$204,ROW()-4)),"")</f>
        <v/>
      </c>
      <c r="E119" s="71">
        <f>IFERROR(IF(INDEX('İş Planı'!$O$5:$O$204,ROW()-4)="","",INDEX('İş Planı'!$O$5:$O$204,ROW()-4)),"")</f>
        <v/>
      </c>
      <c r="F119" s="83" t="n"/>
      <c r="G119" s="83" t="n"/>
      <c r="H119" s="83" t="n"/>
      <c r="I119" s="83" t="n"/>
      <c r="J119" s="83" t="n"/>
      <c r="K119" s="83" t="n"/>
      <c r="L119" s="83" t="n"/>
      <c r="M119" s="83" t="n"/>
      <c r="N119" s="83" t="n"/>
      <c r="O119" s="83" t="n"/>
      <c r="P119" s="83" t="n"/>
      <c r="Q119" s="83" t="n"/>
      <c r="R119" s="83" t="n"/>
      <c r="S119" s="83" t="n"/>
      <c r="T119" s="83" t="n"/>
      <c r="U119" s="83" t="n"/>
      <c r="V119" s="83" t="n"/>
      <c r="W119" s="83" t="n"/>
      <c r="X119" s="83" t="n"/>
      <c r="Y119" s="83" t="n"/>
      <c r="Z119" s="83" t="n"/>
      <c r="AA119" s="83" t="n"/>
      <c r="AB119" s="83" t="n"/>
      <c r="AC119" s="83" t="n"/>
      <c r="AD119" s="83" t="n"/>
      <c r="AE119" s="83" t="n"/>
      <c r="AF119" s="83" t="n"/>
      <c r="AG119" s="83" t="n"/>
      <c r="AH119" s="83" t="n"/>
      <c r="AI119" s="83" t="n"/>
      <c r="AJ119" s="83" t="n"/>
      <c r="AK119" s="83" t="n"/>
      <c r="AL119" s="83" t="n"/>
      <c r="AM119" s="83" t="n"/>
      <c r="AN119" s="83" t="n"/>
      <c r="AO119" s="83" t="n"/>
      <c r="AP119" s="83" t="n"/>
      <c r="AQ119" s="83" t="n"/>
      <c r="AR119" s="83" t="n"/>
      <c r="AS119" s="83" t="n"/>
      <c r="AT119" s="83" t="n"/>
      <c r="AU119" s="83" t="n"/>
      <c r="AV119" s="83" t="n"/>
      <c r="AW119" s="83" t="n"/>
      <c r="AX119" s="83" t="n"/>
      <c r="AY119" s="83" t="n"/>
      <c r="AZ119" s="83" t="n"/>
      <c r="BA119" s="83" t="n"/>
      <c r="BB119" s="83" t="n"/>
      <c r="BC119" s="83" t="n"/>
      <c r="BD119" s="83" t="n"/>
      <c r="BE119" s="83" t="n"/>
    </row>
    <row r="120" ht="18" customHeight="1">
      <c r="A120" s="55">
        <f>IFERROR(IF(INDEX('İş Planı'!$C$5:$C$204,ROW()-4)="","",INDEX('İş Planı'!$C$5:$C$204,ROW()-4)),"")</f>
        <v/>
      </c>
      <c r="B120" s="55">
        <f>IFERROR(IF(INDEX('İş Planı'!$B$5:$B$204,ROW()-4)="","",INDEX('İş Planı'!$B$5:$B$204,ROW()-4)),"")</f>
        <v/>
      </c>
      <c r="C120" s="72">
        <f>IFERROR(IF(INDEX('İş Planı'!$I$5:$I$204,ROW()-4)="","",INDEX('İş Planı'!$I$5:$I$204,ROW()-4)),"")</f>
        <v/>
      </c>
      <c r="D120" s="72">
        <f>IFERROR(IF(INDEX('İş Planı'!$M$5:$M$204,ROW()-4)="","",INDEX('İş Planı'!$M$5:$M$204,ROW()-4)),"")</f>
        <v/>
      </c>
      <c r="E120" s="71">
        <f>IFERROR(IF(INDEX('İş Planı'!$O$5:$O$204,ROW()-4)="","",INDEX('İş Planı'!$O$5:$O$204,ROW()-4)),"")</f>
        <v/>
      </c>
      <c r="F120" s="83" t="n"/>
      <c r="G120" s="83" t="n"/>
      <c r="H120" s="83" t="n"/>
      <c r="I120" s="83" t="n"/>
      <c r="J120" s="83" t="n"/>
      <c r="K120" s="83" t="n"/>
      <c r="L120" s="83" t="n"/>
      <c r="M120" s="83" t="n"/>
      <c r="N120" s="83" t="n"/>
      <c r="O120" s="83" t="n"/>
      <c r="P120" s="83" t="n"/>
      <c r="Q120" s="83" t="n"/>
      <c r="R120" s="83" t="n"/>
      <c r="S120" s="83" t="n"/>
      <c r="T120" s="83" t="n"/>
      <c r="U120" s="83" t="n"/>
      <c r="V120" s="83" t="n"/>
      <c r="W120" s="83" t="n"/>
      <c r="X120" s="83" t="n"/>
      <c r="Y120" s="83" t="n"/>
      <c r="Z120" s="83" t="n"/>
      <c r="AA120" s="83" t="n"/>
      <c r="AB120" s="83" t="n"/>
      <c r="AC120" s="83" t="n"/>
      <c r="AD120" s="83" t="n"/>
      <c r="AE120" s="83" t="n"/>
      <c r="AF120" s="83" t="n"/>
      <c r="AG120" s="83" t="n"/>
      <c r="AH120" s="83" t="n"/>
      <c r="AI120" s="83" t="n"/>
      <c r="AJ120" s="83" t="n"/>
      <c r="AK120" s="83" t="n"/>
      <c r="AL120" s="83" t="n"/>
      <c r="AM120" s="83" t="n"/>
      <c r="AN120" s="83" t="n"/>
      <c r="AO120" s="83" t="n"/>
      <c r="AP120" s="83" t="n"/>
      <c r="AQ120" s="83" t="n"/>
      <c r="AR120" s="83" t="n"/>
      <c r="AS120" s="83" t="n"/>
      <c r="AT120" s="83" t="n"/>
      <c r="AU120" s="83" t="n"/>
      <c r="AV120" s="83" t="n"/>
      <c r="AW120" s="83" t="n"/>
      <c r="AX120" s="83" t="n"/>
      <c r="AY120" s="83" t="n"/>
      <c r="AZ120" s="83" t="n"/>
      <c r="BA120" s="83" t="n"/>
      <c r="BB120" s="83" t="n"/>
      <c r="BC120" s="83" t="n"/>
      <c r="BD120" s="83" t="n"/>
      <c r="BE120" s="83" t="n"/>
    </row>
    <row r="121" ht="18" customHeight="1">
      <c r="A121" s="55">
        <f>IFERROR(IF(INDEX('İş Planı'!$C$5:$C$204,ROW()-4)="","",INDEX('İş Planı'!$C$5:$C$204,ROW()-4)),"")</f>
        <v/>
      </c>
      <c r="B121" s="55">
        <f>IFERROR(IF(INDEX('İş Planı'!$B$5:$B$204,ROW()-4)="","",INDEX('İş Planı'!$B$5:$B$204,ROW()-4)),"")</f>
        <v/>
      </c>
      <c r="C121" s="72">
        <f>IFERROR(IF(INDEX('İş Planı'!$I$5:$I$204,ROW()-4)="","",INDEX('İş Planı'!$I$5:$I$204,ROW()-4)),"")</f>
        <v/>
      </c>
      <c r="D121" s="72">
        <f>IFERROR(IF(INDEX('İş Planı'!$M$5:$M$204,ROW()-4)="","",INDEX('İş Planı'!$M$5:$M$204,ROW()-4)),"")</f>
        <v/>
      </c>
      <c r="E121" s="71">
        <f>IFERROR(IF(INDEX('İş Planı'!$O$5:$O$204,ROW()-4)="","",INDEX('İş Planı'!$O$5:$O$204,ROW()-4)),"")</f>
        <v/>
      </c>
      <c r="F121" s="83" t="n"/>
      <c r="G121" s="83" t="n"/>
      <c r="H121" s="83" t="n"/>
      <c r="I121" s="83" t="n"/>
      <c r="J121" s="83" t="n"/>
      <c r="K121" s="83" t="n"/>
      <c r="L121" s="83" t="n"/>
      <c r="M121" s="83" t="n"/>
      <c r="N121" s="83" t="n"/>
      <c r="O121" s="83" t="n"/>
      <c r="P121" s="83" t="n"/>
      <c r="Q121" s="83" t="n"/>
      <c r="R121" s="83" t="n"/>
      <c r="S121" s="83" t="n"/>
      <c r="T121" s="83" t="n"/>
      <c r="U121" s="83" t="n"/>
      <c r="V121" s="83" t="n"/>
      <c r="W121" s="83" t="n"/>
      <c r="X121" s="83" t="n"/>
      <c r="Y121" s="83" t="n"/>
      <c r="Z121" s="83" t="n"/>
      <c r="AA121" s="83" t="n"/>
      <c r="AB121" s="83" t="n"/>
      <c r="AC121" s="83" t="n"/>
      <c r="AD121" s="83" t="n"/>
      <c r="AE121" s="83" t="n"/>
      <c r="AF121" s="83" t="n"/>
      <c r="AG121" s="83" t="n"/>
      <c r="AH121" s="83" t="n"/>
      <c r="AI121" s="83" t="n"/>
      <c r="AJ121" s="83" t="n"/>
      <c r="AK121" s="83" t="n"/>
      <c r="AL121" s="83" t="n"/>
      <c r="AM121" s="83" t="n"/>
      <c r="AN121" s="83" t="n"/>
      <c r="AO121" s="83" t="n"/>
      <c r="AP121" s="83" t="n"/>
      <c r="AQ121" s="83" t="n"/>
      <c r="AR121" s="83" t="n"/>
      <c r="AS121" s="83" t="n"/>
      <c r="AT121" s="83" t="n"/>
      <c r="AU121" s="83" t="n"/>
      <c r="AV121" s="83" t="n"/>
      <c r="AW121" s="83" t="n"/>
      <c r="AX121" s="83" t="n"/>
      <c r="AY121" s="83" t="n"/>
      <c r="AZ121" s="83" t="n"/>
      <c r="BA121" s="83" t="n"/>
      <c r="BB121" s="83" t="n"/>
      <c r="BC121" s="83" t="n"/>
      <c r="BD121" s="83" t="n"/>
      <c r="BE121" s="83" t="n"/>
    </row>
    <row r="122" ht="18" customHeight="1">
      <c r="A122" s="55">
        <f>IFERROR(IF(INDEX('İş Planı'!$C$5:$C$204,ROW()-4)="","",INDEX('İş Planı'!$C$5:$C$204,ROW()-4)),"")</f>
        <v/>
      </c>
      <c r="B122" s="55">
        <f>IFERROR(IF(INDEX('İş Planı'!$B$5:$B$204,ROW()-4)="","",INDEX('İş Planı'!$B$5:$B$204,ROW()-4)),"")</f>
        <v/>
      </c>
      <c r="C122" s="72">
        <f>IFERROR(IF(INDEX('İş Planı'!$I$5:$I$204,ROW()-4)="","",INDEX('İş Planı'!$I$5:$I$204,ROW()-4)),"")</f>
        <v/>
      </c>
      <c r="D122" s="72">
        <f>IFERROR(IF(INDEX('İş Planı'!$M$5:$M$204,ROW()-4)="","",INDEX('İş Planı'!$M$5:$M$204,ROW()-4)),"")</f>
        <v/>
      </c>
      <c r="E122" s="71">
        <f>IFERROR(IF(INDEX('İş Planı'!$O$5:$O$204,ROW()-4)="","",INDEX('İş Planı'!$O$5:$O$204,ROW()-4)),"")</f>
        <v/>
      </c>
      <c r="F122" s="83" t="n"/>
      <c r="G122" s="83" t="n"/>
      <c r="H122" s="83" t="n"/>
      <c r="I122" s="83" t="n"/>
      <c r="J122" s="83" t="n"/>
      <c r="K122" s="83" t="n"/>
      <c r="L122" s="83" t="n"/>
      <c r="M122" s="83" t="n"/>
      <c r="N122" s="83" t="n"/>
      <c r="O122" s="83" t="n"/>
      <c r="P122" s="83" t="n"/>
      <c r="Q122" s="83" t="n"/>
      <c r="R122" s="83" t="n"/>
      <c r="S122" s="83" t="n"/>
      <c r="T122" s="83" t="n"/>
      <c r="U122" s="83" t="n"/>
      <c r="V122" s="83" t="n"/>
      <c r="W122" s="83" t="n"/>
      <c r="X122" s="83" t="n"/>
      <c r="Y122" s="83" t="n"/>
      <c r="Z122" s="83" t="n"/>
      <c r="AA122" s="83" t="n"/>
      <c r="AB122" s="83" t="n"/>
      <c r="AC122" s="83" t="n"/>
      <c r="AD122" s="83" t="n"/>
      <c r="AE122" s="83" t="n"/>
      <c r="AF122" s="83" t="n"/>
      <c r="AG122" s="83" t="n"/>
      <c r="AH122" s="83" t="n"/>
      <c r="AI122" s="83" t="n"/>
      <c r="AJ122" s="83" t="n"/>
      <c r="AK122" s="83" t="n"/>
      <c r="AL122" s="83" t="n"/>
      <c r="AM122" s="83" t="n"/>
      <c r="AN122" s="83" t="n"/>
      <c r="AO122" s="83" t="n"/>
      <c r="AP122" s="83" t="n"/>
      <c r="AQ122" s="83" t="n"/>
      <c r="AR122" s="83" t="n"/>
      <c r="AS122" s="83" t="n"/>
      <c r="AT122" s="83" t="n"/>
      <c r="AU122" s="83" t="n"/>
      <c r="AV122" s="83" t="n"/>
      <c r="AW122" s="83" t="n"/>
      <c r="AX122" s="83" t="n"/>
      <c r="AY122" s="83" t="n"/>
      <c r="AZ122" s="83" t="n"/>
      <c r="BA122" s="83" t="n"/>
      <c r="BB122" s="83" t="n"/>
      <c r="BC122" s="83" t="n"/>
      <c r="BD122" s="83" t="n"/>
      <c r="BE122" s="83" t="n"/>
    </row>
    <row r="123" ht="18" customHeight="1">
      <c r="A123" s="55">
        <f>IFERROR(IF(INDEX('İş Planı'!$C$5:$C$204,ROW()-4)="","",INDEX('İş Planı'!$C$5:$C$204,ROW()-4)),"")</f>
        <v/>
      </c>
      <c r="B123" s="55">
        <f>IFERROR(IF(INDEX('İş Planı'!$B$5:$B$204,ROW()-4)="","",INDEX('İş Planı'!$B$5:$B$204,ROW()-4)),"")</f>
        <v/>
      </c>
      <c r="C123" s="72">
        <f>IFERROR(IF(INDEX('İş Planı'!$I$5:$I$204,ROW()-4)="","",INDEX('İş Planı'!$I$5:$I$204,ROW()-4)),"")</f>
        <v/>
      </c>
      <c r="D123" s="72">
        <f>IFERROR(IF(INDEX('İş Planı'!$M$5:$M$204,ROW()-4)="","",INDEX('İş Planı'!$M$5:$M$204,ROW()-4)),"")</f>
        <v/>
      </c>
      <c r="E123" s="71">
        <f>IFERROR(IF(INDEX('İş Planı'!$O$5:$O$204,ROW()-4)="","",INDEX('İş Planı'!$O$5:$O$204,ROW()-4)),"")</f>
        <v/>
      </c>
      <c r="F123" s="83" t="n"/>
      <c r="G123" s="83" t="n"/>
      <c r="H123" s="83" t="n"/>
      <c r="I123" s="83" t="n"/>
      <c r="J123" s="83" t="n"/>
      <c r="K123" s="83" t="n"/>
      <c r="L123" s="83" t="n"/>
      <c r="M123" s="83" t="n"/>
      <c r="N123" s="83" t="n"/>
      <c r="O123" s="83" t="n"/>
      <c r="P123" s="83" t="n"/>
      <c r="Q123" s="83" t="n"/>
      <c r="R123" s="83" t="n"/>
      <c r="S123" s="83" t="n"/>
      <c r="T123" s="83" t="n"/>
      <c r="U123" s="83" t="n"/>
      <c r="V123" s="83" t="n"/>
      <c r="W123" s="83" t="n"/>
      <c r="X123" s="83" t="n"/>
      <c r="Y123" s="83" t="n"/>
      <c r="Z123" s="83" t="n"/>
      <c r="AA123" s="83" t="n"/>
      <c r="AB123" s="83" t="n"/>
      <c r="AC123" s="83" t="n"/>
      <c r="AD123" s="83" t="n"/>
      <c r="AE123" s="83" t="n"/>
      <c r="AF123" s="83" t="n"/>
      <c r="AG123" s="83" t="n"/>
      <c r="AH123" s="83" t="n"/>
      <c r="AI123" s="83" t="n"/>
      <c r="AJ123" s="83" t="n"/>
      <c r="AK123" s="83" t="n"/>
      <c r="AL123" s="83" t="n"/>
      <c r="AM123" s="83" t="n"/>
      <c r="AN123" s="83" t="n"/>
      <c r="AO123" s="83" t="n"/>
      <c r="AP123" s="83" t="n"/>
      <c r="AQ123" s="83" t="n"/>
      <c r="AR123" s="83" t="n"/>
      <c r="AS123" s="83" t="n"/>
      <c r="AT123" s="83" t="n"/>
      <c r="AU123" s="83" t="n"/>
      <c r="AV123" s="83" t="n"/>
      <c r="AW123" s="83" t="n"/>
      <c r="AX123" s="83" t="n"/>
      <c r="AY123" s="83" t="n"/>
      <c r="AZ123" s="83" t="n"/>
      <c r="BA123" s="83" t="n"/>
      <c r="BB123" s="83" t="n"/>
      <c r="BC123" s="83" t="n"/>
      <c r="BD123" s="83" t="n"/>
      <c r="BE123" s="83" t="n"/>
    </row>
    <row r="124" ht="18" customHeight="1">
      <c r="A124" s="55">
        <f>IFERROR(IF(INDEX('İş Planı'!$C$5:$C$204,ROW()-4)="","",INDEX('İş Planı'!$C$5:$C$204,ROW()-4)),"")</f>
        <v/>
      </c>
      <c r="B124" s="55">
        <f>IFERROR(IF(INDEX('İş Planı'!$B$5:$B$204,ROW()-4)="","",INDEX('İş Planı'!$B$5:$B$204,ROW()-4)),"")</f>
        <v/>
      </c>
      <c r="C124" s="72">
        <f>IFERROR(IF(INDEX('İş Planı'!$I$5:$I$204,ROW()-4)="","",INDEX('İş Planı'!$I$5:$I$204,ROW()-4)),"")</f>
        <v/>
      </c>
      <c r="D124" s="72">
        <f>IFERROR(IF(INDEX('İş Planı'!$M$5:$M$204,ROW()-4)="","",INDEX('İş Planı'!$M$5:$M$204,ROW()-4)),"")</f>
        <v/>
      </c>
      <c r="E124" s="71">
        <f>IFERROR(IF(INDEX('İş Planı'!$O$5:$O$204,ROW()-4)="","",INDEX('İş Planı'!$O$5:$O$204,ROW()-4)),"")</f>
        <v/>
      </c>
      <c r="F124" s="83" t="n"/>
      <c r="G124" s="83" t="n"/>
      <c r="H124" s="83" t="n"/>
      <c r="I124" s="83" t="n"/>
      <c r="J124" s="83" t="n"/>
      <c r="K124" s="83" t="n"/>
      <c r="L124" s="83" t="n"/>
      <c r="M124" s="83" t="n"/>
      <c r="N124" s="83" t="n"/>
      <c r="O124" s="83" t="n"/>
      <c r="P124" s="83" t="n"/>
      <c r="Q124" s="83" t="n"/>
      <c r="R124" s="83" t="n"/>
      <c r="S124" s="83" t="n"/>
      <c r="T124" s="83" t="n"/>
      <c r="U124" s="83" t="n"/>
      <c r="V124" s="83" t="n"/>
      <c r="W124" s="83" t="n"/>
      <c r="X124" s="83" t="n"/>
      <c r="Y124" s="83" t="n"/>
      <c r="Z124" s="83" t="n"/>
      <c r="AA124" s="83" t="n"/>
      <c r="AB124" s="83" t="n"/>
      <c r="AC124" s="83" t="n"/>
      <c r="AD124" s="83" t="n"/>
      <c r="AE124" s="83" t="n"/>
      <c r="AF124" s="83" t="n"/>
      <c r="AG124" s="83" t="n"/>
      <c r="AH124" s="83" t="n"/>
      <c r="AI124" s="83" t="n"/>
      <c r="AJ124" s="83" t="n"/>
      <c r="AK124" s="83" t="n"/>
      <c r="AL124" s="83" t="n"/>
      <c r="AM124" s="83" t="n"/>
      <c r="AN124" s="83" t="n"/>
      <c r="AO124" s="83" t="n"/>
      <c r="AP124" s="83" t="n"/>
      <c r="AQ124" s="83" t="n"/>
      <c r="AR124" s="83" t="n"/>
      <c r="AS124" s="83" t="n"/>
      <c r="AT124" s="83" t="n"/>
      <c r="AU124" s="83" t="n"/>
      <c r="AV124" s="83" t="n"/>
      <c r="AW124" s="83" t="n"/>
      <c r="AX124" s="83" t="n"/>
      <c r="AY124" s="83" t="n"/>
      <c r="AZ124" s="83" t="n"/>
      <c r="BA124" s="83" t="n"/>
      <c r="BB124" s="83" t="n"/>
      <c r="BC124" s="83" t="n"/>
      <c r="BD124" s="83" t="n"/>
      <c r="BE124" s="83" t="n"/>
    </row>
    <row r="125" ht="18" customHeight="1">
      <c r="A125" s="55">
        <f>IFERROR(IF(INDEX('İş Planı'!$C$5:$C$204,ROW()-4)="","",INDEX('İş Planı'!$C$5:$C$204,ROW()-4)),"")</f>
        <v/>
      </c>
      <c r="B125" s="55">
        <f>IFERROR(IF(INDEX('İş Planı'!$B$5:$B$204,ROW()-4)="","",INDEX('İş Planı'!$B$5:$B$204,ROW()-4)),"")</f>
        <v/>
      </c>
      <c r="C125" s="72">
        <f>IFERROR(IF(INDEX('İş Planı'!$I$5:$I$204,ROW()-4)="","",INDEX('İş Planı'!$I$5:$I$204,ROW()-4)),"")</f>
        <v/>
      </c>
      <c r="D125" s="72">
        <f>IFERROR(IF(INDEX('İş Planı'!$M$5:$M$204,ROW()-4)="","",INDEX('İş Planı'!$M$5:$M$204,ROW()-4)),"")</f>
        <v/>
      </c>
      <c r="E125" s="71">
        <f>IFERROR(IF(INDEX('İş Planı'!$O$5:$O$204,ROW()-4)="","",INDEX('İş Planı'!$O$5:$O$204,ROW()-4)),"")</f>
        <v/>
      </c>
      <c r="F125" s="83" t="n"/>
      <c r="G125" s="83" t="n"/>
      <c r="H125" s="83" t="n"/>
      <c r="I125" s="83" t="n"/>
      <c r="J125" s="83" t="n"/>
      <c r="K125" s="83" t="n"/>
      <c r="L125" s="83" t="n"/>
      <c r="M125" s="83" t="n"/>
      <c r="N125" s="83" t="n"/>
      <c r="O125" s="83" t="n"/>
      <c r="P125" s="83" t="n"/>
      <c r="Q125" s="83" t="n"/>
      <c r="R125" s="83" t="n"/>
      <c r="S125" s="83" t="n"/>
      <c r="T125" s="83" t="n"/>
      <c r="U125" s="83" t="n"/>
      <c r="V125" s="83" t="n"/>
      <c r="W125" s="83" t="n"/>
      <c r="X125" s="83" t="n"/>
      <c r="Y125" s="83" t="n"/>
      <c r="Z125" s="83" t="n"/>
      <c r="AA125" s="83" t="n"/>
      <c r="AB125" s="83" t="n"/>
      <c r="AC125" s="83" t="n"/>
      <c r="AD125" s="83" t="n"/>
      <c r="AE125" s="83" t="n"/>
      <c r="AF125" s="83" t="n"/>
      <c r="AG125" s="83" t="n"/>
      <c r="AH125" s="83" t="n"/>
      <c r="AI125" s="83" t="n"/>
      <c r="AJ125" s="83" t="n"/>
      <c r="AK125" s="83" t="n"/>
      <c r="AL125" s="83" t="n"/>
      <c r="AM125" s="83" t="n"/>
      <c r="AN125" s="83" t="n"/>
      <c r="AO125" s="83" t="n"/>
      <c r="AP125" s="83" t="n"/>
      <c r="AQ125" s="83" t="n"/>
      <c r="AR125" s="83" t="n"/>
      <c r="AS125" s="83" t="n"/>
      <c r="AT125" s="83" t="n"/>
      <c r="AU125" s="83" t="n"/>
      <c r="AV125" s="83" t="n"/>
      <c r="AW125" s="83" t="n"/>
      <c r="AX125" s="83" t="n"/>
      <c r="AY125" s="83" t="n"/>
      <c r="AZ125" s="83" t="n"/>
      <c r="BA125" s="83" t="n"/>
      <c r="BB125" s="83" t="n"/>
      <c r="BC125" s="83" t="n"/>
      <c r="BD125" s="83" t="n"/>
      <c r="BE125" s="83" t="n"/>
    </row>
    <row r="126" ht="18" customHeight="1">
      <c r="A126" s="55">
        <f>IFERROR(IF(INDEX('İş Planı'!$C$5:$C$204,ROW()-4)="","",INDEX('İş Planı'!$C$5:$C$204,ROW()-4)),"")</f>
        <v/>
      </c>
      <c r="B126" s="55">
        <f>IFERROR(IF(INDEX('İş Planı'!$B$5:$B$204,ROW()-4)="","",INDEX('İş Planı'!$B$5:$B$204,ROW()-4)),"")</f>
        <v/>
      </c>
      <c r="C126" s="72">
        <f>IFERROR(IF(INDEX('İş Planı'!$I$5:$I$204,ROW()-4)="","",INDEX('İş Planı'!$I$5:$I$204,ROW()-4)),"")</f>
        <v/>
      </c>
      <c r="D126" s="72">
        <f>IFERROR(IF(INDEX('İş Planı'!$M$5:$M$204,ROW()-4)="","",INDEX('İş Planı'!$M$5:$M$204,ROW()-4)),"")</f>
        <v/>
      </c>
      <c r="E126" s="71">
        <f>IFERROR(IF(INDEX('İş Planı'!$O$5:$O$204,ROW()-4)="","",INDEX('İş Planı'!$O$5:$O$204,ROW()-4)),"")</f>
        <v/>
      </c>
      <c r="F126" s="83" t="n"/>
      <c r="G126" s="83" t="n"/>
      <c r="H126" s="83" t="n"/>
      <c r="I126" s="83" t="n"/>
      <c r="J126" s="83" t="n"/>
      <c r="K126" s="83" t="n"/>
      <c r="L126" s="83" t="n"/>
      <c r="M126" s="83" t="n"/>
      <c r="N126" s="83" t="n"/>
      <c r="O126" s="83" t="n"/>
      <c r="P126" s="83" t="n"/>
      <c r="Q126" s="83" t="n"/>
      <c r="R126" s="83" t="n"/>
      <c r="S126" s="83" t="n"/>
      <c r="T126" s="83" t="n"/>
      <c r="U126" s="83" t="n"/>
      <c r="V126" s="83" t="n"/>
      <c r="W126" s="83" t="n"/>
      <c r="X126" s="83" t="n"/>
      <c r="Y126" s="83" t="n"/>
      <c r="Z126" s="83" t="n"/>
      <c r="AA126" s="83" t="n"/>
      <c r="AB126" s="83" t="n"/>
      <c r="AC126" s="83" t="n"/>
      <c r="AD126" s="83" t="n"/>
      <c r="AE126" s="83" t="n"/>
      <c r="AF126" s="83" t="n"/>
      <c r="AG126" s="83" t="n"/>
      <c r="AH126" s="83" t="n"/>
      <c r="AI126" s="83" t="n"/>
      <c r="AJ126" s="83" t="n"/>
      <c r="AK126" s="83" t="n"/>
      <c r="AL126" s="83" t="n"/>
      <c r="AM126" s="83" t="n"/>
      <c r="AN126" s="83" t="n"/>
      <c r="AO126" s="83" t="n"/>
      <c r="AP126" s="83" t="n"/>
      <c r="AQ126" s="83" t="n"/>
      <c r="AR126" s="83" t="n"/>
      <c r="AS126" s="83" t="n"/>
      <c r="AT126" s="83" t="n"/>
      <c r="AU126" s="83" t="n"/>
      <c r="AV126" s="83" t="n"/>
      <c r="AW126" s="83" t="n"/>
      <c r="AX126" s="83" t="n"/>
      <c r="AY126" s="83" t="n"/>
      <c r="AZ126" s="83" t="n"/>
      <c r="BA126" s="83" t="n"/>
      <c r="BB126" s="83" t="n"/>
      <c r="BC126" s="83" t="n"/>
      <c r="BD126" s="83" t="n"/>
      <c r="BE126" s="83" t="n"/>
    </row>
    <row r="127" ht="18" customHeight="1">
      <c r="A127" s="55">
        <f>IFERROR(IF(INDEX('İş Planı'!$C$5:$C$204,ROW()-4)="","",INDEX('İş Planı'!$C$5:$C$204,ROW()-4)),"")</f>
        <v/>
      </c>
      <c r="B127" s="55">
        <f>IFERROR(IF(INDEX('İş Planı'!$B$5:$B$204,ROW()-4)="","",INDEX('İş Planı'!$B$5:$B$204,ROW()-4)),"")</f>
        <v/>
      </c>
      <c r="C127" s="72">
        <f>IFERROR(IF(INDEX('İş Planı'!$I$5:$I$204,ROW()-4)="","",INDEX('İş Planı'!$I$5:$I$204,ROW()-4)),"")</f>
        <v/>
      </c>
      <c r="D127" s="72">
        <f>IFERROR(IF(INDEX('İş Planı'!$M$5:$M$204,ROW()-4)="","",INDEX('İş Planı'!$M$5:$M$204,ROW()-4)),"")</f>
        <v/>
      </c>
      <c r="E127" s="71">
        <f>IFERROR(IF(INDEX('İş Planı'!$O$5:$O$204,ROW()-4)="","",INDEX('İş Planı'!$O$5:$O$204,ROW()-4)),"")</f>
        <v/>
      </c>
      <c r="F127" s="83" t="n"/>
      <c r="G127" s="83" t="n"/>
      <c r="H127" s="83" t="n"/>
      <c r="I127" s="83" t="n"/>
      <c r="J127" s="83" t="n"/>
      <c r="K127" s="83" t="n"/>
      <c r="L127" s="83" t="n"/>
      <c r="M127" s="83" t="n"/>
      <c r="N127" s="83" t="n"/>
      <c r="O127" s="83" t="n"/>
      <c r="P127" s="83" t="n"/>
      <c r="Q127" s="83" t="n"/>
      <c r="R127" s="83" t="n"/>
      <c r="S127" s="83" t="n"/>
      <c r="T127" s="83" t="n"/>
      <c r="U127" s="83" t="n"/>
      <c r="V127" s="83" t="n"/>
      <c r="W127" s="83" t="n"/>
      <c r="X127" s="83" t="n"/>
      <c r="Y127" s="83" t="n"/>
      <c r="Z127" s="83" t="n"/>
      <c r="AA127" s="83" t="n"/>
      <c r="AB127" s="83" t="n"/>
      <c r="AC127" s="83" t="n"/>
      <c r="AD127" s="83" t="n"/>
      <c r="AE127" s="83" t="n"/>
      <c r="AF127" s="83" t="n"/>
      <c r="AG127" s="83" t="n"/>
      <c r="AH127" s="83" t="n"/>
      <c r="AI127" s="83" t="n"/>
      <c r="AJ127" s="83" t="n"/>
      <c r="AK127" s="83" t="n"/>
      <c r="AL127" s="83" t="n"/>
      <c r="AM127" s="83" t="n"/>
      <c r="AN127" s="83" t="n"/>
      <c r="AO127" s="83" t="n"/>
      <c r="AP127" s="83" t="n"/>
      <c r="AQ127" s="83" t="n"/>
      <c r="AR127" s="83" t="n"/>
      <c r="AS127" s="83" t="n"/>
      <c r="AT127" s="83" t="n"/>
      <c r="AU127" s="83" t="n"/>
      <c r="AV127" s="83" t="n"/>
      <c r="AW127" s="83" t="n"/>
      <c r="AX127" s="83" t="n"/>
      <c r="AY127" s="83" t="n"/>
      <c r="AZ127" s="83" t="n"/>
      <c r="BA127" s="83" t="n"/>
      <c r="BB127" s="83" t="n"/>
      <c r="BC127" s="83" t="n"/>
      <c r="BD127" s="83" t="n"/>
      <c r="BE127" s="83" t="n"/>
    </row>
    <row r="128" ht="18" customHeight="1">
      <c r="A128" s="55">
        <f>IFERROR(IF(INDEX('İş Planı'!$C$5:$C$204,ROW()-4)="","",INDEX('İş Planı'!$C$5:$C$204,ROW()-4)),"")</f>
        <v/>
      </c>
      <c r="B128" s="55">
        <f>IFERROR(IF(INDEX('İş Planı'!$B$5:$B$204,ROW()-4)="","",INDEX('İş Planı'!$B$5:$B$204,ROW()-4)),"")</f>
        <v/>
      </c>
      <c r="C128" s="72">
        <f>IFERROR(IF(INDEX('İş Planı'!$I$5:$I$204,ROW()-4)="","",INDEX('İş Planı'!$I$5:$I$204,ROW()-4)),"")</f>
        <v/>
      </c>
      <c r="D128" s="72">
        <f>IFERROR(IF(INDEX('İş Planı'!$M$5:$M$204,ROW()-4)="","",INDEX('İş Planı'!$M$5:$M$204,ROW()-4)),"")</f>
        <v/>
      </c>
      <c r="E128" s="71">
        <f>IFERROR(IF(INDEX('İş Planı'!$O$5:$O$204,ROW()-4)="","",INDEX('İş Planı'!$O$5:$O$204,ROW()-4)),"")</f>
        <v/>
      </c>
      <c r="F128" s="83" t="n"/>
      <c r="G128" s="83" t="n"/>
      <c r="H128" s="83" t="n"/>
      <c r="I128" s="83" t="n"/>
      <c r="J128" s="83" t="n"/>
      <c r="K128" s="83" t="n"/>
      <c r="L128" s="83" t="n"/>
      <c r="M128" s="83" t="n"/>
      <c r="N128" s="83" t="n"/>
      <c r="O128" s="83" t="n"/>
      <c r="P128" s="83" t="n"/>
      <c r="Q128" s="83" t="n"/>
      <c r="R128" s="83" t="n"/>
      <c r="S128" s="83" t="n"/>
      <c r="T128" s="83" t="n"/>
      <c r="U128" s="83" t="n"/>
      <c r="V128" s="83" t="n"/>
      <c r="W128" s="83" t="n"/>
      <c r="X128" s="83" t="n"/>
      <c r="Y128" s="83" t="n"/>
      <c r="Z128" s="83" t="n"/>
      <c r="AA128" s="83" t="n"/>
      <c r="AB128" s="83" t="n"/>
      <c r="AC128" s="83" t="n"/>
      <c r="AD128" s="83" t="n"/>
      <c r="AE128" s="83" t="n"/>
      <c r="AF128" s="83" t="n"/>
      <c r="AG128" s="83" t="n"/>
      <c r="AH128" s="83" t="n"/>
      <c r="AI128" s="83" t="n"/>
      <c r="AJ128" s="83" t="n"/>
      <c r="AK128" s="83" t="n"/>
      <c r="AL128" s="83" t="n"/>
      <c r="AM128" s="83" t="n"/>
      <c r="AN128" s="83" t="n"/>
      <c r="AO128" s="83" t="n"/>
      <c r="AP128" s="83" t="n"/>
      <c r="AQ128" s="83" t="n"/>
      <c r="AR128" s="83" t="n"/>
      <c r="AS128" s="83" t="n"/>
      <c r="AT128" s="83" t="n"/>
      <c r="AU128" s="83" t="n"/>
      <c r="AV128" s="83" t="n"/>
      <c r="AW128" s="83" t="n"/>
      <c r="AX128" s="83" t="n"/>
      <c r="AY128" s="83" t="n"/>
      <c r="AZ128" s="83" t="n"/>
      <c r="BA128" s="83" t="n"/>
      <c r="BB128" s="83" t="n"/>
      <c r="BC128" s="83" t="n"/>
      <c r="BD128" s="83" t="n"/>
      <c r="BE128" s="83" t="n"/>
    </row>
    <row r="129" ht="18" customHeight="1">
      <c r="A129" s="55">
        <f>IFERROR(IF(INDEX('İş Planı'!$C$5:$C$204,ROW()-4)="","",INDEX('İş Planı'!$C$5:$C$204,ROW()-4)),"")</f>
        <v/>
      </c>
      <c r="B129" s="55">
        <f>IFERROR(IF(INDEX('İş Planı'!$B$5:$B$204,ROW()-4)="","",INDEX('İş Planı'!$B$5:$B$204,ROW()-4)),"")</f>
        <v/>
      </c>
      <c r="C129" s="72">
        <f>IFERROR(IF(INDEX('İş Planı'!$I$5:$I$204,ROW()-4)="","",INDEX('İş Planı'!$I$5:$I$204,ROW()-4)),"")</f>
        <v/>
      </c>
      <c r="D129" s="72">
        <f>IFERROR(IF(INDEX('İş Planı'!$M$5:$M$204,ROW()-4)="","",INDEX('İş Planı'!$M$5:$M$204,ROW()-4)),"")</f>
        <v/>
      </c>
      <c r="E129" s="71">
        <f>IFERROR(IF(INDEX('İş Planı'!$O$5:$O$204,ROW()-4)="","",INDEX('İş Planı'!$O$5:$O$204,ROW()-4)),"")</f>
        <v/>
      </c>
      <c r="F129" s="83" t="n"/>
      <c r="G129" s="83" t="n"/>
      <c r="H129" s="83" t="n"/>
      <c r="I129" s="83" t="n"/>
      <c r="J129" s="83" t="n"/>
      <c r="K129" s="83" t="n"/>
      <c r="L129" s="83" t="n"/>
      <c r="M129" s="83" t="n"/>
      <c r="N129" s="83" t="n"/>
      <c r="O129" s="83" t="n"/>
      <c r="P129" s="83" t="n"/>
      <c r="Q129" s="83" t="n"/>
      <c r="R129" s="83" t="n"/>
      <c r="S129" s="83" t="n"/>
      <c r="T129" s="83" t="n"/>
      <c r="U129" s="83" t="n"/>
      <c r="V129" s="83" t="n"/>
      <c r="W129" s="83" t="n"/>
      <c r="X129" s="83" t="n"/>
      <c r="Y129" s="83" t="n"/>
      <c r="Z129" s="83" t="n"/>
      <c r="AA129" s="83" t="n"/>
      <c r="AB129" s="83" t="n"/>
      <c r="AC129" s="83" t="n"/>
      <c r="AD129" s="83" t="n"/>
      <c r="AE129" s="83" t="n"/>
      <c r="AF129" s="83" t="n"/>
      <c r="AG129" s="83" t="n"/>
      <c r="AH129" s="83" t="n"/>
      <c r="AI129" s="83" t="n"/>
      <c r="AJ129" s="83" t="n"/>
      <c r="AK129" s="83" t="n"/>
      <c r="AL129" s="83" t="n"/>
      <c r="AM129" s="83" t="n"/>
      <c r="AN129" s="83" t="n"/>
      <c r="AO129" s="83" t="n"/>
      <c r="AP129" s="83" t="n"/>
      <c r="AQ129" s="83" t="n"/>
      <c r="AR129" s="83" t="n"/>
      <c r="AS129" s="83" t="n"/>
      <c r="AT129" s="83" t="n"/>
      <c r="AU129" s="83" t="n"/>
      <c r="AV129" s="83" t="n"/>
      <c r="AW129" s="83" t="n"/>
      <c r="AX129" s="83" t="n"/>
      <c r="AY129" s="83" t="n"/>
      <c r="AZ129" s="83" t="n"/>
      <c r="BA129" s="83" t="n"/>
      <c r="BB129" s="83" t="n"/>
      <c r="BC129" s="83" t="n"/>
      <c r="BD129" s="83" t="n"/>
      <c r="BE129" s="83" t="n"/>
    </row>
    <row r="130" ht="18" customHeight="1">
      <c r="A130" s="55">
        <f>IFERROR(IF(INDEX('İş Planı'!$C$5:$C$204,ROW()-4)="","",INDEX('İş Planı'!$C$5:$C$204,ROW()-4)),"")</f>
        <v/>
      </c>
      <c r="B130" s="55">
        <f>IFERROR(IF(INDEX('İş Planı'!$B$5:$B$204,ROW()-4)="","",INDEX('İş Planı'!$B$5:$B$204,ROW()-4)),"")</f>
        <v/>
      </c>
      <c r="C130" s="72">
        <f>IFERROR(IF(INDEX('İş Planı'!$I$5:$I$204,ROW()-4)="","",INDEX('İş Planı'!$I$5:$I$204,ROW()-4)),"")</f>
        <v/>
      </c>
      <c r="D130" s="72">
        <f>IFERROR(IF(INDEX('İş Planı'!$M$5:$M$204,ROW()-4)="","",INDEX('İş Planı'!$M$5:$M$204,ROW()-4)),"")</f>
        <v/>
      </c>
      <c r="E130" s="71">
        <f>IFERROR(IF(INDEX('İş Planı'!$O$5:$O$204,ROW()-4)="","",INDEX('İş Planı'!$O$5:$O$204,ROW()-4)),"")</f>
        <v/>
      </c>
      <c r="F130" s="83" t="n"/>
      <c r="G130" s="83" t="n"/>
      <c r="H130" s="83" t="n"/>
      <c r="I130" s="83" t="n"/>
      <c r="J130" s="83" t="n"/>
      <c r="K130" s="83" t="n"/>
      <c r="L130" s="83" t="n"/>
      <c r="M130" s="83" t="n"/>
      <c r="N130" s="83" t="n"/>
      <c r="O130" s="83" t="n"/>
      <c r="P130" s="83" t="n"/>
      <c r="Q130" s="83" t="n"/>
      <c r="R130" s="83" t="n"/>
      <c r="S130" s="83" t="n"/>
      <c r="T130" s="83" t="n"/>
      <c r="U130" s="83" t="n"/>
      <c r="V130" s="83" t="n"/>
      <c r="W130" s="83" t="n"/>
      <c r="X130" s="83" t="n"/>
      <c r="Y130" s="83" t="n"/>
      <c r="Z130" s="83" t="n"/>
      <c r="AA130" s="83" t="n"/>
      <c r="AB130" s="83" t="n"/>
      <c r="AC130" s="83" t="n"/>
      <c r="AD130" s="83" t="n"/>
      <c r="AE130" s="83" t="n"/>
      <c r="AF130" s="83" t="n"/>
      <c r="AG130" s="83" t="n"/>
      <c r="AH130" s="83" t="n"/>
      <c r="AI130" s="83" t="n"/>
      <c r="AJ130" s="83" t="n"/>
      <c r="AK130" s="83" t="n"/>
      <c r="AL130" s="83" t="n"/>
      <c r="AM130" s="83" t="n"/>
      <c r="AN130" s="83" t="n"/>
      <c r="AO130" s="83" t="n"/>
      <c r="AP130" s="83" t="n"/>
      <c r="AQ130" s="83" t="n"/>
      <c r="AR130" s="83" t="n"/>
      <c r="AS130" s="83" t="n"/>
      <c r="AT130" s="83" t="n"/>
      <c r="AU130" s="83" t="n"/>
      <c r="AV130" s="83" t="n"/>
      <c r="AW130" s="83" t="n"/>
      <c r="AX130" s="83" t="n"/>
      <c r="AY130" s="83" t="n"/>
      <c r="AZ130" s="83" t="n"/>
      <c r="BA130" s="83" t="n"/>
      <c r="BB130" s="83" t="n"/>
      <c r="BC130" s="83" t="n"/>
      <c r="BD130" s="83" t="n"/>
      <c r="BE130" s="83" t="n"/>
    </row>
    <row r="131" ht="18" customHeight="1">
      <c r="A131" s="55">
        <f>IFERROR(IF(INDEX('İş Planı'!$C$5:$C$204,ROW()-4)="","",INDEX('İş Planı'!$C$5:$C$204,ROW()-4)),"")</f>
        <v/>
      </c>
      <c r="B131" s="55">
        <f>IFERROR(IF(INDEX('İş Planı'!$B$5:$B$204,ROW()-4)="","",INDEX('İş Planı'!$B$5:$B$204,ROW()-4)),"")</f>
        <v/>
      </c>
      <c r="C131" s="72">
        <f>IFERROR(IF(INDEX('İş Planı'!$I$5:$I$204,ROW()-4)="","",INDEX('İş Planı'!$I$5:$I$204,ROW()-4)),"")</f>
        <v/>
      </c>
      <c r="D131" s="72">
        <f>IFERROR(IF(INDEX('İş Planı'!$M$5:$M$204,ROW()-4)="","",INDEX('İş Planı'!$M$5:$M$204,ROW()-4)),"")</f>
        <v/>
      </c>
      <c r="E131" s="71">
        <f>IFERROR(IF(INDEX('İş Planı'!$O$5:$O$204,ROW()-4)="","",INDEX('İş Planı'!$O$5:$O$204,ROW()-4)),"")</f>
        <v/>
      </c>
      <c r="F131" s="83" t="n"/>
      <c r="G131" s="83" t="n"/>
      <c r="H131" s="83" t="n"/>
      <c r="I131" s="83" t="n"/>
      <c r="J131" s="83" t="n"/>
      <c r="K131" s="83" t="n"/>
      <c r="L131" s="83" t="n"/>
      <c r="M131" s="83" t="n"/>
      <c r="N131" s="83" t="n"/>
      <c r="O131" s="83" t="n"/>
      <c r="P131" s="83" t="n"/>
      <c r="Q131" s="83" t="n"/>
      <c r="R131" s="83" t="n"/>
      <c r="S131" s="83" t="n"/>
      <c r="T131" s="83" t="n"/>
      <c r="U131" s="83" t="n"/>
      <c r="V131" s="83" t="n"/>
      <c r="W131" s="83" t="n"/>
      <c r="X131" s="83" t="n"/>
      <c r="Y131" s="83" t="n"/>
      <c r="Z131" s="83" t="n"/>
      <c r="AA131" s="83" t="n"/>
      <c r="AB131" s="83" t="n"/>
      <c r="AC131" s="83" t="n"/>
      <c r="AD131" s="83" t="n"/>
      <c r="AE131" s="83" t="n"/>
      <c r="AF131" s="83" t="n"/>
      <c r="AG131" s="83" t="n"/>
      <c r="AH131" s="83" t="n"/>
      <c r="AI131" s="83" t="n"/>
      <c r="AJ131" s="83" t="n"/>
      <c r="AK131" s="83" t="n"/>
      <c r="AL131" s="83" t="n"/>
      <c r="AM131" s="83" t="n"/>
      <c r="AN131" s="83" t="n"/>
      <c r="AO131" s="83" t="n"/>
      <c r="AP131" s="83" t="n"/>
      <c r="AQ131" s="83" t="n"/>
      <c r="AR131" s="83" t="n"/>
      <c r="AS131" s="83" t="n"/>
      <c r="AT131" s="83" t="n"/>
      <c r="AU131" s="83" t="n"/>
      <c r="AV131" s="83" t="n"/>
      <c r="AW131" s="83" t="n"/>
      <c r="AX131" s="83" t="n"/>
      <c r="AY131" s="83" t="n"/>
      <c r="AZ131" s="83" t="n"/>
      <c r="BA131" s="83" t="n"/>
      <c r="BB131" s="83" t="n"/>
      <c r="BC131" s="83" t="n"/>
      <c r="BD131" s="83" t="n"/>
      <c r="BE131" s="83" t="n"/>
    </row>
    <row r="132" ht="18" customHeight="1">
      <c r="A132" s="55">
        <f>IFERROR(IF(INDEX('İş Planı'!$C$5:$C$204,ROW()-4)="","",INDEX('İş Planı'!$C$5:$C$204,ROW()-4)),"")</f>
        <v/>
      </c>
      <c r="B132" s="55">
        <f>IFERROR(IF(INDEX('İş Planı'!$B$5:$B$204,ROW()-4)="","",INDEX('İş Planı'!$B$5:$B$204,ROW()-4)),"")</f>
        <v/>
      </c>
      <c r="C132" s="72">
        <f>IFERROR(IF(INDEX('İş Planı'!$I$5:$I$204,ROW()-4)="","",INDEX('İş Planı'!$I$5:$I$204,ROW()-4)),"")</f>
        <v/>
      </c>
      <c r="D132" s="72">
        <f>IFERROR(IF(INDEX('İş Planı'!$M$5:$M$204,ROW()-4)="","",INDEX('İş Planı'!$M$5:$M$204,ROW()-4)),"")</f>
        <v/>
      </c>
      <c r="E132" s="71">
        <f>IFERROR(IF(INDEX('İş Planı'!$O$5:$O$204,ROW()-4)="","",INDEX('İş Planı'!$O$5:$O$204,ROW()-4)),"")</f>
        <v/>
      </c>
      <c r="F132" s="83" t="n"/>
      <c r="G132" s="83" t="n"/>
      <c r="H132" s="83" t="n"/>
      <c r="I132" s="83" t="n"/>
      <c r="J132" s="83" t="n"/>
      <c r="K132" s="83" t="n"/>
      <c r="L132" s="83" t="n"/>
      <c r="M132" s="83" t="n"/>
      <c r="N132" s="83" t="n"/>
      <c r="O132" s="83" t="n"/>
      <c r="P132" s="83" t="n"/>
      <c r="Q132" s="83" t="n"/>
      <c r="R132" s="83" t="n"/>
      <c r="S132" s="83" t="n"/>
      <c r="T132" s="83" t="n"/>
      <c r="U132" s="83" t="n"/>
      <c r="V132" s="83" t="n"/>
      <c r="W132" s="83" t="n"/>
      <c r="X132" s="83" t="n"/>
      <c r="Y132" s="83" t="n"/>
      <c r="Z132" s="83" t="n"/>
      <c r="AA132" s="83" t="n"/>
      <c r="AB132" s="83" t="n"/>
      <c r="AC132" s="83" t="n"/>
      <c r="AD132" s="83" t="n"/>
      <c r="AE132" s="83" t="n"/>
      <c r="AF132" s="83" t="n"/>
      <c r="AG132" s="83" t="n"/>
      <c r="AH132" s="83" t="n"/>
      <c r="AI132" s="83" t="n"/>
      <c r="AJ132" s="83" t="n"/>
      <c r="AK132" s="83" t="n"/>
      <c r="AL132" s="83" t="n"/>
      <c r="AM132" s="83" t="n"/>
      <c r="AN132" s="83" t="n"/>
      <c r="AO132" s="83" t="n"/>
      <c r="AP132" s="83" t="n"/>
      <c r="AQ132" s="83" t="n"/>
      <c r="AR132" s="83" t="n"/>
      <c r="AS132" s="83" t="n"/>
      <c r="AT132" s="83" t="n"/>
      <c r="AU132" s="83" t="n"/>
      <c r="AV132" s="83" t="n"/>
      <c r="AW132" s="83" t="n"/>
      <c r="AX132" s="83" t="n"/>
      <c r="AY132" s="83" t="n"/>
      <c r="AZ132" s="83" t="n"/>
      <c r="BA132" s="83" t="n"/>
      <c r="BB132" s="83" t="n"/>
      <c r="BC132" s="83" t="n"/>
      <c r="BD132" s="83" t="n"/>
      <c r="BE132" s="83" t="n"/>
    </row>
    <row r="133" ht="18" customHeight="1">
      <c r="A133" s="55">
        <f>IFERROR(IF(INDEX('İş Planı'!$C$5:$C$204,ROW()-4)="","",INDEX('İş Planı'!$C$5:$C$204,ROW()-4)),"")</f>
        <v/>
      </c>
      <c r="B133" s="55">
        <f>IFERROR(IF(INDEX('İş Planı'!$B$5:$B$204,ROW()-4)="","",INDEX('İş Planı'!$B$5:$B$204,ROW()-4)),"")</f>
        <v/>
      </c>
      <c r="C133" s="72">
        <f>IFERROR(IF(INDEX('İş Planı'!$I$5:$I$204,ROW()-4)="","",INDEX('İş Planı'!$I$5:$I$204,ROW()-4)),"")</f>
        <v/>
      </c>
      <c r="D133" s="72">
        <f>IFERROR(IF(INDEX('İş Planı'!$M$5:$M$204,ROW()-4)="","",INDEX('İş Planı'!$M$5:$M$204,ROW()-4)),"")</f>
        <v/>
      </c>
      <c r="E133" s="71">
        <f>IFERROR(IF(INDEX('İş Planı'!$O$5:$O$204,ROW()-4)="","",INDEX('İş Planı'!$O$5:$O$204,ROW()-4)),"")</f>
        <v/>
      </c>
      <c r="F133" s="83" t="n"/>
      <c r="G133" s="83" t="n"/>
      <c r="H133" s="83" t="n"/>
      <c r="I133" s="83" t="n"/>
      <c r="J133" s="83" t="n"/>
      <c r="K133" s="83" t="n"/>
      <c r="L133" s="83" t="n"/>
      <c r="M133" s="83" t="n"/>
      <c r="N133" s="83" t="n"/>
      <c r="O133" s="83" t="n"/>
      <c r="P133" s="83" t="n"/>
      <c r="Q133" s="83" t="n"/>
      <c r="R133" s="83" t="n"/>
      <c r="S133" s="83" t="n"/>
      <c r="T133" s="83" t="n"/>
      <c r="U133" s="83" t="n"/>
      <c r="V133" s="83" t="n"/>
      <c r="W133" s="83" t="n"/>
      <c r="X133" s="83" t="n"/>
      <c r="Y133" s="83" t="n"/>
      <c r="Z133" s="83" t="n"/>
      <c r="AA133" s="83" t="n"/>
      <c r="AB133" s="83" t="n"/>
      <c r="AC133" s="83" t="n"/>
      <c r="AD133" s="83" t="n"/>
      <c r="AE133" s="83" t="n"/>
      <c r="AF133" s="83" t="n"/>
      <c r="AG133" s="83" t="n"/>
      <c r="AH133" s="83" t="n"/>
      <c r="AI133" s="83" t="n"/>
      <c r="AJ133" s="83" t="n"/>
      <c r="AK133" s="83" t="n"/>
      <c r="AL133" s="83" t="n"/>
      <c r="AM133" s="83" t="n"/>
      <c r="AN133" s="83" t="n"/>
      <c r="AO133" s="83" t="n"/>
      <c r="AP133" s="83" t="n"/>
      <c r="AQ133" s="83" t="n"/>
      <c r="AR133" s="83" t="n"/>
      <c r="AS133" s="83" t="n"/>
      <c r="AT133" s="83" t="n"/>
      <c r="AU133" s="83" t="n"/>
      <c r="AV133" s="83" t="n"/>
      <c r="AW133" s="83" t="n"/>
      <c r="AX133" s="83" t="n"/>
      <c r="AY133" s="83" t="n"/>
      <c r="AZ133" s="83" t="n"/>
      <c r="BA133" s="83" t="n"/>
      <c r="BB133" s="83" t="n"/>
      <c r="BC133" s="83" t="n"/>
      <c r="BD133" s="83" t="n"/>
      <c r="BE133" s="83" t="n"/>
    </row>
    <row r="134" ht="18" customHeight="1">
      <c r="A134" s="55">
        <f>IFERROR(IF(INDEX('İş Planı'!$C$5:$C$204,ROW()-4)="","",INDEX('İş Planı'!$C$5:$C$204,ROW()-4)),"")</f>
        <v/>
      </c>
      <c r="B134" s="55">
        <f>IFERROR(IF(INDEX('İş Planı'!$B$5:$B$204,ROW()-4)="","",INDEX('İş Planı'!$B$5:$B$204,ROW()-4)),"")</f>
        <v/>
      </c>
      <c r="C134" s="72">
        <f>IFERROR(IF(INDEX('İş Planı'!$I$5:$I$204,ROW()-4)="","",INDEX('İş Planı'!$I$5:$I$204,ROW()-4)),"")</f>
        <v/>
      </c>
      <c r="D134" s="72">
        <f>IFERROR(IF(INDEX('İş Planı'!$M$5:$M$204,ROW()-4)="","",INDEX('İş Planı'!$M$5:$M$204,ROW()-4)),"")</f>
        <v/>
      </c>
      <c r="E134" s="71">
        <f>IFERROR(IF(INDEX('İş Planı'!$O$5:$O$204,ROW()-4)="","",INDEX('İş Planı'!$O$5:$O$204,ROW()-4)),"")</f>
        <v/>
      </c>
      <c r="F134" s="83" t="n"/>
      <c r="G134" s="83" t="n"/>
      <c r="H134" s="83" t="n"/>
      <c r="I134" s="83" t="n"/>
      <c r="J134" s="83" t="n"/>
      <c r="K134" s="83" t="n"/>
      <c r="L134" s="83" t="n"/>
      <c r="M134" s="83" t="n"/>
      <c r="N134" s="83" t="n"/>
      <c r="O134" s="83" t="n"/>
      <c r="P134" s="83" t="n"/>
      <c r="Q134" s="83" t="n"/>
      <c r="R134" s="83" t="n"/>
      <c r="S134" s="83" t="n"/>
      <c r="T134" s="83" t="n"/>
      <c r="U134" s="83" t="n"/>
      <c r="V134" s="83" t="n"/>
      <c r="W134" s="83" t="n"/>
      <c r="X134" s="83" t="n"/>
      <c r="Y134" s="83" t="n"/>
      <c r="Z134" s="83" t="n"/>
      <c r="AA134" s="83" t="n"/>
      <c r="AB134" s="83" t="n"/>
      <c r="AC134" s="83" t="n"/>
      <c r="AD134" s="83" t="n"/>
      <c r="AE134" s="83" t="n"/>
      <c r="AF134" s="83" t="n"/>
      <c r="AG134" s="83" t="n"/>
      <c r="AH134" s="83" t="n"/>
      <c r="AI134" s="83" t="n"/>
      <c r="AJ134" s="83" t="n"/>
      <c r="AK134" s="83" t="n"/>
      <c r="AL134" s="83" t="n"/>
      <c r="AM134" s="83" t="n"/>
      <c r="AN134" s="83" t="n"/>
      <c r="AO134" s="83" t="n"/>
      <c r="AP134" s="83" t="n"/>
      <c r="AQ134" s="83" t="n"/>
      <c r="AR134" s="83" t="n"/>
      <c r="AS134" s="83" t="n"/>
      <c r="AT134" s="83" t="n"/>
      <c r="AU134" s="83" t="n"/>
      <c r="AV134" s="83" t="n"/>
      <c r="AW134" s="83" t="n"/>
      <c r="AX134" s="83" t="n"/>
      <c r="AY134" s="83" t="n"/>
      <c r="AZ134" s="83" t="n"/>
      <c r="BA134" s="83" t="n"/>
      <c r="BB134" s="83" t="n"/>
      <c r="BC134" s="83" t="n"/>
      <c r="BD134" s="83" t="n"/>
      <c r="BE134" s="83" t="n"/>
    </row>
    <row r="135" ht="18" customHeight="1">
      <c r="A135" s="55">
        <f>IFERROR(IF(INDEX('İş Planı'!$C$5:$C$204,ROW()-4)="","",INDEX('İş Planı'!$C$5:$C$204,ROW()-4)),"")</f>
        <v/>
      </c>
      <c r="B135" s="55">
        <f>IFERROR(IF(INDEX('İş Planı'!$B$5:$B$204,ROW()-4)="","",INDEX('İş Planı'!$B$5:$B$204,ROW()-4)),"")</f>
        <v/>
      </c>
      <c r="C135" s="72">
        <f>IFERROR(IF(INDEX('İş Planı'!$I$5:$I$204,ROW()-4)="","",INDEX('İş Planı'!$I$5:$I$204,ROW()-4)),"")</f>
        <v/>
      </c>
      <c r="D135" s="72">
        <f>IFERROR(IF(INDEX('İş Planı'!$M$5:$M$204,ROW()-4)="","",INDEX('İş Planı'!$M$5:$M$204,ROW()-4)),"")</f>
        <v/>
      </c>
      <c r="E135" s="71">
        <f>IFERROR(IF(INDEX('İş Planı'!$O$5:$O$204,ROW()-4)="","",INDEX('İş Planı'!$O$5:$O$204,ROW()-4)),"")</f>
        <v/>
      </c>
      <c r="F135" s="83" t="n"/>
      <c r="G135" s="83" t="n"/>
      <c r="H135" s="83" t="n"/>
      <c r="I135" s="83" t="n"/>
      <c r="J135" s="83" t="n"/>
      <c r="K135" s="83" t="n"/>
      <c r="L135" s="83" t="n"/>
      <c r="M135" s="83" t="n"/>
      <c r="N135" s="83" t="n"/>
      <c r="O135" s="83" t="n"/>
      <c r="P135" s="83" t="n"/>
      <c r="Q135" s="83" t="n"/>
      <c r="R135" s="83" t="n"/>
      <c r="S135" s="83" t="n"/>
      <c r="T135" s="83" t="n"/>
      <c r="U135" s="83" t="n"/>
      <c r="V135" s="83" t="n"/>
      <c r="W135" s="83" t="n"/>
      <c r="X135" s="83" t="n"/>
      <c r="Y135" s="83" t="n"/>
      <c r="Z135" s="83" t="n"/>
      <c r="AA135" s="83" t="n"/>
      <c r="AB135" s="83" t="n"/>
      <c r="AC135" s="83" t="n"/>
      <c r="AD135" s="83" t="n"/>
      <c r="AE135" s="83" t="n"/>
      <c r="AF135" s="83" t="n"/>
      <c r="AG135" s="83" t="n"/>
      <c r="AH135" s="83" t="n"/>
      <c r="AI135" s="83" t="n"/>
      <c r="AJ135" s="83" t="n"/>
      <c r="AK135" s="83" t="n"/>
      <c r="AL135" s="83" t="n"/>
      <c r="AM135" s="83" t="n"/>
      <c r="AN135" s="83" t="n"/>
      <c r="AO135" s="83" t="n"/>
      <c r="AP135" s="83" t="n"/>
      <c r="AQ135" s="83" t="n"/>
      <c r="AR135" s="83" t="n"/>
      <c r="AS135" s="83" t="n"/>
      <c r="AT135" s="83" t="n"/>
      <c r="AU135" s="83" t="n"/>
      <c r="AV135" s="83" t="n"/>
      <c r="AW135" s="83" t="n"/>
      <c r="AX135" s="83" t="n"/>
      <c r="AY135" s="83" t="n"/>
      <c r="AZ135" s="83" t="n"/>
      <c r="BA135" s="83" t="n"/>
      <c r="BB135" s="83" t="n"/>
      <c r="BC135" s="83" t="n"/>
      <c r="BD135" s="83" t="n"/>
      <c r="BE135" s="83" t="n"/>
    </row>
    <row r="136" ht="18" customHeight="1">
      <c r="A136" s="55">
        <f>IFERROR(IF(INDEX('İş Planı'!$C$5:$C$204,ROW()-4)="","",INDEX('İş Planı'!$C$5:$C$204,ROW()-4)),"")</f>
        <v/>
      </c>
      <c r="B136" s="55">
        <f>IFERROR(IF(INDEX('İş Planı'!$B$5:$B$204,ROW()-4)="","",INDEX('İş Planı'!$B$5:$B$204,ROW()-4)),"")</f>
        <v/>
      </c>
      <c r="C136" s="72">
        <f>IFERROR(IF(INDEX('İş Planı'!$I$5:$I$204,ROW()-4)="","",INDEX('İş Planı'!$I$5:$I$204,ROW()-4)),"")</f>
        <v/>
      </c>
      <c r="D136" s="72">
        <f>IFERROR(IF(INDEX('İş Planı'!$M$5:$M$204,ROW()-4)="","",INDEX('İş Planı'!$M$5:$M$204,ROW()-4)),"")</f>
        <v/>
      </c>
      <c r="E136" s="71">
        <f>IFERROR(IF(INDEX('İş Planı'!$O$5:$O$204,ROW()-4)="","",INDEX('İş Planı'!$O$5:$O$204,ROW()-4)),"")</f>
        <v/>
      </c>
      <c r="F136" s="83" t="n"/>
      <c r="G136" s="83" t="n"/>
      <c r="H136" s="83" t="n"/>
      <c r="I136" s="83" t="n"/>
      <c r="J136" s="83" t="n"/>
      <c r="K136" s="83" t="n"/>
      <c r="L136" s="83" t="n"/>
      <c r="M136" s="83" t="n"/>
      <c r="N136" s="83" t="n"/>
      <c r="O136" s="83" t="n"/>
      <c r="P136" s="83" t="n"/>
      <c r="Q136" s="83" t="n"/>
      <c r="R136" s="83" t="n"/>
      <c r="S136" s="83" t="n"/>
      <c r="T136" s="83" t="n"/>
      <c r="U136" s="83" t="n"/>
      <c r="V136" s="83" t="n"/>
      <c r="W136" s="83" t="n"/>
      <c r="X136" s="83" t="n"/>
      <c r="Y136" s="83" t="n"/>
      <c r="Z136" s="83" t="n"/>
      <c r="AA136" s="83" t="n"/>
      <c r="AB136" s="83" t="n"/>
      <c r="AC136" s="83" t="n"/>
      <c r="AD136" s="83" t="n"/>
      <c r="AE136" s="83" t="n"/>
      <c r="AF136" s="83" t="n"/>
      <c r="AG136" s="83" t="n"/>
      <c r="AH136" s="83" t="n"/>
      <c r="AI136" s="83" t="n"/>
      <c r="AJ136" s="83" t="n"/>
      <c r="AK136" s="83" t="n"/>
      <c r="AL136" s="83" t="n"/>
      <c r="AM136" s="83" t="n"/>
      <c r="AN136" s="83" t="n"/>
      <c r="AO136" s="83" t="n"/>
      <c r="AP136" s="83" t="n"/>
      <c r="AQ136" s="83" t="n"/>
      <c r="AR136" s="83" t="n"/>
      <c r="AS136" s="83" t="n"/>
      <c r="AT136" s="83" t="n"/>
      <c r="AU136" s="83" t="n"/>
      <c r="AV136" s="83" t="n"/>
      <c r="AW136" s="83" t="n"/>
      <c r="AX136" s="83" t="n"/>
      <c r="AY136" s="83" t="n"/>
      <c r="AZ136" s="83" t="n"/>
      <c r="BA136" s="83" t="n"/>
      <c r="BB136" s="83" t="n"/>
      <c r="BC136" s="83" t="n"/>
      <c r="BD136" s="83" t="n"/>
      <c r="BE136" s="83" t="n"/>
    </row>
    <row r="137" ht="18" customHeight="1">
      <c r="A137" s="55">
        <f>IFERROR(IF(INDEX('İş Planı'!$C$5:$C$204,ROW()-4)="","",INDEX('İş Planı'!$C$5:$C$204,ROW()-4)),"")</f>
        <v/>
      </c>
      <c r="B137" s="55">
        <f>IFERROR(IF(INDEX('İş Planı'!$B$5:$B$204,ROW()-4)="","",INDEX('İş Planı'!$B$5:$B$204,ROW()-4)),"")</f>
        <v/>
      </c>
      <c r="C137" s="72">
        <f>IFERROR(IF(INDEX('İş Planı'!$I$5:$I$204,ROW()-4)="","",INDEX('İş Planı'!$I$5:$I$204,ROW()-4)),"")</f>
        <v/>
      </c>
      <c r="D137" s="72">
        <f>IFERROR(IF(INDEX('İş Planı'!$M$5:$M$204,ROW()-4)="","",INDEX('İş Planı'!$M$5:$M$204,ROW()-4)),"")</f>
        <v/>
      </c>
      <c r="E137" s="71">
        <f>IFERROR(IF(INDEX('İş Planı'!$O$5:$O$204,ROW()-4)="","",INDEX('İş Planı'!$O$5:$O$204,ROW()-4)),"")</f>
        <v/>
      </c>
      <c r="F137" s="83" t="n"/>
      <c r="G137" s="83" t="n"/>
      <c r="H137" s="83" t="n"/>
      <c r="I137" s="83" t="n"/>
      <c r="J137" s="83" t="n"/>
      <c r="K137" s="83" t="n"/>
      <c r="L137" s="83" t="n"/>
      <c r="M137" s="83" t="n"/>
      <c r="N137" s="83" t="n"/>
      <c r="O137" s="83" t="n"/>
      <c r="P137" s="83" t="n"/>
      <c r="Q137" s="83" t="n"/>
      <c r="R137" s="83" t="n"/>
      <c r="S137" s="83" t="n"/>
      <c r="T137" s="83" t="n"/>
      <c r="U137" s="83" t="n"/>
      <c r="V137" s="83" t="n"/>
      <c r="W137" s="83" t="n"/>
      <c r="X137" s="83" t="n"/>
      <c r="Y137" s="83" t="n"/>
      <c r="Z137" s="83" t="n"/>
      <c r="AA137" s="83" t="n"/>
      <c r="AB137" s="83" t="n"/>
      <c r="AC137" s="83" t="n"/>
      <c r="AD137" s="83" t="n"/>
      <c r="AE137" s="83" t="n"/>
      <c r="AF137" s="83" t="n"/>
      <c r="AG137" s="83" t="n"/>
      <c r="AH137" s="83" t="n"/>
      <c r="AI137" s="83" t="n"/>
      <c r="AJ137" s="83" t="n"/>
      <c r="AK137" s="83" t="n"/>
      <c r="AL137" s="83" t="n"/>
      <c r="AM137" s="83" t="n"/>
      <c r="AN137" s="83" t="n"/>
      <c r="AO137" s="83" t="n"/>
      <c r="AP137" s="83" t="n"/>
      <c r="AQ137" s="83" t="n"/>
      <c r="AR137" s="83" t="n"/>
      <c r="AS137" s="83" t="n"/>
      <c r="AT137" s="83" t="n"/>
      <c r="AU137" s="83" t="n"/>
      <c r="AV137" s="83" t="n"/>
      <c r="AW137" s="83" t="n"/>
      <c r="AX137" s="83" t="n"/>
      <c r="AY137" s="83" t="n"/>
      <c r="AZ137" s="83" t="n"/>
      <c r="BA137" s="83" t="n"/>
      <c r="BB137" s="83" t="n"/>
      <c r="BC137" s="83" t="n"/>
      <c r="BD137" s="83" t="n"/>
      <c r="BE137" s="83" t="n"/>
    </row>
    <row r="138" ht="18" customHeight="1">
      <c r="A138" s="55">
        <f>IFERROR(IF(INDEX('İş Planı'!$C$5:$C$204,ROW()-4)="","",INDEX('İş Planı'!$C$5:$C$204,ROW()-4)),"")</f>
        <v/>
      </c>
      <c r="B138" s="55">
        <f>IFERROR(IF(INDEX('İş Planı'!$B$5:$B$204,ROW()-4)="","",INDEX('İş Planı'!$B$5:$B$204,ROW()-4)),"")</f>
        <v/>
      </c>
      <c r="C138" s="72">
        <f>IFERROR(IF(INDEX('İş Planı'!$I$5:$I$204,ROW()-4)="","",INDEX('İş Planı'!$I$5:$I$204,ROW()-4)),"")</f>
        <v/>
      </c>
      <c r="D138" s="72">
        <f>IFERROR(IF(INDEX('İş Planı'!$M$5:$M$204,ROW()-4)="","",INDEX('İş Planı'!$M$5:$M$204,ROW()-4)),"")</f>
        <v/>
      </c>
      <c r="E138" s="71">
        <f>IFERROR(IF(INDEX('İş Planı'!$O$5:$O$204,ROW()-4)="","",INDEX('İş Planı'!$O$5:$O$204,ROW()-4)),"")</f>
        <v/>
      </c>
      <c r="F138" s="83" t="n"/>
      <c r="G138" s="83" t="n"/>
      <c r="H138" s="83" t="n"/>
      <c r="I138" s="83" t="n"/>
      <c r="J138" s="83" t="n"/>
      <c r="K138" s="83" t="n"/>
      <c r="L138" s="83" t="n"/>
      <c r="M138" s="83" t="n"/>
      <c r="N138" s="83" t="n"/>
      <c r="O138" s="83" t="n"/>
      <c r="P138" s="83" t="n"/>
      <c r="Q138" s="83" t="n"/>
      <c r="R138" s="83" t="n"/>
      <c r="S138" s="83" t="n"/>
      <c r="T138" s="83" t="n"/>
      <c r="U138" s="83" t="n"/>
      <c r="V138" s="83" t="n"/>
      <c r="W138" s="83" t="n"/>
      <c r="X138" s="83" t="n"/>
      <c r="Y138" s="83" t="n"/>
      <c r="Z138" s="83" t="n"/>
      <c r="AA138" s="83" t="n"/>
      <c r="AB138" s="83" t="n"/>
      <c r="AC138" s="83" t="n"/>
      <c r="AD138" s="83" t="n"/>
      <c r="AE138" s="83" t="n"/>
      <c r="AF138" s="83" t="n"/>
      <c r="AG138" s="83" t="n"/>
      <c r="AH138" s="83" t="n"/>
      <c r="AI138" s="83" t="n"/>
      <c r="AJ138" s="83" t="n"/>
      <c r="AK138" s="83" t="n"/>
      <c r="AL138" s="83" t="n"/>
      <c r="AM138" s="83" t="n"/>
      <c r="AN138" s="83" t="n"/>
      <c r="AO138" s="83" t="n"/>
      <c r="AP138" s="83" t="n"/>
      <c r="AQ138" s="83" t="n"/>
      <c r="AR138" s="83" t="n"/>
      <c r="AS138" s="83" t="n"/>
      <c r="AT138" s="83" t="n"/>
      <c r="AU138" s="83" t="n"/>
      <c r="AV138" s="83" t="n"/>
      <c r="AW138" s="83" t="n"/>
      <c r="AX138" s="83" t="n"/>
      <c r="AY138" s="83" t="n"/>
      <c r="AZ138" s="83" t="n"/>
      <c r="BA138" s="83" t="n"/>
      <c r="BB138" s="83" t="n"/>
      <c r="BC138" s="83" t="n"/>
      <c r="BD138" s="83" t="n"/>
      <c r="BE138" s="83" t="n"/>
    </row>
    <row r="139" ht="18" customHeight="1">
      <c r="A139" s="55">
        <f>IFERROR(IF(INDEX('İş Planı'!$C$5:$C$204,ROW()-4)="","",INDEX('İş Planı'!$C$5:$C$204,ROW()-4)),"")</f>
        <v/>
      </c>
      <c r="B139" s="55">
        <f>IFERROR(IF(INDEX('İş Planı'!$B$5:$B$204,ROW()-4)="","",INDEX('İş Planı'!$B$5:$B$204,ROW()-4)),"")</f>
        <v/>
      </c>
      <c r="C139" s="72">
        <f>IFERROR(IF(INDEX('İş Planı'!$I$5:$I$204,ROW()-4)="","",INDEX('İş Planı'!$I$5:$I$204,ROW()-4)),"")</f>
        <v/>
      </c>
      <c r="D139" s="72">
        <f>IFERROR(IF(INDEX('İş Planı'!$M$5:$M$204,ROW()-4)="","",INDEX('İş Planı'!$M$5:$M$204,ROW()-4)),"")</f>
        <v/>
      </c>
      <c r="E139" s="71">
        <f>IFERROR(IF(INDEX('İş Planı'!$O$5:$O$204,ROW()-4)="","",INDEX('İş Planı'!$O$5:$O$204,ROW()-4)),"")</f>
        <v/>
      </c>
      <c r="F139" s="83" t="n"/>
      <c r="G139" s="83" t="n"/>
      <c r="H139" s="83" t="n"/>
      <c r="I139" s="83" t="n"/>
      <c r="J139" s="83" t="n"/>
      <c r="K139" s="83" t="n"/>
      <c r="L139" s="83" t="n"/>
      <c r="M139" s="83" t="n"/>
      <c r="N139" s="83" t="n"/>
      <c r="O139" s="83" t="n"/>
      <c r="P139" s="83" t="n"/>
      <c r="Q139" s="83" t="n"/>
      <c r="R139" s="83" t="n"/>
      <c r="S139" s="83" t="n"/>
      <c r="T139" s="83" t="n"/>
      <c r="U139" s="83" t="n"/>
      <c r="V139" s="83" t="n"/>
      <c r="W139" s="83" t="n"/>
      <c r="X139" s="83" t="n"/>
      <c r="Y139" s="83" t="n"/>
      <c r="Z139" s="83" t="n"/>
      <c r="AA139" s="83" t="n"/>
      <c r="AB139" s="83" t="n"/>
      <c r="AC139" s="83" t="n"/>
      <c r="AD139" s="83" t="n"/>
      <c r="AE139" s="83" t="n"/>
      <c r="AF139" s="83" t="n"/>
      <c r="AG139" s="83" t="n"/>
      <c r="AH139" s="83" t="n"/>
      <c r="AI139" s="83" t="n"/>
      <c r="AJ139" s="83" t="n"/>
      <c r="AK139" s="83" t="n"/>
      <c r="AL139" s="83" t="n"/>
      <c r="AM139" s="83" t="n"/>
      <c r="AN139" s="83" t="n"/>
      <c r="AO139" s="83" t="n"/>
      <c r="AP139" s="83" t="n"/>
      <c r="AQ139" s="83" t="n"/>
      <c r="AR139" s="83" t="n"/>
      <c r="AS139" s="83" t="n"/>
      <c r="AT139" s="83" t="n"/>
      <c r="AU139" s="83" t="n"/>
      <c r="AV139" s="83" t="n"/>
      <c r="AW139" s="83" t="n"/>
      <c r="AX139" s="83" t="n"/>
      <c r="AY139" s="83" t="n"/>
      <c r="AZ139" s="83" t="n"/>
      <c r="BA139" s="83" t="n"/>
      <c r="BB139" s="83" t="n"/>
      <c r="BC139" s="83" t="n"/>
      <c r="BD139" s="83" t="n"/>
      <c r="BE139" s="83" t="n"/>
    </row>
    <row r="140" ht="18" customHeight="1">
      <c r="A140" s="55">
        <f>IFERROR(IF(INDEX('İş Planı'!$C$5:$C$204,ROW()-4)="","",INDEX('İş Planı'!$C$5:$C$204,ROW()-4)),"")</f>
        <v/>
      </c>
      <c r="B140" s="55">
        <f>IFERROR(IF(INDEX('İş Planı'!$B$5:$B$204,ROW()-4)="","",INDEX('İş Planı'!$B$5:$B$204,ROW()-4)),"")</f>
        <v/>
      </c>
      <c r="C140" s="72">
        <f>IFERROR(IF(INDEX('İş Planı'!$I$5:$I$204,ROW()-4)="","",INDEX('İş Planı'!$I$5:$I$204,ROW()-4)),"")</f>
        <v/>
      </c>
      <c r="D140" s="72">
        <f>IFERROR(IF(INDEX('İş Planı'!$M$5:$M$204,ROW()-4)="","",INDEX('İş Planı'!$M$5:$M$204,ROW()-4)),"")</f>
        <v/>
      </c>
      <c r="E140" s="71">
        <f>IFERROR(IF(INDEX('İş Planı'!$O$5:$O$204,ROW()-4)="","",INDEX('İş Planı'!$O$5:$O$204,ROW()-4)),"")</f>
        <v/>
      </c>
      <c r="F140" s="83" t="n"/>
      <c r="G140" s="83" t="n"/>
      <c r="H140" s="83" t="n"/>
      <c r="I140" s="83" t="n"/>
      <c r="J140" s="83" t="n"/>
      <c r="K140" s="83" t="n"/>
      <c r="L140" s="83" t="n"/>
      <c r="M140" s="83" t="n"/>
      <c r="N140" s="83" t="n"/>
      <c r="O140" s="83" t="n"/>
      <c r="P140" s="83" t="n"/>
      <c r="Q140" s="83" t="n"/>
      <c r="R140" s="83" t="n"/>
      <c r="S140" s="83" t="n"/>
      <c r="T140" s="83" t="n"/>
      <c r="U140" s="83" t="n"/>
      <c r="V140" s="83" t="n"/>
      <c r="W140" s="83" t="n"/>
      <c r="X140" s="83" t="n"/>
      <c r="Y140" s="83" t="n"/>
      <c r="Z140" s="83" t="n"/>
      <c r="AA140" s="83" t="n"/>
      <c r="AB140" s="83" t="n"/>
      <c r="AC140" s="83" t="n"/>
      <c r="AD140" s="83" t="n"/>
      <c r="AE140" s="83" t="n"/>
      <c r="AF140" s="83" t="n"/>
      <c r="AG140" s="83" t="n"/>
      <c r="AH140" s="83" t="n"/>
      <c r="AI140" s="83" t="n"/>
      <c r="AJ140" s="83" t="n"/>
      <c r="AK140" s="83" t="n"/>
      <c r="AL140" s="83" t="n"/>
      <c r="AM140" s="83" t="n"/>
      <c r="AN140" s="83" t="n"/>
      <c r="AO140" s="83" t="n"/>
      <c r="AP140" s="83" t="n"/>
      <c r="AQ140" s="83" t="n"/>
      <c r="AR140" s="83" t="n"/>
      <c r="AS140" s="83" t="n"/>
      <c r="AT140" s="83" t="n"/>
      <c r="AU140" s="83" t="n"/>
      <c r="AV140" s="83" t="n"/>
      <c r="AW140" s="83" t="n"/>
      <c r="AX140" s="83" t="n"/>
      <c r="AY140" s="83" t="n"/>
      <c r="AZ140" s="83" t="n"/>
      <c r="BA140" s="83" t="n"/>
      <c r="BB140" s="83" t="n"/>
      <c r="BC140" s="83" t="n"/>
      <c r="BD140" s="83" t="n"/>
      <c r="BE140" s="83" t="n"/>
    </row>
    <row r="141" ht="18" customHeight="1">
      <c r="A141" s="55">
        <f>IFERROR(IF(INDEX('İş Planı'!$C$5:$C$204,ROW()-4)="","",INDEX('İş Planı'!$C$5:$C$204,ROW()-4)),"")</f>
        <v/>
      </c>
      <c r="B141" s="55">
        <f>IFERROR(IF(INDEX('İş Planı'!$B$5:$B$204,ROW()-4)="","",INDEX('İş Planı'!$B$5:$B$204,ROW()-4)),"")</f>
        <v/>
      </c>
      <c r="C141" s="72">
        <f>IFERROR(IF(INDEX('İş Planı'!$I$5:$I$204,ROW()-4)="","",INDEX('İş Planı'!$I$5:$I$204,ROW()-4)),"")</f>
        <v/>
      </c>
      <c r="D141" s="72">
        <f>IFERROR(IF(INDEX('İş Planı'!$M$5:$M$204,ROW()-4)="","",INDEX('İş Planı'!$M$5:$M$204,ROW()-4)),"")</f>
        <v/>
      </c>
      <c r="E141" s="71">
        <f>IFERROR(IF(INDEX('İş Planı'!$O$5:$O$204,ROW()-4)="","",INDEX('İş Planı'!$O$5:$O$204,ROW()-4)),"")</f>
        <v/>
      </c>
      <c r="F141" s="83" t="n"/>
      <c r="G141" s="83" t="n"/>
      <c r="H141" s="83" t="n"/>
      <c r="I141" s="83" t="n"/>
      <c r="J141" s="83" t="n"/>
      <c r="K141" s="83" t="n"/>
      <c r="L141" s="83" t="n"/>
      <c r="M141" s="83" t="n"/>
      <c r="N141" s="83" t="n"/>
      <c r="O141" s="83" t="n"/>
      <c r="P141" s="83" t="n"/>
      <c r="Q141" s="83" t="n"/>
      <c r="R141" s="83" t="n"/>
      <c r="S141" s="83" t="n"/>
      <c r="T141" s="83" t="n"/>
      <c r="U141" s="83" t="n"/>
      <c r="V141" s="83" t="n"/>
      <c r="W141" s="83" t="n"/>
      <c r="X141" s="83" t="n"/>
      <c r="Y141" s="83" t="n"/>
      <c r="Z141" s="83" t="n"/>
      <c r="AA141" s="83" t="n"/>
      <c r="AB141" s="83" t="n"/>
      <c r="AC141" s="83" t="n"/>
      <c r="AD141" s="83" t="n"/>
      <c r="AE141" s="83" t="n"/>
      <c r="AF141" s="83" t="n"/>
      <c r="AG141" s="83" t="n"/>
      <c r="AH141" s="83" t="n"/>
      <c r="AI141" s="83" t="n"/>
      <c r="AJ141" s="83" t="n"/>
      <c r="AK141" s="83" t="n"/>
      <c r="AL141" s="83" t="n"/>
      <c r="AM141" s="83" t="n"/>
      <c r="AN141" s="83" t="n"/>
      <c r="AO141" s="83" t="n"/>
      <c r="AP141" s="83" t="n"/>
      <c r="AQ141" s="83" t="n"/>
      <c r="AR141" s="83" t="n"/>
      <c r="AS141" s="83" t="n"/>
      <c r="AT141" s="83" t="n"/>
      <c r="AU141" s="83" t="n"/>
      <c r="AV141" s="83" t="n"/>
      <c r="AW141" s="83" t="n"/>
      <c r="AX141" s="83" t="n"/>
      <c r="AY141" s="83" t="n"/>
      <c r="AZ141" s="83" t="n"/>
      <c r="BA141" s="83" t="n"/>
      <c r="BB141" s="83" t="n"/>
      <c r="BC141" s="83" t="n"/>
      <c r="BD141" s="83" t="n"/>
      <c r="BE141" s="83" t="n"/>
    </row>
    <row r="142" ht="18" customHeight="1">
      <c r="A142" s="55">
        <f>IFERROR(IF(INDEX('İş Planı'!$C$5:$C$204,ROW()-4)="","",INDEX('İş Planı'!$C$5:$C$204,ROW()-4)),"")</f>
        <v/>
      </c>
      <c r="B142" s="55">
        <f>IFERROR(IF(INDEX('İş Planı'!$B$5:$B$204,ROW()-4)="","",INDEX('İş Planı'!$B$5:$B$204,ROW()-4)),"")</f>
        <v/>
      </c>
      <c r="C142" s="72">
        <f>IFERROR(IF(INDEX('İş Planı'!$I$5:$I$204,ROW()-4)="","",INDEX('İş Planı'!$I$5:$I$204,ROW()-4)),"")</f>
        <v/>
      </c>
      <c r="D142" s="72">
        <f>IFERROR(IF(INDEX('İş Planı'!$M$5:$M$204,ROW()-4)="","",INDEX('İş Planı'!$M$5:$M$204,ROW()-4)),"")</f>
        <v/>
      </c>
      <c r="E142" s="71">
        <f>IFERROR(IF(INDEX('İş Planı'!$O$5:$O$204,ROW()-4)="","",INDEX('İş Planı'!$O$5:$O$204,ROW()-4)),"")</f>
        <v/>
      </c>
      <c r="F142" s="83" t="n"/>
      <c r="G142" s="83" t="n"/>
      <c r="H142" s="83" t="n"/>
      <c r="I142" s="83" t="n"/>
      <c r="J142" s="83" t="n"/>
      <c r="K142" s="83" t="n"/>
      <c r="L142" s="83" t="n"/>
      <c r="M142" s="83" t="n"/>
      <c r="N142" s="83" t="n"/>
      <c r="O142" s="83" t="n"/>
      <c r="P142" s="83" t="n"/>
      <c r="Q142" s="83" t="n"/>
      <c r="R142" s="83" t="n"/>
      <c r="S142" s="83" t="n"/>
      <c r="T142" s="83" t="n"/>
      <c r="U142" s="83" t="n"/>
      <c r="V142" s="83" t="n"/>
      <c r="W142" s="83" t="n"/>
      <c r="X142" s="83" t="n"/>
      <c r="Y142" s="83" t="n"/>
      <c r="Z142" s="83" t="n"/>
      <c r="AA142" s="83" t="n"/>
      <c r="AB142" s="83" t="n"/>
      <c r="AC142" s="83" t="n"/>
      <c r="AD142" s="83" t="n"/>
      <c r="AE142" s="83" t="n"/>
      <c r="AF142" s="83" t="n"/>
      <c r="AG142" s="83" t="n"/>
      <c r="AH142" s="83" t="n"/>
      <c r="AI142" s="83" t="n"/>
      <c r="AJ142" s="83" t="n"/>
      <c r="AK142" s="83" t="n"/>
      <c r="AL142" s="83" t="n"/>
      <c r="AM142" s="83" t="n"/>
      <c r="AN142" s="83" t="n"/>
      <c r="AO142" s="83" t="n"/>
      <c r="AP142" s="83" t="n"/>
      <c r="AQ142" s="83" t="n"/>
      <c r="AR142" s="83" t="n"/>
      <c r="AS142" s="83" t="n"/>
      <c r="AT142" s="83" t="n"/>
      <c r="AU142" s="83" t="n"/>
      <c r="AV142" s="83" t="n"/>
      <c r="AW142" s="83" t="n"/>
      <c r="AX142" s="83" t="n"/>
      <c r="AY142" s="83" t="n"/>
      <c r="AZ142" s="83" t="n"/>
      <c r="BA142" s="83" t="n"/>
      <c r="BB142" s="83" t="n"/>
      <c r="BC142" s="83" t="n"/>
      <c r="BD142" s="83" t="n"/>
      <c r="BE142" s="83" t="n"/>
    </row>
    <row r="143" ht="18" customHeight="1">
      <c r="A143" s="55">
        <f>IFERROR(IF(INDEX('İş Planı'!$C$5:$C$204,ROW()-4)="","",INDEX('İş Planı'!$C$5:$C$204,ROW()-4)),"")</f>
        <v/>
      </c>
      <c r="B143" s="55">
        <f>IFERROR(IF(INDEX('İş Planı'!$B$5:$B$204,ROW()-4)="","",INDEX('İş Planı'!$B$5:$B$204,ROW()-4)),"")</f>
        <v/>
      </c>
      <c r="C143" s="72">
        <f>IFERROR(IF(INDEX('İş Planı'!$I$5:$I$204,ROW()-4)="","",INDEX('İş Planı'!$I$5:$I$204,ROW()-4)),"")</f>
        <v/>
      </c>
      <c r="D143" s="72">
        <f>IFERROR(IF(INDEX('İş Planı'!$M$5:$M$204,ROW()-4)="","",INDEX('İş Planı'!$M$5:$M$204,ROW()-4)),"")</f>
        <v/>
      </c>
      <c r="E143" s="71">
        <f>IFERROR(IF(INDEX('İş Planı'!$O$5:$O$204,ROW()-4)="","",INDEX('İş Planı'!$O$5:$O$204,ROW()-4)),"")</f>
        <v/>
      </c>
      <c r="F143" s="83" t="n"/>
      <c r="G143" s="83" t="n"/>
      <c r="H143" s="83" t="n"/>
      <c r="I143" s="83" t="n"/>
      <c r="J143" s="83" t="n"/>
      <c r="K143" s="83" t="n"/>
      <c r="L143" s="83" t="n"/>
      <c r="M143" s="83" t="n"/>
      <c r="N143" s="83" t="n"/>
      <c r="O143" s="83" t="n"/>
      <c r="P143" s="83" t="n"/>
      <c r="Q143" s="83" t="n"/>
      <c r="R143" s="83" t="n"/>
      <c r="S143" s="83" t="n"/>
      <c r="T143" s="83" t="n"/>
      <c r="U143" s="83" t="n"/>
      <c r="V143" s="83" t="n"/>
      <c r="W143" s="83" t="n"/>
      <c r="X143" s="83" t="n"/>
      <c r="Y143" s="83" t="n"/>
      <c r="Z143" s="83" t="n"/>
      <c r="AA143" s="83" t="n"/>
      <c r="AB143" s="83" t="n"/>
      <c r="AC143" s="83" t="n"/>
      <c r="AD143" s="83" t="n"/>
      <c r="AE143" s="83" t="n"/>
      <c r="AF143" s="83" t="n"/>
      <c r="AG143" s="83" t="n"/>
      <c r="AH143" s="83" t="n"/>
      <c r="AI143" s="83" t="n"/>
      <c r="AJ143" s="83" t="n"/>
      <c r="AK143" s="83" t="n"/>
      <c r="AL143" s="83" t="n"/>
      <c r="AM143" s="83" t="n"/>
      <c r="AN143" s="83" t="n"/>
      <c r="AO143" s="83" t="n"/>
      <c r="AP143" s="83" t="n"/>
      <c r="AQ143" s="83" t="n"/>
      <c r="AR143" s="83" t="n"/>
      <c r="AS143" s="83" t="n"/>
      <c r="AT143" s="83" t="n"/>
      <c r="AU143" s="83" t="n"/>
      <c r="AV143" s="83" t="n"/>
      <c r="AW143" s="83" t="n"/>
      <c r="AX143" s="83" t="n"/>
      <c r="AY143" s="83" t="n"/>
      <c r="AZ143" s="83" t="n"/>
      <c r="BA143" s="83" t="n"/>
      <c r="BB143" s="83" t="n"/>
      <c r="BC143" s="83" t="n"/>
      <c r="BD143" s="83" t="n"/>
      <c r="BE143" s="83" t="n"/>
    </row>
    <row r="144" ht="18" customHeight="1">
      <c r="A144" s="55">
        <f>IFERROR(IF(INDEX('İş Planı'!$C$5:$C$204,ROW()-4)="","",INDEX('İş Planı'!$C$5:$C$204,ROW()-4)),"")</f>
        <v/>
      </c>
      <c r="B144" s="55">
        <f>IFERROR(IF(INDEX('İş Planı'!$B$5:$B$204,ROW()-4)="","",INDEX('İş Planı'!$B$5:$B$204,ROW()-4)),"")</f>
        <v/>
      </c>
      <c r="C144" s="72">
        <f>IFERROR(IF(INDEX('İş Planı'!$I$5:$I$204,ROW()-4)="","",INDEX('İş Planı'!$I$5:$I$204,ROW()-4)),"")</f>
        <v/>
      </c>
      <c r="D144" s="72">
        <f>IFERROR(IF(INDEX('İş Planı'!$M$5:$M$204,ROW()-4)="","",INDEX('İş Planı'!$M$5:$M$204,ROW()-4)),"")</f>
        <v/>
      </c>
      <c r="E144" s="71">
        <f>IFERROR(IF(INDEX('İş Planı'!$O$5:$O$204,ROW()-4)="","",INDEX('İş Planı'!$O$5:$O$204,ROW()-4)),"")</f>
        <v/>
      </c>
      <c r="F144" s="83" t="n"/>
      <c r="G144" s="83" t="n"/>
      <c r="H144" s="83" t="n"/>
      <c r="I144" s="83" t="n"/>
      <c r="J144" s="83" t="n"/>
      <c r="K144" s="83" t="n"/>
      <c r="L144" s="83" t="n"/>
      <c r="M144" s="83" t="n"/>
      <c r="N144" s="83" t="n"/>
      <c r="O144" s="83" t="n"/>
      <c r="P144" s="83" t="n"/>
      <c r="Q144" s="83" t="n"/>
      <c r="R144" s="83" t="n"/>
      <c r="S144" s="83" t="n"/>
      <c r="T144" s="83" t="n"/>
      <c r="U144" s="83" t="n"/>
      <c r="V144" s="83" t="n"/>
      <c r="W144" s="83" t="n"/>
      <c r="X144" s="83" t="n"/>
      <c r="Y144" s="83" t="n"/>
      <c r="Z144" s="83" t="n"/>
      <c r="AA144" s="83" t="n"/>
      <c r="AB144" s="83" t="n"/>
      <c r="AC144" s="83" t="n"/>
      <c r="AD144" s="83" t="n"/>
      <c r="AE144" s="83" t="n"/>
      <c r="AF144" s="83" t="n"/>
      <c r="AG144" s="83" t="n"/>
      <c r="AH144" s="83" t="n"/>
      <c r="AI144" s="83" t="n"/>
      <c r="AJ144" s="83" t="n"/>
      <c r="AK144" s="83" t="n"/>
      <c r="AL144" s="83" t="n"/>
      <c r="AM144" s="83" t="n"/>
      <c r="AN144" s="83" t="n"/>
      <c r="AO144" s="83" t="n"/>
      <c r="AP144" s="83" t="n"/>
      <c r="AQ144" s="83" t="n"/>
      <c r="AR144" s="83" t="n"/>
      <c r="AS144" s="83" t="n"/>
      <c r="AT144" s="83" t="n"/>
      <c r="AU144" s="83" t="n"/>
      <c r="AV144" s="83" t="n"/>
      <c r="AW144" s="83" t="n"/>
      <c r="AX144" s="83" t="n"/>
      <c r="AY144" s="83" t="n"/>
      <c r="AZ144" s="83" t="n"/>
      <c r="BA144" s="83" t="n"/>
      <c r="BB144" s="83" t="n"/>
      <c r="BC144" s="83" t="n"/>
      <c r="BD144" s="83" t="n"/>
      <c r="BE144" s="83" t="n"/>
    </row>
    <row r="145" ht="18" customHeight="1">
      <c r="A145" s="55">
        <f>IFERROR(IF(INDEX('İş Planı'!$C$5:$C$204,ROW()-4)="","",INDEX('İş Planı'!$C$5:$C$204,ROW()-4)),"")</f>
        <v/>
      </c>
      <c r="B145" s="55">
        <f>IFERROR(IF(INDEX('İş Planı'!$B$5:$B$204,ROW()-4)="","",INDEX('İş Planı'!$B$5:$B$204,ROW()-4)),"")</f>
        <v/>
      </c>
      <c r="C145" s="72">
        <f>IFERROR(IF(INDEX('İş Planı'!$I$5:$I$204,ROW()-4)="","",INDEX('İş Planı'!$I$5:$I$204,ROW()-4)),"")</f>
        <v/>
      </c>
      <c r="D145" s="72">
        <f>IFERROR(IF(INDEX('İş Planı'!$M$5:$M$204,ROW()-4)="","",INDEX('İş Planı'!$M$5:$M$204,ROW()-4)),"")</f>
        <v/>
      </c>
      <c r="E145" s="71">
        <f>IFERROR(IF(INDEX('İş Planı'!$O$5:$O$204,ROW()-4)="","",INDEX('İş Planı'!$O$5:$O$204,ROW()-4)),"")</f>
        <v/>
      </c>
      <c r="F145" s="83" t="n"/>
      <c r="G145" s="83" t="n"/>
      <c r="H145" s="83" t="n"/>
      <c r="I145" s="83" t="n"/>
      <c r="J145" s="83" t="n"/>
      <c r="K145" s="83" t="n"/>
      <c r="L145" s="83" t="n"/>
      <c r="M145" s="83" t="n"/>
      <c r="N145" s="83" t="n"/>
      <c r="O145" s="83" t="n"/>
      <c r="P145" s="83" t="n"/>
      <c r="Q145" s="83" t="n"/>
      <c r="R145" s="83" t="n"/>
      <c r="S145" s="83" t="n"/>
      <c r="T145" s="83" t="n"/>
      <c r="U145" s="83" t="n"/>
      <c r="V145" s="83" t="n"/>
      <c r="W145" s="83" t="n"/>
      <c r="X145" s="83" t="n"/>
      <c r="Y145" s="83" t="n"/>
      <c r="Z145" s="83" t="n"/>
      <c r="AA145" s="83" t="n"/>
      <c r="AB145" s="83" t="n"/>
      <c r="AC145" s="83" t="n"/>
      <c r="AD145" s="83" t="n"/>
      <c r="AE145" s="83" t="n"/>
      <c r="AF145" s="83" t="n"/>
      <c r="AG145" s="83" t="n"/>
      <c r="AH145" s="83" t="n"/>
      <c r="AI145" s="83" t="n"/>
      <c r="AJ145" s="83" t="n"/>
      <c r="AK145" s="83" t="n"/>
      <c r="AL145" s="83" t="n"/>
      <c r="AM145" s="83" t="n"/>
      <c r="AN145" s="83" t="n"/>
      <c r="AO145" s="83" t="n"/>
      <c r="AP145" s="83" t="n"/>
      <c r="AQ145" s="83" t="n"/>
      <c r="AR145" s="83" t="n"/>
      <c r="AS145" s="83" t="n"/>
      <c r="AT145" s="83" t="n"/>
      <c r="AU145" s="83" t="n"/>
      <c r="AV145" s="83" t="n"/>
      <c r="AW145" s="83" t="n"/>
      <c r="AX145" s="83" t="n"/>
      <c r="AY145" s="83" t="n"/>
      <c r="AZ145" s="83" t="n"/>
      <c r="BA145" s="83" t="n"/>
      <c r="BB145" s="83" t="n"/>
      <c r="BC145" s="83" t="n"/>
      <c r="BD145" s="83" t="n"/>
      <c r="BE145" s="83" t="n"/>
    </row>
    <row r="146" ht="18" customHeight="1">
      <c r="A146" s="55">
        <f>IFERROR(IF(INDEX('İş Planı'!$C$5:$C$204,ROW()-4)="","",INDEX('İş Planı'!$C$5:$C$204,ROW()-4)),"")</f>
        <v/>
      </c>
      <c r="B146" s="55">
        <f>IFERROR(IF(INDEX('İş Planı'!$B$5:$B$204,ROW()-4)="","",INDEX('İş Planı'!$B$5:$B$204,ROW()-4)),"")</f>
        <v/>
      </c>
      <c r="C146" s="72">
        <f>IFERROR(IF(INDEX('İş Planı'!$I$5:$I$204,ROW()-4)="","",INDEX('İş Planı'!$I$5:$I$204,ROW()-4)),"")</f>
        <v/>
      </c>
      <c r="D146" s="72">
        <f>IFERROR(IF(INDEX('İş Planı'!$M$5:$M$204,ROW()-4)="","",INDEX('İş Planı'!$M$5:$M$204,ROW()-4)),"")</f>
        <v/>
      </c>
      <c r="E146" s="71">
        <f>IFERROR(IF(INDEX('İş Planı'!$O$5:$O$204,ROW()-4)="","",INDEX('İş Planı'!$O$5:$O$204,ROW()-4)),"")</f>
        <v/>
      </c>
      <c r="F146" s="83" t="n"/>
      <c r="G146" s="83" t="n"/>
      <c r="H146" s="83" t="n"/>
      <c r="I146" s="83" t="n"/>
      <c r="J146" s="83" t="n"/>
      <c r="K146" s="83" t="n"/>
      <c r="L146" s="83" t="n"/>
      <c r="M146" s="83" t="n"/>
      <c r="N146" s="83" t="n"/>
      <c r="O146" s="83" t="n"/>
      <c r="P146" s="83" t="n"/>
      <c r="Q146" s="83" t="n"/>
      <c r="R146" s="83" t="n"/>
      <c r="S146" s="83" t="n"/>
      <c r="T146" s="83" t="n"/>
      <c r="U146" s="83" t="n"/>
      <c r="V146" s="83" t="n"/>
      <c r="W146" s="83" t="n"/>
      <c r="X146" s="83" t="n"/>
      <c r="Y146" s="83" t="n"/>
      <c r="Z146" s="83" t="n"/>
      <c r="AA146" s="83" t="n"/>
      <c r="AB146" s="83" t="n"/>
      <c r="AC146" s="83" t="n"/>
      <c r="AD146" s="83" t="n"/>
      <c r="AE146" s="83" t="n"/>
      <c r="AF146" s="83" t="n"/>
      <c r="AG146" s="83" t="n"/>
      <c r="AH146" s="83" t="n"/>
      <c r="AI146" s="83" t="n"/>
      <c r="AJ146" s="83" t="n"/>
      <c r="AK146" s="83" t="n"/>
      <c r="AL146" s="83" t="n"/>
      <c r="AM146" s="83" t="n"/>
      <c r="AN146" s="83" t="n"/>
      <c r="AO146" s="83" t="n"/>
      <c r="AP146" s="83" t="n"/>
      <c r="AQ146" s="83" t="n"/>
      <c r="AR146" s="83" t="n"/>
      <c r="AS146" s="83" t="n"/>
      <c r="AT146" s="83" t="n"/>
      <c r="AU146" s="83" t="n"/>
      <c r="AV146" s="83" t="n"/>
      <c r="AW146" s="83" t="n"/>
      <c r="AX146" s="83" t="n"/>
      <c r="AY146" s="83" t="n"/>
      <c r="AZ146" s="83" t="n"/>
      <c r="BA146" s="83" t="n"/>
      <c r="BB146" s="83" t="n"/>
      <c r="BC146" s="83" t="n"/>
      <c r="BD146" s="83" t="n"/>
      <c r="BE146" s="83" t="n"/>
    </row>
    <row r="147" ht="18" customHeight="1">
      <c r="A147" s="55">
        <f>IFERROR(IF(INDEX('İş Planı'!$C$5:$C$204,ROW()-4)="","",INDEX('İş Planı'!$C$5:$C$204,ROW()-4)),"")</f>
        <v/>
      </c>
      <c r="B147" s="55">
        <f>IFERROR(IF(INDEX('İş Planı'!$B$5:$B$204,ROW()-4)="","",INDEX('İş Planı'!$B$5:$B$204,ROW()-4)),"")</f>
        <v/>
      </c>
      <c r="C147" s="72">
        <f>IFERROR(IF(INDEX('İş Planı'!$I$5:$I$204,ROW()-4)="","",INDEX('İş Planı'!$I$5:$I$204,ROW()-4)),"")</f>
        <v/>
      </c>
      <c r="D147" s="72">
        <f>IFERROR(IF(INDEX('İş Planı'!$M$5:$M$204,ROW()-4)="","",INDEX('İş Planı'!$M$5:$M$204,ROW()-4)),"")</f>
        <v/>
      </c>
      <c r="E147" s="71">
        <f>IFERROR(IF(INDEX('İş Planı'!$O$5:$O$204,ROW()-4)="","",INDEX('İş Planı'!$O$5:$O$204,ROW()-4)),"")</f>
        <v/>
      </c>
      <c r="F147" s="83" t="n"/>
      <c r="G147" s="83" t="n"/>
      <c r="H147" s="83" t="n"/>
      <c r="I147" s="83" t="n"/>
      <c r="J147" s="83" t="n"/>
      <c r="K147" s="83" t="n"/>
      <c r="L147" s="83" t="n"/>
      <c r="M147" s="83" t="n"/>
      <c r="N147" s="83" t="n"/>
      <c r="O147" s="83" t="n"/>
      <c r="P147" s="83" t="n"/>
      <c r="Q147" s="83" t="n"/>
      <c r="R147" s="83" t="n"/>
      <c r="S147" s="83" t="n"/>
      <c r="T147" s="83" t="n"/>
      <c r="U147" s="83" t="n"/>
      <c r="V147" s="83" t="n"/>
      <c r="W147" s="83" t="n"/>
      <c r="X147" s="83" t="n"/>
      <c r="Y147" s="83" t="n"/>
      <c r="Z147" s="83" t="n"/>
      <c r="AA147" s="83" t="n"/>
      <c r="AB147" s="83" t="n"/>
      <c r="AC147" s="83" t="n"/>
      <c r="AD147" s="83" t="n"/>
      <c r="AE147" s="83" t="n"/>
      <c r="AF147" s="83" t="n"/>
      <c r="AG147" s="83" t="n"/>
      <c r="AH147" s="83" t="n"/>
      <c r="AI147" s="83" t="n"/>
      <c r="AJ147" s="83" t="n"/>
      <c r="AK147" s="83" t="n"/>
      <c r="AL147" s="83" t="n"/>
      <c r="AM147" s="83" t="n"/>
      <c r="AN147" s="83" t="n"/>
      <c r="AO147" s="83" t="n"/>
      <c r="AP147" s="83" t="n"/>
      <c r="AQ147" s="83" t="n"/>
      <c r="AR147" s="83" t="n"/>
      <c r="AS147" s="83" t="n"/>
      <c r="AT147" s="83" t="n"/>
      <c r="AU147" s="83" t="n"/>
      <c r="AV147" s="83" t="n"/>
      <c r="AW147" s="83" t="n"/>
      <c r="AX147" s="83" t="n"/>
      <c r="AY147" s="83" t="n"/>
      <c r="AZ147" s="83" t="n"/>
      <c r="BA147" s="83" t="n"/>
      <c r="BB147" s="83" t="n"/>
      <c r="BC147" s="83" t="n"/>
      <c r="BD147" s="83" t="n"/>
      <c r="BE147" s="83" t="n"/>
    </row>
    <row r="148" ht="18" customHeight="1">
      <c r="A148" s="55">
        <f>IFERROR(IF(INDEX('İş Planı'!$C$5:$C$204,ROW()-4)="","",INDEX('İş Planı'!$C$5:$C$204,ROW()-4)),"")</f>
        <v/>
      </c>
      <c r="B148" s="55">
        <f>IFERROR(IF(INDEX('İş Planı'!$B$5:$B$204,ROW()-4)="","",INDEX('İş Planı'!$B$5:$B$204,ROW()-4)),"")</f>
        <v/>
      </c>
      <c r="C148" s="72">
        <f>IFERROR(IF(INDEX('İş Planı'!$I$5:$I$204,ROW()-4)="","",INDEX('İş Planı'!$I$5:$I$204,ROW()-4)),"")</f>
        <v/>
      </c>
      <c r="D148" s="72">
        <f>IFERROR(IF(INDEX('İş Planı'!$M$5:$M$204,ROW()-4)="","",INDEX('İş Planı'!$M$5:$M$204,ROW()-4)),"")</f>
        <v/>
      </c>
      <c r="E148" s="71">
        <f>IFERROR(IF(INDEX('İş Planı'!$O$5:$O$204,ROW()-4)="","",INDEX('İş Planı'!$O$5:$O$204,ROW()-4)),"")</f>
        <v/>
      </c>
      <c r="F148" s="83" t="n"/>
      <c r="G148" s="83" t="n"/>
      <c r="H148" s="83" t="n"/>
      <c r="I148" s="83" t="n"/>
      <c r="J148" s="83" t="n"/>
      <c r="K148" s="83" t="n"/>
      <c r="L148" s="83" t="n"/>
      <c r="M148" s="83" t="n"/>
      <c r="N148" s="83" t="n"/>
      <c r="O148" s="83" t="n"/>
      <c r="P148" s="83" t="n"/>
      <c r="Q148" s="83" t="n"/>
      <c r="R148" s="83" t="n"/>
      <c r="S148" s="83" t="n"/>
      <c r="T148" s="83" t="n"/>
      <c r="U148" s="83" t="n"/>
      <c r="V148" s="83" t="n"/>
      <c r="W148" s="83" t="n"/>
      <c r="X148" s="83" t="n"/>
      <c r="Y148" s="83" t="n"/>
      <c r="Z148" s="83" t="n"/>
      <c r="AA148" s="83" t="n"/>
      <c r="AB148" s="83" t="n"/>
      <c r="AC148" s="83" t="n"/>
      <c r="AD148" s="83" t="n"/>
      <c r="AE148" s="83" t="n"/>
      <c r="AF148" s="83" t="n"/>
      <c r="AG148" s="83" t="n"/>
      <c r="AH148" s="83" t="n"/>
      <c r="AI148" s="83" t="n"/>
      <c r="AJ148" s="83" t="n"/>
      <c r="AK148" s="83" t="n"/>
      <c r="AL148" s="83" t="n"/>
      <c r="AM148" s="83" t="n"/>
      <c r="AN148" s="83" t="n"/>
      <c r="AO148" s="83" t="n"/>
      <c r="AP148" s="83" t="n"/>
      <c r="AQ148" s="83" t="n"/>
      <c r="AR148" s="83" t="n"/>
      <c r="AS148" s="83" t="n"/>
      <c r="AT148" s="83" t="n"/>
      <c r="AU148" s="83" t="n"/>
      <c r="AV148" s="83" t="n"/>
      <c r="AW148" s="83" t="n"/>
      <c r="AX148" s="83" t="n"/>
      <c r="AY148" s="83" t="n"/>
      <c r="AZ148" s="83" t="n"/>
      <c r="BA148" s="83" t="n"/>
      <c r="BB148" s="83" t="n"/>
      <c r="BC148" s="83" t="n"/>
      <c r="BD148" s="83" t="n"/>
      <c r="BE148" s="83" t="n"/>
    </row>
    <row r="149" ht="18" customHeight="1">
      <c r="A149" s="55">
        <f>IFERROR(IF(INDEX('İş Planı'!$C$5:$C$204,ROW()-4)="","",INDEX('İş Planı'!$C$5:$C$204,ROW()-4)),"")</f>
        <v/>
      </c>
      <c r="B149" s="55">
        <f>IFERROR(IF(INDEX('İş Planı'!$B$5:$B$204,ROW()-4)="","",INDEX('İş Planı'!$B$5:$B$204,ROW()-4)),"")</f>
        <v/>
      </c>
      <c r="C149" s="72">
        <f>IFERROR(IF(INDEX('İş Planı'!$I$5:$I$204,ROW()-4)="","",INDEX('İş Planı'!$I$5:$I$204,ROW()-4)),"")</f>
        <v/>
      </c>
      <c r="D149" s="72">
        <f>IFERROR(IF(INDEX('İş Planı'!$M$5:$M$204,ROW()-4)="","",INDEX('İş Planı'!$M$5:$M$204,ROW()-4)),"")</f>
        <v/>
      </c>
      <c r="E149" s="71">
        <f>IFERROR(IF(INDEX('İş Planı'!$O$5:$O$204,ROW()-4)="","",INDEX('İş Planı'!$O$5:$O$204,ROW()-4)),"")</f>
        <v/>
      </c>
      <c r="F149" s="83" t="n"/>
      <c r="G149" s="83" t="n"/>
      <c r="H149" s="83" t="n"/>
      <c r="I149" s="83" t="n"/>
      <c r="J149" s="83" t="n"/>
      <c r="K149" s="83" t="n"/>
      <c r="L149" s="83" t="n"/>
      <c r="M149" s="83" t="n"/>
      <c r="N149" s="83" t="n"/>
      <c r="O149" s="83" t="n"/>
      <c r="P149" s="83" t="n"/>
      <c r="Q149" s="83" t="n"/>
      <c r="R149" s="83" t="n"/>
      <c r="S149" s="83" t="n"/>
      <c r="T149" s="83" t="n"/>
      <c r="U149" s="83" t="n"/>
      <c r="V149" s="83" t="n"/>
      <c r="W149" s="83" t="n"/>
      <c r="X149" s="83" t="n"/>
      <c r="Y149" s="83" t="n"/>
      <c r="Z149" s="83" t="n"/>
      <c r="AA149" s="83" t="n"/>
      <c r="AB149" s="83" t="n"/>
      <c r="AC149" s="83" t="n"/>
      <c r="AD149" s="83" t="n"/>
      <c r="AE149" s="83" t="n"/>
      <c r="AF149" s="83" t="n"/>
      <c r="AG149" s="83" t="n"/>
      <c r="AH149" s="83" t="n"/>
      <c r="AI149" s="83" t="n"/>
      <c r="AJ149" s="83" t="n"/>
      <c r="AK149" s="83" t="n"/>
      <c r="AL149" s="83" t="n"/>
      <c r="AM149" s="83" t="n"/>
      <c r="AN149" s="83" t="n"/>
      <c r="AO149" s="83" t="n"/>
      <c r="AP149" s="83" t="n"/>
      <c r="AQ149" s="83" t="n"/>
      <c r="AR149" s="83" t="n"/>
      <c r="AS149" s="83" t="n"/>
      <c r="AT149" s="83" t="n"/>
      <c r="AU149" s="83" t="n"/>
      <c r="AV149" s="83" t="n"/>
      <c r="AW149" s="83" t="n"/>
      <c r="AX149" s="83" t="n"/>
      <c r="AY149" s="83" t="n"/>
      <c r="AZ149" s="83" t="n"/>
      <c r="BA149" s="83" t="n"/>
      <c r="BB149" s="83" t="n"/>
      <c r="BC149" s="83" t="n"/>
      <c r="BD149" s="83" t="n"/>
      <c r="BE149" s="83" t="n"/>
    </row>
    <row r="150" ht="18" customHeight="1">
      <c r="A150" s="55">
        <f>IFERROR(IF(INDEX('İş Planı'!$C$5:$C$204,ROW()-4)="","",INDEX('İş Planı'!$C$5:$C$204,ROW()-4)),"")</f>
        <v/>
      </c>
      <c r="B150" s="55">
        <f>IFERROR(IF(INDEX('İş Planı'!$B$5:$B$204,ROW()-4)="","",INDEX('İş Planı'!$B$5:$B$204,ROW()-4)),"")</f>
        <v/>
      </c>
      <c r="C150" s="72">
        <f>IFERROR(IF(INDEX('İş Planı'!$I$5:$I$204,ROW()-4)="","",INDEX('İş Planı'!$I$5:$I$204,ROW()-4)),"")</f>
        <v/>
      </c>
      <c r="D150" s="72">
        <f>IFERROR(IF(INDEX('İş Planı'!$M$5:$M$204,ROW()-4)="","",INDEX('İş Planı'!$M$5:$M$204,ROW()-4)),"")</f>
        <v/>
      </c>
      <c r="E150" s="71">
        <f>IFERROR(IF(INDEX('İş Planı'!$O$5:$O$204,ROW()-4)="","",INDEX('İş Planı'!$O$5:$O$204,ROW()-4)),"")</f>
        <v/>
      </c>
      <c r="F150" s="83" t="n"/>
      <c r="G150" s="83" t="n"/>
      <c r="H150" s="83" t="n"/>
      <c r="I150" s="83" t="n"/>
      <c r="J150" s="83" t="n"/>
      <c r="K150" s="83" t="n"/>
      <c r="L150" s="83" t="n"/>
      <c r="M150" s="83" t="n"/>
      <c r="N150" s="83" t="n"/>
      <c r="O150" s="83" t="n"/>
      <c r="P150" s="83" t="n"/>
      <c r="Q150" s="83" t="n"/>
      <c r="R150" s="83" t="n"/>
      <c r="S150" s="83" t="n"/>
      <c r="T150" s="83" t="n"/>
      <c r="U150" s="83" t="n"/>
      <c r="V150" s="83" t="n"/>
      <c r="W150" s="83" t="n"/>
      <c r="X150" s="83" t="n"/>
      <c r="Y150" s="83" t="n"/>
      <c r="Z150" s="83" t="n"/>
      <c r="AA150" s="83" t="n"/>
      <c r="AB150" s="83" t="n"/>
      <c r="AC150" s="83" t="n"/>
      <c r="AD150" s="83" t="n"/>
      <c r="AE150" s="83" t="n"/>
      <c r="AF150" s="83" t="n"/>
      <c r="AG150" s="83" t="n"/>
      <c r="AH150" s="83" t="n"/>
      <c r="AI150" s="83" t="n"/>
      <c r="AJ150" s="83" t="n"/>
      <c r="AK150" s="83" t="n"/>
      <c r="AL150" s="83" t="n"/>
      <c r="AM150" s="83" t="n"/>
      <c r="AN150" s="83" t="n"/>
      <c r="AO150" s="83" t="n"/>
      <c r="AP150" s="83" t="n"/>
      <c r="AQ150" s="83" t="n"/>
      <c r="AR150" s="83" t="n"/>
      <c r="AS150" s="83" t="n"/>
      <c r="AT150" s="83" t="n"/>
      <c r="AU150" s="83" t="n"/>
      <c r="AV150" s="83" t="n"/>
      <c r="AW150" s="83" t="n"/>
      <c r="AX150" s="83" t="n"/>
      <c r="AY150" s="83" t="n"/>
      <c r="AZ150" s="83" t="n"/>
      <c r="BA150" s="83" t="n"/>
      <c r="BB150" s="83" t="n"/>
      <c r="BC150" s="83" t="n"/>
      <c r="BD150" s="83" t="n"/>
      <c r="BE150" s="83" t="n"/>
    </row>
    <row r="151" ht="18" customHeight="1">
      <c r="A151" s="55">
        <f>IFERROR(IF(INDEX('İş Planı'!$C$5:$C$204,ROW()-4)="","",INDEX('İş Planı'!$C$5:$C$204,ROW()-4)),"")</f>
        <v/>
      </c>
      <c r="B151" s="55">
        <f>IFERROR(IF(INDEX('İş Planı'!$B$5:$B$204,ROW()-4)="","",INDEX('İş Planı'!$B$5:$B$204,ROW()-4)),"")</f>
        <v/>
      </c>
      <c r="C151" s="72">
        <f>IFERROR(IF(INDEX('İş Planı'!$I$5:$I$204,ROW()-4)="","",INDEX('İş Planı'!$I$5:$I$204,ROW()-4)),"")</f>
        <v/>
      </c>
      <c r="D151" s="72">
        <f>IFERROR(IF(INDEX('İş Planı'!$M$5:$M$204,ROW()-4)="","",INDEX('İş Planı'!$M$5:$M$204,ROW()-4)),"")</f>
        <v/>
      </c>
      <c r="E151" s="71">
        <f>IFERROR(IF(INDEX('İş Planı'!$O$5:$O$204,ROW()-4)="","",INDEX('İş Planı'!$O$5:$O$204,ROW()-4)),"")</f>
        <v/>
      </c>
      <c r="F151" s="83" t="n"/>
      <c r="G151" s="83" t="n"/>
      <c r="H151" s="83" t="n"/>
      <c r="I151" s="83" t="n"/>
      <c r="J151" s="83" t="n"/>
      <c r="K151" s="83" t="n"/>
      <c r="L151" s="83" t="n"/>
      <c r="M151" s="83" t="n"/>
      <c r="N151" s="83" t="n"/>
      <c r="O151" s="83" t="n"/>
      <c r="P151" s="83" t="n"/>
      <c r="Q151" s="83" t="n"/>
      <c r="R151" s="83" t="n"/>
      <c r="S151" s="83" t="n"/>
      <c r="T151" s="83" t="n"/>
      <c r="U151" s="83" t="n"/>
      <c r="V151" s="83" t="n"/>
      <c r="W151" s="83" t="n"/>
      <c r="X151" s="83" t="n"/>
      <c r="Y151" s="83" t="n"/>
      <c r="Z151" s="83" t="n"/>
      <c r="AA151" s="83" t="n"/>
      <c r="AB151" s="83" t="n"/>
      <c r="AC151" s="83" t="n"/>
      <c r="AD151" s="83" t="n"/>
      <c r="AE151" s="83" t="n"/>
      <c r="AF151" s="83" t="n"/>
      <c r="AG151" s="83" t="n"/>
      <c r="AH151" s="83" t="n"/>
      <c r="AI151" s="83" t="n"/>
      <c r="AJ151" s="83" t="n"/>
      <c r="AK151" s="83" t="n"/>
      <c r="AL151" s="83" t="n"/>
      <c r="AM151" s="83" t="n"/>
      <c r="AN151" s="83" t="n"/>
      <c r="AO151" s="83" t="n"/>
      <c r="AP151" s="83" t="n"/>
      <c r="AQ151" s="83" t="n"/>
      <c r="AR151" s="83" t="n"/>
      <c r="AS151" s="83" t="n"/>
      <c r="AT151" s="83" t="n"/>
      <c r="AU151" s="83" t="n"/>
      <c r="AV151" s="83" t="n"/>
      <c r="AW151" s="83" t="n"/>
      <c r="AX151" s="83" t="n"/>
      <c r="AY151" s="83" t="n"/>
      <c r="AZ151" s="83" t="n"/>
      <c r="BA151" s="83" t="n"/>
      <c r="BB151" s="83" t="n"/>
      <c r="BC151" s="83" t="n"/>
      <c r="BD151" s="83" t="n"/>
      <c r="BE151" s="83" t="n"/>
    </row>
    <row r="152" ht="18" customHeight="1">
      <c r="A152" s="55">
        <f>IFERROR(IF(INDEX('İş Planı'!$C$5:$C$204,ROW()-4)="","",INDEX('İş Planı'!$C$5:$C$204,ROW()-4)),"")</f>
        <v/>
      </c>
      <c r="B152" s="55">
        <f>IFERROR(IF(INDEX('İş Planı'!$B$5:$B$204,ROW()-4)="","",INDEX('İş Planı'!$B$5:$B$204,ROW()-4)),"")</f>
        <v/>
      </c>
      <c r="C152" s="72">
        <f>IFERROR(IF(INDEX('İş Planı'!$I$5:$I$204,ROW()-4)="","",INDEX('İş Planı'!$I$5:$I$204,ROW()-4)),"")</f>
        <v/>
      </c>
      <c r="D152" s="72">
        <f>IFERROR(IF(INDEX('İş Planı'!$M$5:$M$204,ROW()-4)="","",INDEX('İş Planı'!$M$5:$M$204,ROW()-4)),"")</f>
        <v/>
      </c>
      <c r="E152" s="71">
        <f>IFERROR(IF(INDEX('İş Planı'!$O$5:$O$204,ROW()-4)="","",INDEX('İş Planı'!$O$5:$O$204,ROW()-4)),"")</f>
        <v/>
      </c>
      <c r="F152" s="83" t="n"/>
      <c r="G152" s="83" t="n"/>
      <c r="H152" s="83" t="n"/>
      <c r="I152" s="83" t="n"/>
      <c r="J152" s="83" t="n"/>
      <c r="K152" s="83" t="n"/>
      <c r="L152" s="83" t="n"/>
      <c r="M152" s="83" t="n"/>
      <c r="N152" s="83" t="n"/>
      <c r="O152" s="83" t="n"/>
      <c r="P152" s="83" t="n"/>
      <c r="Q152" s="83" t="n"/>
      <c r="R152" s="83" t="n"/>
      <c r="S152" s="83" t="n"/>
      <c r="T152" s="83" t="n"/>
      <c r="U152" s="83" t="n"/>
      <c r="V152" s="83" t="n"/>
      <c r="W152" s="83" t="n"/>
      <c r="X152" s="83" t="n"/>
      <c r="Y152" s="83" t="n"/>
      <c r="Z152" s="83" t="n"/>
      <c r="AA152" s="83" t="n"/>
      <c r="AB152" s="83" t="n"/>
      <c r="AC152" s="83" t="n"/>
      <c r="AD152" s="83" t="n"/>
      <c r="AE152" s="83" t="n"/>
      <c r="AF152" s="83" t="n"/>
      <c r="AG152" s="83" t="n"/>
      <c r="AH152" s="83" t="n"/>
      <c r="AI152" s="83" t="n"/>
      <c r="AJ152" s="83" t="n"/>
      <c r="AK152" s="83" t="n"/>
      <c r="AL152" s="83" t="n"/>
      <c r="AM152" s="83" t="n"/>
      <c r="AN152" s="83" t="n"/>
      <c r="AO152" s="83" t="n"/>
      <c r="AP152" s="83" t="n"/>
      <c r="AQ152" s="83" t="n"/>
      <c r="AR152" s="83" t="n"/>
      <c r="AS152" s="83" t="n"/>
      <c r="AT152" s="83" t="n"/>
      <c r="AU152" s="83" t="n"/>
      <c r="AV152" s="83" t="n"/>
      <c r="AW152" s="83" t="n"/>
      <c r="AX152" s="83" t="n"/>
      <c r="AY152" s="83" t="n"/>
      <c r="AZ152" s="83" t="n"/>
      <c r="BA152" s="83" t="n"/>
      <c r="BB152" s="83" t="n"/>
      <c r="BC152" s="83" t="n"/>
      <c r="BD152" s="83" t="n"/>
      <c r="BE152" s="83" t="n"/>
    </row>
    <row r="153" ht="18" customHeight="1">
      <c r="A153" s="55">
        <f>IFERROR(IF(INDEX('İş Planı'!$C$5:$C$204,ROW()-4)="","",INDEX('İş Planı'!$C$5:$C$204,ROW()-4)),"")</f>
        <v/>
      </c>
      <c r="B153" s="55">
        <f>IFERROR(IF(INDEX('İş Planı'!$B$5:$B$204,ROW()-4)="","",INDEX('İş Planı'!$B$5:$B$204,ROW()-4)),"")</f>
        <v/>
      </c>
      <c r="C153" s="72">
        <f>IFERROR(IF(INDEX('İş Planı'!$I$5:$I$204,ROW()-4)="","",INDEX('İş Planı'!$I$5:$I$204,ROW()-4)),"")</f>
        <v/>
      </c>
      <c r="D153" s="72">
        <f>IFERROR(IF(INDEX('İş Planı'!$M$5:$M$204,ROW()-4)="","",INDEX('İş Planı'!$M$5:$M$204,ROW()-4)),"")</f>
        <v/>
      </c>
      <c r="E153" s="71">
        <f>IFERROR(IF(INDEX('İş Planı'!$O$5:$O$204,ROW()-4)="","",INDEX('İş Planı'!$O$5:$O$204,ROW()-4)),"")</f>
        <v/>
      </c>
      <c r="F153" s="83" t="n"/>
      <c r="G153" s="83" t="n"/>
      <c r="H153" s="83" t="n"/>
      <c r="I153" s="83" t="n"/>
      <c r="J153" s="83" t="n"/>
      <c r="K153" s="83" t="n"/>
      <c r="L153" s="83" t="n"/>
      <c r="M153" s="83" t="n"/>
      <c r="N153" s="83" t="n"/>
      <c r="O153" s="83" t="n"/>
      <c r="P153" s="83" t="n"/>
      <c r="Q153" s="83" t="n"/>
      <c r="R153" s="83" t="n"/>
      <c r="S153" s="83" t="n"/>
      <c r="T153" s="83" t="n"/>
      <c r="U153" s="83" t="n"/>
      <c r="V153" s="83" t="n"/>
      <c r="W153" s="83" t="n"/>
      <c r="X153" s="83" t="n"/>
      <c r="Y153" s="83" t="n"/>
      <c r="Z153" s="83" t="n"/>
      <c r="AA153" s="83" t="n"/>
      <c r="AB153" s="83" t="n"/>
      <c r="AC153" s="83" t="n"/>
      <c r="AD153" s="83" t="n"/>
      <c r="AE153" s="83" t="n"/>
      <c r="AF153" s="83" t="n"/>
      <c r="AG153" s="83" t="n"/>
      <c r="AH153" s="83" t="n"/>
      <c r="AI153" s="83" t="n"/>
      <c r="AJ153" s="83" t="n"/>
      <c r="AK153" s="83" t="n"/>
      <c r="AL153" s="83" t="n"/>
      <c r="AM153" s="83" t="n"/>
      <c r="AN153" s="83" t="n"/>
      <c r="AO153" s="83" t="n"/>
      <c r="AP153" s="83" t="n"/>
      <c r="AQ153" s="83" t="n"/>
      <c r="AR153" s="83" t="n"/>
      <c r="AS153" s="83" t="n"/>
      <c r="AT153" s="83" t="n"/>
      <c r="AU153" s="83" t="n"/>
      <c r="AV153" s="83" t="n"/>
      <c r="AW153" s="83" t="n"/>
      <c r="AX153" s="83" t="n"/>
      <c r="AY153" s="83" t="n"/>
      <c r="AZ153" s="83" t="n"/>
      <c r="BA153" s="83" t="n"/>
      <c r="BB153" s="83" t="n"/>
      <c r="BC153" s="83" t="n"/>
      <c r="BD153" s="83" t="n"/>
      <c r="BE153" s="83" t="n"/>
    </row>
    <row r="154" ht="18" customHeight="1">
      <c r="A154" s="55">
        <f>IFERROR(IF(INDEX('İş Planı'!$C$5:$C$204,ROW()-4)="","",INDEX('İş Planı'!$C$5:$C$204,ROW()-4)),"")</f>
        <v/>
      </c>
      <c r="B154" s="55">
        <f>IFERROR(IF(INDEX('İş Planı'!$B$5:$B$204,ROW()-4)="","",INDEX('İş Planı'!$B$5:$B$204,ROW()-4)),"")</f>
        <v/>
      </c>
      <c r="C154" s="72">
        <f>IFERROR(IF(INDEX('İş Planı'!$I$5:$I$204,ROW()-4)="","",INDEX('İş Planı'!$I$5:$I$204,ROW()-4)),"")</f>
        <v/>
      </c>
      <c r="D154" s="72">
        <f>IFERROR(IF(INDEX('İş Planı'!$M$5:$M$204,ROW()-4)="","",INDEX('İş Planı'!$M$5:$M$204,ROW()-4)),"")</f>
        <v/>
      </c>
      <c r="E154" s="71">
        <f>IFERROR(IF(INDEX('İş Planı'!$O$5:$O$204,ROW()-4)="","",INDEX('İş Planı'!$O$5:$O$204,ROW()-4)),"")</f>
        <v/>
      </c>
      <c r="F154" s="83" t="n"/>
      <c r="G154" s="83" t="n"/>
      <c r="H154" s="83" t="n"/>
      <c r="I154" s="83" t="n"/>
      <c r="J154" s="83" t="n"/>
      <c r="K154" s="83" t="n"/>
      <c r="L154" s="83" t="n"/>
      <c r="M154" s="83" t="n"/>
      <c r="N154" s="83" t="n"/>
      <c r="O154" s="83" t="n"/>
      <c r="P154" s="83" t="n"/>
      <c r="Q154" s="83" t="n"/>
      <c r="R154" s="83" t="n"/>
      <c r="S154" s="83" t="n"/>
      <c r="T154" s="83" t="n"/>
      <c r="U154" s="83" t="n"/>
      <c r="V154" s="83" t="n"/>
      <c r="W154" s="83" t="n"/>
      <c r="X154" s="83" t="n"/>
      <c r="Y154" s="83" t="n"/>
      <c r="Z154" s="83" t="n"/>
      <c r="AA154" s="83" t="n"/>
      <c r="AB154" s="83" t="n"/>
      <c r="AC154" s="83" t="n"/>
      <c r="AD154" s="83" t="n"/>
      <c r="AE154" s="83" t="n"/>
      <c r="AF154" s="83" t="n"/>
      <c r="AG154" s="83" t="n"/>
      <c r="AH154" s="83" t="n"/>
      <c r="AI154" s="83" t="n"/>
      <c r="AJ154" s="83" t="n"/>
      <c r="AK154" s="83" t="n"/>
      <c r="AL154" s="83" t="n"/>
      <c r="AM154" s="83" t="n"/>
      <c r="AN154" s="83" t="n"/>
      <c r="AO154" s="83" t="n"/>
      <c r="AP154" s="83" t="n"/>
      <c r="AQ154" s="83" t="n"/>
      <c r="AR154" s="83" t="n"/>
      <c r="AS154" s="83" t="n"/>
      <c r="AT154" s="83" t="n"/>
      <c r="AU154" s="83" t="n"/>
      <c r="AV154" s="83" t="n"/>
      <c r="AW154" s="83" t="n"/>
      <c r="AX154" s="83" t="n"/>
      <c r="AY154" s="83" t="n"/>
      <c r="AZ154" s="83" t="n"/>
      <c r="BA154" s="83" t="n"/>
      <c r="BB154" s="83" t="n"/>
      <c r="BC154" s="83" t="n"/>
      <c r="BD154" s="83" t="n"/>
      <c r="BE154" s="83" t="n"/>
    </row>
    <row r="155" ht="18" customHeight="1">
      <c r="A155" s="55">
        <f>IFERROR(IF(INDEX('İş Planı'!$C$5:$C$204,ROW()-4)="","",INDEX('İş Planı'!$C$5:$C$204,ROW()-4)),"")</f>
        <v/>
      </c>
      <c r="B155" s="55">
        <f>IFERROR(IF(INDEX('İş Planı'!$B$5:$B$204,ROW()-4)="","",INDEX('İş Planı'!$B$5:$B$204,ROW()-4)),"")</f>
        <v/>
      </c>
      <c r="C155" s="72">
        <f>IFERROR(IF(INDEX('İş Planı'!$I$5:$I$204,ROW()-4)="","",INDEX('İş Planı'!$I$5:$I$204,ROW()-4)),"")</f>
        <v/>
      </c>
      <c r="D155" s="72">
        <f>IFERROR(IF(INDEX('İş Planı'!$M$5:$M$204,ROW()-4)="","",INDEX('İş Planı'!$M$5:$M$204,ROW()-4)),"")</f>
        <v/>
      </c>
      <c r="E155" s="71">
        <f>IFERROR(IF(INDEX('İş Planı'!$O$5:$O$204,ROW()-4)="","",INDEX('İş Planı'!$O$5:$O$204,ROW()-4)),"")</f>
        <v/>
      </c>
      <c r="F155" s="83" t="n"/>
      <c r="G155" s="83" t="n"/>
      <c r="H155" s="83" t="n"/>
      <c r="I155" s="83" t="n"/>
      <c r="J155" s="83" t="n"/>
      <c r="K155" s="83" t="n"/>
      <c r="L155" s="83" t="n"/>
      <c r="M155" s="83" t="n"/>
      <c r="N155" s="83" t="n"/>
      <c r="O155" s="83" t="n"/>
      <c r="P155" s="83" t="n"/>
      <c r="Q155" s="83" t="n"/>
      <c r="R155" s="83" t="n"/>
      <c r="S155" s="83" t="n"/>
      <c r="T155" s="83" t="n"/>
      <c r="U155" s="83" t="n"/>
      <c r="V155" s="83" t="n"/>
      <c r="W155" s="83" t="n"/>
      <c r="X155" s="83" t="n"/>
      <c r="Y155" s="83" t="n"/>
      <c r="Z155" s="83" t="n"/>
      <c r="AA155" s="83" t="n"/>
      <c r="AB155" s="83" t="n"/>
      <c r="AC155" s="83" t="n"/>
      <c r="AD155" s="83" t="n"/>
      <c r="AE155" s="83" t="n"/>
      <c r="AF155" s="83" t="n"/>
      <c r="AG155" s="83" t="n"/>
      <c r="AH155" s="83" t="n"/>
      <c r="AI155" s="83" t="n"/>
      <c r="AJ155" s="83" t="n"/>
      <c r="AK155" s="83" t="n"/>
      <c r="AL155" s="83" t="n"/>
      <c r="AM155" s="83" t="n"/>
      <c r="AN155" s="83" t="n"/>
      <c r="AO155" s="83" t="n"/>
      <c r="AP155" s="83" t="n"/>
      <c r="AQ155" s="83" t="n"/>
      <c r="AR155" s="83" t="n"/>
      <c r="AS155" s="83" t="n"/>
      <c r="AT155" s="83" t="n"/>
      <c r="AU155" s="83" t="n"/>
      <c r="AV155" s="83" t="n"/>
      <c r="AW155" s="83" t="n"/>
      <c r="AX155" s="83" t="n"/>
      <c r="AY155" s="83" t="n"/>
      <c r="AZ155" s="83" t="n"/>
      <c r="BA155" s="83" t="n"/>
      <c r="BB155" s="83" t="n"/>
      <c r="BC155" s="83" t="n"/>
      <c r="BD155" s="83" t="n"/>
      <c r="BE155" s="83" t="n"/>
    </row>
    <row r="156" ht="18" customHeight="1">
      <c r="A156" s="55">
        <f>IFERROR(IF(INDEX('İş Planı'!$C$5:$C$204,ROW()-4)="","",INDEX('İş Planı'!$C$5:$C$204,ROW()-4)),"")</f>
        <v/>
      </c>
      <c r="B156" s="55">
        <f>IFERROR(IF(INDEX('İş Planı'!$B$5:$B$204,ROW()-4)="","",INDEX('İş Planı'!$B$5:$B$204,ROW()-4)),"")</f>
        <v/>
      </c>
      <c r="C156" s="72">
        <f>IFERROR(IF(INDEX('İş Planı'!$I$5:$I$204,ROW()-4)="","",INDEX('İş Planı'!$I$5:$I$204,ROW()-4)),"")</f>
        <v/>
      </c>
      <c r="D156" s="72">
        <f>IFERROR(IF(INDEX('İş Planı'!$M$5:$M$204,ROW()-4)="","",INDEX('İş Planı'!$M$5:$M$204,ROW()-4)),"")</f>
        <v/>
      </c>
      <c r="E156" s="71">
        <f>IFERROR(IF(INDEX('İş Planı'!$O$5:$O$204,ROW()-4)="","",INDEX('İş Planı'!$O$5:$O$204,ROW()-4)),"")</f>
        <v/>
      </c>
      <c r="F156" s="83" t="n"/>
      <c r="G156" s="83" t="n"/>
      <c r="H156" s="83" t="n"/>
      <c r="I156" s="83" t="n"/>
      <c r="J156" s="83" t="n"/>
      <c r="K156" s="83" t="n"/>
      <c r="L156" s="83" t="n"/>
      <c r="M156" s="83" t="n"/>
      <c r="N156" s="83" t="n"/>
      <c r="O156" s="83" t="n"/>
      <c r="P156" s="83" t="n"/>
      <c r="Q156" s="83" t="n"/>
      <c r="R156" s="83" t="n"/>
      <c r="S156" s="83" t="n"/>
      <c r="T156" s="83" t="n"/>
      <c r="U156" s="83" t="n"/>
      <c r="V156" s="83" t="n"/>
      <c r="W156" s="83" t="n"/>
      <c r="X156" s="83" t="n"/>
      <c r="Y156" s="83" t="n"/>
      <c r="Z156" s="83" t="n"/>
      <c r="AA156" s="83" t="n"/>
      <c r="AB156" s="83" t="n"/>
      <c r="AC156" s="83" t="n"/>
      <c r="AD156" s="83" t="n"/>
      <c r="AE156" s="83" t="n"/>
      <c r="AF156" s="83" t="n"/>
      <c r="AG156" s="83" t="n"/>
      <c r="AH156" s="83" t="n"/>
      <c r="AI156" s="83" t="n"/>
      <c r="AJ156" s="83" t="n"/>
      <c r="AK156" s="83" t="n"/>
      <c r="AL156" s="83" t="n"/>
      <c r="AM156" s="83" t="n"/>
      <c r="AN156" s="83" t="n"/>
      <c r="AO156" s="83" t="n"/>
      <c r="AP156" s="83" t="n"/>
      <c r="AQ156" s="83" t="n"/>
      <c r="AR156" s="83" t="n"/>
      <c r="AS156" s="83" t="n"/>
      <c r="AT156" s="83" t="n"/>
      <c r="AU156" s="83" t="n"/>
      <c r="AV156" s="83" t="n"/>
      <c r="AW156" s="83" t="n"/>
      <c r="AX156" s="83" t="n"/>
      <c r="AY156" s="83" t="n"/>
      <c r="AZ156" s="83" t="n"/>
      <c r="BA156" s="83" t="n"/>
      <c r="BB156" s="83" t="n"/>
      <c r="BC156" s="83" t="n"/>
      <c r="BD156" s="83" t="n"/>
      <c r="BE156" s="83" t="n"/>
    </row>
    <row r="157" ht="18" customHeight="1">
      <c r="A157" s="55">
        <f>IFERROR(IF(INDEX('İş Planı'!$C$5:$C$204,ROW()-4)="","",INDEX('İş Planı'!$C$5:$C$204,ROW()-4)),"")</f>
        <v/>
      </c>
      <c r="B157" s="55">
        <f>IFERROR(IF(INDEX('İş Planı'!$B$5:$B$204,ROW()-4)="","",INDEX('İş Planı'!$B$5:$B$204,ROW()-4)),"")</f>
        <v/>
      </c>
      <c r="C157" s="72">
        <f>IFERROR(IF(INDEX('İş Planı'!$I$5:$I$204,ROW()-4)="","",INDEX('İş Planı'!$I$5:$I$204,ROW()-4)),"")</f>
        <v/>
      </c>
      <c r="D157" s="72">
        <f>IFERROR(IF(INDEX('İş Planı'!$M$5:$M$204,ROW()-4)="","",INDEX('İş Planı'!$M$5:$M$204,ROW()-4)),"")</f>
        <v/>
      </c>
      <c r="E157" s="71">
        <f>IFERROR(IF(INDEX('İş Planı'!$O$5:$O$204,ROW()-4)="","",INDEX('İş Planı'!$O$5:$O$204,ROW()-4)),"")</f>
        <v/>
      </c>
      <c r="F157" s="83" t="n"/>
      <c r="G157" s="83" t="n"/>
      <c r="H157" s="83" t="n"/>
      <c r="I157" s="83" t="n"/>
      <c r="J157" s="83" t="n"/>
      <c r="K157" s="83" t="n"/>
      <c r="L157" s="83" t="n"/>
      <c r="M157" s="83" t="n"/>
      <c r="N157" s="83" t="n"/>
      <c r="O157" s="83" t="n"/>
      <c r="P157" s="83" t="n"/>
      <c r="Q157" s="83" t="n"/>
      <c r="R157" s="83" t="n"/>
      <c r="S157" s="83" t="n"/>
      <c r="T157" s="83" t="n"/>
      <c r="U157" s="83" t="n"/>
      <c r="V157" s="83" t="n"/>
      <c r="W157" s="83" t="n"/>
      <c r="X157" s="83" t="n"/>
      <c r="Y157" s="83" t="n"/>
      <c r="Z157" s="83" t="n"/>
      <c r="AA157" s="83" t="n"/>
      <c r="AB157" s="83" t="n"/>
      <c r="AC157" s="83" t="n"/>
      <c r="AD157" s="83" t="n"/>
      <c r="AE157" s="83" t="n"/>
      <c r="AF157" s="83" t="n"/>
      <c r="AG157" s="83" t="n"/>
      <c r="AH157" s="83" t="n"/>
      <c r="AI157" s="83" t="n"/>
      <c r="AJ157" s="83" t="n"/>
      <c r="AK157" s="83" t="n"/>
      <c r="AL157" s="83" t="n"/>
      <c r="AM157" s="83" t="n"/>
      <c r="AN157" s="83" t="n"/>
      <c r="AO157" s="83" t="n"/>
      <c r="AP157" s="83" t="n"/>
      <c r="AQ157" s="83" t="n"/>
      <c r="AR157" s="83" t="n"/>
      <c r="AS157" s="83" t="n"/>
      <c r="AT157" s="83" t="n"/>
      <c r="AU157" s="83" t="n"/>
      <c r="AV157" s="83" t="n"/>
      <c r="AW157" s="83" t="n"/>
      <c r="AX157" s="83" t="n"/>
      <c r="AY157" s="83" t="n"/>
      <c r="AZ157" s="83" t="n"/>
      <c r="BA157" s="83" t="n"/>
      <c r="BB157" s="83" t="n"/>
      <c r="BC157" s="83" t="n"/>
      <c r="BD157" s="83" t="n"/>
      <c r="BE157" s="83" t="n"/>
    </row>
    <row r="158" ht="18" customHeight="1">
      <c r="A158" s="55">
        <f>IFERROR(IF(INDEX('İş Planı'!$C$5:$C$204,ROW()-4)="","",INDEX('İş Planı'!$C$5:$C$204,ROW()-4)),"")</f>
        <v/>
      </c>
      <c r="B158" s="55">
        <f>IFERROR(IF(INDEX('İş Planı'!$B$5:$B$204,ROW()-4)="","",INDEX('İş Planı'!$B$5:$B$204,ROW()-4)),"")</f>
        <v/>
      </c>
      <c r="C158" s="72">
        <f>IFERROR(IF(INDEX('İş Planı'!$I$5:$I$204,ROW()-4)="","",INDEX('İş Planı'!$I$5:$I$204,ROW()-4)),"")</f>
        <v/>
      </c>
      <c r="D158" s="72">
        <f>IFERROR(IF(INDEX('İş Planı'!$M$5:$M$204,ROW()-4)="","",INDEX('İş Planı'!$M$5:$M$204,ROW()-4)),"")</f>
        <v/>
      </c>
      <c r="E158" s="71">
        <f>IFERROR(IF(INDEX('İş Planı'!$O$5:$O$204,ROW()-4)="","",INDEX('İş Planı'!$O$5:$O$204,ROW()-4)),"")</f>
        <v/>
      </c>
      <c r="F158" s="83" t="n"/>
      <c r="G158" s="83" t="n"/>
      <c r="H158" s="83" t="n"/>
      <c r="I158" s="83" t="n"/>
      <c r="J158" s="83" t="n"/>
      <c r="K158" s="83" t="n"/>
      <c r="L158" s="83" t="n"/>
      <c r="M158" s="83" t="n"/>
      <c r="N158" s="83" t="n"/>
      <c r="O158" s="83" t="n"/>
      <c r="P158" s="83" t="n"/>
      <c r="Q158" s="83" t="n"/>
      <c r="R158" s="83" t="n"/>
      <c r="S158" s="83" t="n"/>
      <c r="T158" s="83" t="n"/>
      <c r="U158" s="83" t="n"/>
      <c r="V158" s="83" t="n"/>
      <c r="W158" s="83" t="n"/>
      <c r="X158" s="83" t="n"/>
      <c r="Y158" s="83" t="n"/>
      <c r="Z158" s="83" t="n"/>
      <c r="AA158" s="83" t="n"/>
      <c r="AB158" s="83" t="n"/>
      <c r="AC158" s="83" t="n"/>
      <c r="AD158" s="83" t="n"/>
      <c r="AE158" s="83" t="n"/>
      <c r="AF158" s="83" t="n"/>
      <c r="AG158" s="83" t="n"/>
      <c r="AH158" s="83" t="n"/>
      <c r="AI158" s="83" t="n"/>
      <c r="AJ158" s="83" t="n"/>
      <c r="AK158" s="83" t="n"/>
      <c r="AL158" s="83" t="n"/>
      <c r="AM158" s="83" t="n"/>
      <c r="AN158" s="83" t="n"/>
      <c r="AO158" s="83" t="n"/>
      <c r="AP158" s="83" t="n"/>
      <c r="AQ158" s="83" t="n"/>
      <c r="AR158" s="83" t="n"/>
      <c r="AS158" s="83" t="n"/>
      <c r="AT158" s="83" t="n"/>
      <c r="AU158" s="83" t="n"/>
      <c r="AV158" s="83" t="n"/>
      <c r="AW158" s="83" t="n"/>
      <c r="AX158" s="83" t="n"/>
      <c r="AY158" s="83" t="n"/>
      <c r="AZ158" s="83" t="n"/>
      <c r="BA158" s="83" t="n"/>
      <c r="BB158" s="83" t="n"/>
      <c r="BC158" s="83" t="n"/>
      <c r="BD158" s="83" t="n"/>
      <c r="BE158" s="83" t="n"/>
    </row>
    <row r="159" ht="18" customHeight="1">
      <c r="A159" s="55">
        <f>IFERROR(IF(INDEX('İş Planı'!$C$5:$C$204,ROW()-4)="","",INDEX('İş Planı'!$C$5:$C$204,ROW()-4)),"")</f>
        <v/>
      </c>
      <c r="B159" s="55">
        <f>IFERROR(IF(INDEX('İş Planı'!$B$5:$B$204,ROW()-4)="","",INDEX('İş Planı'!$B$5:$B$204,ROW()-4)),"")</f>
        <v/>
      </c>
      <c r="C159" s="72">
        <f>IFERROR(IF(INDEX('İş Planı'!$I$5:$I$204,ROW()-4)="","",INDEX('İş Planı'!$I$5:$I$204,ROW()-4)),"")</f>
        <v/>
      </c>
      <c r="D159" s="72">
        <f>IFERROR(IF(INDEX('İş Planı'!$M$5:$M$204,ROW()-4)="","",INDEX('İş Planı'!$M$5:$M$204,ROW()-4)),"")</f>
        <v/>
      </c>
      <c r="E159" s="71">
        <f>IFERROR(IF(INDEX('İş Planı'!$O$5:$O$204,ROW()-4)="","",INDEX('İş Planı'!$O$5:$O$204,ROW()-4)),"")</f>
        <v/>
      </c>
      <c r="F159" s="83" t="n"/>
      <c r="G159" s="83" t="n"/>
      <c r="H159" s="83" t="n"/>
      <c r="I159" s="83" t="n"/>
      <c r="J159" s="83" t="n"/>
      <c r="K159" s="83" t="n"/>
      <c r="L159" s="83" t="n"/>
      <c r="M159" s="83" t="n"/>
      <c r="N159" s="83" t="n"/>
      <c r="O159" s="83" t="n"/>
      <c r="P159" s="83" t="n"/>
      <c r="Q159" s="83" t="n"/>
      <c r="R159" s="83" t="n"/>
      <c r="S159" s="83" t="n"/>
      <c r="T159" s="83" t="n"/>
      <c r="U159" s="83" t="n"/>
      <c r="V159" s="83" t="n"/>
      <c r="W159" s="83" t="n"/>
      <c r="X159" s="83" t="n"/>
      <c r="Y159" s="83" t="n"/>
      <c r="Z159" s="83" t="n"/>
      <c r="AA159" s="83" t="n"/>
      <c r="AB159" s="83" t="n"/>
      <c r="AC159" s="83" t="n"/>
      <c r="AD159" s="83" t="n"/>
      <c r="AE159" s="83" t="n"/>
      <c r="AF159" s="83" t="n"/>
      <c r="AG159" s="83" t="n"/>
      <c r="AH159" s="83" t="n"/>
      <c r="AI159" s="83" t="n"/>
      <c r="AJ159" s="83" t="n"/>
      <c r="AK159" s="83" t="n"/>
      <c r="AL159" s="83" t="n"/>
      <c r="AM159" s="83" t="n"/>
      <c r="AN159" s="83" t="n"/>
      <c r="AO159" s="83" t="n"/>
      <c r="AP159" s="83" t="n"/>
      <c r="AQ159" s="83" t="n"/>
      <c r="AR159" s="83" t="n"/>
      <c r="AS159" s="83" t="n"/>
      <c r="AT159" s="83" t="n"/>
      <c r="AU159" s="83" t="n"/>
      <c r="AV159" s="83" t="n"/>
      <c r="AW159" s="83" t="n"/>
      <c r="AX159" s="83" t="n"/>
      <c r="AY159" s="83" t="n"/>
      <c r="AZ159" s="83" t="n"/>
      <c r="BA159" s="83" t="n"/>
      <c r="BB159" s="83" t="n"/>
      <c r="BC159" s="83" t="n"/>
      <c r="BD159" s="83" t="n"/>
      <c r="BE159" s="83" t="n"/>
    </row>
    <row r="160" ht="18" customHeight="1">
      <c r="A160" s="55">
        <f>IFERROR(IF(INDEX('İş Planı'!$C$5:$C$204,ROW()-4)="","",INDEX('İş Planı'!$C$5:$C$204,ROW()-4)),"")</f>
        <v/>
      </c>
      <c r="B160" s="55">
        <f>IFERROR(IF(INDEX('İş Planı'!$B$5:$B$204,ROW()-4)="","",INDEX('İş Planı'!$B$5:$B$204,ROW()-4)),"")</f>
        <v/>
      </c>
      <c r="C160" s="72">
        <f>IFERROR(IF(INDEX('İş Planı'!$I$5:$I$204,ROW()-4)="","",INDEX('İş Planı'!$I$5:$I$204,ROW()-4)),"")</f>
        <v/>
      </c>
      <c r="D160" s="72">
        <f>IFERROR(IF(INDEX('İş Planı'!$M$5:$M$204,ROW()-4)="","",INDEX('İş Planı'!$M$5:$M$204,ROW()-4)),"")</f>
        <v/>
      </c>
      <c r="E160" s="71">
        <f>IFERROR(IF(INDEX('İş Planı'!$O$5:$O$204,ROW()-4)="","",INDEX('İş Planı'!$O$5:$O$204,ROW()-4)),"")</f>
        <v/>
      </c>
      <c r="F160" s="83" t="n"/>
      <c r="G160" s="83" t="n"/>
      <c r="H160" s="83" t="n"/>
      <c r="I160" s="83" t="n"/>
      <c r="J160" s="83" t="n"/>
      <c r="K160" s="83" t="n"/>
      <c r="L160" s="83" t="n"/>
      <c r="M160" s="83" t="n"/>
      <c r="N160" s="83" t="n"/>
      <c r="O160" s="83" t="n"/>
      <c r="P160" s="83" t="n"/>
      <c r="Q160" s="83" t="n"/>
      <c r="R160" s="83" t="n"/>
      <c r="S160" s="83" t="n"/>
      <c r="T160" s="83" t="n"/>
      <c r="U160" s="83" t="n"/>
      <c r="V160" s="83" t="n"/>
      <c r="W160" s="83" t="n"/>
      <c r="X160" s="83" t="n"/>
      <c r="Y160" s="83" t="n"/>
      <c r="Z160" s="83" t="n"/>
      <c r="AA160" s="83" t="n"/>
      <c r="AB160" s="83" t="n"/>
      <c r="AC160" s="83" t="n"/>
      <c r="AD160" s="83" t="n"/>
      <c r="AE160" s="83" t="n"/>
      <c r="AF160" s="83" t="n"/>
      <c r="AG160" s="83" t="n"/>
      <c r="AH160" s="83" t="n"/>
      <c r="AI160" s="83" t="n"/>
      <c r="AJ160" s="83" t="n"/>
      <c r="AK160" s="83" t="n"/>
      <c r="AL160" s="83" t="n"/>
      <c r="AM160" s="83" t="n"/>
      <c r="AN160" s="83" t="n"/>
      <c r="AO160" s="83" t="n"/>
      <c r="AP160" s="83" t="n"/>
      <c r="AQ160" s="83" t="n"/>
      <c r="AR160" s="83" t="n"/>
      <c r="AS160" s="83" t="n"/>
      <c r="AT160" s="83" t="n"/>
      <c r="AU160" s="83" t="n"/>
      <c r="AV160" s="83" t="n"/>
      <c r="AW160" s="83" t="n"/>
      <c r="AX160" s="83" t="n"/>
      <c r="AY160" s="83" t="n"/>
      <c r="AZ160" s="83" t="n"/>
      <c r="BA160" s="83" t="n"/>
      <c r="BB160" s="83" t="n"/>
      <c r="BC160" s="83" t="n"/>
      <c r="BD160" s="83" t="n"/>
      <c r="BE160" s="83" t="n"/>
    </row>
    <row r="161" ht="18" customHeight="1">
      <c r="A161" s="55">
        <f>IFERROR(IF(INDEX('İş Planı'!$C$5:$C$204,ROW()-4)="","",INDEX('İş Planı'!$C$5:$C$204,ROW()-4)),"")</f>
        <v/>
      </c>
      <c r="B161" s="55">
        <f>IFERROR(IF(INDEX('İş Planı'!$B$5:$B$204,ROW()-4)="","",INDEX('İş Planı'!$B$5:$B$204,ROW()-4)),"")</f>
        <v/>
      </c>
      <c r="C161" s="72">
        <f>IFERROR(IF(INDEX('İş Planı'!$I$5:$I$204,ROW()-4)="","",INDEX('İş Planı'!$I$5:$I$204,ROW()-4)),"")</f>
        <v/>
      </c>
      <c r="D161" s="72">
        <f>IFERROR(IF(INDEX('İş Planı'!$M$5:$M$204,ROW()-4)="","",INDEX('İş Planı'!$M$5:$M$204,ROW()-4)),"")</f>
        <v/>
      </c>
      <c r="E161" s="71">
        <f>IFERROR(IF(INDEX('İş Planı'!$O$5:$O$204,ROW()-4)="","",INDEX('İş Planı'!$O$5:$O$204,ROW()-4)),"")</f>
        <v/>
      </c>
      <c r="F161" s="83" t="n"/>
      <c r="G161" s="83" t="n"/>
      <c r="H161" s="83" t="n"/>
      <c r="I161" s="83" t="n"/>
      <c r="J161" s="83" t="n"/>
      <c r="K161" s="83" t="n"/>
      <c r="L161" s="83" t="n"/>
      <c r="M161" s="83" t="n"/>
      <c r="N161" s="83" t="n"/>
      <c r="O161" s="83" t="n"/>
      <c r="P161" s="83" t="n"/>
      <c r="Q161" s="83" t="n"/>
      <c r="R161" s="83" t="n"/>
      <c r="S161" s="83" t="n"/>
      <c r="T161" s="83" t="n"/>
      <c r="U161" s="83" t="n"/>
      <c r="V161" s="83" t="n"/>
      <c r="W161" s="83" t="n"/>
      <c r="X161" s="83" t="n"/>
      <c r="Y161" s="83" t="n"/>
      <c r="Z161" s="83" t="n"/>
      <c r="AA161" s="83" t="n"/>
      <c r="AB161" s="83" t="n"/>
      <c r="AC161" s="83" t="n"/>
      <c r="AD161" s="83" t="n"/>
      <c r="AE161" s="83" t="n"/>
      <c r="AF161" s="83" t="n"/>
      <c r="AG161" s="83" t="n"/>
      <c r="AH161" s="83" t="n"/>
      <c r="AI161" s="83" t="n"/>
      <c r="AJ161" s="83" t="n"/>
      <c r="AK161" s="83" t="n"/>
      <c r="AL161" s="83" t="n"/>
      <c r="AM161" s="83" t="n"/>
      <c r="AN161" s="83" t="n"/>
      <c r="AO161" s="83" t="n"/>
      <c r="AP161" s="83" t="n"/>
      <c r="AQ161" s="83" t="n"/>
      <c r="AR161" s="83" t="n"/>
      <c r="AS161" s="83" t="n"/>
      <c r="AT161" s="83" t="n"/>
      <c r="AU161" s="83" t="n"/>
      <c r="AV161" s="83" t="n"/>
      <c r="AW161" s="83" t="n"/>
      <c r="AX161" s="83" t="n"/>
      <c r="AY161" s="83" t="n"/>
      <c r="AZ161" s="83" t="n"/>
      <c r="BA161" s="83" t="n"/>
      <c r="BB161" s="83" t="n"/>
      <c r="BC161" s="83" t="n"/>
      <c r="BD161" s="83" t="n"/>
      <c r="BE161" s="83" t="n"/>
    </row>
    <row r="162" ht="18" customHeight="1">
      <c r="A162" s="55">
        <f>IFERROR(IF(INDEX('İş Planı'!$C$5:$C$204,ROW()-4)="","",INDEX('İş Planı'!$C$5:$C$204,ROW()-4)),"")</f>
        <v/>
      </c>
      <c r="B162" s="55">
        <f>IFERROR(IF(INDEX('İş Planı'!$B$5:$B$204,ROW()-4)="","",INDEX('İş Planı'!$B$5:$B$204,ROW()-4)),"")</f>
        <v/>
      </c>
      <c r="C162" s="72">
        <f>IFERROR(IF(INDEX('İş Planı'!$I$5:$I$204,ROW()-4)="","",INDEX('İş Planı'!$I$5:$I$204,ROW()-4)),"")</f>
        <v/>
      </c>
      <c r="D162" s="72">
        <f>IFERROR(IF(INDEX('İş Planı'!$M$5:$M$204,ROW()-4)="","",INDEX('İş Planı'!$M$5:$M$204,ROW()-4)),"")</f>
        <v/>
      </c>
      <c r="E162" s="71">
        <f>IFERROR(IF(INDEX('İş Planı'!$O$5:$O$204,ROW()-4)="","",INDEX('İş Planı'!$O$5:$O$204,ROW()-4)),"")</f>
        <v/>
      </c>
      <c r="F162" s="83" t="n"/>
      <c r="G162" s="83" t="n"/>
      <c r="H162" s="83" t="n"/>
      <c r="I162" s="83" t="n"/>
      <c r="J162" s="83" t="n"/>
      <c r="K162" s="83" t="n"/>
      <c r="L162" s="83" t="n"/>
      <c r="M162" s="83" t="n"/>
      <c r="N162" s="83" t="n"/>
      <c r="O162" s="83" t="n"/>
      <c r="P162" s="83" t="n"/>
      <c r="Q162" s="83" t="n"/>
      <c r="R162" s="83" t="n"/>
      <c r="S162" s="83" t="n"/>
      <c r="T162" s="83" t="n"/>
      <c r="U162" s="83" t="n"/>
      <c r="V162" s="83" t="n"/>
      <c r="W162" s="83" t="n"/>
      <c r="X162" s="83" t="n"/>
      <c r="Y162" s="83" t="n"/>
      <c r="Z162" s="83" t="n"/>
      <c r="AA162" s="83" t="n"/>
      <c r="AB162" s="83" t="n"/>
      <c r="AC162" s="83" t="n"/>
      <c r="AD162" s="83" t="n"/>
      <c r="AE162" s="83" t="n"/>
      <c r="AF162" s="83" t="n"/>
      <c r="AG162" s="83" t="n"/>
      <c r="AH162" s="83" t="n"/>
      <c r="AI162" s="83" t="n"/>
      <c r="AJ162" s="83" t="n"/>
      <c r="AK162" s="83" t="n"/>
      <c r="AL162" s="83" t="n"/>
      <c r="AM162" s="83" t="n"/>
      <c r="AN162" s="83" t="n"/>
      <c r="AO162" s="83" t="n"/>
      <c r="AP162" s="83" t="n"/>
      <c r="AQ162" s="83" t="n"/>
      <c r="AR162" s="83" t="n"/>
      <c r="AS162" s="83" t="n"/>
      <c r="AT162" s="83" t="n"/>
      <c r="AU162" s="83" t="n"/>
      <c r="AV162" s="83" t="n"/>
      <c r="AW162" s="83" t="n"/>
      <c r="AX162" s="83" t="n"/>
      <c r="AY162" s="83" t="n"/>
      <c r="AZ162" s="83" t="n"/>
      <c r="BA162" s="83" t="n"/>
      <c r="BB162" s="83" t="n"/>
      <c r="BC162" s="83" t="n"/>
      <c r="BD162" s="83" t="n"/>
      <c r="BE162" s="83" t="n"/>
    </row>
    <row r="163" ht="18" customHeight="1">
      <c r="A163" s="55">
        <f>IFERROR(IF(INDEX('İş Planı'!$C$5:$C$204,ROW()-4)="","",INDEX('İş Planı'!$C$5:$C$204,ROW()-4)),"")</f>
        <v/>
      </c>
      <c r="B163" s="55">
        <f>IFERROR(IF(INDEX('İş Planı'!$B$5:$B$204,ROW()-4)="","",INDEX('İş Planı'!$B$5:$B$204,ROW()-4)),"")</f>
        <v/>
      </c>
      <c r="C163" s="72">
        <f>IFERROR(IF(INDEX('İş Planı'!$I$5:$I$204,ROW()-4)="","",INDEX('İş Planı'!$I$5:$I$204,ROW()-4)),"")</f>
        <v/>
      </c>
      <c r="D163" s="72">
        <f>IFERROR(IF(INDEX('İş Planı'!$M$5:$M$204,ROW()-4)="","",INDEX('İş Planı'!$M$5:$M$204,ROW()-4)),"")</f>
        <v/>
      </c>
      <c r="E163" s="71">
        <f>IFERROR(IF(INDEX('İş Planı'!$O$5:$O$204,ROW()-4)="","",INDEX('İş Planı'!$O$5:$O$204,ROW()-4)),"")</f>
        <v/>
      </c>
      <c r="F163" s="83" t="n"/>
      <c r="G163" s="83" t="n"/>
      <c r="H163" s="83" t="n"/>
      <c r="I163" s="83" t="n"/>
      <c r="J163" s="83" t="n"/>
      <c r="K163" s="83" t="n"/>
      <c r="L163" s="83" t="n"/>
      <c r="M163" s="83" t="n"/>
      <c r="N163" s="83" t="n"/>
      <c r="O163" s="83" t="n"/>
      <c r="P163" s="83" t="n"/>
      <c r="Q163" s="83" t="n"/>
      <c r="R163" s="83" t="n"/>
      <c r="S163" s="83" t="n"/>
      <c r="T163" s="83" t="n"/>
      <c r="U163" s="83" t="n"/>
      <c r="V163" s="83" t="n"/>
      <c r="W163" s="83" t="n"/>
      <c r="X163" s="83" t="n"/>
      <c r="Y163" s="83" t="n"/>
      <c r="Z163" s="83" t="n"/>
      <c r="AA163" s="83" t="n"/>
      <c r="AB163" s="83" t="n"/>
      <c r="AC163" s="83" t="n"/>
      <c r="AD163" s="83" t="n"/>
      <c r="AE163" s="83" t="n"/>
      <c r="AF163" s="83" t="n"/>
      <c r="AG163" s="83" t="n"/>
      <c r="AH163" s="83" t="n"/>
      <c r="AI163" s="83" t="n"/>
      <c r="AJ163" s="83" t="n"/>
      <c r="AK163" s="83" t="n"/>
      <c r="AL163" s="83" t="n"/>
      <c r="AM163" s="83" t="n"/>
      <c r="AN163" s="83" t="n"/>
      <c r="AO163" s="83" t="n"/>
      <c r="AP163" s="83" t="n"/>
      <c r="AQ163" s="83" t="n"/>
      <c r="AR163" s="83" t="n"/>
      <c r="AS163" s="83" t="n"/>
      <c r="AT163" s="83" t="n"/>
      <c r="AU163" s="83" t="n"/>
      <c r="AV163" s="83" t="n"/>
      <c r="AW163" s="83" t="n"/>
      <c r="AX163" s="83" t="n"/>
      <c r="AY163" s="83" t="n"/>
      <c r="AZ163" s="83" t="n"/>
      <c r="BA163" s="83" t="n"/>
      <c r="BB163" s="83" t="n"/>
      <c r="BC163" s="83" t="n"/>
      <c r="BD163" s="83" t="n"/>
      <c r="BE163" s="83" t="n"/>
    </row>
    <row r="164" ht="18" customHeight="1">
      <c r="A164" s="55">
        <f>IFERROR(IF(INDEX('İş Planı'!$C$5:$C$204,ROW()-4)="","",INDEX('İş Planı'!$C$5:$C$204,ROW()-4)),"")</f>
        <v/>
      </c>
      <c r="B164" s="55">
        <f>IFERROR(IF(INDEX('İş Planı'!$B$5:$B$204,ROW()-4)="","",INDEX('İş Planı'!$B$5:$B$204,ROW()-4)),"")</f>
        <v/>
      </c>
      <c r="C164" s="72">
        <f>IFERROR(IF(INDEX('İş Planı'!$I$5:$I$204,ROW()-4)="","",INDEX('İş Planı'!$I$5:$I$204,ROW()-4)),"")</f>
        <v/>
      </c>
      <c r="D164" s="72">
        <f>IFERROR(IF(INDEX('İş Planı'!$M$5:$M$204,ROW()-4)="","",INDEX('İş Planı'!$M$5:$M$204,ROW()-4)),"")</f>
        <v/>
      </c>
      <c r="E164" s="71">
        <f>IFERROR(IF(INDEX('İş Planı'!$O$5:$O$204,ROW()-4)="","",INDEX('İş Planı'!$O$5:$O$204,ROW()-4)),"")</f>
        <v/>
      </c>
      <c r="F164" s="83" t="n"/>
      <c r="G164" s="83" t="n"/>
      <c r="H164" s="83" t="n"/>
      <c r="I164" s="83" t="n"/>
      <c r="J164" s="83" t="n"/>
      <c r="K164" s="83" t="n"/>
      <c r="L164" s="83" t="n"/>
      <c r="M164" s="83" t="n"/>
      <c r="N164" s="83" t="n"/>
      <c r="O164" s="83" t="n"/>
      <c r="P164" s="83" t="n"/>
      <c r="Q164" s="83" t="n"/>
      <c r="R164" s="83" t="n"/>
      <c r="S164" s="83" t="n"/>
      <c r="T164" s="83" t="n"/>
      <c r="U164" s="83" t="n"/>
      <c r="V164" s="83" t="n"/>
      <c r="W164" s="83" t="n"/>
      <c r="X164" s="83" t="n"/>
      <c r="Y164" s="83" t="n"/>
      <c r="Z164" s="83" t="n"/>
      <c r="AA164" s="83" t="n"/>
      <c r="AB164" s="83" t="n"/>
      <c r="AC164" s="83" t="n"/>
      <c r="AD164" s="83" t="n"/>
      <c r="AE164" s="83" t="n"/>
      <c r="AF164" s="83" t="n"/>
      <c r="AG164" s="83" t="n"/>
      <c r="AH164" s="83" t="n"/>
      <c r="AI164" s="83" t="n"/>
      <c r="AJ164" s="83" t="n"/>
      <c r="AK164" s="83" t="n"/>
      <c r="AL164" s="83" t="n"/>
      <c r="AM164" s="83" t="n"/>
      <c r="AN164" s="83" t="n"/>
      <c r="AO164" s="83" t="n"/>
      <c r="AP164" s="83" t="n"/>
      <c r="AQ164" s="83" t="n"/>
      <c r="AR164" s="83" t="n"/>
      <c r="AS164" s="83" t="n"/>
      <c r="AT164" s="83" t="n"/>
      <c r="AU164" s="83" t="n"/>
      <c r="AV164" s="83" t="n"/>
      <c r="AW164" s="83" t="n"/>
      <c r="AX164" s="83" t="n"/>
      <c r="AY164" s="83" t="n"/>
      <c r="AZ164" s="83" t="n"/>
      <c r="BA164" s="83" t="n"/>
      <c r="BB164" s="83" t="n"/>
      <c r="BC164" s="83" t="n"/>
      <c r="BD164" s="83" t="n"/>
      <c r="BE164" s="83" t="n"/>
    </row>
    <row r="165" ht="18" customHeight="1">
      <c r="A165" s="55">
        <f>IFERROR(IF(INDEX('İş Planı'!$C$5:$C$204,ROW()-4)="","",INDEX('İş Planı'!$C$5:$C$204,ROW()-4)),"")</f>
        <v/>
      </c>
      <c r="B165" s="55">
        <f>IFERROR(IF(INDEX('İş Planı'!$B$5:$B$204,ROW()-4)="","",INDEX('İş Planı'!$B$5:$B$204,ROW()-4)),"")</f>
        <v/>
      </c>
      <c r="C165" s="72">
        <f>IFERROR(IF(INDEX('İş Planı'!$I$5:$I$204,ROW()-4)="","",INDEX('İş Planı'!$I$5:$I$204,ROW()-4)),"")</f>
        <v/>
      </c>
      <c r="D165" s="72">
        <f>IFERROR(IF(INDEX('İş Planı'!$M$5:$M$204,ROW()-4)="","",INDEX('İş Planı'!$M$5:$M$204,ROW()-4)),"")</f>
        <v/>
      </c>
      <c r="E165" s="71">
        <f>IFERROR(IF(INDEX('İş Planı'!$O$5:$O$204,ROW()-4)="","",INDEX('İş Planı'!$O$5:$O$204,ROW()-4)),"")</f>
        <v/>
      </c>
      <c r="F165" s="83" t="n"/>
      <c r="G165" s="83" t="n"/>
      <c r="H165" s="83" t="n"/>
      <c r="I165" s="83" t="n"/>
      <c r="J165" s="83" t="n"/>
      <c r="K165" s="83" t="n"/>
      <c r="L165" s="83" t="n"/>
      <c r="M165" s="83" t="n"/>
      <c r="N165" s="83" t="n"/>
      <c r="O165" s="83" t="n"/>
      <c r="P165" s="83" t="n"/>
      <c r="Q165" s="83" t="n"/>
      <c r="R165" s="83" t="n"/>
      <c r="S165" s="83" t="n"/>
      <c r="T165" s="83" t="n"/>
      <c r="U165" s="83" t="n"/>
      <c r="V165" s="83" t="n"/>
      <c r="W165" s="83" t="n"/>
      <c r="X165" s="83" t="n"/>
      <c r="Y165" s="83" t="n"/>
      <c r="Z165" s="83" t="n"/>
      <c r="AA165" s="83" t="n"/>
      <c r="AB165" s="83" t="n"/>
      <c r="AC165" s="83" t="n"/>
      <c r="AD165" s="83" t="n"/>
      <c r="AE165" s="83" t="n"/>
      <c r="AF165" s="83" t="n"/>
      <c r="AG165" s="83" t="n"/>
      <c r="AH165" s="83" t="n"/>
      <c r="AI165" s="83" t="n"/>
      <c r="AJ165" s="83" t="n"/>
      <c r="AK165" s="83" t="n"/>
      <c r="AL165" s="83" t="n"/>
      <c r="AM165" s="83" t="n"/>
      <c r="AN165" s="83" t="n"/>
      <c r="AO165" s="83" t="n"/>
      <c r="AP165" s="83" t="n"/>
      <c r="AQ165" s="83" t="n"/>
      <c r="AR165" s="83" t="n"/>
      <c r="AS165" s="83" t="n"/>
      <c r="AT165" s="83" t="n"/>
      <c r="AU165" s="83" t="n"/>
      <c r="AV165" s="83" t="n"/>
      <c r="AW165" s="83" t="n"/>
      <c r="AX165" s="83" t="n"/>
      <c r="AY165" s="83" t="n"/>
      <c r="AZ165" s="83" t="n"/>
      <c r="BA165" s="83" t="n"/>
      <c r="BB165" s="83" t="n"/>
      <c r="BC165" s="83" t="n"/>
      <c r="BD165" s="83" t="n"/>
      <c r="BE165" s="83" t="n"/>
    </row>
    <row r="166" ht="18" customHeight="1">
      <c r="A166" s="55">
        <f>IFERROR(IF(INDEX('İş Planı'!$C$5:$C$204,ROW()-4)="","",INDEX('İş Planı'!$C$5:$C$204,ROW()-4)),"")</f>
        <v/>
      </c>
      <c r="B166" s="55">
        <f>IFERROR(IF(INDEX('İş Planı'!$B$5:$B$204,ROW()-4)="","",INDEX('İş Planı'!$B$5:$B$204,ROW()-4)),"")</f>
        <v/>
      </c>
      <c r="C166" s="72">
        <f>IFERROR(IF(INDEX('İş Planı'!$I$5:$I$204,ROW()-4)="","",INDEX('İş Planı'!$I$5:$I$204,ROW()-4)),"")</f>
        <v/>
      </c>
      <c r="D166" s="72">
        <f>IFERROR(IF(INDEX('İş Planı'!$M$5:$M$204,ROW()-4)="","",INDEX('İş Planı'!$M$5:$M$204,ROW()-4)),"")</f>
        <v/>
      </c>
      <c r="E166" s="71">
        <f>IFERROR(IF(INDEX('İş Planı'!$O$5:$O$204,ROW()-4)="","",INDEX('İş Planı'!$O$5:$O$204,ROW()-4)),"")</f>
        <v/>
      </c>
      <c r="F166" s="83" t="n"/>
      <c r="G166" s="83" t="n"/>
      <c r="H166" s="83" t="n"/>
      <c r="I166" s="83" t="n"/>
      <c r="J166" s="83" t="n"/>
      <c r="K166" s="83" t="n"/>
      <c r="L166" s="83" t="n"/>
      <c r="M166" s="83" t="n"/>
      <c r="N166" s="83" t="n"/>
      <c r="O166" s="83" t="n"/>
      <c r="P166" s="83" t="n"/>
      <c r="Q166" s="83" t="n"/>
      <c r="R166" s="83" t="n"/>
      <c r="S166" s="83" t="n"/>
      <c r="T166" s="83" t="n"/>
      <c r="U166" s="83" t="n"/>
      <c r="V166" s="83" t="n"/>
      <c r="W166" s="83" t="n"/>
      <c r="X166" s="83" t="n"/>
      <c r="Y166" s="83" t="n"/>
      <c r="Z166" s="83" t="n"/>
      <c r="AA166" s="83" t="n"/>
      <c r="AB166" s="83" t="n"/>
      <c r="AC166" s="83" t="n"/>
      <c r="AD166" s="83" t="n"/>
      <c r="AE166" s="83" t="n"/>
      <c r="AF166" s="83" t="n"/>
      <c r="AG166" s="83" t="n"/>
      <c r="AH166" s="83" t="n"/>
      <c r="AI166" s="83" t="n"/>
      <c r="AJ166" s="83" t="n"/>
      <c r="AK166" s="83" t="n"/>
      <c r="AL166" s="83" t="n"/>
      <c r="AM166" s="83" t="n"/>
      <c r="AN166" s="83" t="n"/>
      <c r="AO166" s="83" t="n"/>
      <c r="AP166" s="83" t="n"/>
      <c r="AQ166" s="83" t="n"/>
      <c r="AR166" s="83" t="n"/>
      <c r="AS166" s="83" t="n"/>
      <c r="AT166" s="83" t="n"/>
      <c r="AU166" s="83" t="n"/>
      <c r="AV166" s="83" t="n"/>
      <c r="AW166" s="83" t="n"/>
      <c r="AX166" s="83" t="n"/>
      <c r="AY166" s="83" t="n"/>
      <c r="AZ166" s="83" t="n"/>
      <c r="BA166" s="83" t="n"/>
      <c r="BB166" s="83" t="n"/>
      <c r="BC166" s="83" t="n"/>
      <c r="BD166" s="83" t="n"/>
      <c r="BE166" s="83" t="n"/>
    </row>
    <row r="167" ht="18" customHeight="1">
      <c r="A167" s="55">
        <f>IFERROR(IF(INDEX('İş Planı'!$C$5:$C$204,ROW()-4)="","",INDEX('İş Planı'!$C$5:$C$204,ROW()-4)),"")</f>
        <v/>
      </c>
      <c r="B167" s="55">
        <f>IFERROR(IF(INDEX('İş Planı'!$B$5:$B$204,ROW()-4)="","",INDEX('İş Planı'!$B$5:$B$204,ROW()-4)),"")</f>
        <v/>
      </c>
      <c r="C167" s="72">
        <f>IFERROR(IF(INDEX('İş Planı'!$I$5:$I$204,ROW()-4)="","",INDEX('İş Planı'!$I$5:$I$204,ROW()-4)),"")</f>
        <v/>
      </c>
      <c r="D167" s="72">
        <f>IFERROR(IF(INDEX('İş Planı'!$M$5:$M$204,ROW()-4)="","",INDEX('İş Planı'!$M$5:$M$204,ROW()-4)),"")</f>
        <v/>
      </c>
      <c r="E167" s="71">
        <f>IFERROR(IF(INDEX('İş Planı'!$O$5:$O$204,ROW()-4)="","",INDEX('İş Planı'!$O$5:$O$204,ROW()-4)),"")</f>
        <v/>
      </c>
      <c r="F167" s="83" t="n"/>
      <c r="G167" s="83" t="n"/>
      <c r="H167" s="83" t="n"/>
      <c r="I167" s="83" t="n"/>
      <c r="J167" s="83" t="n"/>
      <c r="K167" s="83" t="n"/>
      <c r="L167" s="83" t="n"/>
      <c r="M167" s="83" t="n"/>
      <c r="N167" s="83" t="n"/>
      <c r="O167" s="83" t="n"/>
      <c r="P167" s="83" t="n"/>
      <c r="Q167" s="83" t="n"/>
      <c r="R167" s="83" t="n"/>
      <c r="S167" s="83" t="n"/>
      <c r="T167" s="83" t="n"/>
      <c r="U167" s="83" t="n"/>
      <c r="V167" s="83" t="n"/>
      <c r="W167" s="83" t="n"/>
      <c r="X167" s="83" t="n"/>
      <c r="Y167" s="83" t="n"/>
      <c r="Z167" s="83" t="n"/>
      <c r="AA167" s="83" t="n"/>
      <c r="AB167" s="83" t="n"/>
      <c r="AC167" s="83" t="n"/>
      <c r="AD167" s="83" t="n"/>
      <c r="AE167" s="83" t="n"/>
      <c r="AF167" s="83" t="n"/>
      <c r="AG167" s="83" t="n"/>
      <c r="AH167" s="83" t="n"/>
      <c r="AI167" s="83" t="n"/>
      <c r="AJ167" s="83" t="n"/>
      <c r="AK167" s="83" t="n"/>
      <c r="AL167" s="83" t="n"/>
      <c r="AM167" s="83" t="n"/>
      <c r="AN167" s="83" t="n"/>
      <c r="AO167" s="83" t="n"/>
      <c r="AP167" s="83" t="n"/>
      <c r="AQ167" s="83" t="n"/>
      <c r="AR167" s="83" t="n"/>
      <c r="AS167" s="83" t="n"/>
      <c r="AT167" s="83" t="n"/>
      <c r="AU167" s="83" t="n"/>
      <c r="AV167" s="83" t="n"/>
      <c r="AW167" s="83" t="n"/>
      <c r="AX167" s="83" t="n"/>
      <c r="AY167" s="83" t="n"/>
      <c r="AZ167" s="83" t="n"/>
      <c r="BA167" s="83" t="n"/>
      <c r="BB167" s="83" t="n"/>
      <c r="BC167" s="83" t="n"/>
      <c r="BD167" s="83" t="n"/>
      <c r="BE167" s="83" t="n"/>
    </row>
    <row r="168" ht="18" customHeight="1">
      <c r="A168" s="55">
        <f>IFERROR(IF(INDEX('İş Planı'!$C$5:$C$204,ROW()-4)="","",INDEX('İş Planı'!$C$5:$C$204,ROW()-4)),"")</f>
        <v/>
      </c>
      <c r="B168" s="55">
        <f>IFERROR(IF(INDEX('İş Planı'!$B$5:$B$204,ROW()-4)="","",INDEX('İş Planı'!$B$5:$B$204,ROW()-4)),"")</f>
        <v/>
      </c>
      <c r="C168" s="72">
        <f>IFERROR(IF(INDEX('İş Planı'!$I$5:$I$204,ROW()-4)="","",INDEX('İş Planı'!$I$5:$I$204,ROW()-4)),"")</f>
        <v/>
      </c>
      <c r="D168" s="72">
        <f>IFERROR(IF(INDEX('İş Planı'!$M$5:$M$204,ROW()-4)="","",INDEX('İş Planı'!$M$5:$M$204,ROW()-4)),"")</f>
        <v/>
      </c>
      <c r="E168" s="71">
        <f>IFERROR(IF(INDEX('İş Planı'!$O$5:$O$204,ROW()-4)="","",INDEX('İş Planı'!$O$5:$O$204,ROW()-4)),"")</f>
        <v/>
      </c>
      <c r="F168" s="83" t="n"/>
      <c r="G168" s="83" t="n"/>
      <c r="H168" s="83" t="n"/>
      <c r="I168" s="83" t="n"/>
      <c r="J168" s="83" t="n"/>
      <c r="K168" s="83" t="n"/>
      <c r="L168" s="83" t="n"/>
      <c r="M168" s="83" t="n"/>
      <c r="N168" s="83" t="n"/>
      <c r="O168" s="83" t="n"/>
      <c r="P168" s="83" t="n"/>
      <c r="Q168" s="83" t="n"/>
      <c r="R168" s="83" t="n"/>
      <c r="S168" s="83" t="n"/>
      <c r="T168" s="83" t="n"/>
      <c r="U168" s="83" t="n"/>
      <c r="V168" s="83" t="n"/>
      <c r="W168" s="83" t="n"/>
      <c r="X168" s="83" t="n"/>
      <c r="Y168" s="83" t="n"/>
      <c r="Z168" s="83" t="n"/>
      <c r="AA168" s="83" t="n"/>
      <c r="AB168" s="83" t="n"/>
      <c r="AC168" s="83" t="n"/>
      <c r="AD168" s="83" t="n"/>
      <c r="AE168" s="83" t="n"/>
      <c r="AF168" s="83" t="n"/>
      <c r="AG168" s="83" t="n"/>
      <c r="AH168" s="83" t="n"/>
      <c r="AI168" s="83" t="n"/>
      <c r="AJ168" s="83" t="n"/>
      <c r="AK168" s="83" t="n"/>
      <c r="AL168" s="83" t="n"/>
      <c r="AM168" s="83" t="n"/>
      <c r="AN168" s="83" t="n"/>
      <c r="AO168" s="83" t="n"/>
      <c r="AP168" s="83" t="n"/>
      <c r="AQ168" s="83" t="n"/>
      <c r="AR168" s="83" t="n"/>
      <c r="AS168" s="83" t="n"/>
      <c r="AT168" s="83" t="n"/>
      <c r="AU168" s="83" t="n"/>
      <c r="AV168" s="83" t="n"/>
      <c r="AW168" s="83" t="n"/>
      <c r="AX168" s="83" t="n"/>
      <c r="AY168" s="83" t="n"/>
      <c r="AZ168" s="83" t="n"/>
      <c r="BA168" s="83" t="n"/>
      <c r="BB168" s="83" t="n"/>
      <c r="BC168" s="83" t="n"/>
      <c r="BD168" s="83" t="n"/>
      <c r="BE168" s="83" t="n"/>
    </row>
    <row r="169" ht="18" customHeight="1">
      <c r="A169" s="55">
        <f>IFERROR(IF(INDEX('İş Planı'!$C$5:$C$204,ROW()-4)="","",INDEX('İş Planı'!$C$5:$C$204,ROW()-4)),"")</f>
        <v/>
      </c>
      <c r="B169" s="55">
        <f>IFERROR(IF(INDEX('İş Planı'!$B$5:$B$204,ROW()-4)="","",INDEX('İş Planı'!$B$5:$B$204,ROW()-4)),"")</f>
        <v/>
      </c>
      <c r="C169" s="72">
        <f>IFERROR(IF(INDEX('İş Planı'!$I$5:$I$204,ROW()-4)="","",INDEX('İş Planı'!$I$5:$I$204,ROW()-4)),"")</f>
        <v/>
      </c>
      <c r="D169" s="72">
        <f>IFERROR(IF(INDEX('İş Planı'!$M$5:$M$204,ROW()-4)="","",INDEX('İş Planı'!$M$5:$M$204,ROW()-4)),"")</f>
        <v/>
      </c>
      <c r="E169" s="71">
        <f>IFERROR(IF(INDEX('İş Planı'!$O$5:$O$204,ROW()-4)="","",INDEX('İş Planı'!$O$5:$O$204,ROW()-4)),"")</f>
        <v/>
      </c>
      <c r="F169" s="83" t="n"/>
      <c r="G169" s="83" t="n"/>
      <c r="H169" s="83" t="n"/>
      <c r="I169" s="83" t="n"/>
      <c r="J169" s="83" t="n"/>
      <c r="K169" s="83" t="n"/>
      <c r="L169" s="83" t="n"/>
      <c r="M169" s="83" t="n"/>
      <c r="N169" s="83" t="n"/>
      <c r="O169" s="83" t="n"/>
      <c r="P169" s="83" t="n"/>
      <c r="Q169" s="83" t="n"/>
      <c r="R169" s="83" t="n"/>
      <c r="S169" s="83" t="n"/>
      <c r="T169" s="83" t="n"/>
      <c r="U169" s="83" t="n"/>
      <c r="V169" s="83" t="n"/>
      <c r="W169" s="83" t="n"/>
      <c r="X169" s="83" t="n"/>
      <c r="Y169" s="83" t="n"/>
      <c r="Z169" s="83" t="n"/>
      <c r="AA169" s="83" t="n"/>
      <c r="AB169" s="83" t="n"/>
      <c r="AC169" s="83" t="n"/>
      <c r="AD169" s="83" t="n"/>
      <c r="AE169" s="83" t="n"/>
      <c r="AF169" s="83" t="n"/>
      <c r="AG169" s="83" t="n"/>
      <c r="AH169" s="83" t="n"/>
      <c r="AI169" s="83" t="n"/>
      <c r="AJ169" s="83" t="n"/>
      <c r="AK169" s="83" t="n"/>
      <c r="AL169" s="83" t="n"/>
      <c r="AM169" s="83" t="n"/>
      <c r="AN169" s="83" t="n"/>
      <c r="AO169" s="83" t="n"/>
      <c r="AP169" s="83" t="n"/>
      <c r="AQ169" s="83" t="n"/>
      <c r="AR169" s="83" t="n"/>
      <c r="AS169" s="83" t="n"/>
      <c r="AT169" s="83" t="n"/>
      <c r="AU169" s="83" t="n"/>
      <c r="AV169" s="83" t="n"/>
      <c r="AW169" s="83" t="n"/>
      <c r="AX169" s="83" t="n"/>
      <c r="AY169" s="83" t="n"/>
      <c r="AZ169" s="83" t="n"/>
      <c r="BA169" s="83" t="n"/>
      <c r="BB169" s="83" t="n"/>
      <c r="BC169" s="83" t="n"/>
      <c r="BD169" s="83" t="n"/>
      <c r="BE169" s="83" t="n"/>
    </row>
    <row r="170" ht="18" customHeight="1">
      <c r="A170" s="55">
        <f>IFERROR(IF(INDEX('İş Planı'!$C$5:$C$204,ROW()-4)="","",INDEX('İş Planı'!$C$5:$C$204,ROW()-4)),"")</f>
        <v/>
      </c>
      <c r="B170" s="55">
        <f>IFERROR(IF(INDEX('İş Planı'!$B$5:$B$204,ROW()-4)="","",INDEX('İş Planı'!$B$5:$B$204,ROW()-4)),"")</f>
        <v/>
      </c>
      <c r="C170" s="72">
        <f>IFERROR(IF(INDEX('İş Planı'!$I$5:$I$204,ROW()-4)="","",INDEX('İş Planı'!$I$5:$I$204,ROW()-4)),"")</f>
        <v/>
      </c>
      <c r="D170" s="72">
        <f>IFERROR(IF(INDEX('İş Planı'!$M$5:$M$204,ROW()-4)="","",INDEX('İş Planı'!$M$5:$M$204,ROW()-4)),"")</f>
        <v/>
      </c>
      <c r="E170" s="71">
        <f>IFERROR(IF(INDEX('İş Planı'!$O$5:$O$204,ROW()-4)="","",INDEX('İş Planı'!$O$5:$O$204,ROW()-4)),"")</f>
        <v/>
      </c>
      <c r="F170" s="83" t="n"/>
      <c r="G170" s="83" t="n"/>
      <c r="H170" s="83" t="n"/>
      <c r="I170" s="83" t="n"/>
      <c r="J170" s="83" t="n"/>
      <c r="K170" s="83" t="n"/>
      <c r="L170" s="83" t="n"/>
      <c r="M170" s="83" t="n"/>
      <c r="N170" s="83" t="n"/>
      <c r="O170" s="83" t="n"/>
      <c r="P170" s="83" t="n"/>
      <c r="Q170" s="83" t="n"/>
      <c r="R170" s="83" t="n"/>
      <c r="S170" s="83" t="n"/>
      <c r="T170" s="83" t="n"/>
      <c r="U170" s="83" t="n"/>
      <c r="V170" s="83" t="n"/>
      <c r="W170" s="83" t="n"/>
      <c r="X170" s="83" t="n"/>
      <c r="Y170" s="83" t="n"/>
      <c r="Z170" s="83" t="n"/>
      <c r="AA170" s="83" t="n"/>
      <c r="AB170" s="83" t="n"/>
      <c r="AC170" s="83" t="n"/>
      <c r="AD170" s="83" t="n"/>
      <c r="AE170" s="83" t="n"/>
      <c r="AF170" s="83" t="n"/>
      <c r="AG170" s="83" t="n"/>
      <c r="AH170" s="83" t="n"/>
      <c r="AI170" s="83" t="n"/>
      <c r="AJ170" s="83" t="n"/>
      <c r="AK170" s="83" t="n"/>
      <c r="AL170" s="83" t="n"/>
      <c r="AM170" s="83" t="n"/>
      <c r="AN170" s="83" t="n"/>
      <c r="AO170" s="83" t="n"/>
      <c r="AP170" s="83" t="n"/>
      <c r="AQ170" s="83" t="n"/>
      <c r="AR170" s="83" t="n"/>
      <c r="AS170" s="83" t="n"/>
      <c r="AT170" s="83" t="n"/>
      <c r="AU170" s="83" t="n"/>
      <c r="AV170" s="83" t="n"/>
      <c r="AW170" s="83" t="n"/>
      <c r="AX170" s="83" t="n"/>
      <c r="AY170" s="83" t="n"/>
      <c r="AZ170" s="83" t="n"/>
      <c r="BA170" s="83" t="n"/>
      <c r="BB170" s="83" t="n"/>
      <c r="BC170" s="83" t="n"/>
      <c r="BD170" s="83" t="n"/>
      <c r="BE170" s="83" t="n"/>
    </row>
    <row r="171" ht="18" customHeight="1">
      <c r="A171" s="55">
        <f>IFERROR(IF(INDEX('İş Planı'!$C$5:$C$204,ROW()-4)="","",INDEX('İş Planı'!$C$5:$C$204,ROW()-4)),"")</f>
        <v/>
      </c>
      <c r="B171" s="55">
        <f>IFERROR(IF(INDEX('İş Planı'!$B$5:$B$204,ROW()-4)="","",INDEX('İş Planı'!$B$5:$B$204,ROW()-4)),"")</f>
        <v/>
      </c>
      <c r="C171" s="72">
        <f>IFERROR(IF(INDEX('İş Planı'!$I$5:$I$204,ROW()-4)="","",INDEX('İş Planı'!$I$5:$I$204,ROW()-4)),"")</f>
        <v/>
      </c>
      <c r="D171" s="72">
        <f>IFERROR(IF(INDEX('İş Planı'!$M$5:$M$204,ROW()-4)="","",INDEX('İş Planı'!$M$5:$M$204,ROW()-4)),"")</f>
        <v/>
      </c>
      <c r="E171" s="71">
        <f>IFERROR(IF(INDEX('İş Planı'!$O$5:$O$204,ROW()-4)="","",INDEX('İş Planı'!$O$5:$O$204,ROW()-4)),"")</f>
        <v/>
      </c>
      <c r="F171" s="83" t="n"/>
      <c r="G171" s="83" t="n"/>
      <c r="H171" s="83" t="n"/>
      <c r="I171" s="83" t="n"/>
      <c r="J171" s="83" t="n"/>
      <c r="K171" s="83" t="n"/>
      <c r="L171" s="83" t="n"/>
      <c r="M171" s="83" t="n"/>
      <c r="N171" s="83" t="n"/>
      <c r="O171" s="83" t="n"/>
      <c r="P171" s="83" t="n"/>
      <c r="Q171" s="83" t="n"/>
      <c r="R171" s="83" t="n"/>
      <c r="S171" s="83" t="n"/>
      <c r="T171" s="83" t="n"/>
      <c r="U171" s="83" t="n"/>
      <c r="V171" s="83" t="n"/>
      <c r="W171" s="83" t="n"/>
      <c r="X171" s="83" t="n"/>
      <c r="Y171" s="83" t="n"/>
      <c r="Z171" s="83" t="n"/>
      <c r="AA171" s="83" t="n"/>
      <c r="AB171" s="83" t="n"/>
      <c r="AC171" s="83" t="n"/>
      <c r="AD171" s="83" t="n"/>
      <c r="AE171" s="83" t="n"/>
      <c r="AF171" s="83" t="n"/>
      <c r="AG171" s="83" t="n"/>
      <c r="AH171" s="83" t="n"/>
      <c r="AI171" s="83" t="n"/>
      <c r="AJ171" s="83" t="n"/>
      <c r="AK171" s="83" t="n"/>
      <c r="AL171" s="83" t="n"/>
      <c r="AM171" s="83" t="n"/>
      <c r="AN171" s="83" t="n"/>
      <c r="AO171" s="83" t="n"/>
      <c r="AP171" s="83" t="n"/>
      <c r="AQ171" s="83" t="n"/>
      <c r="AR171" s="83" t="n"/>
      <c r="AS171" s="83" t="n"/>
      <c r="AT171" s="83" t="n"/>
      <c r="AU171" s="83" t="n"/>
      <c r="AV171" s="83" t="n"/>
      <c r="AW171" s="83" t="n"/>
      <c r="AX171" s="83" t="n"/>
      <c r="AY171" s="83" t="n"/>
      <c r="AZ171" s="83" t="n"/>
      <c r="BA171" s="83" t="n"/>
      <c r="BB171" s="83" t="n"/>
      <c r="BC171" s="83" t="n"/>
      <c r="BD171" s="83" t="n"/>
      <c r="BE171" s="83" t="n"/>
    </row>
    <row r="172" ht="18" customHeight="1">
      <c r="A172" s="55">
        <f>IFERROR(IF(INDEX('İş Planı'!$C$5:$C$204,ROW()-4)="","",INDEX('İş Planı'!$C$5:$C$204,ROW()-4)),"")</f>
        <v/>
      </c>
      <c r="B172" s="55">
        <f>IFERROR(IF(INDEX('İş Planı'!$B$5:$B$204,ROW()-4)="","",INDEX('İş Planı'!$B$5:$B$204,ROW()-4)),"")</f>
        <v/>
      </c>
      <c r="C172" s="72">
        <f>IFERROR(IF(INDEX('İş Planı'!$I$5:$I$204,ROW()-4)="","",INDEX('İş Planı'!$I$5:$I$204,ROW()-4)),"")</f>
        <v/>
      </c>
      <c r="D172" s="72">
        <f>IFERROR(IF(INDEX('İş Planı'!$M$5:$M$204,ROW()-4)="","",INDEX('İş Planı'!$M$5:$M$204,ROW()-4)),"")</f>
        <v/>
      </c>
      <c r="E172" s="71">
        <f>IFERROR(IF(INDEX('İş Planı'!$O$5:$O$204,ROW()-4)="","",INDEX('İş Planı'!$O$5:$O$204,ROW()-4)),"")</f>
        <v/>
      </c>
      <c r="F172" s="83" t="n"/>
      <c r="G172" s="83" t="n"/>
      <c r="H172" s="83" t="n"/>
      <c r="I172" s="83" t="n"/>
      <c r="J172" s="83" t="n"/>
      <c r="K172" s="83" t="n"/>
      <c r="L172" s="83" t="n"/>
      <c r="M172" s="83" t="n"/>
      <c r="N172" s="83" t="n"/>
      <c r="O172" s="83" t="n"/>
      <c r="P172" s="83" t="n"/>
      <c r="Q172" s="83" t="n"/>
      <c r="R172" s="83" t="n"/>
      <c r="S172" s="83" t="n"/>
      <c r="T172" s="83" t="n"/>
      <c r="U172" s="83" t="n"/>
      <c r="V172" s="83" t="n"/>
      <c r="W172" s="83" t="n"/>
      <c r="X172" s="83" t="n"/>
      <c r="Y172" s="83" t="n"/>
      <c r="Z172" s="83" t="n"/>
      <c r="AA172" s="83" t="n"/>
      <c r="AB172" s="83" t="n"/>
      <c r="AC172" s="83" t="n"/>
      <c r="AD172" s="83" t="n"/>
      <c r="AE172" s="83" t="n"/>
      <c r="AF172" s="83" t="n"/>
      <c r="AG172" s="83" t="n"/>
      <c r="AH172" s="83" t="n"/>
      <c r="AI172" s="83" t="n"/>
      <c r="AJ172" s="83" t="n"/>
      <c r="AK172" s="83" t="n"/>
      <c r="AL172" s="83" t="n"/>
      <c r="AM172" s="83" t="n"/>
      <c r="AN172" s="83" t="n"/>
      <c r="AO172" s="83" t="n"/>
      <c r="AP172" s="83" t="n"/>
      <c r="AQ172" s="83" t="n"/>
      <c r="AR172" s="83" t="n"/>
      <c r="AS172" s="83" t="n"/>
      <c r="AT172" s="83" t="n"/>
      <c r="AU172" s="83" t="n"/>
      <c r="AV172" s="83" t="n"/>
      <c r="AW172" s="83" t="n"/>
      <c r="AX172" s="83" t="n"/>
      <c r="AY172" s="83" t="n"/>
      <c r="AZ172" s="83" t="n"/>
      <c r="BA172" s="83" t="n"/>
      <c r="BB172" s="83" t="n"/>
      <c r="BC172" s="83" t="n"/>
      <c r="BD172" s="83" t="n"/>
      <c r="BE172" s="83" t="n"/>
    </row>
    <row r="173" ht="18" customHeight="1">
      <c r="A173" s="55">
        <f>IFERROR(IF(INDEX('İş Planı'!$C$5:$C$204,ROW()-4)="","",INDEX('İş Planı'!$C$5:$C$204,ROW()-4)),"")</f>
        <v/>
      </c>
      <c r="B173" s="55">
        <f>IFERROR(IF(INDEX('İş Planı'!$B$5:$B$204,ROW()-4)="","",INDEX('İş Planı'!$B$5:$B$204,ROW()-4)),"")</f>
        <v/>
      </c>
      <c r="C173" s="72">
        <f>IFERROR(IF(INDEX('İş Planı'!$I$5:$I$204,ROW()-4)="","",INDEX('İş Planı'!$I$5:$I$204,ROW()-4)),"")</f>
        <v/>
      </c>
      <c r="D173" s="72">
        <f>IFERROR(IF(INDEX('İş Planı'!$M$5:$M$204,ROW()-4)="","",INDEX('İş Planı'!$M$5:$M$204,ROW()-4)),"")</f>
        <v/>
      </c>
      <c r="E173" s="71">
        <f>IFERROR(IF(INDEX('İş Planı'!$O$5:$O$204,ROW()-4)="","",INDEX('İş Planı'!$O$5:$O$204,ROW()-4)),"")</f>
        <v/>
      </c>
      <c r="F173" s="83" t="n"/>
      <c r="G173" s="83" t="n"/>
      <c r="H173" s="83" t="n"/>
      <c r="I173" s="83" t="n"/>
      <c r="J173" s="83" t="n"/>
      <c r="K173" s="83" t="n"/>
      <c r="L173" s="83" t="n"/>
      <c r="M173" s="83" t="n"/>
      <c r="N173" s="83" t="n"/>
      <c r="O173" s="83" t="n"/>
      <c r="P173" s="83" t="n"/>
      <c r="Q173" s="83" t="n"/>
      <c r="R173" s="83" t="n"/>
      <c r="S173" s="83" t="n"/>
      <c r="T173" s="83" t="n"/>
      <c r="U173" s="83" t="n"/>
      <c r="V173" s="83" t="n"/>
      <c r="W173" s="83" t="n"/>
      <c r="X173" s="83" t="n"/>
      <c r="Y173" s="83" t="n"/>
      <c r="Z173" s="83" t="n"/>
      <c r="AA173" s="83" t="n"/>
      <c r="AB173" s="83" t="n"/>
      <c r="AC173" s="83" t="n"/>
      <c r="AD173" s="83" t="n"/>
      <c r="AE173" s="83" t="n"/>
      <c r="AF173" s="83" t="n"/>
      <c r="AG173" s="83" t="n"/>
      <c r="AH173" s="83" t="n"/>
      <c r="AI173" s="83" t="n"/>
      <c r="AJ173" s="83" t="n"/>
      <c r="AK173" s="83" t="n"/>
      <c r="AL173" s="83" t="n"/>
      <c r="AM173" s="83" t="n"/>
      <c r="AN173" s="83" t="n"/>
      <c r="AO173" s="83" t="n"/>
      <c r="AP173" s="83" t="n"/>
      <c r="AQ173" s="83" t="n"/>
      <c r="AR173" s="83" t="n"/>
      <c r="AS173" s="83" t="n"/>
      <c r="AT173" s="83" t="n"/>
      <c r="AU173" s="83" t="n"/>
      <c r="AV173" s="83" t="n"/>
      <c r="AW173" s="83" t="n"/>
      <c r="AX173" s="83" t="n"/>
      <c r="AY173" s="83" t="n"/>
      <c r="AZ173" s="83" t="n"/>
      <c r="BA173" s="83" t="n"/>
      <c r="BB173" s="83" t="n"/>
      <c r="BC173" s="83" t="n"/>
      <c r="BD173" s="83" t="n"/>
      <c r="BE173" s="83" t="n"/>
    </row>
    <row r="174" ht="18" customHeight="1">
      <c r="A174" s="55">
        <f>IFERROR(IF(INDEX('İş Planı'!$C$5:$C$204,ROW()-4)="","",INDEX('İş Planı'!$C$5:$C$204,ROW()-4)),"")</f>
        <v/>
      </c>
      <c r="B174" s="55">
        <f>IFERROR(IF(INDEX('İş Planı'!$B$5:$B$204,ROW()-4)="","",INDEX('İş Planı'!$B$5:$B$204,ROW()-4)),"")</f>
        <v/>
      </c>
      <c r="C174" s="72">
        <f>IFERROR(IF(INDEX('İş Planı'!$I$5:$I$204,ROW()-4)="","",INDEX('İş Planı'!$I$5:$I$204,ROW()-4)),"")</f>
        <v/>
      </c>
      <c r="D174" s="72">
        <f>IFERROR(IF(INDEX('İş Planı'!$M$5:$M$204,ROW()-4)="","",INDEX('İş Planı'!$M$5:$M$204,ROW()-4)),"")</f>
        <v/>
      </c>
      <c r="E174" s="71">
        <f>IFERROR(IF(INDEX('İş Planı'!$O$5:$O$204,ROW()-4)="","",INDEX('İş Planı'!$O$5:$O$204,ROW()-4)),"")</f>
        <v/>
      </c>
      <c r="F174" s="83" t="n"/>
      <c r="G174" s="83" t="n"/>
      <c r="H174" s="83" t="n"/>
      <c r="I174" s="83" t="n"/>
      <c r="J174" s="83" t="n"/>
      <c r="K174" s="83" t="n"/>
      <c r="L174" s="83" t="n"/>
      <c r="M174" s="83" t="n"/>
      <c r="N174" s="83" t="n"/>
      <c r="O174" s="83" t="n"/>
      <c r="P174" s="83" t="n"/>
      <c r="Q174" s="83" t="n"/>
      <c r="R174" s="83" t="n"/>
      <c r="S174" s="83" t="n"/>
      <c r="T174" s="83" t="n"/>
      <c r="U174" s="83" t="n"/>
      <c r="V174" s="83" t="n"/>
      <c r="W174" s="83" t="n"/>
      <c r="X174" s="83" t="n"/>
      <c r="Y174" s="83" t="n"/>
      <c r="Z174" s="83" t="n"/>
      <c r="AA174" s="83" t="n"/>
      <c r="AB174" s="83" t="n"/>
      <c r="AC174" s="83" t="n"/>
      <c r="AD174" s="83" t="n"/>
      <c r="AE174" s="83" t="n"/>
      <c r="AF174" s="83" t="n"/>
      <c r="AG174" s="83" t="n"/>
      <c r="AH174" s="83" t="n"/>
      <c r="AI174" s="83" t="n"/>
      <c r="AJ174" s="83" t="n"/>
      <c r="AK174" s="83" t="n"/>
      <c r="AL174" s="83" t="n"/>
      <c r="AM174" s="83" t="n"/>
      <c r="AN174" s="83" t="n"/>
      <c r="AO174" s="83" t="n"/>
      <c r="AP174" s="83" t="n"/>
      <c r="AQ174" s="83" t="n"/>
      <c r="AR174" s="83" t="n"/>
      <c r="AS174" s="83" t="n"/>
      <c r="AT174" s="83" t="n"/>
      <c r="AU174" s="83" t="n"/>
      <c r="AV174" s="83" t="n"/>
      <c r="AW174" s="83" t="n"/>
      <c r="AX174" s="83" t="n"/>
      <c r="AY174" s="83" t="n"/>
      <c r="AZ174" s="83" t="n"/>
      <c r="BA174" s="83" t="n"/>
      <c r="BB174" s="83" t="n"/>
      <c r="BC174" s="83" t="n"/>
      <c r="BD174" s="83" t="n"/>
      <c r="BE174" s="83" t="n"/>
    </row>
    <row r="175" ht="18" customHeight="1">
      <c r="A175" s="55">
        <f>IFERROR(IF(INDEX('İş Planı'!$C$5:$C$204,ROW()-4)="","",INDEX('İş Planı'!$C$5:$C$204,ROW()-4)),"")</f>
        <v/>
      </c>
      <c r="B175" s="55">
        <f>IFERROR(IF(INDEX('İş Planı'!$B$5:$B$204,ROW()-4)="","",INDEX('İş Planı'!$B$5:$B$204,ROW()-4)),"")</f>
        <v/>
      </c>
      <c r="C175" s="72">
        <f>IFERROR(IF(INDEX('İş Planı'!$I$5:$I$204,ROW()-4)="","",INDEX('İş Planı'!$I$5:$I$204,ROW()-4)),"")</f>
        <v/>
      </c>
      <c r="D175" s="72">
        <f>IFERROR(IF(INDEX('İş Planı'!$M$5:$M$204,ROW()-4)="","",INDEX('İş Planı'!$M$5:$M$204,ROW()-4)),"")</f>
        <v/>
      </c>
      <c r="E175" s="71">
        <f>IFERROR(IF(INDEX('İş Planı'!$O$5:$O$204,ROW()-4)="","",INDEX('İş Planı'!$O$5:$O$204,ROW()-4)),"")</f>
        <v/>
      </c>
      <c r="F175" s="83" t="n"/>
      <c r="G175" s="83" t="n"/>
      <c r="H175" s="83" t="n"/>
      <c r="I175" s="83" t="n"/>
      <c r="J175" s="83" t="n"/>
      <c r="K175" s="83" t="n"/>
      <c r="L175" s="83" t="n"/>
      <c r="M175" s="83" t="n"/>
      <c r="N175" s="83" t="n"/>
      <c r="O175" s="83" t="n"/>
      <c r="P175" s="83" t="n"/>
      <c r="Q175" s="83" t="n"/>
      <c r="R175" s="83" t="n"/>
      <c r="S175" s="83" t="n"/>
      <c r="T175" s="83" t="n"/>
      <c r="U175" s="83" t="n"/>
      <c r="V175" s="83" t="n"/>
      <c r="W175" s="83" t="n"/>
      <c r="X175" s="83" t="n"/>
      <c r="Y175" s="83" t="n"/>
      <c r="Z175" s="83" t="n"/>
      <c r="AA175" s="83" t="n"/>
      <c r="AB175" s="83" t="n"/>
      <c r="AC175" s="83" t="n"/>
      <c r="AD175" s="83" t="n"/>
      <c r="AE175" s="83" t="n"/>
      <c r="AF175" s="83" t="n"/>
      <c r="AG175" s="83" t="n"/>
      <c r="AH175" s="83" t="n"/>
      <c r="AI175" s="83" t="n"/>
      <c r="AJ175" s="83" t="n"/>
      <c r="AK175" s="83" t="n"/>
      <c r="AL175" s="83" t="n"/>
      <c r="AM175" s="83" t="n"/>
      <c r="AN175" s="83" t="n"/>
      <c r="AO175" s="83" t="n"/>
      <c r="AP175" s="83" t="n"/>
      <c r="AQ175" s="83" t="n"/>
      <c r="AR175" s="83" t="n"/>
      <c r="AS175" s="83" t="n"/>
      <c r="AT175" s="83" t="n"/>
      <c r="AU175" s="83" t="n"/>
      <c r="AV175" s="83" t="n"/>
      <c r="AW175" s="83" t="n"/>
      <c r="AX175" s="83" t="n"/>
      <c r="AY175" s="83" t="n"/>
      <c r="AZ175" s="83" t="n"/>
      <c r="BA175" s="83" t="n"/>
      <c r="BB175" s="83" t="n"/>
      <c r="BC175" s="83" t="n"/>
      <c r="BD175" s="83" t="n"/>
      <c r="BE175" s="83" t="n"/>
    </row>
    <row r="176" ht="18" customHeight="1">
      <c r="A176" s="55">
        <f>IFERROR(IF(INDEX('İş Planı'!$C$5:$C$204,ROW()-4)="","",INDEX('İş Planı'!$C$5:$C$204,ROW()-4)),"")</f>
        <v/>
      </c>
      <c r="B176" s="55">
        <f>IFERROR(IF(INDEX('İş Planı'!$B$5:$B$204,ROW()-4)="","",INDEX('İş Planı'!$B$5:$B$204,ROW()-4)),"")</f>
        <v/>
      </c>
      <c r="C176" s="72">
        <f>IFERROR(IF(INDEX('İş Planı'!$I$5:$I$204,ROW()-4)="","",INDEX('İş Planı'!$I$5:$I$204,ROW()-4)),"")</f>
        <v/>
      </c>
      <c r="D176" s="72">
        <f>IFERROR(IF(INDEX('İş Planı'!$M$5:$M$204,ROW()-4)="","",INDEX('İş Planı'!$M$5:$M$204,ROW()-4)),"")</f>
        <v/>
      </c>
      <c r="E176" s="71">
        <f>IFERROR(IF(INDEX('İş Planı'!$O$5:$O$204,ROW()-4)="","",INDEX('İş Planı'!$O$5:$O$204,ROW()-4)),"")</f>
        <v/>
      </c>
      <c r="F176" s="83" t="n"/>
      <c r="G176" s="83" t="n"/>
      <c r="H176" s="83" t="n"/>
      <c r="I176" s="83" t="n"/>
      <c r="J176" s="83" t="n"/>
      <c r="K176" s="83" t="n"/>
      <c r="L176" s="83" t="n"/>
      <c r="M176" s="83" t="n"/>
      <c r="N176" s="83" t="n"/>
      <c r="O176" s="83" t="n"/>
      <c r="P176" s="83" t="n"/>
      <c r="Q176" s="83" t="n"/>
      <c r="R176" s="83" t="n"/>
      <c r="S176" s="83" t="n"/>
      <c r="T176" s="83" t="n"/>
      <c r="U176" s="83" t="n"/>
      <c r="V176" s="83" t="n"/>
      <c r="W176" s="83" t="n"/>
      <c r="X176" s="83" t="n"/>
      <c r="Y176" s="83" t="n"/>
      <c r="Z176" s="83" t="n"/>
      <c r="AA176" s="83" t="n"/>
      <c r="AB176" s="83" t="n"/>
      <c r="AC176" s="83" t="n"/>
      <c r="AD176" s="83" t="n"/>
      <c r="AE176" s="83" t="n"/>
      <c r="AF176" s="83" t="n"/>
      <c r="AG176" s="83" t="n"/>
      <c r="AH176" s="83" t="n"/>
      <c r="AI176" s="83" t="n"/>
      <c r="AJ176" s="83" t="n"/>
      <c r="AK176" s="83" t="n"/>
      <c r="AL176" s="83" t="n"/>
      <c r="AM176" s="83" t="n"/>
      <c r="AN176" s="83" t="n"/>
      <c r="AO176" s="83" t="n"/>
      <c r="AP176" s="83" t="n"/>
      <c r="AQ176" s="83" t="n"/>
      <c r="AR176" s="83" t="n"/>
      <c r="AS176" s="83" t="n"/>
      <c r="AT176" s="83" t="n"/>
      <c r="AU176" s="83" t="n"/>
      <c r="AV176" s="83" t="n"/>
      <c r="AW176" s="83" t="n"/>
      <c r="AX176" s="83" t="n"/>
      <c r="AY176" s="83" t="n"/>
      <c r="AZ176" s="83" t="n"/>
      <c r="BA176" s="83" t="n"/>
      <c r="BB176" s="83" t="n"/>
      <c r="BC176" s="83" t="n"/>
      <c r="BD176" s="83" t="n"/>
      <c r="BE176" s="83" t="n"/>
    </row>
    <row r="177" ht="18" customHeight="1">
      <c r="A177" s="55">
        <f>IFERROR(IF(INDEX('İş Planı'!$C$5:$C$204,ROW()-4)="","",INDEX('İş Planı'!$C$5:$C$204,ROW()-4)),"")</f>
        <v/>
      </c>
      <c r="B177" s="55">
        <f>IFERROR(IF(INDEX('İş Planı'!$B$5:$B$204,ROW()-4)="","",INDEX('İş Planı'!$B$5:$B$204,ROW()-4)),"")</f>
        <v/>
      </c>
      <c r="C177" s="72">
        <f>IFERROR(IF(INDEX('İş Planı'!$I$5:$I$204,ROW()-4)="","",INDEX('İş Planı'!$I$5:$I$204,ROW()-4)),"")</f>
        <v/>
      </c>
      <c r="D177" s="72">
        <f>IFERROR(IF(INDEX('İş Planı'!$M$5:$M$204,ROW()-4)="","",INDEX('İş Planı'!$M$5:$M$204,ROW()-4)),"")</f>
        <v/>
      </c>
      <c r="E177" s="71">
        <f>IFERROR(IF(INDEX('İş Planı'!$O$5:$O$204,ROW()-4)="","",INDEX('İş Planı'!$O$5:$O$204,ROW()-4)),"")</f>
        <v/>
      </c>
      <c r="F177" s="83" t="n"/>
      <c r="G177" s="83" t="n"/>
      <c r="H177" s="83" t="n"/>
      <c r="I177" s="83" t="n"/>
      <c r="J177" s="83" t="n"/>
      <c r="K177" s="83" t="n"/>
      <c r="L177" s="83" t="n"/>
      <c r="M177" s="83" t="n"/>
      <c r="N177" s="83" t="n"/>
      <c r="O177" s="83" t="n"/>
      <c r="P177" s="83" t="n"/>
      <c r="Q177" s="83" t="n"/>
      <c r="R177" s="83" t="n"/>
      <c r="S177" s="83" t="n"/>
      <c r="T177" s="83" t="n"/>
      <c r="U177" s="83" t="n"/>
      <c r="V177" s="83" t="n"/>
      <c r="W177" s="83" t="n"/>
      <c r="X177" s="83" t="n"/>
      <c r="Y177" s="83" t="n"/>
      <c r="Z177" s="83" t="n"/>
      <c r="AA177" s="83" t="n"/>
      <c r="AB177" s="83" t="n"/>
      <c r="AC177" s="83" t="n"/>
      <c r="AD177" s="83" t="n"/>
      <c r="AE177" s="83" t="n"/>
      <c r="AF177" s="83" t="n"/>
      <c r="AG177" s="83" t="n"/>
      <c r="AH177" s="83" t="n"/>
      <c r="AI177" s="83" t="n"/>
      <c r="AJ177" s="83" t="n"/>
      <c r="AK177" s="83" t="n"/>
      <c r="AL177" s="83" t="n"/>
      <c r="AM177" s="83" t="n"/>
      <c r="AN177" s="83" t="n"/>
      <c r="AO177" s="83" t="n"/>
      <c r="AP177" s="83" t="n"/>
      <c r="AQ177" s="83" t="n"/>
      <c r="AR177" s="83" t="n"/>
      <c r="AS177" s="83" t="n"/>
      <c r="AT177" s="83" t="n"/>
      <c r="AU177" s="83" t="n"/>
      <c r="AV177" s="83" t="n"/>
      <c r="AW177" s="83" t="n"/>
      <c r="AX177" s="83" t="n"/>
      <c r="AY177" s="83" t="n"/>
      <c r="AZ177" s="83" t="n"/>
      <c r="BA177" s="83" t="n"/>
      <c r="BB177" s="83" t="n"/>
      <c r="BC177" s="83" t="n"/>
      <c r="BD177" s="83" t="n"/>
      <c r="BE177" s="83" t="n"/>
    </row>
    <row r="178" ht="18" customHeight="1">
      <c r="A178" s="55">
        <f>IFERROR(IF(INDEX('İş Planı'!$C$5:$C$204,ROW()-4)="","",INDEX('İş Planı'!$C$5:$C$204,ROW()-4)),"")</f>
        <v/>
      </c>
      <c r="B178" s="55">
        <f>IFERROR(IF(INDEX('İş Planı'!$B$5:$B$204,ROW()-4)="","",INDEX('İş Planı'!$B$5:$B$204,ROW()-4)),"")</f>
        <v/>
      </c>
      <c r="C178" s="72">
        <f>IFERROR(IF(INDEX('İş Planı'!$I$5:$I$204,ROW()-4)="","",INDEX('İş Planı'!$I$5:$I$204,ROW()-4)),"")</f>
        <v/>
      </c>
      <c r="D178" s="72">
        <f>IFERROR(IF(INDEX('İş Planı'!$M$5:$M$204,ROW()-4)="","",INDEX('İş Planı'!$M$5:$M$204,ROW()-4)),"")</f>
        <v/>
      </c>
      <c r="E178" s="71">
        <f>IFERROR(IF(INDEX('İş Planı'!$O$5:$O$204,ROW()-4)="","",INDEX('İş Planı'!$O$5:$O$204,ROW()-4)),"")</f>
        <v/>
      </c>
      <c r="F178" s="83" t="n"/>
      <c r="G178" s="83" t="n"/>
      <c r="H178" s="83" t="n"/>
      <c r="I178" s="83" t="n"/>
      <c r="J178" s="83" t="n"/>
      <c r="K178" s="83" t="n"/>
      <c r="L178" s="83" t="n"/>
      <c r="M178" s="83" t="n"/>
      <c r="N178" s="83" t="n"/>
      <c r="O178" s="83" t="n"/>
      <c r="P178" s="83" t="n"/>
      <c r="Q178" s="83" t="n"/>
      <c r="R178" s="83" t="n"/>
      <c r="S178" s="83" t="n"/>
      <c r="T178" s="83" t="n"/>
      <c r="U178" s="83" t="n"/>
      <c r="V178" s="83" t="n"/>
      <c r="W178" s="83" t="n"/>
      <c r="X178" s="83" t="n"/>
      <c r="Y178" s="83" t="n"/>
      <c r="Z178" s="83" t="n"/>
      <c r="AA178" s="83" t="n"/>
      <c r="AB178" s="83" t="n"/>
      <c r="AC178" s="83" t="n"/>
      <c r="AD178" s="83" t="n"/>
      <c r="AE178" s="83" t="n"/>
      <c r="AF178" s="83" t="n"/>
      <c r="AG178" s="83" t="n"/>
      <c r="AH178" s="83" t="n"/>
      <c r="AI178" s="83" t="n"/>
      <c r="AJ178" s="83" t="n"/>
      <c r="AK178" s="83" t="n"/>
      <c r="AL178" s="83" t="n"/>
      <c r="AM178" s="83" t="n"/>
      <c r="AN178" s="83" t="n"/>
      <c r="AO178" s="83" t="n"/>
      <c r="AP178" s="83" t="n"/>
      <c r="AQ178" s="83" t="n"/>
      <c r="AR178" s="83" t="n"/>
      <c r="AS178" s="83" t="n"/>
      <c r="AT178" s="83" t="n"/>
      <c r="AU178" s="83" t="n"/>
      <c r="AV178" s="83" t="n"/>
      <c r="AW178" s="83" t="n"/>
      <c r="AX178" s="83" t="n"/>
      <c r="AY178" s="83" t="n"/>
      <c r="AZ178" s="83" t="n"/>
      <c r="BA178" s="83" t="n"/>
      <c r="BB178" s="83" t="n"/>
      <c r="BC178" s="83" t="n"/>
      <c r="BD178" s="83" t="n"/>
      <c r="BE178" s="83" t="n"/>
    </row>
    <row r="179" ht="18" customHeight="1">
      <c r="A179" s="55">
        <f>IFERROR(IF(INDEX('İş Planı'!$C$5:$C$204,ROW()-4)="","",INDEX('İş Planı'!$C$5:$C$204,ROW()-4)),"")</f>
        <v/>
      </c>
      <c r="B179" s="55">
        <f>IFERROR(IF(INDEX('İş Planı'!$B$5:$B$204,ROW()-4)="","",INDEX('İş Planı'!$B$5:$B$204,ROW()-4)),"")</f>
        <v/>
      </c>
      <c r="C179" s="72">
        <f>IFERROR(IF(INDEX('İş Planı'!$I$5:$I$204,ROW()-4)="","",INDEX('İş Planı'!$I$5:$I$204,ROW()-4)),"")</f>
        <v/>
      </c>
      <c r="D179" s="72">
        <f>IFERROR(IF(INDEX('İş Planı'!$M$5:$M$204,ROW()-4)="","",INDEX('İş Planı'!$M$5:$M$204,ROW()-4)),"")</f>
        <v/>
      </c>
      <c r="E179" s="71">
        <f>IFERROR(IF(INDEX('İş Planı'!$O$5:$O$204,ROW()-4)="","",INDEX('İş Planı'!$O$5:$O$204,ROW()-4)),"")</f>
        <v/>
      </c>
      <c r="F179" s="83" t="n"/>
      <c r="G179" s="83" t="n"/>
      <c r="H179" s="83" t="n"/>
      <c r="I179" s="83" t="n"/>
      <c r="J179" s="83" t="n"/>
      <c r="K179" s="83" t="n"/>
      <c r="L179" s="83" t="n"/>
      <c r="M179" s="83" t="n"/>
      <c r="N179" s="83" t="n"/>
      <c r="O179" s="83" t="n"/>
      <c r="P179" s="83" t="n"/>
      <c r="Q179" s="83" t="n"/>
      <c r="R179" s="83" t="n"/>
      <c r="S179" s="83" t="n"/>
      <c r="T179" s="83" t="n"/>
      <c r="U179" s="83" t="n"/>
      <c r="V179" s="83" t="n"/>
      <c r="W179" s="83" t="n"/>
      <c r="X179" s="83" t="n"/>
      <c r="Y179" s="83" t="n"/>
      <c r="Z179" s="83" t="n"/>
      <c r="AA179" s="83" t="n"/>
      <c r="AB179" s="83" t="n"/>
      <c r="AC179" s="83" t="n"/>
      <c r="AD179" s="83" t="n"/>
      <c r="AE179" s="83" t="n"/>
      <c r="AF179" s="83" t="n"/>
      <c r="AG179" s="83" t="n"/>
      <c r="AH179" s="83" t="n"/>
      <c r="AI179" s="83" t="n"/>
      <c r="AJ179" s="83" t="n"/>
      <c r="AK179" s="83" t="n"/>
      <c r="AL179" s="83" t="n"/>
      <c r="AM179" s="83" t="n"/>
      <c r="AN179" s="83" t="n"/>
      <c r="AO179" s="83" t="n"/>
      <c r="AP179" s="83" t="n"/>
      <c r="AQ179" s="83" t="n"/>
      <c r="AR179" s="83" t="n"/>
      <c r="AS179" s="83" t="n"/>
      <c r="AT179" s="83" t="n"/>
      <c r="AU179" s="83" t="n"/>
      <c r="AV179" s="83" t="n"/>
      <c r="AW179" s="83" t="n"/>
      <c r="AX179" s="83" t="n"/>
      <c r="AY179" s="83" t="n"/>
      <c r="AZ179" s="83" t="n"/>
      <c r="BA179" s="83" t="n"/>
      <c r="BB179" s="83" t="n"/>
      <c r="BC179" s="83" t="n"/>
      <c r="BD179" s="83" t="n"/>
      <c r="BE179" s="83" t="n"/>
    </row>
    <row r="180" ht="18" customHeight="1">
      <c r="A180" s="55">
        <f>IFERROR(IF(INDEX('İş Planı'!$C$5:$C$204,ROW()-4)="","",INDEX('İş Planı'!$C$5:$C$204,ROW()-4)),"")</f>
        <v/>
      </c>
      <c r="B180" s="55">
        <f>IFERROR(IF(INDEX('İş Planı'!$B$5:$B$204,ROW()-4)="","",INDEX('İş Planı'!$B$5:$B$204,ROW()-4)),"")</f>
        <v/>
      </c>
      <c r="C180" s="72">
        <f>IFERROR(IF(INDEX('İş Planı'!$I$5:$I$204,ROW()-4)="","",INDEX('İş Planı'!$I$5:$I$204,ROW()-4)),"")</f>
        <v/>
      </c>
      <c r="D180" s="72">
        <f>IFERROR(IF(INDEX('İş Planı'!$M$5:$M$204,ROW()-4)="","",INDEX('İş Planı'!$M$5:$M$204,ROW()-4)),"")</f>
        <v/>
      </c>
      <c r="E180" s="71">
        <f>IFERROR(IF(INDEX('İş Planı'!$O$5:$O$204,ROW()-4)="","",INDEX('İş Planı'!$O$5:$O$204,ROW()-4)),"")</f>
        <v/>
      </c>
      <c r="F180" s="83" t="n"/>
      <c r="G180" s="83" t="n"/>
      <c r="H180" s="83" t="n"/>
      <c r="I180" s="83" t="n"/>
      <c r="J180" s="83" t="n"/>
      <c r="K180" s="83" t="n"/>
      <c r="L180" s="83" t="n"/>
      <c r="M180" s="83" t="n"/>
      <c r="N180" s="83" t="n"/>
      <c r="O180" s="83" t="n"/>
      <c r="P180" s="83" t="n"/>
      <c r="Q180" s="83" t="n"/>
      <c r="R180" s="83" t="n"/>
      <c r="S180" s="83" t="n"/>
      <c r="T180" s="83" t="n"/>
      <c r="U180" s="83" t="n"/>
      <c r="V180" s="83" t="n"/>
      <c r="W180" s="83" t="n"/>
      <c r="X180" s="83" t="n"/>
      <c r="Y180" s="83" t="n"/>
      <c r="Z180" s="83" t="n"/>
      <c r="AA180" s="83" t="n"/>
      <c r="AB180" s="83" t="n"/>
      <c r="AC180" s="83" t="n"/>
      <c r="AD180" s="83" t="n"/>
      <c r="AE180" s="83" t="n"/>
      <c r="AF180" s="83" t="n"/>
      <c r="AG180" s="83" t="n"/>
      <c r="AH180" s="83" t="n"/>
      <c r="AI180" s="83" t="n"/>
      <c r="AJ180" s="83" t="n"/>
      <c r="AK180" s="83" t="n"/>
      <c r="AL180" s="83" t="n"/>
      <c r="AM180" s="83" t="n"/>
      <c r="AN180" s="83" t="n"/>
      <c r="AO180" s="83" t="n"/>
      <c r="AP180" s="83" t="n"/>
      <c r="AQ180" s="83" t="n"/>
      <c r="AR180" s="83" t="n"/>
      <c r="AS180" s="83" t="n"/>
      <c r="AT180" s="83" t="n"/>
      <c r="AU180" s="83" t="n"/>
      <c r="AV180" s="83" t="n"/>
      <c r="AW180" s="83" t="n"/>
      <c r="AX180" s="83" t="n"/>
      <c r="AY180" s="83" t="n"/>
      <c r="AZ180" s="83" t="n"/>
      <c r="BA180" s="83" t="n"/>
      <c r="BB180" s="83" t="n"/>
      <c r="BC180" s="83" t="n"/>
      <c r="BD180" s="83" t="n"/>
      <c r="BE180" s="83" t="n"/>
    </row>
    <row r="181" ht="18" customHeight="1">
      <c r="A181" s="55">
        <f>IFERROR(IF(INDEX('İş Planı'!$C$5:$C$204,ROW()-4)="","",INDEX('İş Planı'!$C$5:$C$204,ROW()-4)),"")</f>
        <v/>
      </c>
      <c r="B181" s="55">
        <f>IFERROR(IF(INDEX('İş Planı'!$B$5:$B$204,ROW()-4)="","",INDEX('İş Planı'!$B$5:$B$204,ROW()-4)),"")</f>
        <v/>
      </c>
      <c r="C181" s="72">
        <f>IFERROR(IF(INDEX('İş Planı'!$I$5:$I$204,ROW()-4)="","",INDEX('İş Planı'!$I$5:$I$204,ROW()-4)),"")</f>
        <v/>
      </c>
      <c r="D181" s="72">
        <f>IFERROR(IF(INDEX('İş Planı'!$M$5:$M$204,ROW()-4)="","",INDEX('İş Planı'!$M$5:$M$204,ROW()-4)),"")</f>
        <v/>
      </c>
      <c r="E181" s="71">
        <f>IFERROR(IF(INDEX('İş Planı'!$O$5:$O$204,ROW()-4)="","",INDEX('İş Planı'!$O$5:$O$204,ROW()-4)),"")</f>
        <v/>
      </c>
      <c r="F181" s="83" t="n"/>
      <c r="G181" s="83" t="n"/>
      <c r="H181" s="83" t="n"/>
      <c r="I181" s="83" t="n"/>
      <c r="J181" s="83" t="n"/>
      <c r="K181" s="83" t="n"/>
      <c r="L181" s="83" t="n"/>
      <c r="M181" s="83" t="n"/>
      <c r="N181" s="83" t="n"/>
      <c r="O181" s="83" t="n"/>
      <c r="P181" s="83" t="n"/>
      <c r="Q181" s="83" t="n"/>
      <c r="R181" s="83" t="n"/>
      <c r="S181" s="83" t="n"/>
      <c r="T181" s="83" t="n"/>
      <c r="U181" s="83" t="n"/>
      <c r="V181" s="83" t="n"/>
      <c r="W181" s="83" t="n"/>
      <c r="X181" s="83" t="n"/>
      <c r="Y181" s="83" t="n"/>
      <c r="Z181" s="83" t="n"/>
      <c r="AA181" s="83" t="n"/>
      <c r="AB181" s="83" t="n"/>
      <c r="AC181" s="83" t="n"/>
      <c r="AD181" s="83" t="n"/>
      <c r="AE181" s="83" t="n"/>
      <c r="AF181" s="83" t="n"/>
      <c r="AG181" s="83" t="n"/>
      <c r="AH181" s="83" t="n"/>
      <c r="AI181" s="83" t="n"/>
      <c r="AJ181" s="83" t="n"/>
      <c r="AK181" s="83" t="n"/>
      <c r="AL181" s="83" t="n"/>
      <c r="AM181" s="83" t="n"/>
      <c r="AN181" s="83" t="n"/>
      <c r="AO181" s="83" t="n"/>
      <c r="AP181" s="83" t="n"/>
      <c r="AQ181" s="83" t="n"/>
      <c r="AR181" s="83" t="n"/>
      <c r="AS181" s="83" t="n"/>
      <c r="AT181" s="83" t="n"/>
      <c r="AU181" s="83" t="n"/>
      <c r="AV181" s="83" t="n"/>
      <c r="AW181" s="83" t="n"/>
      <c r="AX181" s="83" t="n"/>
      <c r="AY181" s="83" t="n"/>
      <c r="AZ181" s="83" t="n"/>
      <c r="BA181" s="83" t="n"/>
      <c r="BB181" s="83" t="n"/>
      <c r="BC181" s="83" t="n"/>
      <c r="BD181" s="83" t="n"/>
      <c r="BE181" s="83" t="n"/>
    </row>
    <row r="182" ht="18" customHeight="1">
      <c r="A182" s="55">
        <f>IFERROR(IF(INDEX('İş Planı'!$C$5:$C$204,ROW()-4)="","",INDEX('İş Planı'!$C$5:$C$204,ROW()-4)),"")</f>
        <v/>
      </c>
      <c r="B182" s="55">
        <f>IFERROR(IF(INDEX('İş Planı'!$B$5:$B$204,ROW()-4)="","",INDEX('İş Planı'!$B$5:$B$204,ROW()-4)),"")</f>
        <v/>
      </c>
      <c r="C182" s="72">
        <f>IFERROR(IF(INDEX('İş Planı'!$I$5:$I$204,ROW()-4)="","",INDEX('İş Planı'!$I$5:$I$204,ROW()-4)),"")</f>
        <v/>
      </c>
      <c r="D182" s="72">
        <f>IFERROR(IF(INDEX('İş Planı'!$M$5:$M$204,ROW()-4)="","",INDEX('İş Planı'!$M$5:$M$204,ROW()-4)),"")</f>
        <v/>
      </c>
      <c r="E182" s="71">
        <f>IFERROR(IF(INDEX('İş Planı'!$O$5:$O$204,ROW()-4)="","",INDEX('İş Planı'!$O$5:$O$204,ROW()-4)),"")</f>
        <v/>
      </c>
      <c r="F182" s="83" t="n"/>
      <c r="G182" s="83" t="n"/>
      <c r="H182" s="83" t="n"/>
      <c r="I182" s="83" t="n"/>
      <c r="J182" s="83" t="n"/>
      <c r="K182" s="83" t="n"/>
      <c r="L182" s="83" t="n"/>
      <c r="M182" s="83" t="n"/>
      <c r="N182" s="83" t="n"/>
      <c r="O182" s="83" t="n"/>
      <c r="P182" s="83" t="n"/>
      <c r="Q182" s="83" t="n"/>
      <c r="R182" s="83" t="n"/>
      <c r="S182" s="83" t="n"/>
      <c r="T182" s="83" t="n"/>
      <c r="U182" s="83" t="n"/>
      <c r="V182" s="83" t="n"/>
      <c r="W182" s="83" t="n"/>
      <c r="X182" s="83" t="n"/>
      <c r="Y182" s="83" t="n"/>
      <c r="Z182" s="83" t="n"/>
      <c r="AA182" s="83" t="n"/>
      <c r="AB182" s="83" t="n"/>
      <c r="AC182" s="83" t="n"/>
      <c r="AD182" s="83" t="n"/>
      <c r="AE182" s="83" t="n"/>
      <c r="AF182" s="83" t="n"/>
      <c r="AG182" s="83" t="n"/>
      <c r="AH182" s="83" t="n"/>
      <c r="AI182" s="83" t="n"/>
      <c r="AJ182" s="83" t="n"/>
      <c r="AK182" s="83" t="n"/>
      <c r="AL182" s="83" t="n"/>
      <c r="AM182" s="83" t="n"/>
      <c r="AN182" s="83" t="n"/>
      <c r="AO182" s="83" t="n"/>
      <c r="AP182" s="83" t="n"/>
      <c r="AQ182" s="83" t="n"/>
      <c r="AR182" s="83" t="n"/>
      <c r="AS182" s="83" t="n"/>
      <c r="AT182" s="83" t="n"/>
      <c r="AU182" s="83" t="n"/>
      <c r="AV182" s="83" t="n"/>
      <c r="AW182" s="83" t="n"/>
      <c r="AX182" s="83" t="n"/>
      <c r="AY182" s="83" t="n"/>
      <c r="AZ182" s="83" t="n"/>
      <c r="BA182" s="83" t="n"/>
      <c r="BB182" s="83" t="n"/>
      <c r="BC182" s="83" t="n"/>
      <c r="BD182" s="83" t="n"/>
      <c r="BE182" s="83" t="n"/>
    </row>
    <row r="183" ht="18" customHeight="1">
      <c r="A183" s="55">
        <f>IFERROR(IF(INDEX('İş Planı'!$C$5:$C$204,ROW()-4)="","",INDEX('İş Planı'!$C$5:$C$204,ROW()-4)),"")</f>
        <v/>
      </c>
      <c r="B183" s="55">
        <f>IFERROR(IF(INDEX('İş Planı'!$B$5:$B$204,ROW()-4)="","",INDEX('İş Planı'!$B$5:$B$204,ROW()-4)),"")</f>
        <v/>
      </c>
      <c r="C183" s="72">
        <f>IFERROR(IF(INDEX('İş Planı'!$I$5:$I$204,ROW()-4)="","",INDEX('İş Planı'!$I$5:$I$204,ROW()-4)),"")</f>
        <v/>
      </c>
      <c r="D183" s="72">
        <f>IFERROR(IF(INDEX('İş Planı'!$M$5:$M$204,ROW()-4)="","",INDEX('İş Planı'!$M$5:$M$204,ROW()-4)),"")</f>
        <v/>
      </c>
      <c r="E183" s="71">
        <f>IFERROR(IF(INDEX('İş Planı'!$O$5:$O$204,ROW()-4)="","",INDEX('İş Planı'!$O$5:$O$204,ROW()-4)),"")</f>
        <v/>
      </c>
      <c r="F183" s="83" t="n"/>
      <c r="G183" s="83" t="n"/>
      <c r="H183" s="83" t="n"/>
      <c r="I183" s="83" t="n"/>
      <c r="J183" s="83" t="n"/>
      <c r="K183" s="83" t="n"/>
      <c r="L183" s="83" t="n"/>
      <c r="M183" s="83" t="n"/>
      <c r="N183" s="83" t="n"/>
      <c r="O183" s="83" t="n"/>
      <c r="P183" s="83" t="n"/>
      <c r="Q183" s="83" t="n"/>
      <c r="R183" s="83" t="n"/>
      <c r="S183" s="83" t="n"/>
      <c r="T183" s="83" t="n"/>
      <c r="U183" s="83" t="n"/>
      <c r="V183" s="83" t="n"/>
      <c r="W183" s="83" t="n"/>
      <c r="X183" s="83" t="n"/>
      <c r="Y183" s="83" t="n"/>
      <c r="Z183" s="83" t="n"/>
      <c r="AA183" s="83" t="n"/>
      <c r="AB183" s="83" t="n"/>
      <c r="AC183" s="83" t="n"/>
      <c r="AD183" s="83" t="n"/>
      <c r="AE183" s="83" t="n"/>
      <c r="AF183" s="83" t="n"/>
      <c r="AG183" s="83" t="n"/>
      <c r="AH183" s="83" t="n"/>
      <c r="AI183" s="83" t="n"/>
      <c r="AJ183" s="83" t="n"/>
      <c r="AK183" s="83" t="n"/>
      <c r="AL183" s="83" t="n"/>
      <c r="AM183" s="83" t="n"/>
      <c r="AN183" s="83" t="n"/>
      <c r="AO183" s="83" t="n"/>
      <c r="AP183" s="83" t="n"/>
      <c r="AQ183" s="83" t="n"/>
      <c r="AR183" s="83" t="n"/>
      <c r="AS183" s="83" t="n"/>
      <c r="AT183" s="83" t="n"/>
      <c r="AU183" s="83" t="n"/>
      <c r="AV183" s="83" t="n"/>
      <c r="AW183" s="83" t="n"/>
      <c r="AX183" s="83" t="n"/>
      <c r="AY183" s="83" t="n"/>
      <c r="AZ183" s="83" t="n"/>
      <c r="BA183" s="83" t="n"/>
      <c r="BB183" s="83" t="n"/>
      <c r="BC183" s="83" t="n"/>
      <c r="BD183" s="83" t="n"/>
      <c r="BE183" s="83" t="n"/>
    </row>
    <row r="184" ht="18" customHeight="1">
      <c r="A184" s="55">
        <f>IFERROR(IF(INDEX('İş Planı'!$C$5:$C$204,ROW()-4)="","",INDEX('İş Planı'!$C$5:$C$204,ROW()-4)),"")</f>
        <v/>
      </c>
      <c r="B184" s="55">
        <f>IFERROR(IF(INDEX('İş Planı'!$B$5:$B$204,ROW()-4)="","",INDEX('İş Planı'!$B$5:$B$204,ROW()-4)),"")</f>
        <v/>
      </c>
      <c r="C184" s="72">
        <f>IFERROR(IF(INDEX('İş Planı'!$I$5:$I$204,ROW()-4)="","",INDEX('İş Planı'!$I$5:$I$204,ROW()-4)),"")</f>
        <v/>
      </c>
      <c r="D184" s="72">
        <f>IFERROR(IF(INDEX('İş Planı'!$M$5:$M$204,ROW()-4)="","",INDEX('İş Planı'!$M$5:$M$204,ROW()-4)),"")</f>
        <v/>
      </c>
      <c r="E184" s="71">
        <f>IFERROR(IF(INDEX('İş Planı'!$O$5:$O$204,ROW()-4)="","",INDEX('İş Planı'!$O$5:$O$204,ROW()-4)),"")</f>
        <v/>
      </c>
      <c r="F184" s="83" t="n"/>
      <c r="G184" s="83" t="n"/>
      <c r="H184" s="83" t="n"/>
      <c r="I184" s="83" t="n"/>
      <c r="J184" s="83" t="n"/>
      <c r="K184" s="83" t="n"/>
      <c r="L184" s="83" t="n"/>
      <c r="M184" s="83" t="n"/>
      <c r="N184" s="83" t="n"/>
      <c r="O184" s="83" t="n"/>
      <c r="P184" s="83" t="n"/>
      <c r="Q184" s="83" t="n"/>
      <c r="R184" s="83" t="n"/>
      <c r="S184" s="83" t="n"/>
      <c r="T184" s="83" t="n"/>
      <c r="U184" s="83" t="n"/>
      <c r="V184" s="83" t="n"/>
      <c r="W184" s="83" t="n"/>
      <c r="X184" s="83" t="n"/>
      <c r="Y184" s="83" t="n"/>
      <c r="Z184" s="83" t="n"/>
      <c r="AA184" s="83" t="n"/>
      <c r="AB184" s="83" t="n"/>
      <c r="AC184" s="83" t="n"/>
      <c r="AD184" s="83" t="n"/>
      <c r="AE184" s="83" t="n"/>
      <c r="AF184" s="83" t="n"/>
      <c r="AG184" s="83" t="n"/>
      <c r="AH184" s="83" t="n"/>
      <c r="AI184" s="83" t="n"/>
      <c r="AJ184" s="83" t="n"/>
      <c r="AK184" s="83" t="n"/>
      <c r="AL184" s="83" t="n"/>
      <c r="AM184" s="83" t="n"/>
      <c r="AN184" s="83" t="n"/>
      <c r="AO184" s="83" t="n"/>
      <c r="AP184" s="83" t="n"/>
      <c r="AQ184" s="83" t="n"/>
      <c r="AR184" s="83" t="n"/>
      <c r="AS184" s="83" t="n"/>
      <c r="AT184" s="83" t="n"/>
      <c r="AU184" s="83" t="n"/>
      <c r="AV184" s="83" t="n"/>
      <c r="AW184" s="83" t="n"/>
      <c r="AX184" s="83" t="n"/>
      <c r="AY184" s="83" t="n"/>
      <c r="AZ184" s="83" t="n"/>
      <c r="BA184" s="83" t="n"/>
      <c r="BB184" s="83" t="n"/>
      <c r="BC184" s="83" t="n"/>
      <c r="BD184" s="83" t="n"/>
      <c r="BE184" s="83" t="n"/>
    </row>
    <row r="185" ht="18" customHeight="1">
      <c r="A185" s="55">
        <f>IFERROR(IF(INDEX('İş Planı'!$C$5:$C$204,ROW()-4)="","",INDEX('İş Planı'!$C$5:$C$204,ROW()-4)),"")</f>
        <v/>
      </c>
      <c r="B185" s="55">
        <f>IFERROR(IF(INDEX('İş Planı'!$B$5:$B$204,ROW()-4)="","",INDEX('İş Planı'!$B$5:$B$204,ROW()-4)),"")</f>
        <v/>
      </c>
      <c r="C185" s="72">
        <f>IFERROR(IF(INDEX('İş Planı'!$I$5:$I$204,ROW()-4)="","",INDEX('İş Planı'!$I$5:$I$204,ROW()-4)),"")</f>
        <v/>
      </c>
      <c r="D185" s="72">
        <f>IFERROR(IF(INDEX('İş Planı'!$M$5:$M$204,ROW()-4)="","",INDEX('İş Planı'!$M$5:$M$204,ROW()-4)),"")</f>
        <v/>
      </c>
      <c r="E185" s="71">
        <f>IFERROR(IF(INDEX('İş Planı'!$O$5:$O$204,ROW()-4)="","",INDEX('İş Planı'!$O$5:$O$204,ROW()-4)),"")</f>
        <v/>
      </c>
      <c r="F185" s="83" t="n"/>
      <c r="G185" s="83" t="n"/>
      <c r="H185" s="83" t="n"/>
      <c r="I185" s="83" t="n"/>
      <c r="J185" s="83" t="n"/>
      <c r="K185" s="83" t="n"/>
      <c r="L185" s="83" t="n"/>
      <c r="M185" s="83" t="n"/>
      <c r="N185" s="83" t="n"/>
      <c r="O185" s="83" t="n"/>
      <c r="P185" s="83" t="n"/>
      <c r="Q185" s="83" t="n"/>
      <c r="R185" s="83" t="n"/>
      <c r="S185" s="83" t="n"/>
      <c r="T185" s="83" t="n"/>
      <c r="U185" s="83" t="n"/>
      <c r="V185" s="83" t="n"/>
      <c r="W185" s="83" t="n"/>
      <c r="X185" s="83" t="n"/>
      <c r="Y185" s="83" t="n"/>
      <c r="Z185" s="83" t="n"/>
      <c r="AA185" s="83" t="n"/>
      <c r="AB185" s="83" t="n"/>
      <c r="AC185" s="83" t="n"/>
      <c r="AD185" s="83" t="n"/>
      <c r="AE185" s="83" t="n"/>
      <c r="AF185" s="83" t="n"/>
      <c r="AG185" s="83" t="n"/>
      <c r="AH185" s="83" t="n"/>
      <c r="AI185" s="83" t="n"/>
      <c r="AJ185" s="83" t="n"/>
      <c r="AK185" s="83" t="n"/>
      <c r="AL185" s="83" t="n"/>
      <c r="AM185" s="83" t="n"/>
      <c r="AN185" s="83" t="n"/>
      <c r="AO185" s="83" t="n"/>
      <c r="AP185" s="83" t="n"/>
      <c r="AQ185" s="83" t="n"/>
      <c r="AR185" s="83" t="n"/>
      <c r="AS185" s="83" t="n"/>
      <c r="AT185" s="83" t="n"/>
      <c r="AU185" s="83" t="n"/>
      <c r="AV185" s="83" t="n"/>
      <c r="AW185" s="83" t="n"/>
      <c r="AX185" s="83" t="n"/>
      <c r="AY185" s="83" t="n"/>
      <c r="AZ185" s="83" t="n"/>
      <c r="BA185" s="83" t="n"/>
      <c r="BB185" s="83" t="n"/>
      <c r="BC185" s="83" t="n"/>
      <c r="BD185" s="83" t="n"/>
      <c r="BE185" s="83" t="n"/>
    </row>
    <row r="186" ht="18" customHeight="1">
      <c r="A186" s="55">
        <f>IFERROR(IF(INDEX('İş Planı'!$C$5:$C$204,ROW()-4)="","",INDEX('İş Planı'!$C$5:$C$204,ROW()-4)),"")</f>
        <v/>
      </c>
      <c r="B186" s="55">
        <f>IFERROR(IF(INDEX('İş Planı'!$B$5:$B$204,ROW()-4)="","",INDEX('İş Planı'!$B$5:$B$204,ROW()-4)),"")</f>
        <v/>
      </c>
      <c r="C186" s="72">
        <f>IFERROR(IF(INDEX('İş Planı'!$I$5:$I$204,ROW()-4)="","",INDEX('İş Planı'!$I$5:$I$204,ROW()-4)),"")</f>
        <v/>
      </c>
      <c r="D186" s="72">
        <f>IFERROR(IF(INDEX('İş Planı'!$M$5:$M$204,ROW()-4)="","",INDEX('İş Planı'!$M$5:$M$204,ROW()-4)),"")</f>
        <v/>
      </c>
      <c r="E186" s="71">
        <f>IFERROR(IF(INDEX('İş Planı'!$O$5:$O$204,ROW()-4)="","",INDEX('İş Planı'!$O$5:$O$204,ROW()-4)),"")</f>
        <v/>
      </c>
      <c r="F186" s="83" t="n"/>
      <c r="G186" s="83" t="n"/>
      <c r="H186" s="83" t="n"/>
      <c r="I186" s="83" t="n"/>
      <c r="J186" s="83" t="n"/>
      <c r="K186" s="83" t="n"/>
      <c r="L186" s="83" t="n"/>
      <c r="M186" s="83" t="n"/>
      <c r="N186" s="83" t="n"/>
      <c r="O186" s="83" t="n"/>
      <c r="P186" s="83" t="n"/>
      <c r="Q186" s="83" t="n"/>
      <c r="R186" s="83" t="n"/>
      <c r="S186" s="83" t="n"/>
      <c r="T186" s="83" t="n"/>
      <c r="U186" s="83" t="n"/>
      <c r="V186" s="83" t="n"/>
      <c r="W186" s="83" t="n"/>
      <c r="X186" s="83" t="n"/>
      <c r="Y186" s="83" t="n"/>
      <c r="Z186" s="83" t="n"/>
      <c r="AA186" s="83" t="n"/>
      <c r="AB186" s="83" t="n"/>
      <c r="AC186" s="83" t="n"/>
      <c r="AD186" s="83" t="n"/>
      <c r="AE186" s="83" t="n"/>
      <c r="AF186" s="83" t="n"/>
      <c r="AG186" s="83" t="n"/>
      <c r="AH186" s="83" t="n"/>
      <c r="AI186" s="83" t="n"/>
      <c r="AJ186" s="83" t="n"/>
      <c r="AK186" s="83" t="n"/>
      <c r="AL186" s="83" t="n"/>
      <c r="AM186" s="83" t="n"/>
      <c r="AN186" s="83" t="n"/>
      <c r="AO186" s="83" t="n"/>
      <c r="AP186" s="83" t="n"/>
      <c r="AQ186" s="83" t="n"/>
      <c r="AR186" s="83" t="n"/>
      <c r="AS186" s="83" t="n"/>
      <c r="AT186" s="83" t="n"/>
      <c r="AU186" s="83" t="n"/>
      <c r="AV186" s="83" t="n"/>
      <c r="AW186" s="83" t="n"/>
      <c r="AX186" s="83" t="n"/>
      <c r="AY186" s="83" t="n"/>
      <c r="AZ186" s="83" t="n"/>
      <c r="BA186" s="83" t="n"/>
      <c r="BB186" s="83" t="n"/>
      <c r="BC186" s="83" t="n"/>
      <c r="BD186" s="83" t="n"/>
      <c r="BE186" s="83" t="n"/>
    </row>
    <row r="187" ht="18" customHeight="1">
      <c r="A187" s="55">
        <f>IFERROR(IF(INDEX('İş Planı'!$C$5:$C$204,ROW()-4)="","",INDEX('İş Planı'!$C$5:$C$204,ROW()-4)),"")</f>
        <v/>
      </c>
      <c r="B187" s="55">
        <f>IFERROR(IF(INDEX('İş Planı'!$B$5:$B$204,ROW()-4)="","",INDEX('İş Planı'!$B$5:$B$204,ROW()-4)),"")</f>
        <v/>
      </c>
      <c r="C187" s="72">
        <f>IFERROR(IF(INDEX('İş Planı'!$I$5:$I$204,ROW()-4)="","",INDEX('İş Planı'!$I$5:$I$204,ROW()-4)),"")</f>
        <v/>
      </c>
      <c r="D187" s="72">
        <f>IFERROR(IF(INDEX('İş Planı'!$M$5:$M$204,ROW()-4)="","",INDEX('İş Planı'!$M$5:$M$204,ROW()-4)),"")</f>
        <v/>
      </c>
      <c r="E187" s="71">
        <f>IFERROR(IF(INDEX('İş Planı'!$O$5:$O$204,ROW()-4)="","",INDEX('İş Planı'!$O$5:$O$204,ROW()-4)),"")</f>
        <v/>
      </c>
      <c r="F187" s="83" t="n"/>
      <c r="G187" s="83" t="n"/>
      <c r="H187" s="83" t="n"/>
      <c r="I187" s="83" t="n"/>
      <c r="J187" s="83" t="n"/>
      <c r="K187" s="83" t="n"/>
      <c r="L187" s="83" t="n"/>
      <c r="M187" s="83" t="n"/>
      <c r="N187" s="83" t="n"/>
      <c r="O187" s="83" t="n"/>
      <c r="P187" s="83" t="n"/>
      <c r="Q187" s="83" t="n"/>
      <c r="R187" s="83" t="n"/>
      <c r="S187" s="83" t="n"/>
      <c r="T187" s="83" t="n"/>
      <c r="U187" s="83" t="n"/>
      <c r="V187" s="83" t="n"/>
      <c r="W187" s="83" t="n"/>
      <c r="X187" s="83" t="n"/>
      <c r="Y187" s="83" t="n"/>
      <c r="Z187" s="83" t="n"/>
      <c r="AA187" s="83" t="n"/>
      <c r="AB187" s="83" t="n"/>
      <c r="AC187" s="83" t="n"/>
      <c r="AD187" s="83" t="n"/>
      <c r="AE187" s="83" t="n"/>
      <c r="AF187" s="83" t="n"/>
      <c r="AG187" s="83" t="n"/>
      <c r="AH187" s="83" t="n"/>
      <c r="AI187" s="83" t="n"/>
      <c r="AJ187" s="83" t="n"/>
      <c r="AK187" s="83" t="n"/>
      <c r="AL187" s="83" t="n"/>
      <c r="AM187" s="83" t="n"/>
      <c r="AN187" s="83" t="n"/>
      <c r="AO187" s="83" t="n"/>
      <c r="AP187" s="83" t="n"/>
      <c r="AQ187" s="83" t="n"/>
      <c r="AR187" s="83" t="n"/>
      <c r="AS187" s="83" t="n"/>
      <c r="AT187" s="83" t="n"/>
      <c r="AU187" s="83" t="n"/>
      <c r="AV187" s="83" t="n"/>
      <c r="AW187" s="83" t="n"/>
      <c r="AX187" s="83" t="n"/>
      <c r="AY187" s="83" t="n"/>
      <c r="AZ187" s="83" t="n"/>
      <c r="BA187" s="83" t="n"/>
      <c r="BB187" s="83" t="n"/>
      <c r="BC187" s="83" t="n"/>
      <c r="BD187" s="83" t="n"/>
      <c r="BE187" s="83" t="n"/>
    </row>
    <row r="188" ht="18" customHeight="1">
      <c r="A188" s="55">
        <f>IFERROR(IF(INDEX('İş Planı'!$C$5:$C$204,ROW()-4)="","",INDEX('İş Planı'!$C$5:$C$204,ROW()-4)),"")</f>
        <v/>
      </c>
      <c r="B188" s="55">
        <f>IFERROR(IF(INDEX('İş Planı'!$B$5:$B$204,ROW()-4)="","",INDEX('İş Planı'!$B$5:$B$204,ROW()-4)),"")</f>
        <v/>
      </c>
      <c r="C188" s="72">
        <f>IFERROR(IF(INDEX('İş Planı'!$I$5:$I$204,ROW()-4)="","",INDEX('İş Planı'!$I$5:$I$204,ROW()-4)),"")</f>
        <v/>
      </c>
      <c r="D188" s="72">
        <f>IFERROR(IF(INDEX('İş Planı'!$M$5:$M$204,ROW()-4)="","",INDEX('İş Planı'!$M$5:$M$204,ROW()-4)),"")</f>
        <v/>
      </c>
      <c r="E188" s="71">
        <f>IFERROR(IF(INDEX('İş Planı'!$O$5:$O$204,ROW()-4)="","",INDEX('İş Planı'!$O$5:$O$204,ROW()-4)),"")</f>
        <v/>
      </c>
      <c r="F188" s="83" t="n"/>
      <c r="G188" s="83" t="n"/>
      <c r="H188" s="83" t="n"/>
      <c r="I188" s="83" t="n"/>
      <c r="J188" s="83" t="n"/>
      <c r="K188" s="83" t="n"/>
      <c r="L188" s="83" t="n"/>
      <c r="M188" s="83" t="n"/>
      <c r="N188" s="83" t="n"/>
      <c r="O188" s="83" t="n"/>
      <c r="P188" s="83" t="n"/>
      <c r="Q188" s="83" t="n"/>
      <c r="R188" s="83" t="n"/>
      <c r="S188" s="83" t="n"/>
      <c r="T188" s="83" t="n"/>
      <c r="U188" s="83" t="n"/>
      <c r="V188" s="83" t="n"/>
      <c r="W188" s="83" t="n"/>
      <c r="X188" s="83" t="n"/>
      <c r="Y188" s="83" t="n"/>
      <c r="Z188" s="83" t="n"/>
      <c r="AA188" s="83" t="n"/>
      <c r="AB188" s="83" t="n"/>
      <c r="AC188" s="83" t="n"/>
      <c r="AD188" s="83" t="n"/>
      <c r="AE188" s="83" t="n"/>
      <c r="AF188" s="83" t="n"/>
      <c r="AG188" s="83" t="n"/>
      <c r="AH188" s="83" t="n"/>
      <c r="AI188" s="83" t="n"/>
      <c r="AJ188" s="83" t="n"/>
      <c r="AK188" s="83" t="n"/>
      <c r="AL188" s="83" t="n"/>
      <c r="AM188" s="83" t="n"/>
      <c r="AN188" s="83" t="n"/>
      <c r="AO188" s="83" t="n"/>
      <c r="AP188" s="83" t="n"/>
      <c r="AQ188" s="83" t="n"/>
      <c r="AR188" s="83" t="n"/>
      <c r="AS188" s="83" t="n"/>
      <c r="AT188" s="83" t="n"/>
      <c r="AU188" s="83" t="n"/>
      <c r="AV188" s="83" t="n"/>
      <c r="AW188" s="83" t="n"/>
      <c r="AX188" s="83" t="n"/>
      <c r="AY188" s="83" t="n"/>
      <c r="AZ188" s="83" t="n"/>
      <c r="BA188" s="83" t="n"/>
      <c r="BB188" s="83" t="n"/>
      <c r="BC188" s="83" t="n"/>
      <c r="BD188" s="83" t="n"/>
      <c r="BE188" s="83" t="n"/>
    </row>
    <row r="189" ht="18" customHeight="1">
      <c r="A189" s="55">
        <f>IFERROR(IF(INDEX('İş Planı'!$C$5:$C$204,ROW()-4)="","",INDEX('İş Planı'!$C$5:$C$204,ROW()-4)),"")</f>
        <v/>
      </c>
      <c r="B189" s="55">
        <f>IFERROR(IF(INDEX('İş Planı'!$B$5:$B$204,ROW()-4)="","",INDEX('İş Planı'!$B$5:$B$204,ROW()-4)),"")</f>
        <v/>
      </c>
      <c r="C189" s="72">
        <f>IFERROR(IF(INDEX('İş Planı'!$I$5:$I$204,ROW()-4)="","",INDEX('İş Planı'!$I$5:$I$204,ROW()-4)),"")</f>
        <v/>
      </c>
      <c r="D189" s="72">
        <f>IFERROR(IF(INDEX('İş Planı'!$M$5:$M$204,ROW()-4)="","",INDEX('İş Planı'!$M$5:$M$204,ROW()-4)),"")</f>
        <v/>
      </c>
      <c r="E189" s="71">
        <f>IFERROR(IF(INDEX('İş Planı'!$O$5:$O$204,ROW()-4)="","",INDEX('İş Planı'!$O$5:$O$204,ROW()-4)),"")</f>
        <v/>
      </c>
      <c r="F189" s="83" t="n"/>
      <c r="G189" s="83" t="n"/>
      <c r="H189" s="83" t="n"/>
      <c r="I189" s="83" t="n"/>
      <c r="J189" s="83" t="n"/>
      <c r="K189" s="83" t="n"/>
      <c r="L189" s="83" t="n"/>
      <c r="M189" s="83" t="n"/>
      <c r="N189" s="83" t="n"/>
      <c r="O189" s="83" t="n"/>
      <c r="P189" s="83" t="n"/>
      <c r="Q189" s="83" t="n"/>
      <c r="R189" s="83" t="n"/>
      <c r="S189" s="83" t="n"/>
      <c r="T189" s="83" t="n"/>
      <c r="U189" s="83" t="n"/>
      <c r="V189" s="83" t="n"/>
      <c r="W189" s="83" t="n"/>
      <c r="X189" s="83" t="n"/>
      <c r="Y189" s="83" t="n"/>
      <c r="Z189" s="83" t="n"/>
      <c r="AA189" s="83" t="n"/>
      <c r="AB189" s="83" t="n"/>
      <c r="AC189" s="83" t="n"/>
      <c r="AD189" s="83" t="n"/>
      <c r="AE189" s="83" t="n"/>
      <c r="AF189" s="83" t="n"/>
      <c r="AG189" s="83" t="n"/>
      <c r="AH189" s="83" t="n"/>
      <c r="AI189" s="83" t="n"/>
      <c r="AJ189" s="83" t="n"/>
      <c r="AK189" s="83" t="n"/>
      <c r="AL189" s="83" t="n"/>
      <c r="AM189" s="83" t="n"/>
      <c r="AN189" s="83" t="n"/>
      <c r="AO189" s="83" t="n"/>
      <c r="AP189" s="83" t="n"/>
      <c r="AQ189" s="83" t="n"/>
      <c r="AR189" s="83" t="n"/>
      <c r="AS189" s="83" t="n"/>
      <c r="AT189" s="83" t="n"/>
      <c r="AU189" s="83" t="n"/>
      <c r="AV189" s="83" t="n"/>
      <c r="AW189" s="83" t="n"/>
      <c r="AX189" s="83" t="n"/>
      <c r="AY189" s="83" t="n"/>
      <c r="AZ189" s="83" t="n"/>
      <c r="BA189" s="83" t="n"/>
      <c r="BB189" s="83" t="n"/>
      <c r="BC189" s="83" t="n"/>
      <c r="BD189" s="83" t="n"/>
      <c r="BE189" s="83" t="n"/>
    </row>
    <row r="190" ht="18" customHeight="1">
      <c r="A190" s="55">
        <f>IFERROR(IF(INDEX('İş Planı'!$C$5:$C$204,ROW()-4)="","",INDEX('İş Planı'!$C$5:$C$204,ROW()-4)),"")</f>
        <v/>
      </c>
      <c r="B190" s="55">
        <f>IFERROR(IF(INDEX('İş Planı'!$B$5:$B$204,ROW()-4)="","",INDEX('İş Planı'!$B$5:$B$204,ROW()-4)),"")</f>
        <v/>
      </c>
      <c r="C190" s="72">
        <f>IFERROR(IF(INDEX('İş Planı'!$I$5:$I$204,ROW()-4)="","",INDEX('İş Planı'!$I$5:$I$204,ROW()-4)),"")</f>
        <v/>
      </c>
      <c r="D190" s="72">
        <f>IFERROR(IF(INDEX('İş Planı'!$M$5:$M$204,ROW()-4)="","",INDEX('İş Planı'!$M$5:$M$204,ROW()-4)),"")</f>
        <v/>
      </c>
      <c r="E190" s="71">
        <f>IFERROR(IF(INDEX('İş Planı'!$O$5:$O$204,ROW()-4)="","",INDEX('İş Planı'!$O$5:$O$204,ROW()-4)),"")</f>
        <v/>
      </c>
      <c r="F190" s="83" t="n"/>
      <c r="G190" s="83" t="n"/>
      <c r="H190" s="83" t="n"/>
      <c r="I190" s="83" t="n"/>
      <c r="J190" s="83" t="n"/>
      <c r="K190" s="83" t="n"/>
      <c r="L190" s="83" t="n"/>
      <c r="M190" s="83" t="n"/>
      <c r="N190" s="83" t="n"/>
      <c r="O190" s="83" t="n"/>
      <c r="P190" s="83" t="n"/>
      <c r="Q190" s="83" t="n"/>
      <c r="R190" s="83" t="n"/>
      <c r="S190" s="83" t="n"/>
      <c r="T190" s="83" t="n"/>
      <c r="U190" s="83" t="n"/>
      <c r="V190" s="83" t="n"/>
      <c r="W190" s="83" t="n"/>
      <c r="X190" s="83" t="n"/>
      <c r="Y190" s="83" t="n"/>
      <c r="Z190" s="83" t="n"/>
      <c r="AA190" s="83" t="n"/>
      <c r="AB190" s="83" t="n"/>
      <c r="AC190" s="83" t="n"/>
      <c r="AD190" s="83" t="n"/>
      <c r="AE190" s="83" t="n"/>
      <c r="AF190" s="83" t="n"/>
      <c r="AG190" s="83" t="n"/>
      <c r="AH190" s="83" t="n"/>
      <c r="AI190" s="83" t="n"/>
      <c r="AJ190" s="83" t="n"/>
      <c r="AK190" s="83" t="n"/>
      <c r="AL190" s="83" t="n"/>
      <c r="AM190" s="83" t="n"/>
      <c r="AN190" s="83" t="n"/>
      <c r="AO190" s="83" t="n"/>
      <c r="AP190" s="83" t="n"/>
      <c r="AQ190" s="83" t="n"/>
      <c r="AR190" s="83" t="n"/>
      <c r="AS190" s="83" t="n"/>
      <c r="AT190" s="83" t="n"/>
      <c r="AU190" s="83" t="n"/>
      <c r="AV190" s="83" t="n"/>
      <c r="AW190" s="83" t="n"/>
      <c r="AX190" s="83" t="n"/>
      <c r="AY190" s="83" t="n"/>
      <c r="AZ190" s="83" t="n"/>
      <c r="BA190" s="83" t="n"/>
      <c r="BB190" s="83" t="n"/>
      <c r="BC190" s="83" t="n"/>
      <c r="BD190" s="83" t="n"/>
      <c r="BE190" s="83" t="n"/>
    </row>
    <row r="191" ht="18" customHeight="1">
      <c r="A191" s="55">
        <f>IFERROR(IF(INDEX('İş Planı'!$C$5:$C$204,ROW()-4)="","",INDEX('İş Planı'!$C$5:$C$204,ROW()-4)),"")</f>
        <v/>
      </c>
      <c r="B191" s="55">
        <f>IFERROR(IF(INDEX('İş Planı'!$B$5:$B$204,ROW()-4)="","",INDEX('İş Planı'!$B$5:$B$204,ROW()-4)),"")</f>
        <v/>
      </c>
      <c r="C191" s="72">
        <f>IFERROR(IF(INDEX('İş Planı'!$I$5:$I$204,ROW()-4)="","",INDEX('İş Planı'!$I$5:$I$204,ROW()-4)),"")</f>
        <v/>
      </c>
      <c r="D191" s="72">
        <f>IFERROR(IF(INDEX('İş Planı'!$M$5:$M$204,ROW()-4)="","",INDEX('İş Planı'!$M$5:$M$204,ROW()-4)),"")</f>
        <v/>
      </c>
      <c r="E191" s="71">
        <f>IFERROR(IF(INDEX('İş Planı'!$O$5:$O$204,ROW()-4)="","",INDEX('İş Planı'!$O$5:$O$204,ROW()-4)),"")</f>
        <v/>
      </c>
      <c r="F191" s="83" t="n"/>
      <c r="G191" s="83" t="n"/>
      <c r="H191" s="83" t="n"/>
      <c r="I191" s="83" t="n"/>
      <c r="J191" s="83" t="n"/>
      <c r="K191" s="83" t="n"/>
      <c r="L191" s="83" t="n"/>
      <c r="M191" s="83" t="n"/>
      <c r="N191" s="83" t="n"/>
      <c r="O191" s="83" t="n"/>
      <c r="P191" s="83" t="n"/>
      <c r="Q191" s="83" t="n"/>
      <c r="R191" s="83" t="n"/>
      <c r="S191" s="83" t="n"/>
      <c r="T191" s="83" t="n"/>
      <c r="U191" s="83" t="n"/>
      <c r="V191" s="83" t="n"/>
      <c r="W191" s="83" t="n"/>
      <c r="X191" s="83" t="n"/>
      <c r="Y191" s="83" t="n"/>
      <c r="Z191" s="83" t="n"/>
      <c r="AA191" s="83" t="n"/>
      <c r="AB191" s="83" t="n"/>
      <c r="AC191" s="83" t="n"/>
      <c r="AD191" s="83" t="n"/>
      <c r="AE191" s="83" t="n"/>
      <c r="AF191" s="83" t="n"/>
      <c r="AG191" s="83" t="n"/>
      <c r="AH191" s="83" t="n"/>
      <c r="AI191" s="83" t="n"/>
      <c r="AJ191" s="83" t="n"/>
      <c r="AK191" s="83" t="n"/>
      <c r="AL191" s="83" t="n"/>
      <c r="AM191" s="83" t="n"/>
      <c r="AN191" s="83" t="n"/>
      <c r="AO191" s="83" t="n"/>
      <c r="AP191" s="83" t="n"/>
      <c r="AQ191" s="83" t="n"/>
      <c r="AR191" s="83" t="n"/>
      <c r="AS191" s="83" t="n"/>
      <c r="AT191" s="83" t="n"/>
      <c r="AU191" s="83" t="n"/>
      <c r="AV191" s="83" t="n"/>
      <c r="AW191" s="83" t="n"/>
      <c r="AX191" s="83" t="n"/>
      <c r="AY191" s="83" t="n"/>
      <c r="AZ191" s="83" t="n"/>
      <c r="BA191" s="83" t="n"/>
      <c r="BB191" s="83" t="n"/>
      <c r="BC191" s="83" t="n"/>
      <c r="BD191" s="83" t="n"/>
      <c r="BE191" s="83" t="n"/>
    </row>
    <row r="192" ht="18" customHeight="1">
      <c r="A192" s="55">
        <f>IFERROR(IF(INDEX('İş Planı'!$C$5:$C$204,ROW()-4)="","",INDEX('İş Planı'!$C$5:$C$204,ROW()-4)),"")</f>
        <v/>
      </c>
      <c r="B192" s="55">
        <f>IFERROR(IF(INDEX('İş Planı'!$B$5:$B$204,ROW()-4)="","",INDEX('İş Planı'!$B$5:$B$204,ROW()-4)),"")</f>
        <v/>
      </c>
      <c r="C192" s="72">
        <f>IFERROR(IF(INDEX('İş Planı'!$I$5:$I$204,ROW()-4)="","",INDEX('İş Planı'!$I$5:$I$204,ROW()-4)),"")</f>
        <v/>
      </c>
      <c r="D192" s="72">
        <f>IFERROR(IF(INDEX('İş Planı'!$M$5:$M$204,ROW()-4)="","",INDEX('İş Planı'!$M$5:$M$204,ROW()-4)),"")</f>
        <v/>
      </c>
      <c r="E192" s="71">
        <f>IFERROR(IF(INDEX('İş Planı'!$O$5:$O$204,ROW()-4)="","",INDEX('İş Planı'!$O$5:$O$204,ROW()-4)),"")</f>
        <v/>
      </c>
      <c r="F192" s="83" t="n"/>
      <c r="G192" s="83" t="n"/>
      <c r="H192" s="83" t="n"/>
      <c r="I192" s="83" t="n"/>
      <c r="J192" s="83" t="n"/>
      <c r="K192" s="83" t="n"/>
      <c r="L192" s="83" t="n"/>
      <c r="M192" s="83" t="n"/>
      <c r="N192" s="83" t="n"/>
      <c r="O192" s="83" t="n"/>
      <c r="P192" s="83" t="n"/>
      <c r="Q192" s="83" t="n"/>
      <c r="R192" s="83" t="n"/>
      <c r="S192" s="83" t="n"/>
      <c r="T192" s="83" t="n"/>
      <c r="U192" s="83" t="n"/>
      <c r="V192" s="83" t="n"/>
      <c r="W192" s="83" t="n"/>
      <c r="X192" s="83" t="n"/>
      <c r="Y192" s="83" t="n"/>
      <c r="Z192" s="83" t="n"/>
      <c r="AA192" s="83" t="n"/>
      <c r="AB192" s="83" t="n"/>
      <c r="AC192" s="83" t="n"/>
      <c r="AD192" s="83" t="n"/>
      <c r="AE192" s="83" t="n"/>
      <c r="AF192" s="83" t="n"/>
      <c r="AG192" s="83" t="n"/>
      <c r="AH192" s="83" t="n"/>
      <c r="AI192" s="83" t="n"/>
      <c r="AJ192" s="83" t="n"/>
      <c r="AK192" s="83" t="n"/>
      <c r="AL192" s="83" t="n"/>
      <c r="AM192" s="83" t="n"/>
      <c r="AN192" s="83" t="n"/>
      <c r="AO192" s="83" t="n"/>
      <c r="AP192" s="83" t="n"/>
      <c r="AQ192" s="83" t="n"/>
      <c r="AR192" s="83" t="n"/>
      <c r="AS192" s="83" t="n"/>
      <c r="AT192" s="83" t="n"/>
      <c r="AU192" s="83" t="n"/>
      <c r="AV192" s="83" t="n"/>
      <c r="AW192" s="83" t="n"/>
      <c r="AX192" s="83" t="n"/>
      <c r="AY192" s="83" t="n"/>
      <c r="AZ192" s="83" t="n"/>
      <c r="BA192" s="83" t="n"/>
      <c r="BB192" s="83" t="n"/>
      <c r="BC192" s="83" t="n"/>
      <c r="BD192" s="83" t="n"/>
      <c r="BE192" s="83" t="n"/>
    </row>
    <row r="193" ht="18" customHeight="1">
      <c r="A193" s="55">
        <f>IFERROR(IF(INDEX('İş Planı'!$C$5:$C$204,ROW()-4)="","",INDEX('İş Planı'!$C$5:$C$204,ROW()-4)),"")</f>
        <v/>
      </c>
      <c r="B193" s="55">
        <f>IFERROR(IF(INDEX('İş Planı'!$B$5:$B$204,ROW()-4)="","",INDEX('İş Planı'!$B$5:$B$204,ROW()-4)),"")</f>
        <v/>
      </c>
      <c r="C193" s="72">
        <f>IFERROR(IF(INDEX('İş Planı'!$I$5:$I$204,ROW()-4)="","",INDEX('İş Planı'!$I$5:$I$204,ROW()-4)),"")</f>
        <v/>
      </c>
      <c r="D193" s="72">
        <f>IFERROR(IF(INDEX('İş Planı'!$M$5:$M$204,ROW()-4)="","",INDEX('İş Planı'!$M$5:$M$204,ROW()-4)),"")</f>
        <v/>
      </c>
      <c r="E193" s="71">
        <f>IFERROR(IF(INDEX('İş Planı'!$O$5:$O$204,ROW()-4)="","",INDEX('İş Planı'!$O$5:$O$204,ROW()-4)),"")</f>
        <v/>
      </c>
      <c r="F193" s="83" t="n"/>
      <c r="G193" s="83" t="n"/>
      <c r="H193" s="83" t="n"/>
      <c r="I193" s="83" t="n"/>
      <c r="J193" s="83" t="n"/>
      <c r="K193" s="83" t="n"/>
      <c r="L193" s="83" t="n"/>
      <c r="M193" s="83" t="n"/>
      <c r="N193" s="83" t="n"/>
      <c r="O193" s="83" t="n"/>
      <c r="P193" s="83" t="n"/>
      <c r="Q193" s="83" t="n"/>
      <c r="R193" s="83" t="n"/>
      <c r="S193" s="83" t="n"/>
      <c r="T193" s="83" t="n"/>
      <c r="U193" s="83" t="n"/>
      <c r="V193" s="83" t="n"/>
      <c r="W193" s="83" t="n"/>
      <c r="X193" s="83" t="n"/>
      <c r="Y193" s="83" t="n"/>
      <c r="Z193" s="83" t="n"/>
      <c r="AA193" s="83" t="n"/>
      <c r="AB193" s="83" t="n"/>
      <c r="AC193" s="83" t="n"/>
      <c r="AD193" s="83" t="n"/>
      <c r="AE193" s="83" t="n"/>
      <c r="AF193" s="83" t="n"/>
      <c r="AG193" s="83" t="n"/>
      <c r="AH193" s="83" t="n"/>
      <c r="AI193" s="83" t="n"/>
      <c r="AJ193" s="83" t="n"/>
      <c r="AK193" s="83" t="n"/>
      <c r="AL193" s="83" t="n"/>
      <c r="AM193" s="83" t="n"/>
      <c r="AN193" s="83" t="n"/>
      <c r="AO193" s="83" t="n"/>
      <c r="AP193" s="83" t="n"/>
      <c r="AQ193" s="83" t="n"/>
      <c r="AR193" s="83" t="n"/>
      <c r="AS193" s="83" t="n"/>
      <c r="AT193" s="83" t="n"/>
      <c r="AU193" s="83" t="n"/>
      <c r="AV193" s="83" t="n"/>
      <c r="AW193" s="83" t="n"/>
      <c r="AX193" s="83" t="n"/>
      <c r="AY193" s="83" t="n"/>
      <c r="AZ193" s="83" t="n"/>
      <c r="BA193" s="83" t="n"/>
      <c r="BB193" s="83" t="n"/>
      <c r="BC193" s="83" t="n"/>
      <c r="BD193" s="83" t="n"/>
      <c r="BE193" s="83" t="n"/>
    </row>
    <row r="194" ht="18" customHeight="1">
      <c r="A194" s="55">
        <f>IFERROR(IF(INDEX('İş Planı'!$C$5:$C$204,ROW()-4)="","",INDEX('İş Planı'!$C$5:$C$204,ROW()-4)),"")</f>
        <v/>
      </c>
      <c r="B194" s="55">
        <f>IFERROR(IF(INDEX('İş Planı'!$B$5:$B$204,ROW()-4)="","",INDEX('İş Planı'!$B$5:$B$204,ROW()-4)),"")</f>
        <v/>
      </c>
      <c r="C194" s="72">
        <f>IFERROR(IF(INDEX('İş Planı'!$I$5:$I$204,ROW()-4)="","",INDEX('İş Planı'!$I$5:$I$204,ROW()-4)),"")</f>
        <v/>
      </c>
      <c r="D194" s="72">
        <f>IFERROR(IF(INDEX('İş Planı'!$M$5:$M$204,ROW()-4)="","",INDEX('İş Planı'!$M$5:$M$204,ROW()-4)),"")</f>
        <v/>
      </c>
      <c r="E194" s="71">
        <f>IFERROR(IF(INDEX('İş Planı'!$O$5:$O$204,ROW()-4)="","",INDEX('İş Planı'!$O$5:$O$204,ROW()-4)),"")</f>
        <v/>
      </c>
      <c r="F194" s="83" t="n"/>
      <c r="G194" s="83" t="n"/>
      <c r="H194" s="83" t="n"/>
      <c r="I194" s="83" t="n"/>
      <c r="J194" s="83" t="n"/>
      <c r="K194" s="83" t="n"/>
      <c r="L194" s="83" t="n"/>
      <c r="M194" s="83" t="n"/>
      <c r="N194" s="83" t="n"/>
      <c r="O194" s="83" t="n"/>
      <c r="P194" s="83" t="n"/>
      <c r="Q194" s="83" t="n"/>
      <c r="R194" s="83" t="n"/>
      <c r="S194" s="83" t="n"/>
      <c r="T194" s="83" t="n"/>
      <c r="U194" s="83" t="n"/>
      <c r="V194" s="83" t="n"/>
      <c r="W194" s="83" t="n"/>
      <c r="X194" s="83" t="n"/>
      <c r="Y194" s="83" t="n"/>
      <c r="Z194" s="83" t="n"/>
      <c r="AA194" s="83" t="n"/>
      <c r="AB194" s="83" t="n"/>
      <c r="AC194" s="83" t="n"/>
      <c r="AD194" s="83" t="n"/>
      <c r="AE194" s="83" t="n"/>
      <c r="AF194" s="83" t="n"/>
      <c r="AG194" s="83" t="n"/>
      <c r="AH194" s="83" t="n"/>
      <c r="AI194" s="83" t="n"/>
      <c r="AJ194" s="83" t="n"/>
      <c r="AK194" s="83" t="n"/>
      <c r="AL194" s="83" t="n"/>
      <c r="AM194" s="83" t="n"/>
      <c r="AN194" s="83" t="n"/>
      <c r="AO194" s="83" t="n"/>
      <c r="AP194" s="83" t="n"/>
      <c r="AQ194" s="83" t="n"/>
      <c r="AR194" s="83" t="n"/>
      <c r="AS194" s="83" t="n"/>
      <c r="AT194" s="83" t="n"/>
      <c r="AU194" s="83" t="n"/>
      <c r="AV194" s="83" t="n"/>
      <c r="AW194" s="83" t="n"/>
      <c r="AX194" s="83" t="n"/>
      <c r="AY194" s="83" t="n"/>
      <c r="AZ194" s="83" t="n"/>
      <c r="BA194" s="83" t="n"/>
      <c r="BB194" s="83" t="n"/>
      <c r="BC194" s="83" t="n"/>
      <c r="BD194" s="83" t="n"/>
      <c r="BE194" s="83" t="n"/>
    </row>
    <row r="195" ht="18" customHeight="1">
      <c r="A195" s="55">
        <f>IFERROR(IF(INDEX('İş Planı'!$C$5:$C$204,ROW()-4)="","",INDEX('İş Planı'!$C$5:$C$204,ROW()-4)),"")</f>
        <v/>
      </c>
      <c r="B195" s="55">
        <f>IFERROR(IF(INDEX('İş Planı'!$B$5:$B$204,ROW()-4)="","",INDEX('İş Planı'!$B$5:$B$204,ROW()-4)),"")</f>
        <v/>
      </c>
      <c r="C195" s="72">
        <f>IFERROR(IF(INDEX('İş Planı'!$I$5:$I$204,ROW()-4)="","",INDEX('İş Planı'!$I$5:$I$204,ROW()-4)),"")</f>
        <v/>
      </c>
      <c r="D195" s="72">
        <f>IFERROR(IF(INDEX('İş Planı'!$M$5:$M$204,ROW()-4)="","",INDEX('İş Planı'!$M$5:$M$204,ROW()-4)),"")</f>
        <v/>
      </c>
      <c r="E195" s="71">
        <f>IFERROR(IF(INDEX('İş Planı'!$O$5:$O$204,ROW()-4)="","",INDEX('İş Planı'!$O$5:$O$204,ROW()-4)),"")</f>
        <v/>
      </c>
      <c r="F195" s="83" t="n"/>
      <c r="G195" s="83" t="n"/>
      <c r="H195" s="83" t="n"/>
      <c r="I195" s="83" t="n"/>
      <c r="J195" s="83" t="n"/>
      <c r="K195" s="83" t="n"/>
      <c r="L195" s="83" t="n"/>
      <c r="M195" s="83" t="n"/>
      <c r="N195" s="83" t="n"/>
      <c r="O195" s="83" t="n"/>
      <c r="P195" s="83" t="n"/>
      <c r="Q195" s="83" t="n"/>
      <c r="R195" s="83" t="n"/>
      <c r="S195" s="83" t="n"/>
      <c r="T195" s="83" t="n"/>
      <c r="U195" s="83" t="n"/>
      <c r="V195" s="83" t="n"/>
      <c r="W195" s="83" t="n"/>
      <c r="X195" s="83" t="n"/>
      <c r="Y195" s="83" t="n"/>
      <c r="Z195" s="83" t="n"/>
      <c r="AA195" s="83" t="n"/>
      <c r="AB195" s="83" t="n"/>
      <c r="AC195" s="83" t="n"/>
      <c r="AD195" s="83" t="n"/>
      <c r="AE195" s="83" t="n"/>
      <c r="AF195" s="83" t="n"/>
      <c r="AG195" s="83" t="n"/>
      <c r="AH195" s="83" t="n"/>
      <c r="AI195" s="83" t="n"/>
      <c r="AJ195" s="83" t="n"/>
      <c r="AK195" s="83" t="n"/>
      <c r="AL195" s="83" t="n"/>
      <c r="AM195" s="83" t="n"/>
      <c r="AN195" s="83" t="n"/>
      <c r="AO195" s="83" t="n"/>
      <c r="AP195" s="83" t="n"/>
      <c r="AQ195" s="83" t="n"/>
      <c r="AR195" s="83" t="n"/>
      <c r="AS195" s="83" t="n"/>
      <c r="AT195" s="83" t="n"/>
      <c r="AU195" s="83" t="n"/>
      <c r="AV195" s="83" t="n"/>
      <c r="AW195" s="83" t="n"/>
      <c r="AX195" s="83" t="n"/>
      <c r="AY195" s="83" t="n"/>
      <c r="AZ195" s="83" t="n"/>
      <c r="BA195" s="83" t="n"/>
      <c r="BB195" s="83" t="n"/>
      <c r="BC195" s="83" t="n"/>
      <c r="BD195" s="83" t="n"/>
      <c r="BE195" s="83" t="n"/>
    </row>
    <row r="196" ht="18" customHeight="1">
      <c r="A196" s="55">
        <f>IFERROR(IF(INDEX('İş Planı'!$C$5:$C$204,ROW()-4)="","",INDEX('İş Planı'!$C$5:$C$204,ROW()-4)),"")</f>
        <v/>
      </c>
      <c r="B196" s="55">
        <f>IFERROR(IF(INDEX('İş Planı'!$B$5:$B$204,ROW()-4)="","",INDEX('İş Planı'!$B$5:$B$204,ROW()-4)),"")</f>
        <v/>
      </c>
      <c r="C196" s="72">
        <f>IFERROR(IF(INDEX('İş Planı'!$I$5:$I$204,ROW()-4)="","",INDEX('İş Planı'!$I$5:$I$204,ROW()-4)),"")</f>
        <v/>
      </c>
      <c r="D196" s="72">
        <f>IFERROR(IF(INDEX('İş Planı'!$M$5:$M$204,ROW()-4)="","",INDEX('İş Planı'!$M$5:$M$204,ROW()-4)),"")</f>
        <v/>
      </c>
      <c r="E196" s="71">
        <f>IFERROR(IF(INDEX('İş Planı'!$O$5:$O$204,ROW()-4)="","",INDEX('İş Planı'!$O$5:$O$204,ROW()-4)),"")</f>
        <v/>
      </c>
      <c r="F196" s="83" t="n"/>
      <c r="G196" s="83" t="n"/>
      <c r="H196" s="83" t="n"/>
      <c r="I196" s="83" t="n"/>
      <c r="J196" s="83" t="n"/>
      <c r="K196" s="83" t="n"/>
      <c r="L196" s="83" t="n"/>
      <c r="M196" s="83" t="n"/>
      <c r="N196" s="83" t="n"/>
      <c r="O196" s="83" t="n"/>
      <c r="P196" s="83" t="n"/>
      <c r="Q196" s="83" t="n"/>
      <c r="R196" s="83" t="n"/>
      <c r="S196" s="83" t="n"/>
      <c r="T196" s="83" t="n"/>
      <c r="U196" s="83" t="n"/>
      <c r="V196" s="83" t="n"/>
      <c r="W196" s="83" t="n"/>
      <c r="X196" s="83" t="n"/>
      <c r="Y196" s="83" t="n"/>
      <c r="Z196" s="83" t="n"/>
      <c r="AA196" s="83" t="n"/>
      <c r="AB196" s="83" t="n"/>
      <c r="AC196" s="83" t="n"/>
      <c r="AD196" s="83" t="n"/>
      <c r="AE196" s="83" t="n"/>
      <c r="AF196" s="83" t="n"/>
      <c r="AG196" s="83" t="n"/>
      <c r="AH196" s="83" t="n"/>
      <c r="AI196" s="83" t="n"/>
      <c r="AJ196" s="83" t="n"/>
      <c r="AK196" s="83" t="n"/>
      <c r="AL196" s="83" t="n"/>
      <c r="AM196" s="83" t="n"/>
      <c r="AN196" s="83" t="n"/>
      <c r="AO196" s="83" t="n"/>
      <c r="AP196" s="83" t="n"/>
      <c r="AQ196" s="83" t="n"/>
      <c r="AR196" s="83" t="n"/>
      <c r="AS196" s="83" t="n"/>
      <c r="AT196" s="83" t="n"/>
      <c r="AU196" s="83" t="n"/>
      <c r="AV196" s="83" t="n"/>
      <c r="AW196" s="83" t="n"/>
      <c r="AX196" s="83" t="n"/>
      <c r="AY196" s="83" t="n"/>
      <c r="AZ196" s="83" t="n"/>
      <c r="BA196" s="83" t="n"/>
      <c r="BB196" s="83" t="n"/>
      <c r="BC196" s="83" t="n"/>
      <c r="BD196" s="83" t="n"/>
      <c r="BE196" s="83" t="n"/>
    </row>
    <row r="197" ht="18" customHeight="1">
      <c r="A197" s="55">
        <f>IFERROR(IF(INDEX('İş Planı'!$C$5:$C$204,ROW()-4)="","",INDEX('İş Planı'!$C$5:$C$204,ROW()-4)),"")</f>
        <v/>
      </c>
      <c r="B197" s="55">
        <f>IFERROR(IF(INDEX('İş Planı'!$B$5:$B$204,ROW()-4)="","",INDEX('İş Planı'!$B$5:$B$204,ROW()-4)),"")</f>
        <v/>
      </c>
      <c r="C197" s="72">
        <f>IFERROR(IF(INDEX('İş Planı'!$I$5:$I$204,ROW()-4)="","",INDEX('İş Planı'!$I$5:$I$204,ROW()-4)),"")</f>
        <v/>
      </c>
      <c r="D197" s="72">
        <f>IFERROR(IF(INDEX('İş Planı'!$M$5:$M$204,ROW()-4)="","",INDEX('İş Planı'!$M$5:$M$204,ROW()-4)),"")</f>
        <v/>
      </c>
      <c r="E197" s="71">
        <f>IFERROR(IF(INDEX('İş Planı'!$O$5:$O$204,ROW()-4)="","",INDEX('İş Planı'!$O$5:$O$204,ROW()-4)),"")</f>
        <v/>
      </c>
      <c r="F197" s="83" t="n"/>
      <c r="G197" s="83" t="n"/>
      <c r="H197" s="83" t="n"/>
      <c r="I197" s="83" t="n"/>
      <c r="J197" s="83" t="n"/>
      <c r="K197" s="83" t="n"/>
      <c r="L197" s="83" t="n"/>
      <c r="M197" s="83" t="n"/>
      <c r="N197" s="83" t="n"/>
      <c r="O197" s="83" t="n"/>
      <c r="P197" s="83" t="n"/>
      <c r="Q197" s="83" t="n"/>
      <c r="R197" s="83" t="n"/>
      <c r="S197" s="83" t="n"/>
      <c r="T197" s="83" t="n"/>
      <c r="U197" s="83" t="n"/>
      <c r="V197" s="83" t="n"/>
      <c r="W197" s="83" t="n"/>
      <c r="X197" s="83" t="n"/>
      <c r="Y197" s="83" t="n"/>
      <c r="Z197" s="83" t="n"/>
      <c r="AA197" s="83" t="n"/>
      <c r="AB197" s="83" t="n"/>
      <c r="AC197" s="83" t="n"/>
      <c r="AD197" s="83" t="n"/>
      <c r="AE197" s="83" t="n"/>
      <c r="AF197" s="83" t="n"/>
      <c r="AG197" s="83" t="n"/>
      <c r="AH197" s="83" t="n"/>
      <c r="AI197" s="83" t="n"/>
      <c r="AJ197" s="83" t="n"/>
      <c r="AK197" s="83" t="n"/>
      <c r="AL197" s="83" t="n"/>
      <c r="AM197" s="83" t="n"/>
      <c r="AN197" s="83" t="n"/>
      <c r="AO197" s="83" t="n"/>
      <c r="AP197" s="83" t="n"/>
      <c r="AQ197" s="83" t="n"/>
      <c r="AR197" s="83" t="n"/>
      <c r="AS197" s="83" t="n"/>
      <c r="AT197" s="83" t="n"/>
      <c r="AU197" s="83" t="n"/>
      <c r="AV197" s="83" t="n"/>
      <c r="AW197" s="83" t="n"/>
      <c r="AX197" s="83" t="n"/>
      <c r="AY197" s="83" t="n"/>
      <c r="AZ197" s="83" t="n"/>
      <c r="BA197" s="83" t="n"/>
      <c r="BB197" s="83" t="n"/>
      <c r="BC197" s="83" t="n"/>
      <c r="BD197" s="83" t="n"/>
      <c r="BE197" s="83" t="n"/>
    </row>
    <row r="198" ht="18" customHeight="1">
      <c r="A198" s="55">
        <f>IFERROR(IF(INDEX('İş Planı'!$C$5:$C$204,ROW()-4)="","",INDEX('İş Planı'!$C$5:$C$204,ROW()-4)),"")</f>
        <v/>
      </c>
      <c r="B198" s="55">
        <f>IFERROR(IF(INDEX('İş Planı'!$B$5:$B$204,ROW()-4)="","",INDEX('İş Planı'!$B$5:$B$204,ROW()-4)),"")</f>
        <v/>
      </c>
      <c r="C198" s="72">
        <f>IFERROR(IF(INDEX('İş Planı'!$I$5:$I$204,ROW()-4)="","",INDEX('İş Planı'!$I$5:$I$204,ROW()-4)),"")</f>
        <v/>
      </c>
      <c r="D198" s="72">
        <f>IFERROR(IF(INDEX('İş Planı'!$M$5:$M$204,ROW()-4)="","",INDEX('İş Planı'!$M$5:$M$204,ROW()-4)),"")</f>
        <v/>
      </c>
      <c r="E198" s="71">
        <f>IFERROR(IF(INDEX('İş Planı'!$O$5:$O$204,ROW()-4)="","",INDEX('İş Planı'!$O$5:$O$204,ROW()-4)),"")</f>
        <v/>
      </c>
      <c r="F198" s="83" t="n"/>
      <c r="G198" s="83" t="n"/>
      <c r="H198" s="83" t="n"/>
      <c r="I198" s="83" t="n"/>
      <c r="J198" s="83" t="n"/>
      <c r="K198" s="83" t="n"/>
      <c r="L198" s="83" t="n"/>
      <c r="M198" s="83" t="n"/>
      <c r="N198" s="83" t="n"/>
      <c r="O198" s="83" t="n"/>
      <c r="P198" s="83" t="n"/>
      <c r="Q198" s="83" t="n"/>
      <c r="R198" s="83" t="n"/>
      <c r="S198" s="83" t="n"/>
      <c r="T198" s="83" t="n"/>
      <c r="U198" s="83" t="n"/>
      <c r="V198" s="83" t="n"/>
      <c r="W198" s="83" t="n"/>
      <c r="X198" s="83" t="n"/>
      <c r="Y198" s="83" t="n"/>
      <c r="Z198" s="83" t="n"/>
      <c r="AA198" s="83" t="n"/>
      <c r="AB198" s="83" t="n"/>
      <c r="AC198" s="83" t="n"/>
      <c r="AD198" s="83" t="n"/>
      <c r="AE198" s="83" t="n"/>
      <c r="AF198" s="83" t="n"/>
      <c r="AG198" s="83" t="n"/>
      <c r="AH198" s="83" t="n"/>
      <c r="AI198" s="83" t="n"/>
      <c r="AJ198" s="83" t="n"/>
      <c r="AK198" s="83" t="n"/>
      <c r="AL198" s="83" t="n"/>
      <c r="AM198" s="83" t="n"/>
      <c r="AN198" s="83" t="n"/>
      <c r="AO198" s="83" t="n"/>
      <c r="AP198" s="83" t="n"/>
      <c r="AQ198" s="83" t="n"/>
      <c r="AR198" s="83" t="n"/>
      <c r="AS198" s="83" t="n"/>
      <c r="AT198" s="83" t="n"/>
      <c r="AU198" s="83" t="n"/>
      <c r="AV198" s="83" t="n"/>
      <c r="AW198" s="83" t="n"/>
      <c r="AX198" s="83" t="n"/>
      <c r="AY198" s="83" t="n"/>
      <c r="AZ198" s="83" t="n"/>
      <c r="BA198" s="83" t="n"/>
      <c r="BB198" s="83" t="n"/>
      <c r="BC198" s="83" t="n"/>
      <c r="BD198" s="83" t="n"/>
      <c r="BE198" s="83" t="n"/>
    </row>
    <row r="199" ht="18" customHeight="1">
      <c r="A199" s="55">
        <f>IFERROR(IF(INDEX('İş Planı'!$C$5:$C$204,ROW()-4)="","",INDEX('İş Planı'!$C$5:$C$204,ROW()-4)),"")</f>
        <v/>
      </c>
      <c r="B199" s="55">
        <f>IFERROR(IF(INDEX('İş Planı'!$B$5:$B$204,ROW()-4)="","",INDEX('İş Planı'!$B$5:$B$204,ROW()-4)),"")</f>
        <v/>
      </c>
      <c r="C199" s="72">
        <f>IFERROR(IF(INDEX('İş Planı'!$I$5:$I$204,ROW()-4)="","",INDEX('İş Planı'!$I$5:$I$204,ROW()-4)),"")</f>
        <v/>
      </c>
      <c r="D199" s="72">
        <f>IFERROR(IF(INDEX('İş Planı'!$M$5:$M$204,ROW()-4)="","",INDEX('İş Planı'!$M$5:$M$204,ROW()-4)),"")</f>
        <v/>
      </c>
      <c r="E199" s="71">
        <f>IFERROR(IF(INDEX('İş Planı'!$O$5:$O$204,ROW()-4)="","",INDEX('İş Planı'!$O$5:$O$204,ROW()-4)),"")</f>
        <v/>
      </c>
      <c r="F199" s="83" t="n"/>
      <c r="G199" s="83" t="n"/>
      <c r="H199" s="83" t="n"/>
      <c r="I199" s="83" t="n"/>
      <c r="J199" s="83" t="n"/>
      <c r="K199" s="83" t="n"/>
      <c r="L199" s="83" t="n"/>
      <c r="M199" s="83" t="n"/>
      <c r="N199" s="83" t="n"/>
      <c r="O199" s="83" t="n"/>
      <c r="P199" s="83" t="n"/>
      <c r="Q199" s="83" t="n"/>
      <c r="R199" s="83" t="n"/>
      <c r="S199" s="83" t="n"/>
      <c r="T199" s="83" t="n"/>
      <c r="U199" s="83" t="n"/>
      <c r="V199" s="83" t="n"/>
      <c r="W199" s="83" t="n"/>
      <c r="X199" s="83" t="n"/>
      <c r="Y199" s="83" t="n"/>
      <c r="Z199" s="83" t="n"/>
      <c r="AA199" s="83" t="n"/>
      <c r="AB199" s="83" t="n"/>
      <c r="AC199" s="83" t="n"/>
      <c r="AD199" s="83" t="n"/>
      <c r="AE199" s="83" t="n"/>
      <c r="AF199" s="83" t="n"/>
      <c r="AG199" s="83" t="n"/>
      <c r="AH199" s="83" t="n"/>
      <c r="AI199" s="83" t="n"/>
      <c r="AJ199" s="83" t="n"/>
      <c r="AK199" s="83" t="n"/>
      <c r="AL199" s="83" t="n"/>
      <c r="AM199" s="83" t="n"/>
      <c r="AN199" s="83" t="n"/>
      <c r="AO199" s="83" t="n"/>
      <c r="AP199" s="83" t="n"/>
      <c r="AQ199" s="83" t="n"/>
      <c r="AR199" s="83" t="n"/>
      <c r="AS199" s="83" t="n"/>
      <c r="AT199" s="83" t="n"/>
      <c r="AU199" s="83" t="n"/>
      <c r="AV199" s="83" t="n"/>
      <c r="AW199" s="83" t="n"/>
      <c r="AX199" s="83" t="n"/>
      <c r="AY199" s="83" t="n"/>
      <c r="AZ199" s="83" t="n"/>
      <c r="BA199" s="83" t="n"/>
      <c r="BB199" s="83" t="n"/>
      <c r="BC199" s="83" t="n"/>
      <c r="BD199" s="83" t="n"/>
      <c r="BE199" s="83" t="n"/>
    </row>
    <row r="200" ht="18" customHeight="1">
      <c r="A200" s="55">
        <f>IFERROR(IF(INDEX('İş Planı'!$C$5:$C$204,ROW()-4)="","",INDEX('İş Planı'!$C$5:$C$204,ROW()-4)),"")</f>
        <v/>
      </c>
      <c r="B200" s="55">
        <f>IFERROR(IF(INDEX('İş Planı'!$B$5:$B$204,ROW()-4)="","",INDEX('İş Planı'!$B$5:$B$204,ROW()-4)),"")</f>
        <v/>
      </c>
      <c r="C200" s="72">
        <f>IFERROR(IF(INDEX('İş Planı'!$I$5:$I$204,ROW()-4)="","",INDEX('İş Planı'!$I$5:$I$204,ROW()-4)),"")</f>
        <v/>
      </c>
      <c r="D200" s="72">
        <f>IFERROR(IF(INDEX('İş Planı'!$M$5:$M$204,ROW()-4)="","",INDEX('İş Planı'!$M$5:$M$204,ROW()-4)),"")</f>
        <v/>
      </c>
      <c r="E200" s="71">
        <f>IFERROR(IF(INDEX('İş Planı'!$O$5:$O$204,ROW()-4)="","",INDEX('İş Planı'!$O$5:$O$204,ROW()-4)),"")</f>
        <v/>
      </c>
      <c r="F200" s="83" t="n"/>
      <c r="G200" s="83" t="n"/>
      <c r="H200" s="83" t="n"/>
      <c r="I200" s="83" t="n"/>
      <c r="J200" s="83" t="n"/>
      <c r="K200" s="83" t="n"/>
      <c r="L200" s="83" t="n"/>
      <c r="M200" s="83" t="n"/>
      <c r="N200" s="83" t="n"/>
      <c r="O200" s="83" t="n"/>
      <c r="P200" s="83" t="n"/>
      <c r="Q200" s="83" t="n"/>
      <c r="R200" s="83" t="n"/>
      <c r="S200" s="83" t="n"/>
      <c r="T200" s="83" t="n"/>
      <c r="U200" s="83" t="n"/>
      <c r="V200" s="83" t="n"/>
      <c r="W200" s="83" t="n"/>
      <c r="X200" s="83" t="n"/>
      <c r="Y200" s="83" t="n"/>
      <c r="Z200" s="83" t="n"/>
      <c r="AA200" s="83" t="n"/>
      <c r="AB200" s="83" t="n"/>
      <c r="AC200" s="83" t="n"/>
      <c r="AD200" s="83" t="n"/>
      <c r="AE200" s="83" t="n"/>
      <c r="AF200" s="83" t="n"/>
      <c r="AG200" s="83" t="n"/>
      <c r="AH200" s="83" t="n"/>
      <c r="AI200" s="83" t="n"/>
      <c r="AJ200" s="83" t="n"/>
      <c r="AK200" s="83" t="n"/>
      <c r="AL200" s="83" t="n"/>
      <c r="AM200" s="83" t="n"/>
      <c r="AN200" s="83" t="n"/>
      <c r="AO200" s="83" t="n"/>
      <c r="AP200" s="83" t="n"/>
      <c r="AQ200" s="83" t="n"/>
      <c r="AR200" s="83" t="n"/>
      <c r="AS200" s="83" t="n"/>
      <c r="AT200" s="83" t="n"/>
      <c r="AU200" s="83" t="n"/>
      <c r="AV200" s="83" t="n"/>
      <c r="AW200" s="83" t="n"/>
      <c r="AX200" s="83" t="n"/>
      <c r="AY200" s="83" t="n"/>
      <c r="AZ200" s="83" t="n"/>
      <c r="BA200" s="83" t="n"/>
      <c r="BB200" s="83" t="n"/>
      <c r="BC200" s="83" t="n"/>
      <c r="BD200" s="83" t="n"/>
      <c r="BE200" s="83" t="n"/>
    </row>
    <row r="201" ht="18" customHeight="1">
      <c r="A201" s="55">
        <f>IFERROR(IF(INDEX('İş Planı'!$C$5:$C$204,ROW()-4)="","",INDEX('İş Planı'!$C$5:$C$204,ROW()-4)),"")</f>
        <v/>
      </c>
      <c r="B201" s="55">
        <f>IFERROR(IF(INDEX('İş Planı'!$B$5:$B$204,ROW()-4)="","",INDEX('İş Planı'!$B$5:$B$204,ROW()-4)),"")</f>
        <v/>
      </c>
      <c r="C201" s="72">
        <f>IFERROR(IF(INDEX('İş Planı'!$I$5:$I$204,ROW()-4)="","",INDEX('İş Planı'!$I$5:$I$204,ROW()-4)),"")</f>
        <v/>
      </c>
      <c r="D201" s="72">
        <f>IFERROR(IF(INDEX('İş Planı'!$M$5:$M$204,ROW()-4)="","",INDEX('İş Planı'!$M$5:$M$204,ROW()-4)),"")</f>
        <v/>
      </c>
      <c r="E201" s="71">
        <f>IFERROR(IF(INDEX('İş Planı'!$O$5:$O$204,ROW()-4)="","",INDEX('İş Planı'!$O$5:$O$204,ROW()-4)),"")</f>
        <v/>
      </c>
      <c r="F201" s="83" t="n"/>
      <c r="G201" s="83" t="n"/>
      <c r="H201" s="83" t="n"/>
      <c r="I201" s="83" t="n"/>
      <c r="J201" s="83" t="n"/>
      <c r="K201" s="83" t="n"/>
      <c r="L201" s="83" t="n"/>
      <c r="M201" s="83" t="n"/>
      <c r="N201" s="83" t="n"/>
      <c r="O201" s="83" t="n"/>
      <c r="P201" s="83" t="n"/>
      <c r="Q201" s="83" t="n"/>
      <c r="R201" s="83" t="n"/>
      <c r="S201" s="83" t="n"/>
      <c r="T201" s="83" t="n"/>
      <c r="U201" s="83" t="n"/>
      <c r="V201" s="83" t="n"/>
      <c r="W201" s="83" t="n"/>
      <c r="X201" s="83" t="n"/>
      <c r="Y201" s="83" t="n"/>
      <c r="Z201" s="83" t="n"/>
      <c r="AA201" s="83" t="n"/>
      <c r="AB201" s="83" t="n"/>
      <c r="AC201" s="83" t="n"/>
      <c r="AD201" s="83" t="n"/>
      <c r="AE201" s="83" t="n"/>
      <c r="AF201" s="83" t="n"/>
      <c r="AG201" s="83" t="n"/>
      <c r="AH201" s="83" t="n"/>
      <c r="AI201" s="83" t="n"/>
      <c r="AJ201" s="83" t="n"/>
      <c r="AK201" s="83" t="n"/>
      <c r="AL201" s="83" t="n"/>
      <c r="AM201" s="83" t="n"/>
      <c r="AN201" s="83" t="n"/>
      <c r="AO201" s="83" t="n"/>
      <c r="AP201" s="83" t="n"/>
      <c r="AQ201" s="83" t="n"/>
      <c r="AR201" s="83" t="n"/>
      <c r="AS201" s="83" t="n"/>
      <c r="AT201" s="83" t="n"/>
      <c r="AU201" s="83" t="n"/>
      <c r="AV201" s="83" t="n"/>
      <c r="AW201" s="83" t="n"/>
      <c r="AX201" s="83" t="n"/>
      <c r="AY201" s="83" t="n"/>
      <c r="AZ201" s="83" t="n"/>
      <c r="BA201" s="83" t="n"/>
      <c r="BB201" s="83" t="n"/>
      <c r="BC201" s="83" t="n"/>
      <c r="BD201" s="83" t="n"/>
      <c r="BE201" s="83" t="n"/>
    </row>
    <row r="202" ht="18" customHeight="1">
      <c r="A202" s="55">
        <f>IFERROR(IF(INDEX('İş Planı'!$C$5:$C$204,ROW()-4)="","",INDEX('İş Planı'!$C$5:$C$204,ROW()-4)),"")</f>
        <v/>
      </c>
      <c r="B202" s="55">
        <f>IFERROR(IF(INDEX('İş Planı'!$B$5:$B$204,ROW()-4)="","",INDEX('İş Planı'!$B$5:$B$204,ROW()-4)),"")</f>
        <v/>
      </c>
      <c r="C202" s="72">
        <f>IFERROR(IF(INDEX('İş Planı'!$I$5:$I$204,ROW()-4)="","",INDEX('İş Planı'!$I$5:$I$204,ROW()-4)),"")</f>
        <v/>
      </c>
      <c r="D202" s="72">
        <f>IFERROR(IF(INDEX('İş Planı'!$M$5:$M$204,ROW()-4)="","",INDEX('İş Planı'!$M$5:$M$204,ROW()-4)),"")</f>
        <v/>
      </c>
      <c r="E202" s="71">
        <f>IFERROR(IF(INDEX('İş Planı'!$O$5:$O$204,ROW()-4)="","",INDEX('İş Planı'!$O$5:$O$204,ROW()-4)),"")</f>
        <v/>
      </c>
      <c r="F202" s="83" t="n"/>
      <c r="G202" s="83" t="n"/>
      <c r="H202" s="83" t="n"/>
      <c r="I202" s="83" t="n"/>
      <c r="J202" s="83" t="n"/>
      <c r="K202" s="83" t="n"/>
      <c r="L202" s="83" t="n"/>
      <c r="M202" s="83" t="n"/>
      <c r="N202" s="83" t="n"/>
      <c r="O202" s="83" t="n"/>
      <c r="P202" s="83" t="n"/>
      <c r="Q202" s="83" t="n"/>
      <c r="R202" s="83" t="n"/>
      <c r="S202" s="83" t="n"/>
      <c r="T202" s="83" t="n"/>
      <c r="U202" s="83" t="n"/>
      <c r="V202" s="83" t="n"/>
      <c r="W202" s="83" t="n"/>
      <c r="X202" s="83" t="n"/>
      <c r="Y202" s="83" t="n"/>
      <c r="Z202" s="83" t="n"/>
      <c r="AA202" s="83" t="n"/>
      <c r="AB202" s="83" t="n"/>
      <c r="AC202" s="83" t="n"/>
      <c r="AD202" s="83" t="n"/>
      <c r="AE202" s="83" t="n"/>
      <c r="AF202" s="83" t="n"/>
      <c r="AG202" s="83" t="n"/>
      <c r="AH202" s="83" t="n"/>
      <c r="AI202" s="83" t="n"/>
      <c r="AJ202" s="83" t="n"/>
      <c r="AK202" s="83" t="n"/>
      <c r="AL202" s="83" t="n"/>
      <c r="AM202" s="83" t="n"/>
      <c r="AN202" s="83" t="n"/>
      <c r="AO202" s="83" t="n"/>
      <c r="AP202" s="83" t="n"/>
      <c r="AQ202" s="83" t="n"/>
      <c r="AR202" s="83" t="n"/>
      <c r="AS202" s="83" t="n"/>
      <c r="AT202" s="83" t="n"/>
      <c r="AU202" s="83" t="n"/>
      <c r="AV202" s="83" t="n"/>
      <c r="AW202" s="83" t="n"/>
      <c r="AX202" s="83" t="n"/>
      <c r="AY202" s="83" t="n"/>
      <c r="AZ202" s="83" t="n"/>
      <c r="BA202" s="83" t="n"/>
      <c r="BB202" s="83" t="n"/>
      <c r="BC202" s="83" t="n"/>
      <c r="BD202" s="83" t="n"/>
      <c r="BE202" s="83" t="n"/>
    </row>
    <row r="203" ht="18" customHeight="1">
      <c r="A203" s="55">
        <f>IFERROR(IF(INDEX('İş Planı'!$C$5:$C$204,ROW()-4)="","",INDEX('İş Planı'!$C$5:$C$204,ROW()-4)),"")</f>
        <v/>
      </c>
      <c r="B203" s="55">
        <f>IFERROR(IF(INDEX('İş Planı'!$B$5:$B$204,ROW()-4)="","",INDEX('İş Planı'!$B$5:$B$204,ROW()-4)),"")</f>
        <v/>
      </c>
      <c r="C203" s="72">
        <f>IFERROR(IF(INDEX('İş Planı'!$I$5:$I$204,ROW()-4)="","",INDEX('İş Planı'!$I$5:$I$204,ROW()-4)),"")</f>
        <v/>
      </c>
      <c r="D203" s="72">
        <f>IFERROR(IF(INDEX('İş Planı'!$M$5:$M$204,ROW()-4)="","",INDEX('İş Planı'!$M$5:$M$204,ROW()-4)),"")</f>
        <v/>
      </c>
      <c r="E203" s="71">
        <f>IFERROR(IF(INDEX('İş Planı'!$O$5:$O$204,ROW()-4)="","",INDEX('İş Planı'!$O$5:$O$204,ROW()-4)),"")</f>
        <v/>
      </c>
      <c r="F203" s="83" t="n"/>
      <c r="G203" s="83" t="n"/>
      <c r="H203" s="83" t="n"/>
      <c r="I203" s="83" t="n"/>
      <c r="J203" s="83" t="n"/>
      <c r="K203" s="83" t="n"/>
      <c r="L203" s="83" t="n"/>
      <c r="M203" s="83" t="n"/>
      <c r="N203" s="83" t="n"/>
      <c r="O203" s="83" t="n"/>
      <c r="P203" s="83" t="n"/>
      <c r="Q203" s="83" t="n"/>
      <c r="R203" s="83" t="n"/>
      <c r="S203" s="83" t="n"/>
      <c r="T203" s="83" t="n"/>
      <c r="U203" s="83" t="n"/>
      <c r="V203" s="83" t="n"/>
      <c r="W203" s="83" t="n"/>
      <c r="X203" s="83" t="n"/>
      <c r="Y203" s="83" t="n"/>
      <c r="Z203" s="83" t="n"/>
      <c r="AA203" s="83" t="n"/>
      <c r="AB203" s="83" t="n"/>
      <c r="AC203" s="83" t="n"/>
      <c r="AD203" s="83" t="n"/>
      <c r="AE203" s="83" t="n"/>
      <c r="AF203" s="83" t="n"/>
      <c r="AG203" s="83" t="n"/>
      <c r="AH203" s="83" t="n"/>
      <c r="AI203" s="83" t="n"/>
      <c r="AJ203" s="83" t="n"/>
      <c r="AK203" s="83" t="n"/>
      <c r="AL203" s="83" t="n"/>
      <c r="AM203" s="83" t="n"/>
      <c r="AN203" s="83" t="n"/>
      <c r="AO203" s="83" t="n"/>
      <c r="AP203" s="83" t="n"/>
      <c r="AQ203" s="83" t="n"/>
      <c r="AR203" s="83" t="n"/>
      <c r="AS203" s="83" t="n"/>
      <c r="AT203" s="83" t="n"/>
      <c r="AU203" s="83" t="n"/>
      <c r="AV203" s="83" t="n"/>
      <c r="AW203" s="83" t="n"/>
      <c r="AX203" s="83" t="n"/>
      <c r="AY203" s="83" t="n"/>
      <c r="AZ203" s="83" t="n"/>
      <c r="BA203" s="83" t="n"/>
      <c r="BB203" s="83" t="n"/>
      <c r="BC203" s="83" t="n"/>
      <c r="BD203" s="83" t="n"/>
      <c r="BE203" s="83" t="n"/>
    </row>
    <row r="204" ht="18" customHeight="1">
      <c r="A204" s="55">
        <f>IFERROR(IF(INDEX('İş Planı'!$C$5:$C$204,ROW()-4)="","",INDEX('İş Planı'!$C$5:$C$204,ROW()-4)),"")</f>
        <v/>
      </c>
      <c r="B204" s="55">
        <f>IFERROR(IF(INDEX('İş Planı'!$B$5:$B$204,ROW()-4)="","",INDEX('İş Planı'!$B$5:$B$204,ROW()-4)),"")</f>
        <v/>
      </c>
      <c r="C204" s="72">
        <f>IFERROR(IF(INDEX('İş Planı'!$I$5:$I$204,ROW()-4)="","",INDEX('İş Planı'!$I$5:$I$204,ROW()-4)),"")</f>
        <v/>
      </c>
      <c r="D204" s="72">
        <f>IFERROR(IF(INDEX('İş Planı'!$M$5:$M$204,ROW()-4)="","",INDEX('İş Planı'!$M$5:$M$204,ROW()-4)),"")</f>
        <v/>
      </c>
      <c r="E204" s="71">
        <f>IFERROR(IF(INDEX('İş Planı'!$O$5:$O$204,ROW()-4)="","",INDEX('İş Planı'!$O$5:$O$204,ROW()-4)),"")</f>
        <v/>
      </c>
      <c r="F204" s="83" t="n"/>
      <c r="G204" s="83" t="n"/>
      <c r="H204" s="83" t="n"/>
      <c r="I204" s="83" t="n"/>
      <c r="J204" s="83" t="n"/>
      <c r="K204" s="83" t="n"/>
      <c r="L204" s="83" t="n"/>
      <c r="M204" s="83" t="n"/>
      <c r="N204" s="83" t="n"/>
      <c r="O204" s="83" t="n"/>
      <c r="P204" s="83" t="n"/>
      <c r="Q204" s="83" t="n"/>
      <c r="R204" s="83" t="n"/>
      <c r="S204" s="83" t="n"/>
      <c r="T204" s="83" t="n"/>
      <c r="U204" s="83" t="n"/>
      <c r="V204" s="83" t="n"/>
      <c r="W204" s="83" t="n"/>
      <c r="X204" s="83" t="n"/>
      <c r="Y204" s="83" t="n"/>
      <c r="Z204" s="83" t="n"/>
      <c r="AA204" s="83" t="n"/>
      <c r="AB204" s="83" t="n"/>
      <c r="AC204" s="83" t="n"/>
      <c r="AD204" s="83" t="n"/>
      <c r="AE204" s="83" t="n"/>
      <c r="AF204" s="83" t="n"/>
      <c r="AG204" s="83" t="n"/>
      <c r="AH204" s="83" t="n"/>
      <c r="AI204" s="83" t="n"/>
      <c r="AJ204" s="83" t="n"/>
      <c r="AK204" s="83" t="n"/>
      <c r="AL204" s="83" t="n"/>
      <c r="AM204" s="83" t="n"/>
      <c r="AN204" s="83" t="n"/>
      <c r="AO204" s="83" t="n"/>
      <c r="AP204" s="83" t="n"/>
      <c r="AQ204" s="83" t="n"/>
      <c r="AR204" s="83" t="n"/>
      <c r="AS204" s="83" t="n"/>
      <c r="AT204" s="83" t="n"/>
      <c r="AU204" s="83" t="n"/>
      <c r="AV204" s="83" t="n"/>
      <c r="AW204" s="83" t="n"/>
      <c r="AX204" s="83" t="n"/>
      <c r="AY204" s="83" t="n"/>
      <c r="AZ204" s="83" t="n"/>
      <c r="BA204" s="83" t="n"/>
      <c r="BB204" s="83" t="n"/>
      <c r="BC204" s="83" t="n"/>
      <c r="BD204" s="83" t="n"/>
      <c r="BE204" s="83" t="n"/>
    </row>
    <row r="206">
      <c r="A206" s="84">
        <f>Hesap!$B$3</f>
        <v>46300</v>
      </c>
      <c r="B206" s="64" t="inlineStr">
        <is>
          <t>↑ Gantt'taki kırmızı 'bugün' çizgisi bu hücreyi okur - silmeyin</t>
        </is>
      </c>
    </row>
  </sheetData>
  <mergeCells count="18">
    <mergeCell ref="F3:J3"/>
    <mergeCell ref="X3:AA3"/>
    <mergeCell ref="AF3:AJ3"/>
    <mergeCell ref="K3:N3"/>
    <mergeCell ref="AB3:AE3"/>
    <mergeCell ref="C3:C4"/>
    <mergeCell ref="B3:B4"/>
    <mergeCell ref="A3:A4"/>
    <mergeCell ref="E3:E4"/>
    <mergeCell ref="A1:BE2"/>
    <mergeCell ref="O3:R3"/>
    <mergeCell ref="AK3:AN3"/>
    <mergeCell ref="D3:D4"/>
    <mergeCell ref="AX3:BA3"/>
    <mergeCell ref="AO3:AR3"/>
    <mergeCell ref="BB3:BE3"/>
    <mergeCell ref="AS3:AW3"/>
    <mergeCell ref="S3:W3"/>
  </mergeCells>
  <conditionalFormatting sqref="F5:BE204">
    <cfRule type="expression" priority="1" dxfId="6">
      <formula>AND($E5="Planlanan",$C5&lt;&gt;"",$D5&lt;&gt;"",F$4&lt;=$D5,F$4+6&gt;=$C5)</formula>
    </cfRule>
    <cfRule type="expression" priority="2" dxfId="7">
      <formula>AND($E5="Devam Ediyor",$C5&lt;&gt;"",$D5&lt;&gt;"",F$4&lt;=$D5,F$4+6&gt;=$C5)</formula>
    </cfRule>
    <cfRule type="expression" priority="3" dxfId="8">
      <formula>AND($E5="Tamamlandı",$C5&lt;&gt;"",$D5&lt;&gt;"",F$4&lt;=$D5,F$4+6&gt;=$C5)</formula>
    </cfRule>
    <cfRule type="expression" priority="4" dxfId="9">
      <formula>AND($E5="Gecikmiş",$C5&lt;&gt;"",$D5&lt;&gt;"",F$4&lt;=$D5,F$4+6&gt;=$C5)</formula>
    </cfRule>
  </conditionalFormatting>
  <conditionalFormatting sqref="F4:BE204">
    <cfRule type="expression" priority="5" dxfId="10">
      <formula>AND($A$206&gt;=F$4,$A$206&lt;=F$4+6)</formula>
    </cfRule>
  </conditionalFormatting>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Q206"/>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40" customWidth="1" min="1" max="1"/>
    <col width="24" customWidth="1" min="2" max="2"/>
    <col width="12" customWidth="1" min="3" max="3"/>
    <col width="13" customWidth="1" min="4" max="4"/>
    <col width="14"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s>
  <sheetData>
    <row r="1" ht="24" customHeight="1">
      <c r="A1" s="66" t="inlineStr">
        <is>
          <t>GANTT ŞEMASI  |  GANTT AYLIK  |  2026</t>
        </is>
      </c>
    </row>
    <row r="2" ht="16" customHeight="1"/>
    <row r="3" ht="18" customHeight="1">
      <c r="A3" s="54" t="inlineStr">
        <is>
          <t>İş Kalemi</t>
        </is>
      </c>
      <c r="B3" s="54" t="inlineStr">
        <is>
          <t>Grup</t>
        </is>
      </c>
      <c r="C3" s="54" t="inlineStr">
        <is>
          <t>Başlangıç</t>
        </is>
      </c>
      <c r="D3" s="54" t="inlineStr">
        <is>
          <t>Bitiş (Revize)</t>
        </is>
      </c>
      <c r="E3" s="54" t="inlineStr">
        <is>
          <t>Durum</t>
        </is>
      </c>
      <c r="F3" s="77" t="inlineStr">
        <is>
          <t>Ocak</t>
        </is>
      </c>
      <c r="G3" s="79" t="inlineStr">
        <is>
          <t>Şubat</t>
        </is>
      </c>
      <c r="H3" s="77" t="inlineStr">
        <is>
          <t>Mart</t>
        </is>
      </c>
      <c r="I3" s="79" t="inlineStr">
        <is>
          <t>Nisan</t>
        </is>
      </c>
      <c r="J3" s="77" t="inlineStr">
        <is>
          <t>Mayıs</t>
        </is>
      </c>
      <c r="K3" s="79" t="inlineStr">
        <is>
          <t>Haziran</t>
        </is>
      </c>
      <c r="L3" s="77" t="inlineStr">
        <is>
          <t>Temmuz</t>
        </is>
      </c>
      <c r="M3" s="79" t="inlineStr">
        <is>
          <t>Ağustos</t>
        </is>
      </c>
      <c r="N3" s="77" t="inlineStr">
        <is>
          <t>Eylül</t>
        </is>
      </c>
      <c r="O3" s="79" t="inlineStr">
        <is>
          <t>Ekim</t>
        </is>
      </c>
      <c r="P3" s="77" t="inlineStr">
        <is>
          <t>Kasım</t>
        </is>
      </c>
      <c r="Q3" s="79" t="inlineStr">
        <is>
          <t>Aralık</t>
        </is>
      </c>
    </row>
    <row r="4" ht="20" customHeight="1">
      <c r="A4" s="81" t="n"/>
      <c r="B4" s="81" t="n"/>
      <c r="C4" s="81" t="n"/>
      <c r="D4" s="81" t="n"/>
      <c r="E4" s="81" t="n"/>
      <c r="F4" s="82" t="n">
        <v>46023</v>
      </c>
      <c r="G4" s="82" t="n">
        <v>46054</v>
      </c>
      <c r="H4" s="82" t="n">
        <v>46082</v>
      </c>
      <c r="I4" s="82" t="n">
        <v>46113</v>
      </c>
      <c r="J4" s="82" t="n">
        <v>46143</v>
      </c>
      <c r="K4" s="82" t="n">
        <v>46174</v>
      </c>
      <c r="L4" s="82" t="n">
        <v>46204</v>
      </c>
      <c r="M4" s="82" t="n">
        <v>46235</v>
      </c>
      <c r="N4" s="82" t="n">
        <v>46266</v>
      </c>
      <c r="O4" s="82" t="n">
        <v>46296</v>
      </c>
      <c r="P4" s="82" t="n">
        <v>46327</v>
      </c>
      <c r="Q4" s="82" t="n">
        <v>46357</v>
      </c>
    </row>
    <row r="5" ht="18" customHeight="1">
      <c r="A5" s="55" t="str">
        <f>IFERROR(IF(INDEX('İş Planı'!$C$5:$C$204,ROW()-4)="","",INDEX('İş Planı'!$C$5:$C$204,ROW()-4)),"")</f>
        <v>Madde 4</v>
      </c>
      <c r="B5" s="55" t="str">
        <f>IFERROR(IF(INDEX('İş Planı'!$B$5:$B$204,ROW()-4)="","",INDEX('İş Planı'!$B$5:$B$204,ROW()-4)),"")</f>
        <v>Yönetim Beyanı</v>
      </c>
      <c r="C5" s="72">
        <f>IFERROR(IF(INDEX('İş Planı'!$I$5:$I$204,ROW()-4)="","",INDEX('İş Planı'!$I$5:$I$204,ROW()-4)),"")</f>
        <v/>
      </c>
      <c r="D5" s="72">
        <f>IFERROR(IF(INDEX('İş Planı'!$M$5:$M$204,ROW()-4)="","",INDEX('İş Planı'!$M$5:$M$204,ROW()-4)),"")</f>
        <v/>
      </c>
      <c r="E5" s="71" t="str">
        <f>IFERROR(IF(INDEX('İş Planı'!$O$5:$O$204,ROW()-4)="","",INDEX('İş Planı'!$O$5:$O$204,ROW()-4)),"")</f>
        <v>Planlanan</v>
      </c>
      <c r="F5" s="83" t="n"/>
      <c r="G5" s="83" t="n"/>
      <c r="H5" s="83" t="n"/>
      <c r="I5" s="83" t="n"/>
      <c r="J5" s="83" t="n"/>
      <c r="K5" s="83" t="n"/>
      <c r="L5" s="83" t="n"/>
      <c r="M5" s="83" t="n"/>
      <c r="N5" s="83" t="n"/>
      <c r="O5" s="83" t="n"/>
      <c r="P5" s="83" t="n"/>
      <c r="Q5" s="83" t="n"/>
    </row>
    <row r="6" ht="18" customHeight="1">
      <c r="A6" s="55" t="str">
        <f>IFERROR(IF(INDEX('İş Planı'!$C$5:$C$204,ROW()-4)="","",INDEX('İş Planı'!$C$5:$C$204,ROW()-4)),"")</f>
        <v>Madde 5</v>
      </c>
      <c r="B6" s="55" t="str">
        <f>IFERROR(IF(INDEX('İş Planı'!$B$5:$B$204,ROW()-4)="","",INDEX('İş Planı'!$B$5:$B$204,ROW()-4)),"")</f>
        <v>Yönetim Beyanı</v>
      </c>
      <c r="C6" s="72">
        <f>IFERROR(IF(INDEX('İş Planı'!$I$5:$I$204,ROW()-4)="","",INDEX('İş Planı'!$I$5:$I$204,ROW()-4)),"")</f>
        <v/>
      </c>
      <c r="D6" s="72">
        <f>IFERROR(IF(INDEX('İş Planı'!$M$5:$M$204,ROW()-4)="","",INDEX('İş Planı'!$M$5:$M$204,ROW()-4)),"")</f>
        <v/>
      </c>
      <c r="E6" s="71" t="str">
        <f>IFERROR(IF(INDEX('İş Planı'!$O$5:$O$204,ROW()-4)="","",INDEX('İş Planı'!$O$5:$O$204,ROW()-4)),"")</f>
        <v>Planlanan</v>
      </c>
      <c r="F6" s="83" t="n"/>
      <c r="G6" s="83" t="n"/>
      <c r="H6" s="83" t="n"/>
      <c r="I6" s="83" t="n"/>
      <c r="J6" s="83" t="n"/>
      <c r="K6" s="83" t="n"/>
      <c r="L6" s="83" t="n"/>
      <c r="M6" s="83" t="n"/>
      <c r="N6" s="83" t="n"/>
      <c r="O6" s="83" t="n"/>
      <c r="P6" s="83" t="n"/>
      <c r="Q6" s="83" t="n"/>
    </row>
    <row r="7" ht="18" customHeight="1">
      <c r="A7" s="55" t="str">
        <f>IFERROR(IF(INDEX('İş Planı'!$C$5:$C$204,ROW()-4)="","",INDEX('İş Planı'!$C$5:$C$204,ROW()-4)),"")</f>
        <v>Madde 30 Bilgi sistemleri iç kontrol faaliyetleri</v>
      </c>
      <c r="B7" s="55" t="str">
        <f>IFERROR(IF(INDEX('İş Planı'!$B$5:$B$204,ROW()-4)="","",INDEX('İş Planı'!$B$5:$B$204,ROW()-4)),"")</f>
        <v>Yönetim Beyanı</v>
      </c>
      <c r="C7" s="72">
        <f>IFERROR(IF(INDEX('İş Planı'!$I$5:$I$204,ROW()-4)="","",INDEX('İş Planı'!$I$5:$I$204,ROW()-4)),"")</f>
        <v>46279</v>
      </c>
      <c r="D7" s="72">
        <f>IFERROR(IF(INDEX('İş Planı'!$M$5:$M$204,ROW()-4)="","",INDEX('İş Planı'!$M$5:$M$204,ROW()-4)),"")</f>
        <v>46297</v>
      </c>
      <c r="E7" s="71" t="str">
        <f>IFERROR(IF(INDEX('İş Planı'!$O$5:$O$204,ROW()-4)="","",INDEX('İş Planı'!$O$5:$O$204,ROW()-4)),"")</f>
        <v>Tamamlandı</v>
      </c>
      <c r="F7" s="83" t="n"/>
      <c r="G7" s="83" t="n"/>
      <c r="H7" s="83" t="n"/>
      <c r="I7" s="83" t="n"/>
      <c r="J7" s="83" t="n"/>
      <c r="K7" s="83" t="n"/>
      <c r="L7" s="83" t="n"/>
      <c r="M7" s="83" t="n"/>
      <c r="N7" s="83" t="n"/>
      <c r="O7" s="83" t="n"/>
      <c r="P7" s="83" t="n"/>
      <c r="Q7" s="83" t="n"/>
    </row>
    <row r="8" ht="18" customHeight="1">
      <c r="A8" s="55" t="str">
        <f>IFERROR(IF(INDEX('İş Planı'!$C$5:$C$204,ROW()-4)="","",INDEX('İş Planı'!$C$5:$C$204,ROW()-4)),"")</f>
        <v>Madde 31 Bilgi sistemleri iç denetim faaliyetleri</v>
      </c>
      <c r="B8" s="55" t="str">
        <f>IFERROR(IF(INDEX('İş Planı'!$B$5:$B$204,ROW()-4)="","",INDEX('İş Planı'!$B$5:$B$204,ROW()-4)),"")</f>
        <v>Yönetim Beyanı</v>
      </c>
      <c r="C8" s="72">
        <f>IFERROR(IF(INDEX('İş Planı'!$I$5:$I$204,ROW()-4)="","",INDEX('İş Planı'!$I$5:$I$204,ROW()-4)),"")</f>
        <v>46279</v>
      </c>
      <c r="D8" s="72">
        <f>IFERROR(IF(INDEX('İş Planı'!$M$5:$M$204,ROW()-4)="","",INDEX('İş Planı'!$M$5:$M$204,ROW()-4)),"")</f>
        <v>46297</v>
      </c>
      <c r="E8" s="71" t="str">
        <f>IFERROR(IF(INDEX('İş Planı'!$O$5:$O$204,ROW()-4)="","",INDEX('İş Planı'!$O$5:$O$204,ROW()-4)),"")</f>
        <v>Tamamlandı</v>
      </c>
      <c r="F8" s="83" t="n"/>
      <c r="G8" s="83" t="n"/>
      <c r="H8" s="83" t="n"/>
      <c r="I8" s="83" t="n"/>
      <c r="J8" s="83" t="n"/>
      <c r="K8" s="83" t="n"/>
      <c r="L8" s="83" t="n"/>
      <c r="M8" s="83" t="n"/>
      <c r="N8" s="83" t="n"/>
      <c r="O8" s="83" t="n"/>
      <c r="P8" s="83" t="n"/>
      <c r="Q8" s="83" t="n"/>
    </row>
    <row r="9" ht="18" customHeight="1">
      <c r="A9" s="55" t="str">
        <f>IFERROR(IF(INDEX('İş Planı'!$C$5:$C$204,ROW()-4)="","",INDEX('İş Planı'!$C$5:$C$204,ROW()-4)),"")</f>
        <v>3.1.13 Felaket Kurtarma ve İş Sürekliliği Yönetimi</v>
      </c>
      <c r="B9" s="55" t="str">
        <f>IFERROR(IF(INDEX('İş Planı'!$B$5:$B$204,ROW()-4)="","",INDEX('İş Planı'!$B$5:$B$204,ROW()-4)),"")</f>
        <v>BIGR</v>
      </c>
      <c r="C9" s="72">
        <f>IFERROR(IF(INDEX('İş Planı'!$I$5:$I$204,ROW()-4)="","",INDEX('İş Planı'!$I$5:$I$204,ROW()-4)),"")</f>
        <v>46314</v>
      </c>
      <c r="D9" s="72">
        <f>IFERROR(IF(INDEX('İş Planı'!$M$5:$M$204,ROW()-4)="","",INDEX('İş Planı'!$M$5:$M$204,ROW()-4)),"")</f>
        <v>46332</v>
      </c>
      <c r="E9" s="71" t="str">
        <f>IFERROR(IF(INDEX('İş Planı'!$O$5:$O$204,ROW()-4)="","",INDEX('İş Planı'!$O$5:$O$204,ROW()-4)),"")</f>
        <v>Tamamlandı</v>
      </c>
      <c r="F9" s="83" t="n"/>
      <c r="G9" s="83" t="n"/>
      <c r="H9" s="83" t="n"/>
      <c r="I9" s="83" t="n"/>
      <c r="J9" s="83" t="n"/>
      <c r="K9" s="83" t="n"/>
      <c r="L9" s="83" t="n"/>
      <c r="M9" s="83" t="n"/>
      <c r="N9" s="83" t="n"/>
      <c r="O9" s="83" t="n"/>
      <c r="P9" s="83" t="n"/>
      <c r="Q9" s="83" t="n"/>
    </row>
    <row r="10" ht="18" customHeight="1">
      <c r="A10" s="55" t="str">
        <f>IFERROR(IF(INDEX('İş Planı'!$C$5:$C$204,ROW()-4)="","",INDEX('İş Planı'!$C$5:$C$204,ROW()-4)),"")</f>
        <v>Workflow Oluşturma</v>
      </c>
      <c r="B10" s="55" t="str">
        <f>IFERROR(IF(INDEX('İş Planı'!$B$5:$B$204,ROW()-4)="","",INDEX('İş Planı'!$B$5:$B$204,ROW()-4)),"")</f>
        <v>Dendeks WS Entegrasyon Denetimi</v>
      </c>
      <c r="C10" s="72">
        <f>IFERROR(IF(INDEX('İş Planı'!$I$5:$I$204,ROW()-4)="","",INDEX('İş Planı'!$I$5:$I$204,ROW()-4)),"")</f>
        <v>46265</v>
      </c>
      <c r="D10" s="72">
        <f>IFERROR(IF(INDEX('İş Planı'!$M$5:$M$204,ROW()-4)="","",INDEX('İş Planı'!$M$5:$M$204,ROW()-4)),"")</f>
        <v>46286</v>
      </c>
      <c r="E10" s="71" t="str">
        <f>IFERROR(IF(INDEX('İş Planı'!$O$5:$O$204,ROW()-4)="","",INDEX('İş Planı'!$O$5:$O$204,ROW()-4)),"")</f>
        <v>Tamamlandı</v>
      </c>
      <c r="F10" s="83" t="n"/>
      <c r="G10" s="83" t="n"/>
      <c r="H10" s="83" t="n"/>
      <c r="I10" s="83" t="n"/>
      <c r="J10" s="83" t="n"/>
      <c r="K10" s="83" t="n"/>
      <c r="L10" s="83" t="n"/>
      <c r="M10" s="83" t="n"/>
      <c r="N10" s="83" t="n"/>
      <c r="O10" s="83" t="n"/>
      <c r="P10" s="83" t="n"/>
      <c r="Q10" s="83" t="n"/>
    </row>
    <row r="11" ht="18" customHeight="1">
      <c r="A11" s="55" t="str">
        <f>IFERROR(IF(INDEX('İş Planı'!$C$5:$C$204,ROW()-4)="","",INDEX('İş Planı'!$C$5:$C$204,ROW()-4)),"")</f>
        <v>Madde 15</v>
      </c>
      <c r="B11" s="55" t="str">
        <f>IFERROR(IF(INDEX('İş Planı'!$B$5:$B$204,ROW()-4)="","",INDEX('İş Planı'!$B$5:$B$204,ROW()-4)),"")</f>
        <v>Yönetim Beyanı</v>
      </c>
      <c r="C11" s="72">
        <f>IFERROR(IF(INDEX('İş Planı'!$I$5:$I$204,ROW()-4)="","",INDEX('İş Planı'!$I$5:$I$204,ROW()-4)),"")</f>
        <v/>
      </c>
      <c r="D11" s="72">
        <f>IFERROR(IF(INDEX('İş Planı'!$M$5:$M$204,ROW()-4)="","",INDEX('İş Planı'!$M$5:$M$204,ROW()-4)),"")</f>
        <v/>
      </c>
      <c r="E11" s="71" t="str">
        <f>IFERROR(IF(INDEX('İş Planı'!$O$5:$O$204,ROW()-4)="","",INDEX('İş Planı'!$O$5:$O$204,ROW()-4)),"")</f>
        <v>Planlanan</v>
      </c>
      <c r="F11" s="83" t="n"/>
      <c r="G11" s="83" t="n"/>
      <c r="H11" s="83" t="n"/>
      <c r="I11" s="83" t="n"/>
      <c r="J11" s="83" t="n"/>
      <c r="K11" s="83" t="n"/>
      <c r="L11" s="83" t="n"/>
      <c r="M11" s="83" t="n"/>
      <c r="N11" s="83" t="n"/>
      <c r="O11" s="83" t="n"/>
      <c r="P11" s="83" t="n"/>
      <c r="Q11" s="83" t="n"/>
    </row>
    <row r="12" ht="18" customHeight="1">
      <c r="A12" s="55" t="str">
        <f>IFERROR(IF(INDEX('İş Planı'!$C$5:$C$204,ROW()-4)="","",INDEX('İş Planı'!$C$5:$C$204,ROW()-4)),"")</f>
        <v>Madde 16</v>
      </c>
      <c r="B12" s="55" t="str">
        <f>IFERROR(IF(INDEX('İş Planı'!$B$5:$B$204,ROW()-4)="","",INDEX('İş Planı'!$B$5:$B$204,ROW()-4)),"")</f>
        <v>Yönetim Beyanı</v>
      </c>
      <c r="C12" s="72">
        <f>IFERROR(IF(INDEX('İş Planı'!$I$5:$I$204,ROW()-4)="","",INDEX('İş Planı'!$I$5:$I$204,ROW()-4)),"")</f>
        <v/>
      </c>
      <c r="D12" s="72">
        <f>IFERROR(IF(INDEX('İş Planı'!$M$5:$M$204,ROW()-4)="","",INDEX('İş Planı'!$M$5:$M$204,ROW()-4)),"")</f>
        <v/>
      </c>
      <c r="E12" s="71" t="str">
        <f>IFERROR(IF(INDEX('İş Planı'!$O$5:$O$204,ROW()-4)="","",INDEX('İş Planı'!$O$5:$O$204,ROW()-4)),"")</f>
        <v>Planlanan</v>
      </c>
      <c r="F12" s="83" t="n"/>
      <c r="G12" s="83" t="n"/>
      <c r="H12" s="83" t="n"/>
      <c r="I12" s="83" t="n"/>
      <c r="J12" s="83" t="n"/>
      <c r="K12" s="83" t="n"/>
      <c r="L12" s="83" t="n"/>
      <c r="M12" s="83" t="n"/>
      <c r="N12" s="83" t="n"/>
      <c r="O12" s="83" t="n"/>
      <c r="P12" s="83" t="n"/>
      <c r="Q12" s="83" t="n"/>
    </row>
    <row r="13" ht="18" customHeight="1">
      <c r="A13" s="55" t="str">
        <f>IFERROR(IF(INDEX('İş Planı'!$C$5:$C$204,ROW()-4)="","",INDEX('İş Planı'!$C$5:$C$204,ROW()-4)),"")</f>
        <v>Madde 17</v>
      </c>
      <c r="B13" s="55" t="str">
        <f>IFERROR(IF(INDEX('İş Planı'!$B$5:$B$204,ROW()-4)="","",INDEX('İş Planı'!$B$5:$B$204,ROW()-4)),"")</f>
        <v>Yönetim Beyanı</v>
      </c>
      <c r="C13" s="72">
        <f>IFERROR(IF(INDEX('İş Planı'!$I$5:$I$204,ROW()-4)="","",INDEX('İş Planı'!$I$5:$I$204,ROW()-4)),"")</f>
        <v/>
      </c>
      <c r="D13" s="72">
        <f>IFERROR(IF(INDEX('İş Planı'!$M$5:$M$204,ROW()-4)="","",INDEX('İş Planı'!$M$5:$M$204,ROW()-4)),"")</f>
        <v/>
      </c>
      <c r="E13" s="71" t="str">
        <f>IFERROR(IF(INDEX('İş Planı'!$O$5:$O$204,ROW()-4)="","",INDEX('İş Planı'!$O$5:$O$204,ROW()-4)),"")</f>
        <v>Planlanan</v>
      </c>
      <c r="F13" s="83" t="n"/>
      <c r="G13" s="83" t="n"/>
      <c r="H13" s="83" t="n"/>
      <c r="I13" s="83" t="n"/>
      <c r="J13" s="83" t="n"/>
      <c r="K13" s="83" t="n"/>
      <c r="L13" s="83" t="n"/>
      <c r="M13" s="83" t="n"/>
      <c r="N13" s="83" t="n"/>
      <c r="O13" s="83" t="n"/>
      <c r="P13" s="83" t="n"/>
      <c r="Q13" s="83" t="n"/>
    </row>
    <row r="14" ht="18" customHeight="1">
      <c r="A14" s="55" t="str">
        <f>IFERROR(IF(INDEX('İş Planı'!$C$5:$C$204,ROW()-4)="","",INDEX('İş Planı'!$C$5:$C$204,ROW()-4)),"")</f>
        <v>MDM - JAMF kontrolleri, Telefon Testleri</v>
      </c>
      <c r="B14" s="55" t="str">
        <f>IFERROR(IF(INDEX('İş Planı'!$B$5:$B$204,ROW()-4)="","",INDEX('İş Planı'!$B$5:$B$204,ROW()-4)),"")</f>
        <v>Ad-Hoc İşler</v>
      </c>
      <c r="C14" s="72">
        <f>IFERROR(IF(INDEX('İş Planı'!$I$5:$I$204,ROW()-4)="","",INDEX('İş Planı'!$I$5:$I$204,ROW()-4)),"")</f>
        <v>46275</v>
      </c>
      <c r="D14" s="72">
        <f>IFERROR(IF(INDEX('İş Planı'!$M$5:$M$204,ROW()-4)="","",INDEX('İş Planı'!$M$5:$M$204,ROW()-4)),"")</f>
        <v>46287</v>
      </c>
      <c r="E14" s="71" t="str">
        <f>IFERROR(IF(INDEX('İş Planı'!$O$5:$O$204,ROW()-4)="","",INDEX('İş Planı'!$O$5:$O$204,ROW()-4)),"")</f>
        <v>Tamamlandı</v>
      </c>
      <c r="F14" s="83" t="n"/>
      <c r="G14" s="83" t="n"/>
      <c r="H14" s="83" t="n"/>
      <c r="I14" s="83" t="n"/>
      <c r="J14" s="83" t="n"/>
      <c r="K14" s="83" t="n"/>
      <c r="L14" s="83" t="n"/>
      <c r="M14" s="83" t="n"/>
      <c r="N14" s="83" t="n"/>
      <c r="O14" s="83" t="n"/>
      <c r="P14" s="83" t="n"/>
      <c r="Q14" s="83" t="n"/>
    </row>
    <row r="15" ht="18" customHeight="1">
      <c r="A15" s="55" t="str">
        <f>IFERROR(IF(INDEX('İş Planı'!$C$5:$C$204,ROW()-4)="","",INDEX('İş Planı'!$C$5:$C$204,ROW()-4)),"")</f>
        <v>ABC Networkü ve ADSL Modem üzerinden çıkış yapan cihazların ortak kullanıdıgı subnetler var mı?</v>
      </c>
      <c r="B15" s="55" t="str">
        <f>IFERROR(IF(INDEX('İş Planı'!$B$5:$B$204,ROW()-4)="","",INDEX('İş Planı'!$B$5:$B$204,ROW()-4)),"")</f>
        <v>Ad-Hoc İşler</v>
      </c>
      <c r="C15" s="72">
        <f>IFERROR(IF(INDEX('İş Planı'!$I$5:$I$204,ROW()-4)="","",INDEX('İş Planı'!$I$5:$I$204,ROW()-4)),"")</f>
        <v>46272</v>
      </c>
      <c r="D15" s="72">
        <f>IFERROR(IF(INDEX('İş Planı'!$M$5:$M$204,ROW()-4)="","",INDEX('İş Planı'!$M$5:$M$204,ROW()-4)),"")</f>
        <v>46287</v>
      </c>
      <c r="E15" s="71" t="str">
        <f>IFERROR(IF(INDEX('İş Planı'!$O$5:$O$204,ROW()-4)="","",INDEX('İş Planı'!$O$5:$O$204,ROW()-4)),"")</f>
        <v>Tamamlandı</v>
      </c>
      <c r="F15" s="83" t="n"/>
      <c r="G15" s="83" t="n"/>
      <c r="H15" s="83" t="n"/>
      <c r="I15" s="83" t="n"/>
      <c r="J15" s="83" t="n"/>
      <c r="K15" s="83" t="n"/>
      <c r="L15" s="83" t="n"/>
      <c r="M15" s="83" t="n"/>
      <c r="N15" s="83" t="n"/>
      <c r="O15" s="83" t="n"/>
      <c r="P15" s="83" t="n"/>
      <c r="Q15" s="83" t="n"/>
    </row>
    <row r="16" ht="18" customHeight="1">
      <c r="A16" s="55" t="str">
        <f>IFERROR(IF(INDEX('İş Planı'!$C$5:$C$204,ROW()-4)="","",INDEX('İş Planı'!$C$5:$C$204,ROW()-4)),"")</f>
        <v>Madde 13</v>
      </c>
      <c r="B16" s="55" t="str">
        <f>IFERROR(IF(INDEX('İş Planı'!$B$5:$B$204,ROW()-4)="","",INDEX('İş Planı'!$B$5:$B$204,ROW()-4)),"")</f>
        <v>Yönetim Beyanı</v>
      </c>
      <c r="C16" s="72">
        <f>IFERROR(IF(INDEX('İş Planı'!$I$5:$I$204,ROW()-4)="","",INDEX('İş Planı'!$I$5:$I$204,ROW()-4)),"")</f>
        <v>46265</v>
      </c>
      <c r="D16" s="72">
        <f>IFERROR(IF(INDEX('İş Planı'!$M$5:$M$204,ROW()-4)="","",INDEX('İş Planı'!$M$5:$M$204,ROW()-4)),"")</f>
        <v>46284</v>
      </c>
      <c r="E16" s="71" t="str">
        <f>IFERROR(IF(INDEX('İş Planı'!$O$5:$O$204,ROW()-4)="","",INDEX('İş Planı'!$O$5:$O$204,ROW()-4)),"")</f>
        <v>Gecikmiş</v>
      </c>
      <c r="F16" s="83" t="n"/>
      <c r="G16" s="83" t="n"/>
      <c r="H16" s="83" t="n"/>
      <c r="I16" s="83" t="n"/>
      <c r="J16" s="83" t="n"/>
      <c r="K16" s="83" t="n"/>
      <c r="L16" s="83" t="n"/>
      <c r="M16" s="83" t="n"/>
      <c r="N16" s="83" t="n"/>
      <c r="O16" s="83" t="n"/>
      <c r="P16" s="83" t="n"/>
      <c r="Q16" s="83" t="n"/>
    </row>
    <row r="17" ht="18" customHeight="1">
      <c r="A17" s="55" t="str">
        <f>IFERROR(IF(INDEX('İş Planı'!$C$5:$C$204,ROW()-4)="","",INDEX('İş Planı'!$C$5:$C$204,ROW()-4)),"")</f>
        <v>Madde 24</v>
      </c>
      <c r="B17" s="55" t="str">
        <f>IFERROR(IF(INDEX('İş Planı'!$B$5:$B$204,ROW()-4)="","",INDEX('İş Planı'!$B$5:$B$204,ROW()-4)),"")</f>
        <v>Yönetim Beyanı</v>
      </c>
      <c r="C17" s="72">
        <f>IFERROR(IF(INDEX('İş Planı'!$I$5:$I$204,ROW()-4)="","",INDEX('İş Planı'!$I$5:$I$204,ROW()-4)),"")</f>
        <v/>
      </c>
      <c r="D17" s="72">
        <f>IFERROR(IF(INDEX('İş Planı'!$M$5:$M$204,ROW()-4)="","",INDEX('İş Planı'!$M$5:$M$204,ROW()-4)),"")</f>
        <v/>
      </c>
      <c r="E17" s="71" t="str">
        <f>IFERROR(IF(INDEX('İş Planı'!$O$5:$O$204,ROW()-4)="","",INDEX('İş Planı'!$O$5:$O$204,ROW()-4)),"")</f>
        <v>Planlanan</v>
      </c>
      <c r="F17" s="83" t="n"/>
      <c r="G17" s="83" t="n"/>
      <c r="H17" s="83" t="n"/>
      <c r="I17" s="83" t="n"/>
      <c r="J17" s="83" t="n"/>
      <c r="K17" s="83" t="n"/>
      <c r="L17" s="83" t="n"/>
      <c r="M17" s="83" t="n"/>
      <c r="N17" s="83" t="n"/>
      <c r="O17" s="83" t="n"/>
      <c r="P17" s="83" t="n"/>
      <c r="Q17" s="83" t="n"/>
    </row>
    <row r="18" ht="18" customHeight="1">
      <c r="A18" s="55" t="str">
        <f>IFERROR(IF(INDEX('İş Planı'!$C$5:$C$204,ROW()-4)="","",INDEX('İş Planı'!$C$5:$C$204,ROW()-4)),"")</f>
        <v>Madde 21</v>
      </c>
      <c r="B18" s="55" t="str">
        <f>IFERROR(IF(INDEX('İş Planı'!$B$5:$B$204,ROW()-4)="","",INDEX('İş Planı'!$B$5:$B$204,ROW()-4)),"")</f>
        <v>Yönetim Beyanı</v>
      </c>
      <c r="C18" s="72">
        <f>IFERROR(IF(INDEX('İş Planı'!$I$5:$I$204,ROW()-4)="","",INDEX('İş Planı'!$I$5:$I$204,ROW()-4)),"")</f>
        <v>46255</v>
      </c>
      <c r="D18" s="72">
        <f>IFERROR(IF(INDEX('İş Planı'!$M$5:$M$204,ROW()-4)="","",INDEX('İş Planı'!$M$5:$M$204,ROW()-4)),"")</f>
        <v>46293</v>
      </c>
      <c r="E18" s="71" t="str">
        <f>IFERROR(IF(INDEX('İş Planı'!$O$5:$O$204,ROW()-4)="","",INDEX('İş Planı'!$O$5:$O$204,ROW()-4)),"")</f>
        <v>Gecikmiş</v>
      </c>
      <c r="F18" s="83" t="n"/>
      <c r="G18" s="83" t="n"/>
      <c r="H18" s="83" t="n"/>
      <c r="I18" s="83" t="n"/>
      <c r="J18" s="83" t="n"/>
      <c r="K18" s="83" t="n"/>
      <c r="L18" s="83" t="n"/>
      <c r="M18" s="83" t="n"/>
      <c r="N18" s="83" t="n"/>
      <c r="O18" s="83" t="n"/>
      <c r="P18" s="83" t="n"/>
      <c r="Q18" s="83" t="n"/>
    </row>
    <row r="19" ht="18" customHeight="1">
      <c r="A19" s="55" t="str">
        <f>IFERROR(IF(INDEX('İş Planı'!$C$5:$C$204,ROW()-4)="","",INDEX('İş Planı'!$C$5:$C$204,ROW()-4)),"")</f>
        <v>Madde 26</v>
      </c>
      <c r="B19" s="55" t="str">
        <f>IFERROR(IF(INDEX('İş Planı'!$B$5:$B$204,ROW()-4)="","",INDEX('İş Planı'!$B$5:$B$204,ROW()-4)),"")</f>
        <v>Yönetim Beyanı</v>
      </c>
      <c r="C19" s="72">
        <f>IFERROR(IF(INDEX('İş Planı'!$I$5:$I$204,ROW()-4)="","",INDEX('İş Planı'!$I$5:$I$204,ROW()-4)),"")</f>
        <v>46258</v>
      </c>
      <c r="D19" s="72">
        <f>IFERROR(IF(INDEX('İş Planı'!$M$5:$M$204,ROW()-4)="","",INDEX('İş Planı'!$M$5:$M$204,ROW()-4)),"")</f>
        <v>46283</v>
      </c>
      <c r="E19" s="71" t="str">
        <f>IFERROR(IF(INDEX('İş Planı'!$O$5:$O$204,ROW()-4)="","",INDEX('İş Planı'!$O$5:$O$204,ROW()-4)),"")</f>
        <v>Gecikmiş</v>
      </c>
      <c r="F19" s="83" t="n"/>
      <c r="G19" s="83" t="n"/>
      <c r="H19" s="83" t="n"/>
      <c r="I19" s="83" t="n"/>
      <c r="J19" s="83" t="n"/>
      <c r="K19" s="83" t="n"/>
      <c r="L19" s="83" t="n"/>
      <c r="M19" s="83" t="n"/>
      <c r="N19" s="83" t="n"/>
      <c r="O19" s="83" t="n"/>
      <c r="P19" s="83" t="n"/>
      <c r="Q19" s="83" t="n"/>
    </row>
    <row r="20" ht="18" customHeight="1">
      <c r="A20" s="55" t="str">
        <f>IFERROR(IF(INDEX('İş Planı'!$C$5:$C$204,ROW()-4)="","",INDEX('İş Planı'!$C$5:$C$204,ROW()-4)),"")</f>
        <v>3.1.8 İz ve Denetim Kayıtlarının Tutulması ve İzlenmesi</v>
      </c>
      <c r="B20" s="55" t="str">
        <f>IFERROR(IF(INDEX('İş Planı'!$B$5:$B$204,ROW()-4)="","",INDEX('İş Planı'!$B$5:$B$204,ROW()-4)),"")</f>
        <v>BIGR</v>
      </c>
      <c r="C20" s="72">
        <f>IFERROR(IF(INDEX('İş Planı'!$I$5:$I$204,ROW()-4)="","",INDEX('İş Planı'!$I$5:$I$204,ROW()-4)),"")</f>
        <v>46265</v>
      </c>
      <c r="D20" s="72">
        <f>IFERROR(IF(INDEX('İş Planı'!$M$5:$M$204,ROW()-4)="","",INDEX('İş Planı'!$M$5:$M$204,ROW()-4)),"")</f>
        <v>46284</v>
      </c>
      <c r="E20" s="71" t="str">
        <f>IFERROR(IF(INDEX('İş Planı'!$O$5:$O$204,ROW()-4)="","",INDEX('İş Planı'!$O$5:$O$204,ROW()-4)),"")</f>
        <v>Gecikmiş</v>
      </c>
      <c r="F20" s="83" t="n"/>
      <c r="G20" s="83" t="n"/>
      <c r="H20" s="83" t="n"/>
      <c r="I20" s="83" t="n"/>
      <c r="J20" s="83" t="n"/>
      <c r="K20" s="83" t="n"/>
      <c r="L20" s="83" t="n"/>
      <c r="M20" s="83" t="n"/>
      <c r="N20" s="83" t="n"/>
      <c r="O20" s="83" t="n"/>
      <c r="P20" s="83" t="n"/>
      <c r="Q20" s="83" t="n"/>
    </row>
    <row r="21" ht="18" customHeight="1">
      <c r="A21" s="55" t="str">
        <f>IFERROR(IF(INDEX('İş Planı'!$C$5:$C$204,ROW()-4)="","",INDEX('İş Planı'!$C$5:$C$204,ROW()-4)),"")</f>
        <v>İdea Teknoloji Dış Hizmet Denetimi
Firma GİB denetiminden geçmekte (Bağımsız denetim 2 yılda bir)
Bizim taraftaki kontroller GİB kontrolleri ile eşleştirildi. GİB'den dolayı teknik tarafta paylaşılamayan kanıtlar var. Firmanın GRC ekibi ile toplantılarla kontrollere yorum yazarak veya ilgili rapora refarans vererek ilerliyoruz.
ABC verilerine erişim ve kontroller (Faturalar orada) ek olarak yapılacak onun haricinde GİB'e bağlı kalacağız.
</v>
      </c>
      <c r="B21" s="55" t="str">
        <f>IFERROR(IF(INDEX('İş Planı'!$B$5:$B$204,ROW()-4)="","",INDEX('İş Planı'!$B$5:$B$204,ROW()-4)),"")</f>
        <v>Destek Hizmeti Denetimler</v>
      </c>
      <c r="C21" s="72">
        <f>IFERROR(IF(INDEX('İş Planı'!$I$5:$I$204,ROW()-4)="","",INDEX('İş Planı'!$I$5:$I$204,ROW()-4)),"")</f>
        <v>46232</v>
      </c>
      <c r="D21" s="72">
        <f>IFERROR(IF(INDEX('İş Planı'!$M$5:$M$204,ROW()-4)="","",INDEX('İş Planı'!$M$5:$M$204,ROW()-4)),"")</f>
        <v>46322</v>
      </c>
      <c r="E21" s="71" t="str">
        <f>IFERROR(IF(INDEX('İş Planı'!$O$5:$O$204,ROW()-4)="","",INDEX('İş Planı'!$O$5:$O$204,ROW()-4)),"")</f>
        <v>Devam Ediyor</v>
      </c>
      <c r="F21" s="83" t="n"/>
      <c r="G21" s="83" t="n"/>
      <c r="H21" s="83" t="n"/>
      <c r="I21" s="83" t="n"/>
      <c r="J21" s="83" t="n"/>
      <c r="K21" s="83" t="n"/>
      <c r="L21" s="83" t="n"/>
      <c r="M21" s="83" t="n"/>
      <c r="N21" s="83" t="n"/>
      <c r="O21" s="83" t="n"/>
      <c r="P21" s="83" t="n"/>
      <c r="Q21" s="83" t="n"/>
    </row>
    <row r="22" ht="18" customHeight="1">
      <c r="A22" s="55" t="str">
        <f>IFERROR(IF(INDEX('İş Planı'!$C$5:$C$204,ROW()-4)="","",INDEX('İş Planı'!$C$5:$C$204,ROW()-4)),"")</f>
        <v>Firewall-IPS, VMWare, Active Directory, Exchange , Api GW, Veeam, Splunk, EDR Soru Setlerinin Hazırlanması</v>
      </c>
      <c r="B22" s="55" t="str">
        <f>IFERROR(IF(INDEX('İş Planı'!$B$5:$B$204,ROW()-4)="","",INDEX('İş Planı'!$B$5:$B$204,ROW()-4)),"")</f>
        <v>Buluteks</v>
      </c>
      <c r="C22" s="72">
        <f>IFERROR(IF(INDEX('İş Planı'!$I$5:$I$204,ROW()-4)="","",INDEX('İş Planı'!$I$5:$I$204,ROW()-4)),"")</f>
        <v>46260</v>
      </c>
      <c r="D22" s="72">
        <f>IFERROR(IF(INDEX('İş Planı'!$M$5:$M$204,ROW()-4)="","",INDEX('İş Planı'!$M$5:$M$204,ROW()-4)),"")</f>
        <v>46295</v>
      </c>
      <c r="E22" s="71" t="str">
        <f>IFERROR(IF(INDEX('İş Planı'!$O$5:$O$204,ROW()-4)="","",INDEX('İş Planı'!$O$5:$O$204,ROW()-4)),"")</f>
        <v>Gecikmiş</v>
      </c>
      <c r="F22" s="83" t="n"/>
      <c r="G22" s="83" t="n"/>
      <c r="H22" s="83" t="n"/>
      <c r="I22" s="83" t="n"/>
      <c r="J22" s="83" t="n"/>
      <c r="K22" s="83" t="n"/>
      <c r="L22" s="83" t="n"/>
      <c r="M22" s="83" t="n"/>
      <c r="N22" s="83" t="n"/>
      <c r="O22" s="83" t="n"/>
      <c r="P22" s="83" t="n"/>
      <c r="Q22" s="83" t="n"/>
    </row>
    <row r="23" ht="18" customHeight="1">
      <c r="A23" s="55" t="str">
        <f>IFERROR(IF(INDEX('İş Planı'!$C$5:$C$204,ROW()-4)="","",INDEX('İş Planı'!$C$5:$C$204,ROW()-4)),"")</f>
        <v>Madde 32</v>
      </c>
      <c r="B23" s="55" t="str">
        <f>IFERROR(IF(INDEX('İş Planı'!$B$5:$B$204,ROW()-4)="","",INDEX('İş Planı'!$B$5:$B$204,ROW()-4)),"")</f>
        <v>Yönetim Beyanı</v>
      </c>
      <c r="C23" s="72">
        <f>IFERROR(IF(INDEX('İş Planı'!$I$5:$I$204,ROW()-4)="","",INDEX('İş Planı'!$I$5:$I$204,ROW()-4)),"")</f>
        <v/>
      </c>
      <c r="D23" s="72">
        <f>IFERROR(IF(INDEX('İş Planı'!$M$5:$M$204,ROW()-4)="","",INDEX('İş Planı'!$M$5:$M$204,ROW()-4)),"")</f>
        <v/>
      </c>
      <c r="E23" s="71" t="str">
        <f>IFERROR(IF(INDEX('İş Planı'!$O$5:$O$204,ROW()-4)="","",INDEX('İş Planı'!$O$5:$O$204,ROW()-4)),"")</f>
        <v>Planlanan</v>
      </c>
      <c r="F23" s="83" t="n"/>
      <c r="G23" s="83" t="n"/>
      <c r="H23" s="83" t="n"/>
      <c r="I23" s="83" t="n"/>
      <c r="J23" s="83" t="n"/>
      <c r="K23" s="83" t="n"/>
      <c r="L23" s="83" t="n"/>
      <c r="M23" s="83" t="n"/>
      <c r="N23" s="83" t="n"/>
      <c r="O23" s="83" t="n"/>
      <c r="P23" s="83" t="n"/>
      <c r="Q23" s="83" t="n"/>
    </row>
    <row r="24" ht="18" customHeight="1">
      <c r="A24" s="55" t="str">
        <f>IFERROR(IF(INDEX('İş Planı'!$C$5:$C$204,ROW()-4)="","",INDEX('İş Planı'!$C$5:$C$204,ROW()-4)),"")</f>
        <v>Madde 43</v>
      </c>
      <c r="B24" s="55" t="str">
        <f>IFERROR(IF(INDEX('İş Planı'!$B$5:$B$204,ROW()-4)="","",INDEX('İş Planı'!$B$5:$B$204,ROW()-4)),"")</f>
        <v>Yönetim Beyanı</v>
      </c>
      <c r="C24" s="72">
        <f>IFERROR(IF(INDEX('İş Planı'!$I$5:$I$204,ROW()-4)="","",INDEX('İş Planı'!$I$5:$I$204,ROW()-4)),"")</f>
        <v/>
      </c>
      <c r="D24" s="72">
        <f>IFERROR(IF(INDEX('İş Planı'!$M$5:$M$204,ROW()-4)="","",INDEX('İş Planı'!$M$5:$M$204,ROW()-4)),"")</f>
        <v/>
      </c>
      <c r="E24" s="71" t="str">
        <f>IFERROR(IF(INDEX('İş Planı'!$O$5:$O$204,ROW()-4)="","",INDEX('İş Planı'!$O$5:$O$204,ROW()-4)),"")</f>
        <v>Planlanan</v>
      </c>
      <c r="F24" s="83" t="n"/>
      <c r="G24" s="83" t="n"/>
      <c r="H24" s="83" t="n"/>
      <c r="I24" s="83" t="n"/>
      <c r="J24" s="83" t="n"/>
      <c r="K24" s="83" t="n"/>
      <c r="L24" s="83" t="n"/>
      <c r="M24" s="83" t="n"/>
      <c r="N24" s="83" t="n"/>
      <c r="O24" s="83" t="n"/>
      <c r="P24" s="83" t="n"/>
      <c r="Q24" s="83" t="n"/>
    </row>
    <row r="25" ht="18" customHeight="1">
      <c r="A25" s="55" t="str">
        <f>IFERROR(IF(INDEX('İş Planı'!$C$5:$C$204,ROW()-4)="","",INDEX('İş Planı'!$C$5:$C$204,ROW()-4)),"")</f>
        <v>3.1.1. Donanım Varlıklarının Envanter Yönetimi</v>
      </c>
      <c r="B25" s="55" t="str">
        <f>IFERROR(IF(INDEX('İş Planı'!$B$5:$B$204,ROW()-4)="","",INDEX('İş Planı'!$B$5:$B$204,ROW()-4)),"")</f>
        <v>BIGR (Yönetim Beyanı Ortak Maddeler)</v>
      </c>
      <c r="C25" s="72">
        <f>IFERROR(IF(INDEX('İş Planı'!$I$5:$I$204,ROW()-4)="","",INDEX('İş Planı'!$I$5:$I$204,ROW()-4)),"")</f>
        <v/>
      </c>
      <c r="D25" s="72">
        <f>IFERROR(IF(INDEX('İş Planı'!$M$5:$M$204,ROW()-4)="","",INDEX('İş Planı'!$M$5:$M$204,ROW()-4)),"")</f>
        <v/>
      </c>
      <c r="E25" s="71" t="str">
        <f>IFERROR(IF(INDEX('İş Planı'!$O$5:$O$204,ROW()-4)="","",INDEX('İş Planı'!$O$5:$O$204,ROW()-4)),"")</f>
        <v>Planlanan</v>
      </c>
      <c r="F25" s="83" t="n"/>
      <c r="G25" s="83" t="n"/>
      <c r="H25" s="83" t="n"/>
      <c r="I25" s="83" t="n"/>
      <c r="J25" s="83" t="n"/>
      <c r="K25" s="83" t="n"/>
      <c r="L25" s="83" t="n"/>
      <c r="M25" s="83" t="n"/>
      <c r="N25" s="83" t="n"/>
      <c r="O25" s="83" t="n"/>
      <c r="P25" s="83" t="n"/>
      <c r="Q25" s="83" t="n"/>
    </row>
    <row r="26" ht="18" customHeight="1">
      <c r="A26" s="55" t="str">
        <f>IFERROR(IF(INDEX('İş Planı'!$C$5:$C$204,ROW()-4)="","",INDEX('İş Planı'!$C$5:$C$204,ROW()-4)),"")</f>
        <v>3.1.2. Yazılım Varlıklarının Envanter Yönetimi</v>
      </c>
      <c r="B26" s="55" t="str">
        <f>IFERROR(IF(INDEX('İş Planı'!$B$5:$B$204,ROW()-4)="","",INDEX('İş Planı'!$B$5:$B$204,ROW()-4)),"")</f>
        <v>BIGR (Yönetim Beyanı Ortak Maddeler)</v>
      </c>
      <c r="C26" s="72">
        <f>IFERROR(IF(INDEX('İş Planı'!$I$5:$I$204,ROW()-4)="","",INDEX('İş Planı'!$I$5:$I$204,ROW()-4)),"")</f>
        <v/>
      </c>
      <c r="D26" s="72">
        <f>IFERROR(IF(INDEX('İş Planı'!$M$5:$M$204,ROW()-4)="","",INDEX('İş Planı'!$M$5:$M$204,ROW()-4)),"")</f>
        <v/>
      </c>
      <c r="E26" s="71" t="str">
        <f>IFERROR(IF(INDEX('İş Planı'!$O$5:$O$204,ROW()-4)="","",INDEX('İş Planı'!$O$5:$O$204,ROW()-4)),"")</f>
        <v>Planlanan</v>
      </c>
      <c r="F26" s="83" t="n"/>
      <c r="G26" s="83" t="n"/>
      <c r="H26" s="83" t="n"/>
      <c r="I26" s="83" t="n"/>
      <c r="J26" s="83" t="n"/>
      <c r="K26" s="83" t="n"/>
      <c r="L26" s="83" t="n"/>
      <c r="M26" s="83" t="n"/>
      <c r="N26" s="83" t="n"/>
      <c r="O26" s="83" t="n"/>
      <c r="P26" s="83" t="n"/>
      <c r="Q26" s="83" t="n"/>
    </row>
    <row r="27" ht="18" customHeight="1">
      <c r="A27" s="55" t="str">
        <f>IFERROR(IF(INDEX('İş Planı'!$C$5:$C$204,ROW()-4)="","",INDEX('İş Planı'!$C$5:$C$204,ROW()-4)),"")</f>
        <v>3.2.2. Oturum Yönetimi</v>
      </c>
      <c r="B27" s="55" t="str">
        <f>IFERROR(IF(INDEX('İş Planı'!$B$5:$B$204,ROW()-4)="","",INDEX('İş Planı'!$B$5:$B$204,ROW()-4)),"")</f>
        <v>BIGR (Yönetim Beyanı Ortak Maddeler)</v>
      </c>
      <c r="C27" s="72">
        <f>IFERROR(IF(INDEX('İş Planı'!$I$5:$I$204,ROW()-4)="","",INDEX('İş Planı'!$I$5:$I$204,ROW()-4)),"")</f>
        <v/>
      </c>
      <c r="D27" s="72">
        <f>IFERROR(IF(INDEX('İş Planı'!$M$5:$M$204,ROW()-4)="","",INDEX('İş Planı'!$M$5:$M$204,ROW()-4)),"")</f>
        <v/>
      </c>
      <c r="E27" s="71" t="str">
        <f>IFERROR(IF(INDEX('İş Planı'!$O$5:$O$204,ROW()-4)="","",INDEX('İş Planı'!$O$5:$O$204,ROW()-4)),"")</f>
        <v>Planlanan</v>
      </c>
      <c r="F27" s="83" t="n"/>
      <c r="G27" s="83" t="n"/>
      <c r="H27" s="83" t="n"/>
      <c r="I27" s="83" t="n"/>
      <c r="J27" s="83" t="n"/>
      <c r="K27" s="83" t="n"/>
      <c r="L27" s="83" t="n"/>
      <c r="M27" s="83" t="n"/>
      <c r="N27" s="83" t="n"/>
      <c r="O27" s="83" t="n"/>
      <c r="P27" s="83" t="n"/>
      <c r="Q27" s="83" t="n"/>
    </row>
    <row r="28" ht="18" customHeight="1">
      <c r="A28" s="55" t="str">
        <f>IFERROR(IF(INDEX('İş Planı'!$C$5:$C$204,ROW()-4)="","",INDEX('İş Planı'!$C$5:$C$204,ROW()-4)),"")</f>
        <v>3.5.1. Genel Güvenlik Tedbirleri</v>
      </c>
      <c r="B28" s="55" t="str">
        <f>IFERROR(IF(INDEX('İş Planı'!$B$5:$B$204,ROW()-4)="","",INDEX('İş Planı'!$B$5:$B$204,ROW()-4)),"")</f>
        <v>BIGR (Yönetim Beyanı Ortak Maddeler)</v>
      </c>
      <c r="C28" s="72">
        <f>IFERROR(IF(INDEX('İş Planı'!$I$5:$I$204,ROW()-4)="","",INDEX('İş Planı'!$I$5:$I$204,ROW()-4)),"")</f>
        <v/>
      </c>
      <c r="D28" s="72">
        <f>IFERROR(IF(INDEX('İş Planı'!$M$5:$M$204,ROW()-4)="","",INDEX('İş Planı'!$M$5:$M$204,ROW()-4)),"")</f>
        <v/>
      </c>
      <c r="E28" s="71" t="str">
        <f>IFERROR(IF(INDEX('İş Planı'!$O$5:$O$204,ROW()-4)="","",INDEX('İş Planı'!$O$5:$O$204,ROW()-4)),"")</f>
        <v>Planlanan</v>
      </c>
      <c r="F28" s="83" t="n"/>
      <c r="G28" s="83" t="n"/>
      <c r="H28" s="83" t="n"/>
      <c r="I28" s="83" t="n"/>
      <c r="J28" s="83" t="n"/>
      <c r="K28" s="83" t="n"/>
      <c r="L28" s="83" t="n"/>
      <c r="M28" s="83" t="n"/>
      <c r="N28" s="83" t="n"/>
      <c r="O28" s="83" t="n"/>
      <c r="P28" s="83" t="n"/>
      <c r="Q28" s="83" t="n"/>
    </row>
    <row r="29" ht="18" customHeight="1">
      <c r="A29" s="55" t="str">
        <f>IFERROR(IF(INDEX('İş Planı'!$C$5:$C$204,ROW()-4)="","",INDEX('İş Planı'!$C$5:$C$204,ROW()-4)),"")</f>
        <v>3.6.1. Genel Güvenlik Tedbirleri</v>
      </c>
      <c r="B29" s="55" t="str">
        <f>IFERROR(IF(INDEX('İş Planı'!$B$5:$B$204,ROW()-4)="","",INDEX('İş Planı'!$B$5:$B$204,ROW()-4)),"")</f>
        <v>BIGR (Yönetim Beyanı Ortak Maddeler)</v>
      </c>
      <c r="C29" s="72">
        <f>IFERROR(IF(INDEX('İş Planı'!$I$5:$I$204,ROW()-4)="","",INDEX('İş Planı'!$I$5:$I$204,ROW()-4)),"")</f>
        <v/>
      </c>
      <c r="D29" s="72">
        <f>IFERROR(IF(INDEX('İş Planı'!$M$5:$M$204,ROW()-4)="","",INDEX('İş Planı'!$M$5:$M$204,ROW()-4)),"")</f>
        <v/>
      </c>
      <c r="E29" s="71" t="str">
        <f>IFERROR(IF(INDEX('İş Planı'!$O$5:$O$204,ROW()-4)="","",INDEX('İş Planı'!$O$5:$O$204,ROW()-4)),"")</f>
        <v>Planlanan</v>
      </c>
      <c r="F29" s="83" t="n"/>
      <c r="G29" s="83" t="n"/>
      <c r="H29" s="83" t="n"/>
      <c r="I29" s="83" t="n"/>
      <c r="J29" s="83" t="n"/>
      <c r="K29" s="83" t="n"/>
      <c r="L29" s="83" t="n"/>
      <c r="M29" s="83" t="n"/>
      <c r="N29" s="83" t="n"/>
      <c r="O29" s="83" t="n"/>
      <c r="P29" s="83" t="n"/>
      <c r="Q29" s="83" t="n"/>
    </row>
    <row r="30" ht="18" customHeight="1">
      <c r="A30" s="55" t="str">
        <f>IFERROR(IF(INDEX('İş Planı'!$C$5:$C$204,ROW()-4)="","",INDEX('İş Planı'!$C$5:$C$204,ROW()-4)),"")</f>
        <v>3.6.2. Sistem Odası/Veri Merkezine Yönelik Güvenlik Tedbirleri</v>
      </c>
      <c r="B30" s="55" t="str">
        <f>IFERROR(IF(INDEX('İş Planı'!$B$5:$B$204,ROW()-4)="","",INDEX('İş Planı'!$B$5:$B$204,ROW()-4)),"")</f>
        <v>BIGR (Yönetim Beyanı Ortak Maddeler)</v>
      </c>
      <c r="C30" s="72">
        <f>IFERROR(IF(INDEX('İş Planı'!$I$5:$I$204,ROW()-4)="","",INDEX('İş Planı'!$I$5:$I$204,ROW()-4)),"")</f>
        <v/>
      </c>
      <c r="D30" s="72">
        <f>IFERROR(IF(INDEX('İş Planı'!$M$5:$M$204,ROW()-4)="","",INDEX('İş Planı'!$M$5:$M$204,ROW()-4)),"")</f>
        <v/>
      </c>
      <c r="E30" s="71" t="str">
        <f>IFERROR(IF(INDEX('İş Planı'!$O$5:$O$204,ROW()-4)="","",INDEX('İş Planı'!$O$5:$O$204,ROW()-4)),"")</f>
        <v>Planlanan</v>
      </c>
      <c r="F30" s="83" t="n"/>
      <c r="G30" s="83" t="n"/>
      <c r="H30" s="83" t="n"/>
      <c r="I30" s="83" t="n"/>
      <c r="J30" s="83" t="n"/>
      <c r="K30" s="83" t="n"/>
      <c r="L30" s="83" t="n"/>
      <c r="M30" s="83" t="n"/>
      <c r="N30" s="83" t="n"/>
      <c r="O30" s="83" t="n"/>
      <c r="P30" s="83" t="n"/>
      <c r="Q30" s="83" t="n"/>
    </row>
    <row r="31" ht="18" customHeight="1">
      <c r="A31" s="55" t="str">
        <f>IFERROR(IF(INDEX('İş Planı'!$C$5:$C$204,ROW()-4)="","",INDEX('İş Planı'!$C$5:$C$204,ROW()-4)),"")</f>
        <v>4.2.1. Genel Güvenlik Tedbirleri</v>
      </c>
      <c r="B31" s="55" t="str">
        <f>IFERROR(IF(INDEX('İş Planı'!$B$5:$B$204,ROW()-4)="","",INDEX('İş Planı'!$B$5:$B$204,ROW()-4)),"")</f>
        <v>BIGR (Yönetim Beyanı Ortak Maddeler)</v>
      </c>
      <c r="C31" s="72">
        <f>IFERROR(IF(INDEX('İş Planı'!$I$5:$I$204,ROW()-4)="","",INDEX('İş Planı'!$I$5:$I$204,ROW()-4)),"")</f>
        <v/>
      </c>
      <c r="D31" s="72">
        <f>IFERROR(IF(INDEX('İş Planı'!$M$5:$M$204,ROW()-4)="","",INDEX('İş Planı'!$M$5:$M$204,ROW()-4)),"")</f>
        <v/>
      </c>
      <c r="E31" s="71" t="str">
        <f>IFERROR(IF(INDEX('İş Planı'!$O$5:$O$204,ROW()-4)="","",INDEX('İş Planı'!$O$5:$O$204,ROW()-4)),"")</f>
        <v>Planlanan</v>
      </c>
      <c r="F31" s="83" t="n"/>
      <c r="G31" s="83" t="n"/>
      <c r="H31" s="83" t="n"/>
      <c r="I31" s="83" t="n"/>
      <c r="J31" s="83" t="n"/>
      <c r="K31" s="83" t="n"/>
      <c r="L31" s="83" t="n"/>
      <c r="M31" s="83" t="n"/>
      <c r="N31" s="83" t="n"/>
      <c r="O31" s="83" t="n"/>
      <c r="P31" s="83" t="n"/>
      <c r="Q31" s="83" t="n"/>
    </row>
    <row r="32" ht="18" customHeight="1">
      <c r="A32" s="55" t="str">
        <f>IFERROR(IF(INDEX('İş Planı'!$C$5:$C$204,ROW()-4)="","",INDEX('İş Planı'!$C$5:$C$204,ROW()-4)),"")</f>
        <v>4.4.2. Şifreleme ve Anahtar Yönetimi</v>
      </c>
      <c r="B32" s="55" t="str">
        <f>IFERROR(IF(INDEX('İş Planı'!$B$5:$B$204,ROW()-4)="","",INDEX('İş Planı'!$B$5:$B$204,ROW()-4)),"")</f>
        <v>BIGR (Yönetim Beyanı Ortak Maddeler)</v>
      </c>
      <c r="C32" s="72">
        <f>IFERROR(IF(INDEX('İş Planı'!$I$5:$I$204,ROW()-4)="","",INDEX('İş Planı'!$I$5:$I$204,ROW()-4)),"")</f>
        <v/>
      </c>
      <c r="D32" s="72">
        <f>IFERROR(IF(INDEX('İş Planı'!$M$5:$M$204,ROW()-4)="","",INDEX('İş Planı'!$M$5:$M$204,ROW()-4)),"")</f>
        <v/>
      </c>
      <c r="E32" s="71" t="str">
        <f>IFERROR(IF(INDEX('İş Planı'!$O$5:$O$204,ROW()-4)="","",INDEX('İş Planı'!$O$5:$O$204,ROW()-4)),"")</f>
        <v>Planlanan</v>
      </c>
      <c r="F32" s="83" t="n"/>
      <c r="G32" s="83" t="n"/>
      <c r="H32" s="83" t="n"/>
      <c r="I32" s="83" t="n"/>
      <c r="J32" s="83" t="n"/>
      <c r="K32" s="83" t="n"/>
      <c r="L32" s="83" t="n"/>
      <c r="M32" s="83" t="n"/>
      <c r="N32" s="83" t="n"/>
      <c r="O32" s="83" t="n"/>
      <c r="P32" s="83" t="n"/>
      <c r="Q32" s="83" t="n"/>
    </row>
    <row r="33" ht="18" customHeight="1">
      <c r="A33" s="55" t="str">
        <f>IFERROR(IF(INDEX('İş Planı'!$C$5:$C$204,ROW()-4)="","",INDEX('İş Planı'!$C$5:$C$204,ROW()-4)),"")</f>
        <v>4.4.3. Kriptografik Uygulamalar</v>
      </c>
      <c r="B33" s="55" t="str">
        <f>IFERROR(IF(INDEX('İş Planı'!$B$5:$B$204,ROW()-4)="","",INDEX('İş Planı'!$B$5:$B$204,ROW()-4)),"")</f>
        <v>BIGR (Yönetim Beyanı Ortak Maddeler)</v>
      </c>
      <c r="C33" s="72">
        <f>IFERROR(IF(INDEX('İş Planı'!$I$5:$I$204,ROW()-4)="","",INDEX('İş Planı'!$I$5:$I$204,ROW()-4)),"")</f>
        <v/>
      </c>
      <c r="D33" s="72">
        <f>IFERROR(IF(INDEX('İş Planı'!$M$5:$M$204,ROW()-4)="","",INDEX('İş Planı'!$M$5:$M$204,ROW()-4)),"")</f>
        <v/>
      </c>
      <c r="E33" s="71" t="str">
        <f>IFERROR(IF(INDEX('İş Planı'!$O$5:$O$204,ROW()-4)="","",INDEX('İş Planı'!$O$5:$O$204,ROW()-4)),"")</f>
        <v>Planlanan</v>
      </c>
      <c r="F33" s="83" t="n"/>
      <c r="G33" s="83" t="n"/>
      <c r="H33" s="83" t="n"/>
      <c r="I33" s="83" t="n"/>
      <c r="J33" s="83" t="n"/>
      <c r="K33" s="83" t="n"/>
      <c r="L33" s="83" t="n"/>
      <c r="M33" s="83" t="n"/>
      <c r="N33" s="83" t="n"/>
      <c r="O33" s="83" t="n"/>
      <c r="P33" s="83" t="n"/>
      <c r="Q33" s="83" t="n"/>
    </row>
    <row r="34" ht="18" customHeight="1">
      <c r="A34" s="55" t="str">
        <f>IFERROR(IF(INDEX('İş Planı'!$C$5:$C$204,ROW()-4)="","",INDEX('İş Planı'!$C$5:$C$204,ROW()-4)),"")</f>
        <v>Hesapkurdu firması ağustos ayında Glasshouse'dan Turkcell veri merkezine sunucularını taşımıştır. İlgili değişiklik sonrasında firmaya iletilmesi gereken talepler paylaşılmıştır. Firma tarafından 2 parça halinde kanıtlar iletilmiştir. BT denetim tarafından kanıtlar 24.09.2026 tarihinde incelenmeye başlanmıştır.</v>
      </c>
      <c r="B34" s="55" t="str">
        <f>IFERROR(IF(INDEX('İş Planı'!$B$5:$B$204,ROW()-4)="","",INDEX('İş Planı'!$B$5:$B$204,ROW()-4)),"")</f>
        <v>Destek Hizmeti Denetimler</v>
      </c>
      <c r="C34" s="72">
        <f>IFERROR(IF(INDEX('İş Planı'!$I$5:$I$204,ROW()-4)="","",INDEX('İş Planı'!$I$5:$I$204,ROW()-4)),"")</f>
        <v>46289</v>
      </c>
      <c r="D34" s="72">
        <f>IFERROR(IF(INDEX('İş Planı'!$M$5:$M$204,ROW()-4)="","",INDEX('İş Planı'!$M$5:$M$204,ROW()-4)),"")</f>
        <v>46294</v>
      </c>
      <c r="E34" s="71" t="str">
        <f>IFERROR(IF(INDEX('İş Planı'!$O$5:$O$204,ROW()-4)="","",INDEX('İş Planı'!$O$5:$O$204,ROW()-4)),"")</f>
        <v>Gecikmiş</v>
      </c>
      <c r="F34" s="83" t="n"/>
      <c r="G34" s="83" t="n"/>
      <c r="H34" s="83" t="n"/>
      <c r="I34" s="83" t="n"/>
      <c r="J34" s="83" t="n"/>
      <c r="K34" s="83" t="n"/>
      <c r="L34" s="83" t="n"/>
      <c r="M34" s="83" t="n"/>
      <c r="N34" s="83" t="n"/>
      <c r="O34" s="83" t="n"/>
      <c r="P34" s="83" t="n"/>
      <c r="Q34" s="83" t="n"/>
    </row>
    <row r="35" ht="18" customHeight="1">
      <c r="A35" s="55" t="str">
        <f>IFERROR(IF(INDEX('İş Planı'!$C$5:$C$204,ROW()-4)="","",INDEX('İş Planı'!$C$5:$C$204,ROW()-4)),"")</f>
        <v>Madde 14</v>
      </c>
      <c r="B35" s="55" t="str">
        <f>IFERROR(IF(INDEX('İş Planı'!$B$5:$B$204,ROW()-4)="","",INDEX('İş Planı'!$B$5:$B$204,ROW()-4)),"")</f>
        <v>Yönetim Beyanı</v>
      </c>
      <c r="C35" s="72">
        <f>IFERROR(IF(INDEX('İş Planı'!$I$5:$I$204,ROW()-4)="","",INDEX('İş Planı'!$I$5:$I$204,ROW()-4)),"")</f>
        <v>46272</v>
      </c>
      <c r="D35" s="72">
        <f>IFERROR(IF(INDEX('İş Planı'!$M$5:$M$204,ROW()-4)="","",INDEX('İş Planı'!$M$5:$M$204,ROW()-4)),"")</f>
        <v>46315</v>
      </c>
      <c r="E35" s="71" t="str">
        <f>IFERROR(IF(INDEX('İş Planı'!$O$5:$O$204,ROW()-4)="","",INDEX('İş Planı'!$O$5:$O$204,ROW()-4)),"")</f>
        <v>Devam Ediyor</v>
      </c>
      <c r="F35" s="83" t="n"/>
      <c r="G35" s="83" t="n"/>
      <c r="H35" s="83" t="n"/>
      <c r="I35" s="83" t="n"/>
      <c r="J35" s="83" t="n"/>
      <c r="K35" s="83" t="n"/>
      <c r="L35" s="83" t="n"/>
      <c r="M35" s="83" t="n"/>
      <c r="N35" s="83" t="n"/>
      <c r="O35" s="83" t="n"/>
      <c r="P35" s="83" t="n"/>
      <c r="Q35" s="83" t="n"/>
    </row>
    <row r="36" ht="18" customHeight="1">
      <c r="A36" s="55" t="str">
        <f>IFERROR(IF(INDEX('İş Planı'!$C$5:$C$204,ROW()-4)="","",INDEX('İş Planı'!$C$5:$C$204,ROW()-4)),"")</f>
        <v>3.1.4 E-Posta Sunucusu ve İstemcisi Güvenliği</v>
      </c>
      <c r="B36" s="55" t="str">
        <f>IFERROR(IF(INDEX('İş Planı'!$B$5:$B$204,ROW()-4)="","",INDEX('İş Planı'!$B$5:$B$204,ROW()-4)),"")</f>
        <v>BIGR</v>
      </c>
      <c r="C36" s="72">
        <f>IFERROR(IF(INDEX('İş Planı'!$I$5:$I$204,ROW()-4)="","",INDEX('İş Planı'!$I$5:$I$204,ROW()-4)),"")</f>
        <v>46265</v>
      </c>
      <c r="D36" s="72">
        <f>IFERROR(IF(INDEX('İş Planı'!$M$5:$M$204,ROW()-4)="","",INDEX('İş Planı'!$M$5:$M$204,ROW()-4)),"")</f>
        <v>46284</v>
      </c>
      <c r="E36" s="71" t="str">
        <f>IFERROR(IF(INDEX('İş Planı'!$O$5:$O$204,ROW()-4)="","",INDEX('İş Planı'!$O$5:$O$204,ROW()-4)),"")</f>
        <v>Gecikmiş</v>
      </c>
      <c r="F36" s="83" t="n"/>
      <c r="G36" s="83" t="n"/>
      <c r="H36" s="83" t="n"/>
      <c r="I36" s="83" t="n"/>
      <c r="J36" s="83" t="n"/>
      <c r="K36" s="83" t="n"/>
      <c r="L36" s="83" t="n"/>
      <c r="M36" s="83" t="n"/>
      <c r="N36" s="83" t="n"/>
      <c r="O36" s="83" t="n"/>
      <c r="P36" s="83" t="n"/>
      <c r="Q36" s="83" t="n"/>
    </row>
    <row r="37" ht="18" customHeight="1">
      <c r="A37" s="55" t="str">
        <f>IFERROR(IF(INDEX('İş Planı'!$C$5:$C$204,ROW()-4)="","",INDEX('İş Planı'!$C$5:$C$204,ROW()-4)),"")</f>
        <v>3.1.5 Zararlı Yazılımlardan Korunma</v>
      </c>
      <c r="B37" s="55" t="str">
        <f>IFERROR(IF(INDEX('İş Planı'!$B$5:$B$204,ROW()-4)="","",INDEX('İş Planı'!$B$5:$B$204,ROW()-4)),"")</f>
        <v>BIGR</v>
      </c>
      <c r="C37" s="72">
        <f>IFERROR(IF(INDEX('İş Planı'!$I$5:$I$204,ROW()-4)="","",INDEX('İş Planı'!$I$5:$I$204,ROW()-4)),"")</f>
        <v>46272</v>
      </c>
      <c r="D37" s="72">
        <f>IFERROR(IF(INDEX('İş Planı'!$M$5:$M$204,ROW()-4)="","",INDEX('İş Planı'!$M$5:$M$204,ROW()-4)),"")</f>
        <v>46284</v>
      </c>
      <c r="E37" s="71" t="str">
        <f>IFERROR(IF(INDEX('İş Planı'!$O$5:$O$204,ROW()-4)="","",INDEX('İş Planı'!$O$5:$O$204,ROW()-4)),"")</f>
        <v>Gecikmiş</v>
      </c>
      <c r="F37" s="83" t="n"/>
      <c r="G37" s="83" t="n"/>
      <c r="H37" s="83" t="n"/>
      <c r="I37" s="83" t="n"/>
      <c r="J37" s="83" t="n"/>
      <c r="K37" s="83" t="n"/>
      <c r="L37" s="83" t="n"/>
      <c r="M37" s="83" t="n"/>
      <c r="N37" s="83" t="n"/>
      <c r="O37" s="83" t="n"/>
      <c r="P37" s="83" t="n"/>
      <c r="Q37" s="83" t="n"/>
    </row>
    <row r="38" ht="18" customHeight="1">
      <c r="A38" s="55" t="str">
        <f>IFERROR(IF(INDEX('İş Planı'!$C$5:$C$204,ROW()-4)="","",INDEX('İş Planı'!$C$5:$C$204,ROW()-4)),"")</f>
        <v>Bulut Ekibi ile isterler paylaşıldı. (10.08.2026)
Hatırlatma maili atıldı. Dönüş bekleniyor. (24.08.2026)</v>
      </c>
      <c r="B38" s="55" t="str">
        <f>IFERROR(IF(INDEX('İş Planı'!$B$5:$B$204,ROW()-4)="","",INDEX('İş Planı'!$B$5:$B$204,ROW()-4)),"")</f>
        <v>Buluteks Dendeks Bulut Altyapı Denetimi</v>
      </c>
      <c r="C38" s="72">
        <f>IFERROR(IF(INDEX('İş Planı'!$I$5:$I$204,ROW()-4)="","",INDEX('İş Planı'!$I$5:$I$204,ROW()-4)),"")</f>
        <v>46244</v>
      </c>
      <c r="D38" s="72">
        <f>IFERROR(IF(INDEX('İş Planı'!$M$5:$M$204,ROW()-4)="","",INDEX('İş Planı'!$M$5:$M$204,ROW()-4)),"")</f>
        <v>46310</v>
      </c>
      <c r="E38" s="71" t="str">
        <f>IFERROR(IF(INDEX('İş Planı'!$O$5:$O$204,ROW()-4)="","",INDEX('İş Planı'!$O$5:$O$204,ROW()-4)),"")</f>
        <v>Devam Ediyor</v>
      </c>
      <c r="F38" s="83" t="n"/>
      <c r="G38" s="83" t="n"/>
      <c r="H38" s="83" t="n"/>
      <c r="I38" s="83" t="n"/>
      <c r="J38" s="83" t="n"/>
      <c r="K38" s="83" t="n"/>
      <c r="L38" s="83" t="n"/>
      <c r="M38" s="83" t="n"/>
      <c r="N38" s="83" t="n"/>
      <c r="O38" s="83" t="n"/>
      <c r="P38" s="83" t="n"/>
      <c r="Q38" s="83" t="n"/>
    </row>
    <row r="39" ht="18" customHeight="1">
      <c r="A39" s="55" t="str">
        <f>IFERROR(IF(INDEX('İş Planı'!$C$5:$C$204,ROW()-4)="","",INDEX('İş Planı'!$C$5:$C$204,ROW()-4)),"")</f>
        <v>Madde 11</v>
      </c>
      <c r="B39" s="55" t="str">
        <f>IFERROR(IF(INDEX('İş Planı'!$B$5:$B$204,ROW()-4)="","",INDEX('İş Planı'!$B$5:$B$204,ROW()-4)),"")</f>
        <v>Yönetim Beyanı</v>
      </c>
      <c r="C39" s="72">
        <f>IFERROR(IF(INDEX('İş Planı'!$I$5:$I$204,ROW()-4)="","",INDEX('İş Planı'!$I$5:$I$204,ROW()-4)),"")</f>
        <v>46265</v>
      </c>
      <c r="D39" s="72">
        <f>IFERROR(IF(INDEX('İş Planı'!$M$5:$M$204,ROW()-4)="","",INDEX('İş Planı'!$M$5:$M$204,ROW()-4)),"")</f>
        <v>46311</v>
      </c>
      <c r="E39" s="71" t="str">
        <f>IFERROR(IF(INDEX('İş Planı'!$O$5:$O$204,ROW()-4)="","",INDEX('İş Planı'!$O$5:$O$204,ROW()-4)),"")</f>
        <v>Devam Ediyor</v>
      </c>
      <c r="F39" s="83" t="n"/>
      <c r="G39" s="83" t="n"/>
      <c r="H39" s="83" t="n"/>
      <c r="I39" s="83" t="n"/>
      <c r="J39" s="83" t="n"/>
      <c r="K39" s="83" t="n"/>
      <c r="L39" s="83" t="n"/>
      <c r="M39" s="83" t="n"/>
      <c r="N39" s="83" t="n"/>
      <c r="O39" s="83" t="n"/>
      <c r="P39" s="83" t="n"/>
      <c r="Q39" s="83" t="n"/>
    </row>
    <row r="40" ht="18" customHeight="1">
      <c r="A40" s="55" t="str">
        <f>IFERROR(IF(INDEX('İş Planı'!$C$5:$C$204,ROW()-4)="","",INDEX('İş Planı'!$C$5:$C$204,ROW()-4)),"")</f>
        <v>Madde 22</v>
      </c>
      <c r="B40" s="55" t="str">
        <f>IFERROR(IF(INDEX('İş Planı'!$B$5:$B$204,ROW()-4)="","",INDEX('İş Planı'!$B$5:$B$204,ROW()-4)),"")</f>
        <v>Yönetim Beyanı</v>
      </c>
      <c r="C40" s="72">
        <f>IFERROR(IF(INDEX('İş Planı'!$I$5:$I$204,ROW()-4)="","",INDEX('İş Planı'!$I$5:$I$204,ROW()-4)),"")</f>
        <v>46266</v>
      </c>
      <c r="D40" s="72">
        <f>IFERROR(IF(INDEX('İş Planı'!$M$5:$M$204,ROW()-4)="","",INDEX('İş Planı'!$M$5:$M$204,ROW()-4)),"")</f>
        <v>46311</v>
      </c>
      <c r="E40" s="71" t="str">
        <f>IFERROR(IF(INDEX('İş Planı'!$O$5:$O$204,ROW()-4)="","",INDEX('İş Planı'!$O$5:$O$204,ROW()-4)),"")</f>
        <v>Devam Ediyor</v>
      </c>
      <c r="F40" s="83" t="n"/>
      <c r="G40" s="83" t="n"/>
      <c r="H40" s="83" t="n"/>
      <c r="I40" s="83" t="n"/>
      <c r="J40" s="83" t="n"/>
      <c r="K40" s="83" t="n"/>
      <c r="L40" s="83" t="n"/>
      <c r="M40" s="83" t="n"/>
      <c r="N40" s="83" t="n"/>
      <c r="O40" s="83" t="n"/>
      <c r="P40" s="83" t="n"/>
      <c r="Q40" s="83" t="n"/>
    </row>
    <row r="41" ht="18" customHeight="1">
      <c r="A41" s="55" t="str">
        <f>IFERROR(IF(INDEX('İş Planı'!$C$5:$C$204,ROW()-4)="","",INDEX('İş Planı'!$C$5:$C$204,ROW()-4)),"")</f>
        <v>Buluteks Denetimi</v>
      </c>
      <c r="B41" s="55" t="str">
        <f>IFERROR(IF(INDEX('İş Planı'!$B$5:$B$204,ROW()-4)="","",INDEX('İş Planı'!$B$5:$B$204,ROW()-4)),"")</f>
        <v>Buluteks</v>
      </c>
      <c r="C41" s="72">
        <f>IFERROR(IF(INDEX('İş Planı'!$I$5:$I$204,ROW()-4)="","",INDEX('İş Planı'!$I$5:$I$204,ROW()-4)),"")</f>
        <v>46260</v>
      </c>
      <c r="D41" s="72">
        <f>IFERROR(IF(INDEX('İş Planı'!$M$5:$M$204,ROW()-4)="","",INDEX('İş Planı'!$M$5:$M$204,ROW()-4)),"")</f>
        <v>46295</v>
      </c>
      <c r="E41" s="71" t="str">
        <f>IFERROR(IF(INDEX('İş Planı'!$O$5:$O$204,ROW()-4)="","",INDEX('İş Planı'!$O$5:$O$204,ROW()-4)),"")</f>
        <v>Gecikmiş</v>
      </c>
      <c r="F41" s="83" t="n"/>
      <c r="G41" s="83" t="n"/>
      <c r="H41" s="83" t="n"/>
      <c r="I41" s="83" t="n"/>
      <c r="J41" s="83" t="n"/>
      <c r="K41" s="83" t="n"/>
      <c r="L41" s="83" t="n"/>
      <c r="M41" s="83" t="n"/>
      <c r="N41" s="83" t="n"/>
      <c r="O41" s="83" t="n"/>
      <c r="P41" s="83" t="n"/>
      <c r="Q41" s="83" t="n"/>
    </row>
    <row r="42" ht="18" customHeight="1">
      <c r="A42" s="55" t="str">
        <f>IFERROR(IF(INDEX('İş Planı'!$C$5:$C$204,ROW()-4)="","",INDEX('İş Planı'!$C$5:$C$204,ROW()-4)),"")</f>
        <v>3.2.4 Dosyaların ve Kaynakların Güvenliği</v>
      </c>
      <c r="B42" s="55" t="str">
        <f>IFERROR(IF(INDEX('İş Planı'!$B$5:$B$204,ROW()-4)="","",INDEX('İş Planı'!$B$5:$B$204,ROW()-4)),"")</f>
        <v>BIGR</v>
      </c>
      <c r="C42" s="72">
        <f>IFERROR(IF(INDEX('İş Planı'!$I$5:$I$204,ROW()-4)="","",INDEX('İş Planı'!$I$5:$I$204,ROW()-4)),"")</f>
        <v>46279</v>
      </c>
      <c r="D42" s="72">
        <f>IFERROR(IF(INDEX('İş Planı'!$M$5:$M$204,ROW()-4)="","",INDEX('İş Planı'!$M$5:$M$204,ROW()-4)),"")</f>
        <v>46295</v>
      </c>
      <c r="E42" s="71" t="str">
        <f>IFERROR(IF(INDEX('İş Planı'!$O$5:$O$204,ROW()-4)="","",INDEX('İş Planı'!$O$5:$O$204,ROW()-4)),"")</f>
        <v>Gecikmiş</v>
      </c>
      <c r="F42" s="83" t="n"/>
      <c r="G42" s="83" t="n"/>
      <c r="H42" s="83" t="n"/>
      <c r="I42" s="83" t="n"/>
      <c r="J42" s="83" t="n"/>
      <c r="K42" s="83" t="n"/>
      <c r="L42" s="83" t="n"/>
      <c r="M42" s="83" t="n"/>
      <c r="N42" s="83" t="n"/>
      <c r="O42" s="83" t="n"/>
      <c r="P42" s="83" t="n"/>
      <c r="Q42" s="83" t="n"/>
    </row>
    <row r="43" ht="18" customHeight="1">
      <c r="A43" s="55" t="str">
        <f>IFERROR(IF(INDEX('İş Planı'!$C$5:$C$204,ROW()-4)="","",INDEX('İş Planı'!$C$5:$C$204,ROW()-4)),"")</f>
        <v>3.2.7 Veri Tabanı ve Kayıt Yönetimi</v>
      </c>
      <c r="B43" s="55" t="str">
        <f>IFERROR(IF(INDEX('İş Planı'!$B$5:$B$204,ROW()-4)="","",INDEX('İş Planı'!$B$5:$B$204,ROW()-4)),"")</f>
        <v>BIGR</v>
      </c>
      <c r="C43" s="72">
        <f>IFERROR(IF(INDEX('İş Planı'!$I$5:$I$204,ROW()-4)="","",INDEX('İş Planı'!$I$5:$I$204,ROW()-4)),"")</f>
        <v>46279</v>
      </c>
      <c r="D43" s="72">
        <f>IFERROR(IF(INDEX('İş Planı'!$M$5:$M$204,ROW()-4)="","",INDEX('İş Planı'!$M$5:$M$204,ROW()-4)),"")</f>
        <v>46295</v>
      </c>
      <c r="E43" s="71" t="str">
        <f>IFERROR(IF(INDEX('İş Planı'!$O$5:$O$204,ROW()-4)="","",INDEX('İş Planı'!$O$5:$O$204,ROW()-4)),"")</f>
        <v>Gecikmiş</v>
      </c>
      <c r="F43" s="83" t="n"/>
      <c r="G43" s="83" t="n"/>
      <c r="H43" s="83" t="n"/>
      <c r="I43" s="83" t="n"/>
      <c r="J43" s="83" t="n"/>
      <c r="K43" s="83" t="n"/>
      <c r="L43" s="83" t="n"/>
      <c r="M43" s="83" t="n"/>
      <c r="N43" s="83" t="n"/>
      <c r="O43" s="83" t="n"/>
      <c r="P43" s="83" t="n"/>
      <c r="Q43" s="83" t="n"/>
    </row>
    <row r="44" ht="18" customHeight="1">
      <c r="A44" s="55" t="str">
        <f>IFERROR(IF(INDEX('İş Planı'!$C$5:$C$204,ROW()-4)="","",INDEX('İş Planı'!$C$5:$C$204,ROW()-4)),"")</f>
        <v>Madde 10</v>
      </c>
      <c r="B44" s="55" t="str">
        <f>IFERROR(IF(INDEX('İş Planı'!$B$5:$B$204,ROW()-4)="","",INDEX('İş Planı'!$B$5:$B$204,ROW()-4)),"")</f>
        <v>Yönetim Beyanı</v>
      </c>
      <c r="C44" s="72">
        <f>IFERROR(IF(INDEX('İş Planı'!$I$5:$I$204,ROW()-4)="","",INDEX('İş Planı'!$I$5:$I$204,ROW()-4)),"")</f>
        <v>46260</v>
      </c>
      <c r="D44" s="72">
        <f>IFERROR(IF(INDEX('İş Planı'!$M$5:$M$204,ROW()-4)="","",INDEX('İş Planı'!$M$5:$M$204,ROW()-4)),"")</f>
        <v>46293</v>
      </c>
      <c r="E44" s="71" t="str">
        <f>IFERROR(IF(INDEX('İş Planı'!$O$5:$O$204,ROW()-4)="","",INDEX('İş Planı'!$O$5:$O$204,ROW()-4)),"")</f>
        <v>Gecikmiş</v>
      </c>
      <c r="F44" s="83" t="n"/>
      <c r="G44" s="83" t="n"/>
      <c r="H44" s="83" t="n"/>
      <c r="I44" s="83" t="n"/>
      <c r="J44" s="83" t="n"/>
      <c r="K44" s="83" t="n"/>
      <c r="L44" s="83" t="n"/>
      <c r="M44" s="83" t="n"/>
      <c r="N44" s="83" t="n"/>
      <c r="O44" s="83" t="n"/>
      <c r="P44" s="83" t="n"/>
      <c r="Q44" s="83" t="n"/>
    </row>
    <row r="45" ht="18" customHeight="1">
      <c r="A45" s="55" t="str">
        <f>IFERROR(IF(INDEX('İş Planı'!$C$5:$C$204,ROW()-4)="","",INDEX('İş Planı'!$C$5:$C$204,ROW()-4)),"")</f>
        <v>Madde 23</v>
      </c>
      <c r="B45" s="55" t="str">
        <f>IFERROR(IF(INDEX('İş Planı'!$B$5:$B$204,ROW()-4)="","",INDEX('İş Planı'!$B$5:$B$204,ROW()-4)),"")</f>
        <v>Yönetim Beyanı</v>
      </c>
      <c r="C45" s="72">
        <f>IFERROR(IF(INDEX('İş Planı'!$I$5:$I$204,ROW()-4)="","",INDEX('İş Planı'!$I$5:$I$204,ROW()-4)),"")</f>
        <v>46286</v>
      </c>
      <c r="D45" s="72">
        <f>IFERROR(IF(INDEX('İş Planı'!$M$5:$M$204,ROW()-4)="","",INDEX('İş Planı'!$M$5:$M$204,ROW()-4)),"")</f>
        <v>46318</v>
      </c>
      <c r="E45" s="71" t="str">
        <f>IFERROR(IF(INDEX('İş Planı'!$O$5:$O$204,ROW()-4)="","",INDEX('İş Planı'!$O$5:$O$204,ROW()-4)),"")</f>
        <v>Devam Ediyor</v>
      </c>
      <c r="F45" s="83" t="n"/>
      <c r="G45" s="83" t="n"/>
      <c r="H45" s="83" t="n"/>
      <c r="I45" s="83" t="n"/>
      <c r="J45" s="83" t="n"/>
      <c r="K45" s="83" t="n"/>
      <c r="L45" s="83" t="n"/>
      <c r="M45" s="83" t="n"/>
      <c r="N45" s="83" t="n"/>
      <c r="O45" s="83" t="n"/>
      <c r="P45" s="83" t="n"/>
      <c r="Q45" s="83" t="n"/>
    </row>
    <row r="46" ht="18" customHeight="1">
      <c r="A46" s="55" t="str">
        <f>IFERROR(IF(INDEX('İş Planı'!$C$5:$C$204,ROW()-4)="","",INDEX('İş Planı'!$C$5:$C$204,ROW()-4)),"")</f>
        <v>3.1.7 Veri Sızıntısı Önleme</v>
      </c>
      <c r="B46" s="55" t="str">
        <f>IFERROR(IF(INDEX('İş Planı'!$B$5:$B$204,ROW()-4)="","",INDEX('İş Planı'!$B$5:$B$204,ROW()-4)),"")</f>
        <v>BIGR</v>
      </c>
      <c r="C46" s="72">
        <f>IFERROR(IF(INDEX('İş Planı'!$I$5:$I$204,ROW()-4)="","",INDEX('İş Planı'!$I$5:$I$204,ROW()-4)),"")</f>
        <v>46274</v>
      </c>
      <c r="D46" s="72">
        <f>IFERROR(IF(INDEX('İş Planı'!$M$5:$M$204,ROW()-4)="","",INDEX('İş Planı'!$M$5:$M$204,ROW()-4)),"")</f>
        <v>46288</v>
      </c>
      <c r="E46" s="71" t="str">
        <f>IFERROR(IF(INDEX('İş Planı'!$O$5:$O$204,ROW()-4)="","",INDEX('İş Planı'!$O$5:$O$204,ROW()-4)),"")</f>
        <v>Gecikmiş</v>
      </c>
      <c r="F46" s="83" t="n"/>
      <c r="G46" s="83" t="n"/>
      <c r="H46" s="83" t="n"/>
      <c r="I46" s="83" t="n"/>
      <c r="J46" s="83" t="n"/>
      <c r="K46" s="83" t="n"/>
      <c r="L46" s="83" t="n"/>
      <c r="M46" s="83" t="n"/>
      <c r="N46" s="83" t="n"/>
      <c r="O46" s="83" t="n"/>
      <c r="P46" s="83" t="n"/>
      <c r="Q46" s="83" t="n"/>
    </row>
    <row r="47" ht="18" customHeight="1">
      <c r="A47" s="55" t="str">
        <f>IFERROR(IF(INDEX('İş Planı'!$C$5:$C$204,ROW()-4)="","",INDEX('İş Planı'!$C$5:$C$204,ROW()-4)),"")</f>
        <v>Madde 28</v>
      </c>
      <c r="B47" s="55" t="str">
        <f>IFERROR(IF(INDEX('İş Planı'!$B$5:$B$204,ROW()-4)="","",INDEX('İş Planı'!$B$5:$B$204,ROW()-4)),"")</f>
        <v>Yönetim Beyanı</v>
      </c>
      <c r="C47" s="72">
        <f>IFERROR(IF(INDEX('İş Planı'!$I$5:$I$204,ROW()-4)="","",INDEX('İş Planı'!$I$5:$I$204,ROW()-4)),"")</f>
        <v>46314</v>
      </c>
      <c r="D47" s="72">
        <f>IFERROR(IF(INDEX('İş Planı'!$M$5:$M$204,ROW()-4)="","",INDEX('İş Planı'!$M$5:$M$204,ROW()-4)),"")</f>
        <v>46332</v>
      </c>
      <c r="E47" s="71" t="str">
        <f>IFERROR(IF(INDEX('İş Planı'!$O$5:$O$204,ROW()-4)="","",INDEX('İş Planı'!$O$5:$O$204,ROW()-4)),"")</f>
        <v>Planlanan</v>
      </c>
      <c r="F47" s="83" t="n"/>
      <c r="G47" s="83" t="n"/>
      <c r="H47" s="83" t="n"/>
      <c r="I47" s="83" t="n"/>
      <c r="J47" s="83" t="n"/>
      <c r="K47" s="83" t="n"/>
      <c r="L47" s="83" t="n"/>
      <c r="M47" s="83" t="n"/>
      <c r="N47" s="83" t="n"/>
      <c r="O47" s="83" t="n"/>
      <c r="P47" s="83" t="n"/>
      <c r="Q47" s="83" t="n"/>
    </row>
    <row r="48" ht="18" customHeight="1">
      <c r="A48" s="55" t="str">
        <f>IFERROR(IF(INDEX('İş Planı'!$C$5:$C$204,ROW()-4)="","",INDEX('İş Planı'!$C$5:$C$204,ROW()-4)),"")</f>
        <v>Madde 29</v>
      </c>
      <c r="B48" s="55" t="str">
        <f>IFERROR(IF(INDEX('İş Planı'!$B$5:$B$204,ROW()-4)="","",INDEX('İş Planı'!$B$5:$B$204,ROW()-4)),"")</f>
        <v>Yönetim Beyanı</v>
      </c>
      <c r="C48" s="72">
        <f>IFERROR(IF(INDEX('İş Planı'!$I$5:$I$204,ROW()-4)="","",INDEX('İş Planı'!$I$5:$I$204,ROW()-4)),"")</f>
        <v>46300</v>
      </c>
      <c r="D48" s="72">
        <f>IFERROR(IF(INDEX('İş Planı'!$M$5:$M$204,ROW()-4)="","",INDEX('İş Planı'!$M$5:$M$204,ROW()-4)),"")</f>
        <v>46318</v>
      </c>
      <c r="E48" s="71" t="str">
        <f>IFERROR(IF(INDEX('İş Planı'!$O$5:$O$204,ROW()-4)="","",INDEX('İş Planı'!$O$5:$O$204,ROW()-4)),"")</f>
        <v>Devam Ediyor</v>
      </c>
      <c r="F48" s="83" t="n"/>
      <c r="G48" s="83" t="n"/>
      <c r="H48" s="83" t="n"/>
      <c r="I48" s="83" t="n"/>
      <c r="J48" s="83" t="n"/>
      <c r="K48" s="83" t="n"/>
      <c r="L48" s="83" t="n"/>
      <c r="M48" s="83" t="n"/>
      <c r="N48" s="83" t="n"/>
      <c r="O48" s="83" t="n"/>
      <c r="P48" s="83" t="n"/>
      <c r="Q48" s="83" t="n"/>
    </row>
    <row r="49" ht="18" customHeight="1">
      <c r="A49" s="55" t="str">
        <f>IFERROR(IF(INDEX('İş Planı'!$C$5:$C$204,ROW()-4)="","",INDEX('İş Planı'!$C$5:$C$204,ROW()-4)),"")</f>
        <v>3.1.7. Veri Sızıntısı Önleme</v>
      </c>
      <c r="B49" s="55" t="str">
        <f>IFERROR(IF(INDEX('İş Planı'!$B$5:$B$204,ROW()-4)="","",INDEX('İş Planı'!$B$5:$B$204,ROW()-4)),"")</f>
        <v>BIGR (Yönetim Beyanı Ortak Maddeler)</v>
      </c>
      <c r="C49" s="72">
        <f>IFERROR(IF(INDEX('İş Planı'!$I$5:$I$204,ROW()-4)="","",INDEX('İş Planı'!$I$5:$I$204,ROW()-4)),"")</f>
        <v/>
      </c>
      <c r="D49" s="72">
        <f>IFERROR(IF(INDEX('İş Planı'!$M$5:$M$204,ROW()-4)="","",INDEX('İş Planı'!$M$5:$M$204,ROW()-4)),"")</f>
        <v/>
      </c>
      <c r="E49" s="71" t="str">
        <f>IFERROR(IF(INDEX('İş Planı'!$O$5:$O$204,ROW()-4)="","",INDEX('İş Planı'!$O$5:$O$204,ROW()-4)),"")</f>
        <v>Planlanan</v>
      </c>
      <c r="F49" s="83" t="n"/>
      <c r="G49" s="83" t="n"/>
      <c r="H49" s="83" t="n"/>
      <c r="I49" s="83" t="n"/>
      <c r="J49" s="83" t="n"/>
      <c r="K49" s="83" t="n"/>
      <c r="L49" s="83" t="n"/>
      <c r="M49" s="83" t="n"/>
      <c r="N49" s="83" t="n"/>
      <c r="O49" s="83" t="n"/>
      <c r="P49" s="83" t="n"/>
      <c r="Q49" s="83" t="n"/>
    </row>
    <row r="50" ht="18" customHeight="1">
      <c r="A50" s="55" t="str">
        <f>IFERROR(IF(INDEX('İş Planı'!$C$5:$C$204,ROW()-4)="","",INDEX('İş Planı'!$C$5:$C$204,ROW()-4)),"")</f>
        <v>3.1.8. İz ve Denetim Kayıtlarının Tutulması ve İzlenmesi</v>
      </c>
      <c r="B50" s="55" t="str">
        <f>IFERROR(IF(INDEX('İş Planı'!$B$5:$B$204,ROW()-4)="","",INDEX('İş Planı'!$B$5:$B$204,ROW()-4)),"")</f>
        <v>BIGR (Yönetim Beyanı Ortak Maddeler)</v>
      </c>
      <c r="C50" s="72">
        <f>IFERROR(IF(INDEX('İş Planı'!$I$5:$I$204,ROW()-4)="","",INDEX('İş Planı'!$I$5:$I$204,ROW()-4)),"")</f>
        <v/>
      </c>
      <c r="D50" s="72">
        <f>IFERROR(IF(INDEX('İş Planı'!$M$5:$M$204,ROW()-4)="","",INDEX('İş Planı'!$M$5:$M$204,ROW()-4)),"")</f>
        <v/>
      </c>
      <c r="E50" s="71" t="str">
        <f>IFERROR(IF(INDEX('İş Planı'!$O$5:$O$204,ROW()-4)="","",INDEX('İş Planı'!$O$5:$O$204,ROW()-4)),"")</f>
        <v>Planlanan</v>
      </c>
      <c r="F50" s="83" t="n"/>
      <c r="G50" s="83" t="n"/>
      <c r="H50" s="83" t="n"/>
      <c r="I50" s="83" t="n"/>
      <c r="J50" s="83" t="n"/>
      <c r="K50" s="83" t="n"/>
      <c r="L50" s="83" t="n"/>
      <c r="M50" s="83" t="n"/>
      <c r="N50" s="83" t="n"/>
      <c r="O50" s="83" t="n"/>
      <c r="P50" s="83" t="n"/>
      <c r="Q50" s="83" t="n"/>
    </row>
    <row r="51" ht="18" customHeight="1">
      <c r="A51" s="55" t="str">
        <f>IFERROR(IF(INDEX('İş Planı'!$C$5:$C$204,ROW()-4)="","",INDEX('İş Planı'!$C$5:$C$204,ROW()-4)),"")</f>
        <v>3.2.10. Kötücül İşlemleri Engelleme</v>
      </c>
      <c r="B51" s="55" t="str">
        <f>IFERROR(IF(INDEX('İş Planı'!$B$5:$B$204,ROW()-4)="","",INDEX('İş Planı'!$B$5:$B$204,ROW()-4)),"")</f>
        <v>BIGR (Yönetim Beyanı Ortak Maddeler)</v>
      </c>
      <c r="C51" s="72">
        <f>IFERROR(IF(INDEX('İş Planı'!$I$5:$I$204,ROW()-4)="","",INDEX('İş Planı'!$I$5:$I$204,ROW()-4)),"")</f>
        <v/>
      </c>
      <c r="D51" s="72">
        <f>IFERROR(IF(INDEX('İş Planı'!$M$5:$M$204,ROW()-4)="","",INDEX('İş Planı'!$M$5:$M$204,ROW()-4)),"")</f>
        <v/>
      </c>
      <c r="E51" s="71" t="str">
        <f>IFERROR(IF(INDEX('İş Planı'!$O$5:$O$204,ROW()-4)="","",INDEX('İş Planı'!$O$5:$O$204,ROW()-4)),"")</f>
        <v>Planlanan</v>
      </c>
      <c r="F51" s="83" t="n"/>
      <c r="G51" s="83" t="n"/>
      <c r="H51" s="83" t="n"/>
      <c r="I51" s="83" t="n"/>
      <c r="J51" s="83" t="n"/>
      <c r="K51" s="83" t="n"/>
      <c r="L51" s="83" t="n"/>
      <c r="M51" s="83" t="n"/>
      <c r="N51" s="83" t="n"/>
      <c r="O51" s="83" t="n"/>
      <c r="P51" s="83" t="n"/>
      <c r="Q51" s="83" t="n"/>
    </row>
    <row r="52" ht="18" customHeight="1">
      <c r="A52" s="55" t="str">
        <f>IFERROR(IF(INDEX('İş Planı'!$C$5:$C$204,ROW()-4)="","",INDEX('İş Planı'!$C$5:$C$204,ROW()-4)),"")</f>
        <v>3.1.12. Kimlik Doğrulama ve Erişim Yönetimi</v>
      </c>
      <c r="B52" s="55" t="str">
        <f>IFERROR(IF(INDEX('İş Planı'!$B$5:$B$204,ROW()-4)="","",INDEX('İş Planı'!$B$5:$B$204,ROW()-4)),"")</f>
        <v>BIGR (Yönetim Beyanı Ortak Maddeler)</v>
      </c>
      <c r="C52" s="72">
        <f>IFERROR(IF(INDEX('İş Planı'!$I$5:$I$204,ROW()-4)="","",INDEX('İş Planı'!$I$5:$I$204,ROW()-4)),"")</f>
        <v/>
      </c>
      <c r="D52" s="72">
        <f>IFERROR(IF(INDEX('İş Planı'!$M$5:$M$204,ROW()-4)="","",INDEX('İş Planı'!$M$5:$M$204,ROW()-4)),"")</f>
        <v/>
      </c>
      <c r="E52" s="71" t="str">
        <f>IFERROR(IF(INDEX('İş Planı'!$O$5:$O$204,ROW()-4)="","",INDEX('İş Planı'!$O$5:$O$204,ROW()-4)),"")</f>
        <v>Planlanan</v>
      </c>
      <c r="F52" s="83" t="n"/>
      <c r="G52" s="83" t="n"/>
      <c r="H52" s="83" t="n"/>
      <c r="I52" s="83" t="n"/>
      <c r="J52" s="83" t="n"/>
      <c r="K52" s="83" t="n"/>
      <c r="L52" s="83" t="n"/>
      <c r="M52" s="83" t="n"/>
      <c r="N52" s="83" t="n"/>
      <c r="O52" s="83" t="n"/>
      <c r="P52" s="83" t="n"/>
      <c r="Q52" s="83" t="n"/>
    </row>
    <row r="53" ht="18" customHeight="1">
      <c r="A53" s="55" t="str">
        <f>IFERROR(IF(INDEX('İş Planı'!$C$5:$C$204,ROW()-4)="","",INDEX('İş Planı'!$C$5:$C$204,ROW()-4)),"")</f>
        <v>3.1.9. Sanallaştırma Güvenliği</v>
      </c>
      <c r="B53" s="55" t="str">
        <f>IFERROR(IF(INDEX('İş Planı'!$B$5:$B$204,ROW()-4)="","",INDEX('İş Planı'!$B$5:$B$204,ROW()-4)),"")</f>
        <v>BIGR (Yönetim Beyanı Ortak Maddeler)</v>
      </c>
      <c r="C53" s="72">
        <f>IFERROR(IF(INDEX('İş Planı'!$I$5:$I$204,ROW()-4)="","",INDEX('İş Planı'!$I$5:$I$204,ROW()-4)),"")</f>
        <v/>
      </c>
      <c r="D53" s="72">
        <f>IFERROR(IF(INDEX('İş Planı'!$M$5:$M$204,ROW()-4)="","",INDEX('İş Planı'!$M$5:$M$204,ROW()-4)),"")</f>
        <v/>
      </c>
      <c r="E53" s="71" t="str">
        <f>IFERROR(IF(INDEX('İş Planı'!$O$5:$O$204,ROW()-4)="","",INDEX('İş Planı'!$O$5:$O$204,ROW()-4)),"")</f>
        <v>Planlanan</v>
      </c>
      <c r="F53" s="83" t="n"/>
      <c r="G53" s="83" t="n"/>
      <c r="H53" s="83" t="n"/>
      <c r="I53" s="83" t="n"/>
      <c r="J53" s="83" t="n"/>
      <c r="K53" s="83" t="n"/>
      <c r="L53" s="83" t="n"/>
      <c r="M53" s="83" t="n"/>
      <c r="N53" s="83" t="n"/>
      <c r="O53" s="83" t="n"/>
      <c r="P53" s="83" t="n"/>
      <c r="Q53" s="83" t="n"/>
    </row>
    <row r="54" ht="18" customHeight="1">
      <c r="A54" s="55" t="str">
        <f>IFERROR(IF(INDEX('İş Planı'!$C$5:$C$204,ROW()-4)="","",INDEX('İş Planı'!$C$5:$C$204,ROW()-4)),"")</f>
        <v>3.2.1. Kimlik Doğrulama</v>
      </c>
      <c r="B54" s="55" t="str">
        <f>IFERROR(IF(INDEX('İş Planı'!$B$5:$B$204,ROW()-4)="","",INDEX('İş Planı'!$B$5:$B$204,ROW()-4)),"")</f>
        <v>BIGR (Yönetim Beyanı Ortak Maddeler)</v>
      </c>
      <c r="C54" s="72">
        <f>IFERROR(IF(INDEX('İş Planı'!$I$5:$I$204,ROW()-4)="","",INDEX('İş Planı'!$I$5:$I$204,ROW()-4)),"")</f>
        <v/>
      </c>
      <c r="D54" s="72">
        <f>IFERROR(IF(INDEX('İş Planı'!$M$5:$M$204,ROW()-4)="","",INDEX('İş Planı'!$M$5:$M$204,ROW()-4)),"")</f>
        <v/>
      </c>
      <c r="E54" s="71" t="str">
        <f>IFERROR(IF(INDEX('İş Planı'!$O$5:$O$204,ROW()-4)="","",INDEX('İş Planı'!$O$5:$O$204,ROW()-4)),"")</f>
        <v>Planlanan</v>
      </c>
      <c r="F54" s="83" t="n"/>
      <c r="G54" s="83" t="n"/>
      <c r="H54" s="83" t="n"/>
      <c r="I54" s="83" t="n"/>
      <c r="J54" s="83" t="n"/>
      <c r="K54" s="83" t="n"/>
      <c r="L54" s="83" t="n"/>
      <c r="M54" s="83" t="n"/>
      <c r="N54" s="83" t="n"/>
      <c r="O54" s="83" t="n"/>
      <c r="P54" s="83" t="n"/>
      <c r="Q54" s="83" t="n"/>
    </row>
    <row r="55" ht="18" customHeight="1">
      <c r="A55" s="55" t="str">
        <f>IFERROR(IF(INDEX('İş Planı'!$C$5:$C$204,ROW()-4)="","",INDEX('İş Planı'!$C$5:$C$204,ROW()-4)),"")</f>
        <v>3.2.11. Dış Sistem Entegrasyonlarının Güvenliği</v>
      </c>
      <c r="B55" s="55" t="str">
        <f>IFERROR(IF(INDEX('İş Planı'!$B$5:$B$204,ROW()-4)="","",INDEX('İş Planı'!$B$5:$B$204,ROW()-4)),"")</f>
        <v>BIGR (Yönetim Beyanı Ortak Maddeler)</v>
      </c>
      <c r="C55" s="72">
        <f>IFERROR(IF(INDEX('İş Planı'!$I$5:$I$204,ROW()-4)="","",INDEX('İş Planı'!$I$5:$I$204,ROW()-4)),"")</f>
        <v/>
      </c>
      <c r="D55" s="72">
        <f>IFERROR(IF(INDEX('İş Planı'!$M$5:$M$204,ROW()-4)="","",INDEX('İş Planı'!$M$5:$M$204,ROW()-4)),"")</f>
        <v/>
      </c>
      <c r="E55" s="71" t="str">
        <f>IFERROR(IF(INDEX('İş Planı'!$O$5:$O$204,ROW()-4)="","",INDEX('İş Planı'!$O$5:$O$204,ROW()-4)),"")</f>
        <v>Planlanan</v>
      </c>
      <c r="F55" s="83" t="n"/>
      <c r="G55" s="83" t="n"/>
      <c r="H55" s="83" t="n"/>
      <c r="I55" s="83" t="n"/>
      <c r="J55" s="83" t="n"/>
      <c r="K55" s="83" t="n"/>
      <c r="L55" s="83" t="n"/>
      <c r="M55" s="83" t="n"/>
      <c r="N55" s="83" t="n"/>
      <c r="O55" s="83" t="n"/>
      <c r="P55" s="83" t="n"/>
      <c r="Q55" s="83" t="n"/>
    </row>
    <row r="56" ht="18" customHeight="1">
      <c r="A56" s="55" t="str">
        <f>IFERROR(IF(INDEX('İş Planı'!$C$5:$C$204,ROW()-4)="","",INDEX('İş Planı'!$C$5:$C$204,ROW()-4)),"")</f>
        <v>3.2.5. Güvenli Kurulum ve Yapılandırma</v>
      </c>
      <c r="B56" s="55" t="str">
        <f>IFERROR(IF(INDEX('İş Planı'!$B$5:$B$204,ROW()-4)="","",INDEX('İş Planı'!$B$5:$B$204,ROW()-4)),"")</f>
        <v>BIGR (Yönetim Beyanı Ortak Maddeler)</v>
      </c>
      <c r="C56" s="72">
        <f>IFERROR(IF(INDEX('İş Planı'!$I$5:$I$204,ROW()-4)="","",INDEX('İş Planı'!$I$5:$I$204,ROW()-4)),"")</f>
        <v/>
      </c>
      <c r="D56" s="72">
        <f>IFERROR(IF(INDEX('İş Planı'!$M$5:$M$204,ROW()-4)="","",INDEX('İş Planı'!$M$5:$M$204,ROW()-4)),"")</f>
        <v/>
      </c>
      <c r="E56" s="71" t="str">
        <f>IFERROR(IF(INDEX('İş Planı'!$O$5:$O$204,ROW()-4)="","",INDEX('İş Planı'!$O$5:$O$204,ROW()-4)),"")</f>
        <v>Planlanan</v>
      </c>
      <c r="F56" s="83" t="n"/>
      <c r="G56" s="83" t="n"/>
      <c r="H56" s="83" t="n"/>
      <c r="I56" s="83" t="n"/>
      <c r="J56" s="83" t="n"/>
      <c r="K56" s="83" t="n"/>
      <c r="L56" s="83" t="n"/>
      <c r="M56" s="83" t="n"/>
      <c r="N56" s="83" t="n"/>
      <c r="O56" s="83" t="n"/>
      <c r="P56" s="83" t="n"/>
      <c r="Q56" s="83" t="n"/>
    </row>
    <row r="57" ht="18" customHeight="1">
      <c r="A57" s="55" t="str">
        <f>IFERROR(IF(INDEX('İş Planı'!$C$5:$C$204,ROW()-4)="","",INDEX('İş Planı'!$C$5:$C$204,ROW()-4)),"")</f>
        <v>4.6.1. Genel Güvenlik Tedbirleri</v>
      </c>
      <c r="B57" s="55" t="str">
        <f>IFERROR(IF(INDEX('İş Planı'!$B$5:$B$204,ROW()-4)="","",INDEX('İş Planı'!$B$5:$B$204,ROW()-4)),"")</f>
        <v>BIGR (Yönetim Beyanı Ortak Maddeler)</v>
      </c>
      <c r="C57" s="72">
        <f>IFERROR(IF(INDEX('İş Planı'!$I$5:$I$204,ROW()-4)="","",INDEX('İş Planı'!$I$5:$I$204,ROW()-4)),"")</f>
        <v/>
      </c>
      <c r="D57" s="72">
        <f>IFERROR(IF(INDEX('İş Planı'!$M$5:$M$204,ROW()-4)="","",INDEX('İş Planı'!$M$5:$M$204,ROW()-4)),"")</f>
        <v/>
      </c>
      <c r="E57" s="71" t="str">
        <f>IFERROR(IF(INDEX('İş Planı'!$O$5:$O$204,ROW()-4)="","",INDEX('İş Planı'!$O$5:$O$204,ROW()-4)),"")</f>
        <v>Planlanan</v>
      </c>
      <c r="F57" s="83" t="n"/>
      <c r="G57" s="83" t="n"/>
      <c r="H57" s="83" t="n"/>
      <c r="I57" s="83" t="n"/>
      <c r="J57" s="83" t="n"/>
      <c r="K57" s="83" t="n"/>
      <c r="L57" s="83" t="n"/>
      <c r="M57" s="83" t="n"/>
      <c r="N57" s="83" t="n"/>
      <c r="O57" s="83" t="n"/>
      <c r="P57" s="83" t="n"/>
      <c r="Q57" s="83" t="n"/>
    </row>
    <row r="58" ht="18" customHeight="1">
      <c r="A58" s="55" t="str">
        <f>IFERROR(IF(INDEX('İş Planı'!$C$5:$C$204,ROW()-4)="","",INDEX('İş Planı'!$C$5:$C$204,ROW()-4)),"")</f>
        <v>5.1.1. Genel Sıkılaştırma Tedbirleri</v>
      </c>
      <c r="B58" s="55" t="str">
        <f>IFERROR(IF(INDEX('İş Planı'!$B$5:$B$204,ROW()-4)="","",INDEX('İş Planı'!$B$5:$B$204,ROW()-4)),"")</f>
        <v>BIGR (Yönetim Beyanı Ortak Maddeler)</v>
      </c>
      <c r="C58" s="72">
        <f>IFERROR(IF(INDEX('İş Planı'!$I$5:$I$204,ROW()-4)="","",INDEX('İş Planı'!$I$5:$I$204,ROW()-4)),"")</f>
        <v/>
      </c>
      <c r="D58" s="72">
        <f>IFERROR(IF(INDEX('İş Planı'!$M$5:$M$204,ROW()-4)="","",INDEX('İş Planı'!$M$5:$M$204,ROW()-4)),"")</f>
        <v/>
      </c>
      <c r="E58" s="71" t="str">
        <f>IFERROR(IF(INDEX('İş Planı'!$O$5:$O$204,ROW()-4)="","",INDEX('İş Planı'!$O$5:$O$204,ROW()-4)),"")</f>
        <v>Planlanan</v>
      </c>
      <c r="F58" s="83" t="n"/>
      <c r="G58" s="83" t="n"/>
      <c r="H58" s="83" t="n"/>
      <c r="I58" s="83" t="n"/>
      <c r="J58" s="83" t="n"/>
      <c r="K58" s="83" t="n"/>
      <c r="L58" s="83" t="n"/>
      <c r="M58" s="83" t="n"/>
      <c r="N58" s="83" t="n"/>
      <c r="O58" s="83" t="n"/>
      <c r="P58" s="83" t="n"/>
      <c r="Q58" s="83" t="n"/>
    </row>
    <row r="59" ht="18" customHeight="1">
      <c r="A59" s="55" t="str">
        <f>IFERROR(IF(INDEX('İş Planı'!$C$5:$C$204,ROW()-4)="","",INDEX('İş Planı'!$C$5:$C$204,ROW()-4)),"")</f>
        <v>5.1.2. Linux İşletim Sistemi Sıkılaştırma Tedbirleri</v>
      </c>
      <c r="B59" s="55" t="str">
        <f>IFERROR(IF(INDEX('İş Planı'!$B$5:$B$204,ROW()-4)="","",INDEX('İş Planı'!$B$5:$B$204,ROW()-4)),"")</f>
        <v>BIGR (Yönetim Beyanı Ortak Maddeler)</v>
      </c>
      <c r="C59" s="72">
        <f>IFERROR(IF(INDEX('İş Planı'!$I$5:$I$204,ROW()-4)="","",INDEX('İş Planı'!$I$5:$I$204,ROW()-4)),"")</f>
        <v/>
      </c>
      <c r="D59" s="72">
        <f>IFERROR(IF(INDEX('İş Planı'!$M$5:$M$204,ROW()-4)="","",INDEX('İş Planı'!$M$5:$M$204,ROW()-4)),"")</f>
        <v/>
      </c>
      <c r="E59" s="71" t="str">
        <f>IFERROR(IF(INDEX('İş Planı'!$O$5:$O$204,ROW()-4)="","",INDEX('İş Planı'!$O$5:$O$204,ROW()-4)),"")</f>
        <v>Planlanan</v>
      </c>
      <c r="F59" s="83" t="n"/>
      <c r="G59" s="83" t="n"/>
      <c r="H59" s="83" t="n"/>
      <c r="I59" s="83" t="n"/>
      <c r="J59" s="83" t="n"/>
      <c r="K59" s="83" t="n"/>
      <c r="L59" s="83" t="n"/>
      <c r="M59" s="83" t="n"/>
      <c r="N59" s="83" t="n"/>
      <c r="O59" s="83" t="n"/>
      <c r="P59" s="83" t="n"/>
      <c r="Q59" s="83" t="n"/>
    </row>
    <row r="60" ht="18" customHeight="1">
      <c r="A60" s="55" t="str">
        <f>IFERROR(IF(INDEX('İş Planı'!$C$5:$C$204,ROW()-4)="","",INDEX('İş Planı'!$C$5:$C$204,ROW()-4)),"")</f>
        <v>3.1.14. Uzaktan Çalışma</v>
      </c>
      <c r="B60" s="55" t="str">
        <f>IFERROR(IF(INDEX('İş Planı'!$B$5:$B$204,ROW()-4)="","",INDEX('İş Planı'!$B$5:$B$204,ROW()-4)),"")</f>
        <v>BIGR (Yönetim Beyanı Ortak Maddeler)</v>
      </c>
      <c r="C60" s="72">
        <f>IFERROR(IF(INDEX('İş Planı'!$I$5:$I$204,ROW()-4)="","",INDEX('İş Planı'!$I$5:$I$204,ROW()-4)),"")</f>
        <v/>
      </c>
      <c r="D60" s="72">
        <f>IFERROR(IF(INDEX('İş Planı'!$M$5:$M$204,ROW()-4)="","",INDEX('İş Planı'!$M$5:$M$204,ROW()-4)),"")</f>
        <v/>
      </c>
      <c r="E60" s="71" t="str">
        <f>IFERROR(IF(INDEX('İş Planı'!$O$5:$O$204,ROW()-4)="","",INDEX('İş Planı'!$O$5:$O$204,ROW()-4)),"")</f>
        <v>Planlanan</v>
      </c>
      <c r="F60" s="83" t="n"/>
      <c r="G60" s="83" t="n"/>
      <c r="H60" s="83" t="n"/>
      <c r="I60" s="83" t="n"/>
      <c r="J60" s="83" t="n"/>
      <c r="K60" s="83" t="n"/>
      <c r="L60" s="83" t="n"/>
      <c r="M60" s="83" t="n"/>
      <c r="N60" s="83" t="n"/>
      <c r="O60" s="83" t="n"/>
      <c r="P60" s="83" t="n"/>
      <c r="Q60" s="83" t="n"/>
    </row>
    <row r="61" ht="18" customHeight="1">
      <c r="A61" s="55" t="str">
        <f>IFERROR(IF(INDEX('İş Planı'!$C$5:$C$204,ROW()-4)="","",INDEX('İş Planı'!$C$5:$C$204,ROW()-4)),"")</f>
        <v>3.1.3. Tehdit ve Zafiyet Yönetimi</v>
      </c>
      <c r="B61" s="55" t="str">
        <f>IFERROR(IF(INDEX('İş Planı'!$B$5:$B$204,ROW()-4)="","",INDEX('İş Planı'!$B$5:$B$204,ROW()-4)),"")</f>
        <v>BIGR (Yönetim Beyanı Ortak Maddeler)</v>
      </c>
      <c r="C61" s="72">
        <f>IFERROR(IF(INDEX('İş Planı'!$I$5:$I$204,ROW()-4)="","",INDEX('İş Planı'!$I$5:$I$204,ROW()-4)),"")</f>
        <v/>
      </c>
      <c r="D61" s="72">
        <f>IFERROR(IF(INDEX('İş Planı'!$M$5:$M$204,ROW()-4)="","",INDEX('İş Planı'!$M$5:$M$204,ROW()-4)),"")</f>
        <v/>
      </c>
      <c r="E61" s="71" t="str">
        <f>IFERROR(IF(INDEX('İş Planı'!$O$5:$O$204,ROW()-4)="","",INDEX('İş Planı'!$O$5:$O$204,ROW()-4)),"")</f>
        <v>Planlanan</v>
      </c>
      <c r="F61" s="83" t="n"/>
      <c r="G61" s="83" t="n"/>
      <c r="H61" s="83" t="n"/>
      <c r="I61" s="83" t="n"/>
      <c r="J61" s="83" t="n"/>
      <c r="K61" s="83" t="n"/>
      <c r="L61" s="83" t="n"/>
      <c r="M61" s="83" t="n"/>
      <c r="N61" s="83" t="n"/>
      <c r="O61" s="83" t="n"/>
      <c r="P61" s="83" t="n"/>
      <c r="Q61" s="83" t="n"/>
    </row>
    <row r="62" ht="18" customHeight="1">
      <c r="A62" s="55" t="str">
        <f>IFERROR(IF(INDEX('İş Planı'!$C$5:$C$204,ROW()-4)="","",INDEX('İş Planı'!$C$5:$C$204,ROW()-4)),"")</f>
        <v>3.1.6. Ağ Güvenliği</v>
      </c>
      <c r="B62" s="55" t="str">
        <f>IFERROR(IF(INDEX('İş Planı'!$B$5:$B$204,ROW()-4)="","",INDEX('İş Planı'!$B$5:$B$204,ROW()-4)),"")</f>
        <v>BIGR (Yönetim Beyanı Ortak Maddeler)</v>
      </c>
      <c r="C62" s="72">
        <f>IFERROR(IF(INDEX('İş Planı'!$I$5:$I$204,ROW()-4)="","",INDEX('İş Planı'!$I$5:$I$204,ROW()-4)),"")</f>
        <v/>
      </c>
      <c r="D62" s="72">
        <f>IFERROR(IF(INDEX('İş Planı'!$M$5:$M$204,ROW()-4)="","",INDEX('İş Planı'!$M$5:$M$204,ROW()-4)),"")</f>
        <v/>
      </c>
      <c r="E62" s="71" t="str">
        <f>IFERROR(IF(INDEX('İş Planı'!$O$5:$O$204,ROW()-4)="","",INDEX('İş Planı'!$O$5:$O$204,ROW()-4)),"")</f>
        <v>Planlanan</v>
      </c>
      <c r="F62" s="83" t="n"/>
      <c r="G62" s="83" t="n"/>
      <c r="H62" s="83" t="n"/>
      <c r="I62" s="83" t="n"/>
      <c r="J62" s="83" t="n"/>
      <c r="K62" s="83" t="n"/>
      <c r="L62" s="83" t="n"/>
      <c r="M62" s="83" t="n"/>
      <c r="N62" s="83" t="n"/>
      <c r="O62" s="83" t="n"/>
      <c r="P62" s="83" t="n"/>
      <c r="Q62" s="83" t="n"/>
    </row>
    <row r="63" ht="18" customHeight="1">
      <c r="A63" s="55" t="str">
        <f>IFERROR(IF(INDEX('İş Planı'!$C$5:$C$204,ROW()-4)="","",INDEX('İş Planı'!$C$5:$C$204,ROW()-4)),"")</f>
        <v>5.1.3. Windows İşletim Sistemi Sıkılaştırma Tedbirleri</v>
      </c>
      <c r="B63" s="55" t="str">
        <f>IFERROR(IF(INDEX('İş Planı'!$B$5:$B$204,ROW()-4)="","",INDEX('İş Planı'!$B$5:$B$204,ROW()-4)),"")</f>
        <v>BIGR (Yönetim Beyanı Ortak Maddeler)</v>
      </c>
      <c r="C63" s="72">
        <f>IFERROR(IF(INDEX('İş Planı'!$I$5:$I$204,ROW()-4)="","",INDEX('İş Planı'!$I$5:$I$204,ROW()-4)),"")</f>
        <v/>
      </c>
      <c r="D63" s="72">
        <f>IFERROR(IF(INDEX('İş Planı'!$M$5:$M$204,ROW()-4)="","",INDEX('İş Planı'!$M$5:$M$204,ROW()-4)),"")</f>
        <v/>
      </c>
      <c r="E63" s="71" t="str">
        <f>IFERROR(IF(INDEX('İş Planı'!$O$5:$O$204,ROW()-4)="","",INDEX('İş Planı'!$O$5:$O$204,ROW()-4)),"")</f>
        <v>Planlanan</v>
      </c>
      <c r="F63" s="83" t="n"/>
      <c r="G63" s="83" t="n"/>
      <c r="H63" s="83" t="n"/>
      <c r="I63" s="83" t="n"/>
      <c r="J63" s="83" t="n"/>
      <c r="K63" s="83" t="n"/>
      <c r="L63" s="83" t="n"/>
      <c r="M63" s="83" t="n"/>
      <c r="N63" s="83" t="n"/>
      <c r="O63" s="83" t="n"/>
      <c r="P63" s="83" t="n"/>
      <c r="Q63" s="83" t="n"/>
    </row>
    <row r="64" ht="18" customHeight="1">
      <c r="A64" s="55" t="str">
        <f>IFERROR(IF(INDEX('İş Planı'!$C$5:$C$204,ROW()-4)="","",INDEX('İş Planı'!$C$5:$C$204,ROW()-4)),"")</f>
        <v>5.2.1. Genel Sıkılaştırma Tedbirleri</v>
      </c>
      <c r="B64" s="55" t="str">
        <f>IFERROR(IF(INDEX('İş Planı'!$B$5:$B$204,ROW()-4)="","",INDEX('İş Planı'!$B$5:$B$204,ROW()-4)),"")</f>
        <v>BIGR (Yönetim Beyanı Ortak Maddeler)</v>
      </c>
      <c r="C64" s="72">
        <f>IFERROR(IF(INDEX('İş Planı'!$I$5:$I$204,ROW()-4)="","",INDEX('İş Planı'!$I$5:$I$204,ROW()-4)),"")</f>
        <v/>
      </c>
      <c r="D64" s="72">
        <f>IFERROR(IF(INDEX('İş Planı'!$M$5:$M$204,ROW()-4)="","",INDEX('İş Planı'!$M$5:$M$204,ROW()-4)),"")</f>
        <v/>
      </c>
      <c r="E64" s="71" t="str">
        <f>IFERROR(IF(INDEX('İş Planı'!$O$5:$O$204,ROW()-4)="","",INDEX('İş Planı'!$O$5:$O$204,ROW()-4)),"")</f>
        <v>Planlanan</v>
      </c>
      <c r="F64" s="83" t="n"/>
      <c r="G64" s="83" t="n"/>
      <c r="H64" s="83" t="n"/>
      <c r="I64" s="83" t="n"/>
      <c r="J64" s="83" t="n"/>
      <c r="K64" s="83" t="n"/>
      <c r="L64" s="83" t="n"/>
      <c r="M64" s="83" t="n"/>
      <c r="N64" s="83" t="n"/>
      <c r="O64" s="83" t="n"/>
      <c r="P64" s="83" t="n"/>
      <c r="Q64" s="83" t="n"/>
    </row>
    <row r="65" ht="18" customHeight="1">
      <c r="A65" s="55" t="str">
        <f>IFERROR(IF(INDEX('İş Planı'!$C$5:$C$204,ROW()-4)="","",INDEX('İş Planı'!$C$5:$C$204,ROW()-4)),"")</f>
        <v>3.2.4. Dosyaların ve Kaynakların Güvenliği</v>
      </c>
      <c r="B65" s="55" t="str">
        <f>IFERROR(IF(INDEX('İş Planı'!$B$5:$B$204,ROW()-4)="","",INDEX('İş Planı'!$B$5:$B$204,ROW()-4)),"")</f>
        <v>BIGR (Yönetim Beyanı Ortak Maddeler)</v>
      </c>
      <c r="C65" s="72">
        <f>IFERROR(IF(INDEX('İş Planı'!$I$5:$I$204,ROW()-4)="","",INDEX('İş Planı'!$I$5:$I$204,ROW()-4)),"")</f>
        <v/>
      </c>
      <c r="D65" s="72">
        <f>IFERROR(IF(INDEX('İş Planı'!$M$5:$M$204,ROW()-4)="","",INDEX('İş Planı'!$M$5:$M$204,ROW()-4)),"")</f>
        <v/>
      </c>
      <c r="E65" s="71" t="str">
        <f>IFERROR(IF(INDEX('İş Planı'!$O$5:$O$204,ROW()-4)="","",INDEX('İş Planı'!$O$5:$O$204,ROW()-4)),"")</f>
        <v>Planlanan</v>
      </c>
      <c r="F65" s="83" t="n"/>
      <c r="G65" s="83" t="n"/>
      <c r="H65" s="83" t="n"/>
      <c r="I65" s="83" t="n"/>
      <c r="J65" s="83" t="n"/>
      <c r="K65" s="83" t="n"/>
      <c r="L65" s="83" t="n"/>
      <c r="M65" s="83" t="n"/>
      <c r="N65" s="83" t="n"/>
      <c r="O65" s="83" t="n"/>
      <c r="P65" s="83" t="n"/>
      <c r="Q65" s="83" t="n"/>
    </row>
    <row r="66" ht="18" customHeight="1">
      <c r="A66" s="55" t="str">
        <f>IFERROR(IF(INDEX('İş Planı'!$C$5:$C$204,ROW()-4)="","",INDEX('İş Planı'!$C$5:$C$204,ROW()-4)),"")</f>
        <v>3.2.7. Veri Tabanı ve Kayıt Yönetimi</v>
      </c>
      <c r="B66" s="55" t="str">
        <f>IFERROR(IF(INDEX('İş Planı'!$B$5:$B$204,ROW()-4)="","",INDEX('İş Planı'!$B$5:$B$204,ROW()-4)),"")</f>
        <v>BIGR (Yönetim Beyanı Ortak Maddeler)</v>
      </c>
      <c r="C66" s="72">
        <f>IFERROR(IF(INDEX('İş Planı'!$I$5:$I$204,ROW()-4)="","",INDEX('İş Planı'!$I$5:$I$204,ROW()-4)),"")</f>
        <v/>
      </c>
      <c r="D66" s="72">
        <f>IFERROR(IF(INDEX('İş Planı'!$M$5:$M$204,ROW()-4)="","",INDEX('İş Planı'!$M$5:$M$204,ROW()-4)),"")</f>
        <v/>
      </c>
      <c r="E66" s="71" t="str">
        <f>IFERROR(IF(INDEX('İş Planı'!$O$5:$O$204,ROW()-4)="","",INDEX('İş Planı'!$O$5:$O$204,ROW()-4)),"")</f>
        <v>Planlanan</v>
      </c>
      <c r="F66" s="83" t="n"/>
      <c r="G66" s="83" t="n"/>
      <c r="H66" s="83" t="n"/>
      <c r="I66" s="83" t="n"/>
      <c r="J66" s="83" t="n"/>
      <c r="K66" s="83" t="n"/>
      <c r="L66" s="83" t="n"/>
      <c r="M66" s="83" t="n"/>
      <c r="N66" s="83" t="n"/>
      <c r="O66" s="83" t="n"/>
      <c r="P66" s="83" t="n"/>
      <c r="Q66" s="83" t="n"/>
    </row>
    <row r="67" ht="18" customHeight="1">
      <c r="A67" s="55" t="str">
        <f>IFERROR(IF(INDEX('İş Planı'!$C$5:$C$204,ROW()-4)="","",INDEX('İş Planı'!$C$5:$C$204,ROW()-4)),"")</f>
        <v>3.2.8. Hata Ele Alma ve Kayıt Yönetimi</v>
      </c>
      <c r="B67" s="55" t="str">
        <f>IFERROR(IF(INDEX('İş Planı'!$B$5:$B$204,ROW()-4)="","",INDEX('İş Planı'!$B$5:$B$204,ROW()-4)),"")</f>
        <v>BIGR (Yönetim Beyanı Ortak Maddeler)</v>
      </c>
      <c r="C67" s="72">
        <f>IFERROR(IF(INDEX('İş Planı'!$I$5:$I$204,ROW()-4)="","",INDEX('İş Planı'!$I$5:$I$204,ROW()-4)),"")</f>
        <v/>
      </c>
      <c r="D67" s="72">
        <f>IFERROR(IF(INDEX('İş Planı'!$M$5:$M$204,ROW()-4)="","",INDEX('İş Planı'!$M$5:$M$204,ROW()-4)),"")</f>
        <v/>
      </c>
      <c r="E67" s="71" t="str">
        <f>IFERROR(IF(INDEX('İş Planı'!$O$5:$O$204,ROW()-4)="","",INDEX('İş Planı'!$O$5:$O$204,ROW()-4)),"")</f>
        <v>Planlanan</v>
      </c>
      <c r="F67" s="83" t="n"/>
      <c r="G67" s="83" t="n"/>
      <c r="H67" s="83" t="n"/>
      <c r="I67" s="83" t="n"/>
      <c r="J67" s="83" t="n"/>
      <c r="K67" s="83" t="n"/>
      <c r="L67" s="83" t="n"/>
      <c r="M67" s="83" t="n"/>
      <c r="N67" s="83" t="n"/>
      <c r="O67" s="83" t="n"/>
      <c r="P67" s="83" t="n"/>
      <c r="Q67" s="83" t="n"/>
    </row>
    <row r="68" ht="18" customHeight="1">
      <c r="A68" s="55" t="str">
        <f>IFERROR(IF(INDEX('İş Planı'!$C$5:$C$204,ROW()-4)="","",INDEX('İş Planı'!$C$5:$C$204,ROW()-4)),"")</f>
        <v>4.1.1. Kayıt Yönetimi</v>
      </c>
      <c r="B68" s="55" t="str">
        <f>IFERROR(IF(INDEX('İş Planı'!$B$5:$B$204,ROW()-4)="","",INDEX('İş Planı'!$B$5:$B$204,ROW()-4)),"")</f>
        <v>BIGR (Yönetim Beyanı Ortak Maddeler)</v>
      </c>
      <c r="C68" s="72">
        <f>IFERROR(IF(INDEX('İş Planı'!$I$5:$I$204,ROW()-4)="","",INDEX('İş Planı'!$I$5:$I$204,ROW()-4)),"")</f>
        <v/>
      </c>
      <c r="D68" s="72">
        <f>IFERROR(IF(INDEX('İş Planı'!$M$5:$M$204,ROW()-4)="","",INDEX('İş Planı'!$M$5:$M$204,ROW()-4)),"")</f>
        <v/>
      </c>
      <c r="E68" s="71" t="str">
        <f>IFERROR(IF(INDEX('İş Planı'!$O$5:$O$204,ROW()-4)="","",INDEX('İş Planı'!$O$5:$O$204,ROW()-4)),"")</f>
        <v>Planlanan</v>
      </c>
      <c r="F68" s="83" t="n"/>
      <c r="G68" s="83" t="n"/>
      <c r="H68" s="83" t="n"/>
      <c r="I68" s="83" t="n"/>
      <c r="J68" s="83" t="n"/>
      <c r="K68" s="83" t="n"/>
      <c r="L68" s="83" t="n"/>
      <c r="M68" s="83" t="n"/>
      <c r="N68" s="83" t="n"/>
      <c r="O68" s="83" t="n"/>
      <c r="P68" s="83" t="n"/>
      <c r="Q68" s="83" t="n"/>
    </row>
    <row r="69" ht="18" customHeight="1">
      <c r="A69" s="55" t="str">
        <f>IFERROR(IF(INDEX('İş Planı'!$C$5:$C$204,ROW()-4)="","",INDEX('İş Planı'!$C$5:$C$204,ROW()-4)),"")</f>
        <v>4.1.2. Erişim Kayıtları Yönetimi</v>
      </c>
      <c r="B69" s="55" t="str">
        <f>IFERROR(IF(INDEX('İş Planı'!$B$5:$B$204,ROW()-4)="","",INDEX('İş Planı'!$B$5:$B$204,ROW()-4)),"")</f>
        <v>BIGR (Yönetim Beyanı Ortak Maddeler)</v>
      </c>
      <c r="C69" s="72">
        <f>IFERROR(IF(INDEX('İş Planı'!$I$5:$I$204,ROW()-4)="","",INDEX('İş Planı'!$I$5:$I$204,ROW()-4)),"")</f>
        <v/>
      </c>
      <c r="D69" s="72">
        <f>IFERROR(IF(INDEX('İş Planı'!$M$5:$M$204,ROW()-4)="","",INDEX('İş Planı'!$M$5:$M$204,ROW()-4)),"")</f>
        <v/>
      </c>
      <c r="E69" s="71" t="str">
        <f>IFERROR(IF(INDEX('İş Planı'!$O$5:$O$204,ROW()-4)="","",INDEX('İş Planı'!$O$5:$O$204,ROW()-4)),"")</f>
        <v>Planlanan</v>
      </c>
      <c r="F69" s="83" t="n"/>
      <c r="G69" s="83" t="n"/>
      <c r="H69" s="83" t="n"/>
      <c r="I69" s="83" t="n"/>
      <c r="J69" s="83" t="n"/>
      <c r="K69" s="83" t="n"/>
      <c r="L69" s="83" t="n"/>
      <c r="M69" s="83" t="n"/>
      <c r="N69" s="83" t="n"/>
      <c r="O69" s="83" t="n"/>
      <c r="P69" s="83" t="n"/>
      <c r="Q69" s="83" t="n"/>
    </row>
    <row r="70" ht="18" customHeight="1">
      <c r="A70" s="55" t="str">
        <f>IFERROR(IF(INDEX('İş Planı'!$C$5:$C$204,ROW()-4)="","",INDEX('İş Planı'!$C$5:$C$204,ROW()-4)),"")</f>
        <v>4.1.3. Yetkilendirme</v>
      </c>
      <c r="B70" s="55" t="str">
        <f>IFERROR(IF(INDEX('İş Planı'!$B$5:$B$204,ROW()-4)="","",INDEX('İş Planı'!$B$5:$B$204,ROW()-4)),"")</f>
        <v>BIGR (Yönetim Beyanı Ortak Maddeler)</v>
      </c>
      <c r="C70" s="72">
        <f>IFERROR(IF(INDEX('İş Planı'!$I$5:$I$204,ROW()-4)="","",INDEX('İş Planı'!$I$5:$I$204,ROW()-4)),"")</f>
        <v/>
      </c>
      <c r="D70" s="72">
        <f>IFERROR(IF(INDEX('İş Planı'!$M$5:$M$204,ROW()-4)="","",INDEX('İş Planı'!$M$5:$M$204,ROW()-4)),"")</f>
        <v/>
      </c>
      <c r="E70" s="71" t="str">
        <f>IFERROR(IF(INDEX('İş Planı'!$O$5:$O$204,ROW()-4)="","",INDEX('İş Planı'!$O$5:$O$204,ROW()-4)),"")</f>
        <v>Planlanan</v>
      </c>
      <c r="F70" s="83" t="n"/>
      <c r="G70" s="83" t="n"/>
      <c r="H70" s="83" t="n"/>
      <c r="I70" s="83" t="n"/>
      <c r="J70" s="83" t="n"/>
      <c r="K70" s="83" t="n"/>
      <c r="L70" s="83" t="n"/>
      <c r="M70" s="83" t="n"/>
      <c r="N70" s="83" t="n"/>
      <c r="O70" s="83" t="n"/>
      <c r="P70" s="83" t="n"/>
      <c r="Q70" s="83" t="n"/>
    </row>
    <row r="71" ht="18" customHeight="1">
      <c r="A71" s="55" t="str">
        <f>IFERROR(IF(INDEX('İş Planı'!$C$5:$C$204,ROW()-4)="","",INDEX('İş Planı'!$C$5:$C$204,ROW()-4)),"")</f>
        <v>4.1.4. Şifreleme</v>
      </c>
      <c r="B71" s="55" t="str">
        <f>IFERROR(IF(INDEX('İş Planı'!$B$5:$B$204,ROW()-4)="","",INDEX('İş Planı'!$B$5:$B$204,ROW()-4)),"")</f>
        <v>BIGR (Yönetim Beyanı Ortak Maddeler)</v>
      </c>
      <c r="C71" s="72">
        <f>IFERROR(IF(INDEX('İş Planı'!$I$5:$I$204,ROW()-4)="","",INDEX('İş Planı'!$I$5:$I$204,ROW()-4)),"")</f>
        <v/>
      </c>
      <c r="D71" s="72">
        <f>IFERROR(IF(INDEX('İş Planı'!$M$5:$M$204,ROW()-4)="","",INDEX('İş Planı'!$M$5:$M$204,ROW()-4)),"")</f>
        <v/>
      </c>
      <c r="E71" s="71" t="str">
        <f>IFERROR(IF(INDEX('İş Planı'!$O$5:$O$204,ROW()-4)="","",INDEX('İş Planı'!$O$5:$O$204,ROW()-4)),"")</f>
        <v>Planlanan</v>
      </c>
      <c r="F71" s="83" t="n"/>
      <c r="G71" s="83" t="n"/>
      <c r="H71" s="83" t="n"/>
      <c r="I71" s="83" t="n"/>
      <c r="J71" s="83" t="n"/>
      <c r="K71" s="83" t="n"/>
      <c r="L71" s="83" t="n"/>
      <c r="M71" s="83" t="n"/>
      <c r="N71" s="83" t="n"/>
      <c r="O71" s="83" t="n"/>
      <c r="P71" s="83" t="n"/>
      <c r="Q71" s="83" t="n"/>
    </row>
    <row r="72" ht="18" customHeight="1">
      <c r="A72" s="55" t="str">
        <f>IFERROR(IF(INDEX('İş Planı'!$C$5:$C$204,ROW()-4)="","",INDEX('İş Planı'!$C$5:$C$204,ROW()-4)),"")</f>
        <v>4.1.5. Yedekleme, Silme, Yok Etme ve Anonim Hale Getirme</v>
      </c>
      <c r="B72" s="55" t="str">
        <f>IFERROR(IF(INDEX('İş Planı'!$B$5:$B$204,ROW()-4)="","",INDEX('İş Planı'!$B$5:$B$204,ROW()-4)),"")</f>
        <v>BIGR (Yönetim Beyanı Ortak Maddeler)</v>
      </c>
      <c r="C72" s="72">
        <f>IFERROR(IF(INDEX('İş Planı'!$I$5:$I$204,ROW()-4)="","",INDEX('İş Planı'!$I$5:$I$204,ROW()-4)),"")</f>
        <v/>
      </c>
      <c r="D72" s="72">
        <f>IFERROR(IF(INDEX('İş Planı'!$M$5:$M$204,ROW()-4)="","",INDEX('İş Planı'!$M$5:$M$204,ROW()-4)),"")</f>
        <v/>
      </c>
      <c r="E72" s="71" t="str">
        <f>IFERROR(IF(INDEX('İş Planı'!$O$5:$O$204,ROW()-4)="","",INDEX('İş Planı'!$O$5:$O$204,ROW()-4)),"")</f>
        <v>Planlanan</v>
      </c>
      <c r="F72" s="83" t="n"/>
      <c r="G72" s="83" t="n"/>
      <c r="H72" s="83" t="n"/>
      <c r="I72" s="83" t="n"/>
      <c r="J72" s="83" t="n"/>
      <c r="K72" s="83" t="n"/>
      <c r="L72" s="83" t="n"/>
      <c r="M72" s="83" t="n"/>
      <c r="N72" s="83" t="n"/>
      <c r="O72" s="83" t="n"/>
      <c r="P72" s="83" t="n"/>
      <c r="Q72" s="83" t="n"/>
    </row>
    <row r="73" ht="18" customHeight="1">
      <c r="A73" s="55" t="str">
        <f>IFERROR(IF(INDEX('İş Planı'!$C$5:$C$204,ROW()-4)="","",INDEX('İş Planı'!$C$5:$C$204,ROW()-4)),"")</f>
        <v>3.1.13. Felaket Kurtarma ve İş Sürekliliği Yönetimi</v>
      </c>
      <c r="B73" s="55" t="str">
        <f>IFERROR(IF(INDEX('İş Planı'!$B$5:$B$204,ROW()-4)="","",INDEX('İş Planı'!$B$5:$B$204,ROW()-4)),"")</f>
        <v>BIGR (Yönetim Beyanı Ortak Maddeler)</v>
      </c>
      <c r="C73" s="72">
        <f>IFERROR(IF(INDEX('İş Planı'!$I$5:$I$204,ROW()-4)="","",INDEX('İş Planı'!$I$5:$I$204,ROW()-4)),"")</f>
        <v/>
      </c>
      <c r="D73" s="72">
        <f>IFERROR(IF(INDEX('İş Planı'!$M$5:$M$204,ROW()-4)="","",INDEX('İş Planı'!$M$5:$M$204,ROW()-4)),"")</f>
        <v/>
      </c>
      <c r="E73" s="71" t="str">
        <f>IFERROR(IF(INDEX('İş Planı'!$O$5:$O$204,ROW()-4)="","",INDEX('İş Planı'!$O$5:$O$204,ROW()-4)),"")</f>
        <v>Planlanan</v>
      </c>
      <c r="F73" s="83" t="n"/>
      <c r="G73" s="83" t="n"/>
      <c r="H73" s="83" t="n"/>
      <c r="I73" s="83" t="n"/>
      <c r="J73" s="83" t="n"/>
      <c r="K73" s="83" t="n"/>
      <c r="L73" s="83" t="n"/>
      <c r="M73" s="83" t="n"/>
      <c r="N73" s="83" t="n"/>
      <c r="O73" s="83" t="n"/>
      <c r="P73" s="83" t="n"/>
      <c r="Q73" s="83" t="n"/>
    </row>
    <row r="74" ht="18" customHeight="1">
      <c r="A74" s="55" t="str">
        <f>IFERROR(IF(INDEX('İş Planı'!$C$5:$C$204,ROW()-4)="","",INDEX('İş Planı'!$C$5:$C$204,ROW()-4)),"")</f>
        <v>3.1.4. E-Posta Sunucusu ve İstemcisi Güvenliği</v>
      </c>
      <c r="B74" s="55" t="str">
        <f>IFERROR(IF(INDEX('İş Planı'!$B$5:$B$204,ROW()-4)="","",INDEX('İş Planı'!$B$5:$B$204,ROW()-4)),"")</f>
        <v>BIGR (Yönetim Beyanı Ortak Maddeler)</v>
      </c>
      <c r="C74" s="72">
        <f>IFERROR(IF(INDEX('İş Planı'!$I$5:$I$204,ROW()-4)="","",INDEX('İş Planı'!$I$5:$I$204,ROW()-4)),"")</f>
        <v/>
      </c>
      <c r="D74" s="72">
        <f>IFERROR(IF(INDEX('İş Planı'!$M$5:$M$204,ROW()-4)="","",INDEX('İş Planı'!$M$5:$M$204,ROW()-4)),"")</f>
        <v/>
      </c>
      <c r="E74" s="71" t="str">
        <f>IFERROR(IF(INDEX('İş Planı'!$O$5:$O$204,ROW()-4)="","",INDEX('İş Planı'!$O$5:$O$204,ROW()-4)),"")</f>
        <v>Planlanan</v>
      </c>
      <c r="F74" s="83" t="n"/>
      <c r="G74" s="83" t="n"/>
      <c r="H74" s="83" t="n"/>
      <c r="I74" s="83" t="n"/>
      <c r="J74" s="83" t="n"/>
      <c r="K74" s="83" t="n"/>
      <c r="L74" s="83" t="n"/>
      <c r="M74" s="83" t="n"/>
      <c r="N74" s="83" t="n"/>
      <c r="O74" s="83" t="n"/>
      <c r="P74" s="83" t="n"/>
      <c r="Q74" s="83" t="n"/>
    </row>
    <row r="75" ht="18" customHeight="1">
      <c r="A75" s="55" t="str">
        <f>IFERROR(IF(INDEX('İş Planı'!$C$5:$C$204,ROW()-4)="","",INDEX('İş Planı'!$C$5:$C$204,ROW()-4)),"")</f>
        <v>3.1.5. Zararlı Yazılımlardan Korunma</v>
      </c>
      <c r="B75" s="55" t="str">
        <f>IFERROR(IF(INDEX('İş Planı'!$B$5:$B$204,ROW()-4)="","",INDEX('İş Planı'!$B$5:$B$204,ROW()-4)),"")</f>
        <v>BIGR (Yönetim Beyanı Ortak Maddeler)</v>
      </c>
      <c r="C75" s="72">
        <f>IFERROR(IF(INDEX('İş Planı'!$I$5:$I$204,ROW()-4)="","",INDEX('İş Planı'!$I$5:$I$204,ROW()-4)),"")</f>
        <v/>
      </c>
      <c r="D75" s="72">
        <f>IFERROR(IF(INDEX('İş Planı'!$M$5:$M$204,ROW()-4)="","",INDEX('İş Planı'!$M$5:$M$204,ROW()-4)),"")</f>
        <v/>
      </c>
      <c r="E75" s="71" t="str">
        <f>IFERROR(IF(INDEX('İş Planı'!$O$5:$O$204,ROW()-4)="","",INDEX('İş Planı'!$O$5:$O$204,ROW()-4)),"")</f>
        <v>Planlanan</v>
      </c>
      <c r="F75" s="83" t="n"/>
      <c r="G75" s="83" t="n"/>
      <c r="H75" s="83" t="n"/>
      <c r="I75" s="83" t="n"/>
      <c r="J75" s="83" t="n"/>
      <c r="K75" s="83" t="n"/>
      <c r="L75" s="83" t="n"/>
      <c r="M75" s="83" t="n"/>
      <c r="N75" s="83" t="n"/>
      <c r="O75" s="83" t="n"/>
      <c r="P75" s="83" t="n"/>
      <c r="Q75" s="83" t="n"/>
    </row>
    <row r="76" ht="18" customHeight="1">
      <c r="A76" s="55" t="str">
        <f>IFERROR(IF(INDEX('İş Planı'!$C$5:$C$204,ROW()-4)="","",INDEX('İş Planı'!$C$5:$C$204,ROW()-4)),"")</f>
        <v>3.2.3. Yetkilendirme</v>
      </c>
      <c r="B76" s="55" t="str">
        <f>IFERROR(IF(INDEX('İş Planı'!$B$5:$B$204,ROW()-4)="","",INDEX('İş Planı'!$B$5:$B$204,ROW()-4)),"")</f>
        <v>BIGR (Yönetim Beyanı Ortak Maddeler)</v>
      </c>
      <c r="C76" s="72">
        <f>IFERROR(IF(INDEX('İş Planı'!$I$5:$I$204,ROW()-4)="","",INDEX('İş Planı'!$I$5:$I$204,ROW()-4)),"")</f>
        <v/>
      </c>
      <c r="D76" s="72">
        <f>IFERROR(IF(INDEX('İş Planı'!$M$5:$M$204,ROW()-4)="","",INDEX('İş Planı'!$M$5:$M$204,ROW()-4)),"")</f>
        <v/>
      </c>
      <c r="E76" s="71" t="str">
        <f>IFERROR(IF(INDEX('İş Planı'!$O$5:$O$204,ROW()-4)="","",INDEX('İş Planı'!$O$5:$O$204,ROW()-4)),"")</f>
        <v>Planlanan</v>
      </c>
      <c r="F76" s="83" t="n"/>
      <c r="G76" s="83" t="n"/>
      <c r="H76" s="83" t="n"/>
      <c r="I76" s="83" t="n"/>
      <c r="J76" s="83" t="n"/>
      <c r="K76" s="83" t="n"/>
      <c r="L76" s="83" t="n"/>
      <c r="M76" s="83" t="n"/>
      <c r="N76" s="83" t="n"/>
      <c r="O76" s="83" t="n"/>
      <c r="P76" s="83" t="n"/>
      <c r="Q76" s="83" t="n"/>
    </row>
    <row r="77" ht="18" customHeight="1">
      <c r="A77" s="55" t="str">
        <f>IFERROR(IF(INDEX('İş Planı'!$C$5:$C$204,ROW()-4)="","",INDEX('İş Planı'!$C$5:$C$204,ROW()-4)),"")</f>
        <v>3.2.9. İletişim Güvenliği</v>
      </c>
      <c r="B77" s="55" t="str">
        <f>IFERROR(IF(INDEX('İş Planı'!$B$5:$B$204,ROW()-4)="","",INDEX('İş Planı'!$B$5:$B$204,ROW()-4)),"")</f>
        <v>BIGR (Yönetim Beyanı Ortak Maddeler)</v>
      </c>
      <c r="C77" s="72">
        <f>IFERROR(IF(INDEX('İş Planı'!$I$5:$I$204,ROW()-4)="","",INDEX('İş Planı'!$I$5:$I$204,ROW()-4)),"")</f>
        <v/>
      </c>
      <c r="D77" s="72">
        <f>IFERROR(IF(INDEX('İş Planı'!$M$5:$M$204,ROW()-4)="","",INDEX('İş Planı'!$M$5:$M$204,ROW()-4)),"")</f>
        <v/>
      </c>
      <c r="E77" s="71" t="str">
        <f>IFERROR(IF(INDEX('İş Planı'!$O$5:$O$204,ROW()-4)="","",INDEX('İş Planı'!$O$5:$O$204,ROW()-4)),"")</f>
        <v>Planlanan</v>
      </c>
      <c r="F77" s="83" t="n"/>
      <c r="G77" s="83" t="n"/>
      <c r="H77" s="83" t="n"/>
      <c r="I77" s="83" t="n"/>
      <c r="J77" s="83" t="n"/>
      <c r="K77" s="83" t="n"/>
      <c r="L77" s="83" t="n"/>
      <c r="M77" s="83" t="n"/>
      <c r="N77" s="83" t="n"/>
      <c r="O77" s="83" t="n"/>
      <c r="P77" s="83" t="n"/>
      <c r="Q77" s="83" t="n"/>
    </row>
    <row r="78" ht="18" customHeight="1">
      <c r="A78" s="55" t="str">
        <f>IFERROR(IF(INDEX('İş Planı'!$C$5:$C$204,ROW()-4)="","",INDEX('İş Planı'!$C$5:$C$204,ROW()-4)),"")</f>
        <v>5.3.1. Web Sunucusu Sıkılaştırma Tedbirler</v>
      </c>
      <c r="B78" s="55" t="str">
        <f>IFERROR(IF(INDEX('İş Planı'!$B$5:$B$204,ROW()-4)="","",INDEX('İş Planı'!$B$5:$B$204,ROW()-4)),"")</f>
        <v>BIGR (Yönetim Beyanı Ortak Maddeler)</v>
      </c>
      <c r="C78" s="72">
        <f>IFERROR(IF(INDEX('İş Planı'!$I$5:$I$204,ROW()-4)="","",INDEX('İş Planı'!$I$5:$I$204,ROW()-4)),"")</f>
        <v/>
      </c>
      <c r="D78" s="72">
        <f>IFERROR(IF(INDEX('İş Planı'!$M$5:$M$204,ROW()-4)="","",INDEX('İş Planı'!$M$5:$M$204,ROW()-4)),"")</f>
        <v/>
      </c>
      <c r="E78" s="71" t="str">
        <f>IFERROR(IF(INDEX('İş Planı'!$O$5:$O$204,ROW()-4)="","",INDEX('İş Planı'!$O$5:$O$204,ROW()-4)),"")</f>
        <v>Planlanan</v>
      </c>
      <c r="F78" s="83" t="n"/>
      <c r="G78" s="83" t="n"/>
      <c r="H78" s="83" t="n"/>
      <c r="I78" s="83" t="n"/>
      <c r="J78" s="83" t="n"/>
      <c r="K78" s="83" t="n"/>
      <c r="L78" s="83" t="n"/>
      <c r="M78" s="83" t="n"/>
      <c r="N78" s="83" t="n"/>
      <c r="O78" s="83" t="n"/>
      <c r="P78" s="83" t="n"/>
      <c r="Q78" s="83" t="n"/>
    </row>
    <row r="79" ht="18" customHeight="1">
      <c r="A79" s="55" t="str">
        <f>IFERROR(IF(INDEX('İş Planı'!$C$5:$C$204,ROW()-4)="","",INDEX('İş Planı'!$C$5:$C$204,ROW()-4)),"")</f>
        <v>5.3.2. Sanallaştırma Sunucusu Sıkılaştırma Tedbirleri</v>
      </c>
      <c r="B79" s="55" t="str">
        <f>IFERROR(IF(INDEX('İş Planı'!$B$5:$B$204,ROW()-4)="","",INDEX('İş Planı'!$B$5:$B$204,ROW()-4)),"")</f>
        <v>BIGR (Yönetim Beyanı Ortak Maddeler)</v>
      </c>
      <c r="C79" s="72">
        <f>IFERROR(IF(INDEX('İş Planı'!$I$5:$I$204,ROW()-4)="","",INDEX('İş Planı'!$I$5:$I$204,ROW()-4)),"")</f>
        <v/>
      </c>
      <c r="D79" s="72">
        <f>IFERROR(IF(INDEX('İş Planı'!$M$5:$M$204,ROW()-4)="","",INDEX('İş Planı'!$M$5:$M$204,ROW()-4)),"")</f>
        <v/>
      </c>
      <c r="E79" s="71" t="str">
        <f>IFERROR(IF(INDEX('İş Planı'!$O$5:$O$204,ROW()-4)="","",INDEX('İş Planı'!$O$5:$O$204,ROW()-4)),"")</f>
        <v>Planlanan</v>
      </c>
      <c r="F79" s="83" t="n"/>
      <c r="G79" s="83" t="n"/>
      <c r="H79" s="83" t="n"/>
      <c r="I79" s="83" t="n"/>
      <c r="J79" s="83" t="n"/>
      <c r="K79" s="83" t="n"/>
      <c r="L79" s="83" t="n"/>
      <c r="M79" s="83" t="n"/>
      <c r="N79" s="83" t="n"/>
      <c r="O79" s="83" t="n"/>
      <c r="P79" s="83" t="n"/>
      <c r="Q79" s="83" t="n"/>
    </row>
    <row r="80" ht="18" customHeight="1">
      <c r="A80" s="55" t="str">
        <f>IFERROR(IF(INDEX('İş Planı'!$C$5:$C$204,ROW()-4)="","",INDEX('İş Planı'!$C$5:$C$204,ROW()-4)),"")</f>
        <v>3.1.10. Siber Güvenlik Olay Yönetimi</v>
      </c>
      <c r="B80" s="55" t="str">
        <f>IFERROR(IF(INDEX('İş Planı'!$B$5:$B$204,ROW()-4)="","",INDEX('İş Planı'!$B$5:$B$204,ROW()-4)),"")</f>
        <v>BIGR (Yönetim Beyanı Ortak Maddeler)</v>
      </c>
      <c r="C80" s="72">
        <f>IFERROR(IF(INDEX('İş Planı'!$I$5:$I$204,ROW()-4)="","",INDEX('İş Planı'!$I$5:$I$204,ROW()-4)),"")</f>
        <v/>
      </c>
      <c r="D80" s="72">
        <f>IFERROR(IF(INDEX('İş Planı'!$M$5:$M$204,ROW()-4)="","",INDEX('İş Planı'!$M$5:$M$204,ROW()-4)),"")</f>
        <v/>
      </c>
      <c r="E80" s="71" t="str">
        <f>IFERROR(IF(INDEX('İş Planı'!$O$5:$O$204,ROW()-4)="","",INDEX('İş Planı'!$O$5:$O$204,ROW()-4)),"")</f>
        <v>Planlanan</v>
      </c>
      <c r="F80" s="83" t="n"/>
      <c r="G80" s="83" t="n"/>
      <c r="H80" s="83" t="n"/>
      <c r="I80" s="83" t="n"/>
      <c r="J80" s="83" t="n"/>
      <c r="K80" s="83" t="n"/>
      <c r="L80" s="83" t="n"/>
      <c r="M80" s="83" t="n"/>
      <c r="N80" s="83" t="n"/>
      <c r="O80" s="83" t="n"/>
      <c r="P80" s="83" t="n"/>
      <c r="Q80" s="83" t="n"/>
    </row>
    <row r="81" ht="18" customHeight="1">
      <c r="A81" s="55" t="str">
        <f>IFERROR(IF(INDEX('İş Planı'!$C$5:$C$204,ROW()-4)="","",INDEX('İş Planı'!$C$5:$C$204,ROW()-4)),"")</f>
        <v>3.1.11. Sızma Testleri ve Güvenlik Denetimleri</v>
      </c>
      <c r="B81" s="55" t="str">
        <f>IFERROR(IF(INDEX('İş Planı'!$B$5:$B$204,ROW()-4)="","",INDEX('İş Planı'!$B$5:$B$204,ROW()-4)),"")</f>
        <v>BIGR (Yönetim Beyanı Ortak Maddeler)</v>
      </c>
      <c r="C81" s="72">
        <f>IFERROR(IF(INDEX('İş Planı'!$I$5:$I$204,ROW()-4)="","",INDEX('İş Planı'!$I$5:$I$204,ROW()-4)),"")</f>
        <v/>
      </c>
      <c r="D81" s="72">
        <f>IFERROR(IF(INDEX('İş Planı'!$M$5:$M$204,ROW()-4)="","",INDEX('İş Planı'!$M$5:$M$204,ROW()-4)),"")</f>
        <v/>
      </c>
      <c r="E81" s="71" t="str">
        <f>IFERROR(IF(INDEX('İş Planı'!$O$5:$O$204,ROW()-4)="","",INDEX('İş Planı'!$O$5:$O$204,ROW()-4)),"")</f>
        <v>Planlanan</v>
      </c>
      <c r="F81" s="83" t="n"/>
      <c r="G81" s="83" t="n"/>
      <c r="H81" s="83" t="n"/>
      <c r="I81" s="83" t="n"/>
      <c r="J81" s="83" t="n"/>
      <c r="K81" s="83" t="n"/>
      <c r="L81" s="83" t="n"/>
      <c r="M81" s="83" t="n"/>
      <c r="N81" s="83" t="n"/>
      <c r="O81" s="83" t="n"/>
      <c r="P81" s="83" t="n"/>
      <c r="Q81" s="83" t="n"/>
    </row>
    <row r="82" ht="18" customHeight="1">
      <c r="A82" s="55" t="str">
        <f>IFERROR(IF(INDEX('İş Planı'!$C$5:$C$204,ROW()-4)="","",INDEX('İş Planı'!$C$5:$C$204,ROW()-4)),"")</f>
        <v>3.1.13. Felaket Kurtarma ve İş Sürekliliği Yönetimi</v>
      </c>
      <c r="B82" s="55" t="str">
        <f>IFERROR(IF(INDEX('İş Planı'!$B$5:$B$204,ROW()-4)="","",INDEX('İş Planı'!$B$5:$B$204,ROW()-4)),"")</f>
        <v>BIGR (Yönetim Beyanı Ortak Maddeler)</v>
      </c>
      <c r="C82" s="72">
        <f>IFERROR(IF(INDEX('İş Planı'!$I$5:$I$204,ROW()-4)="","",INDEX('İş Planı'!$I$5:$I$204,ROW()-4)),"")</f>
        <v/>
      </c>
      <c r="D82" s="72">
        <f>IFERROR(IF(INDEX('İş Planı'!$M$5:$M$204,ROW()-4)="","",INDEX('İş Planı'!$M$5:$M$204,ROW()-4)),"")</f>
        <v/>
      </c>
      <c r="E82" s="71" t="str">
        <f>IFERROR(IF(INDEX('İş Planı'!$O$5:$O$204,ROW()-4)="","",INDEX('İş Planı'!$O$5:$O$204,ROW()-4)),"")</f>
        <v>Planlanan</v>
      </c>
      <c r="F82" s="83" t="n"/>
      <c r="G82" s="83" t="n"/>
      <c r="H82" s="83" t="n"/>
      <c r="I82" s="83" t="n"/>
      <c r="J82" s="83" t="n"/>
      <c r="K82" s="83" t="n"/>
      <c r="L82" s="83" t="n"/>
      <c r="M82" s="83" t="n"/>
      <c r="N82" s="83" t="n"/>
      <c r="O82" s="83" t="n"/>
      <c r="P82" s="83" t="n"/>
      <c r="Q82" s="83" t="n"/>
    </row>
    <row r="83" ht="18" customHeight="1">
      <c r="A83" s="55" t="str">
        <f>IFERROR(IF(INDEX('İş Planı'!$C$5:$C$204,ROW()-4)="","",INDEX('İş Planı'!$C$5:$C$204,ROW()-4)),"")</f>
        <v>3.2.6. Güvenli Yazılım Geliştirme</v>
      </c>
      <c r="B83" s="55" t="str">
        <f>IFERROR(IF(INDEX('İş Planı'!$B$5:$B$204,ROW()-4)="","",INDEX('İş Planı'!$B$5:$B$204,ROW()-4)),"")</f>
        <v>BIGR (Yönetim Beyanı Ortak Maddeler)</v>
      </c>
      <c r="C83" s="72">
        <f>IFERROR(IF(INDEX('İş Planı'!$I$5:$I$204,ROW()-4)="","",INDEX('İş Planı'!$I$5:$I$204,ROW()-4)),"")</f>
        <v/>
      </c>
      <c r="D83" s="72">
        <f>IFERROR(IF(INDEX('İş Planı'!$M$5:$M$204,ROW()-4)="","",INDEX('İş Planı'!$M$5:$M$204,ROW()-4)),"")</f>
        <v/>
      </c>
      <c r="E83" s="71" t="str">
        <f>IFERROR(IF(INDEX('İş Planı'!$O$5:$O$204,ROW()-4)="","",INDEX('İş Planı'!$O$5:$O$204,ROW()-4)),"")</f>
        <v>Planlanan</v>
      </c>
      <c r="F83" s="83" t="n"/>
      <c r="G83" s="83" t="n"/>
      <c r="H83" s="83" t="n"/>
      <c r="I83" s="83" t="n"/>
      <c r="J83" s="83" t="n"/>
      <c r="K83" s="83" t="n"/>
      <c r="L83" s="83" t="n"/>
      <c r="M83" s="83" t="n"/>
      <c r="N83" s="83" t="n"/>
      <c r="O83" s="83" t="n"/>
      <c r="P83" s="83" t="n"/>
      <c r="Q83" s="83" t="n"/>
    </row>
    <row r="84" ht="18" customHeight="1">
      <c r="A84" s="55" t="str">
        <f>IFERROR(IF(INDEX('İş Planı'!$C$5:$C$204,ROW()-4)="","",INDEX('İş Planı'!$C$5:$C$204,ROW()-4)),"")</f>
        <v>3.3.1. Akıllı Telefon ve Tablet Güvenliği</v>
      </c>
      <c r="B84" s="55" t="str">
        <f>IFERROR(IF(INDEX('İş Planı'!$B$5:$B$204,ROW()-4)="","",INDEX('İş Planı'!$B$5:$B$204,ROW()-4)),"")</f>
        <v>BIGR (Yönetim Beyanı Ortak Maddeler)</v>
      </c>
      <c r="C84" s="72">
        <f>IFERROR(IF(INDEX('İş Planı'!$I$5:$I$204,ROW()-4)="","",INDEX('İş Planı'!$I$5:$I$204,ROW()-4)),"")</f>
        <v/>
      </c>
      <c r="D84" s="72">
        <f>IFERROR(IF(INDEX('İş Planı'!$M$5:$M$204,ROW()-4)="","",INDEX('İş Planı'!$M$5:$M$204,ROW()-4)),"")</f>
        <v/>
      </c>
      <c r="E84" s="71" t="str">
        <f>IFERROR(IF(INDEX('İş Planı'!$O$5:$O$204,ROW()-4)="","",INDEX('İş Planı'!$O$5:$O$204,ROW()-4)),"")</f>
        <v>Planlanan</v>
      </c>
      <c r="F84" s="83" t="n"/>
      <c r="G84" s="83" t="n"/>
      <c r="H84" s="83" t="n"/>
      <c r="I84" s="83" t="n"/>
      <c r="J84" s="83" t="n"/>
      <c r="K84" s="83" t="n"/>
      <c r="L84" s="83" t="n"/>
      <c r="M84" s="83" t="n"/>
      <c r="N84" s="83" t="n"/>
      <c r="O84" s="83" t="n"/>
      <c r="P84" s="83" t="n"/>
      <c r="Q84" s="83" t="n"/>
    </row>
    <row r="85" ht="18" customHeight="1">
      <c r="A85" s="55" t="str">
        <f>IFERROR(IF(INDEX('İş Planı'!$C$5:$C$204,ROW()-4)="","",INDEX('İş Planı'!$C$5:$C$204,ROW()-4)),"")</f>
        <v>3.3.2. Taşınabilir Bilgisayar Güvenliği</v>
      </c>
      <c r="B85" s="55" t="str">
        <f>IFERROR(IF(INDEX('İş Planı'!$B$5:$B$204,ROW()-4)="","",INDEX('İş Planı'!$B$5:$B$204,ROW()-4)),"")</f>
        <v>BIGR (Yönetim Beyanı Ortak Maddeler)</v>
      </c>
      <c r="C85" s="72">
        <f>IFERROR(IF(INDEX('İş Planı'!$I$5:$I$204,ROW()-4)="","",INDEX('İş Planı'!$I$5:$I$204,ROW()-4)),"")</f>
        <v/>
      </c>
      <c r="D85" s="72">
        <f>IFERROR(IF(INDEX('İş Planı'!$M$5:$M$204,ROW()-4)="","",INDEX('İş Planı'!$M$5:$M$204,ROW()-4)),"")</f>
        <v/>
      </c>
      <c r="E85" s="71" t="str">
        <f>IFERROR(IF(INDEX('İş Planı'!$O$5:$O$204,ROW()-4)="","",INDEX('İş Planı'!$O$5:$O$204,ROW()-4)),"")</f>
        <v>Planlanan</v>
      </c>
      <c r="F85" s="83" t="n"/>
      <c r="G85" s="83" t="n"/>
      <c r="H85" s="83" t="n"/>
      <c r="I85" s="83" t="n"/>
      <c r="J85" s="83" t="n"/>
      <c r="K85" s="83" t="n"/>
      <c r="L85" s="83" t="n"/>
      <c r="M85" s="83" t="n"/>
      <c r="N85" s="83" t="n"/>
      <c r="O85" s="83" t="n"/>
      <c r="P85" s="83" t="n"/>
      <c r="Q85" s="83" t="n"/>
    </row>
    <row r="86" ht="18" customHeight="1">
      <c r="A86" s="55" t="str">
        <f>IFERROR(IF(INDEX('İş Planı'!$C$5:$C$204,ROW()-4)="","",INDEX('İş Planı'!$C$5:$C$204,ROW()-4)),"")</f>
        <v>3.5.3. Tedarikçi İlişkileri Güvenliği</v>
      </c>
      <c r="B86" s="55" t="str">
        <f>IFERROR(IF(INDEX('İş Planı'!$B$5:$B$204,ROW()-4)="","",INDEX('İş Planı'!$B$5:$B$204,ROW()-4)),"")</f>
        <v>BIGR (Yönetim Beyanı Ortak Maddeler)</v>
      </c>
      <c r="C86" s="72">
        <f>IFERROR(IF(INDEX('İş Planı'!$I$5:$I$204,ROW()-4)="","",INDEX('İş Planı'!$I$5:$I$204,ROW()-4)),"")</f>
        <v/>
      </c>
      <c r="D86" s="72">
        <f>IFERROR(IF(INDEX('İş Planı'!$M$5:$M$204,ROW()-4)="","",INDEX('İş Planı'!$M$5:$M$204,ROW()-4)),"")</f>
        <v/>
      </c>
      <c r="E86" s="71" t="str">
        <f>IFERROR(IF(INDEX('İş Planı'!$O$5:$O$204,ROW()-4)="","",INDEX('İş Planı'!$O$5:$O$204,ROW()-4)),"")</f>
        <v>Planlanan</v>
      </c>
      <c r="F86" s="83" t="n"/>
      <c r="G86" s="83" t="n"/>
      <c r="H86" s="83" t="n"/>
      <c r="I86" s="83" t="n"/>
      <c r="J86" s="83" t="n"/>
      <c r="K86" s="83" t="n"/>
      <c r="L86" s="83" t="n"/>
      <c r="M86" s="83" t="n"/>
      <c r="N86" s="83" t="n"/>
      <c r="O86" s="83" t="n"/>
      <c r="P86" s="83" t="n"/>
      <c r="Q86" s="83" t="n"/>
    </row>
    <row r="87" ht="18" customHeight="1">
      <c r="A87" s="55" t="str">
        <f>IFERROR(IF(INDEX('İş Planı'!$C$5:$C$204,ROW()-4)="","",INDEX('İş Planı'!$C$5:$C$204,ROW()-4)),"")</f>
        <v>4.1.7. Açık Rıza Yönetimi</v>
      </c>
      <c r="B87" s="55" t="str">
        <f>IFERROR(IF(INDEX('İş Planı'!$B$5:$B$204,ROW()-4)="","",INDEX('İş Planı'!$B$5:$B$204,ROW()-4)),"")</f>
        <v>BIGR (Yönetim Beyanı Ortak Maddeler)</v>
      </c>
      <c r="C87" s="72">
        <f>IFERROR(IF(INDEX('İş Planı'!$I$5:$I$204,ROW()-4)="","",INDEX('İş Planı'!$I$5:$I$204,ROW()-4)),"")</f>
        <v/>
      </c>
      <c r="D87" s="72">
        <f>IFERROR(IF(INDEX('İş Planı'!$M$5:$M$204,ROW()-4)="","",INDEX('İş Planı'!$M$5:$M$204,ROW()-4)),"")</f>
        <v/>
      </c>
      <c r="E87" s="71" t="str">
        <f>IFERROR(IF(INDEX('İş Planı'!$O$5:$O$204,ROW()-4)="","",INDEX('İş Planı'!$O$5:$O$204,ROW()-4)),"")</f>
        <v>Planlanan</v>
      </c>
      <c r="F87" s="83" t="n"/>
      <c r="G87" s="83" t="n"/>
      <c r="H87" s="83" t="n"/>
      <c r="I87" s="83" t="n"/>
      <c r="J87" s="83" t="n"/>
      <c r="K87" s="83" t="n"/>
      <c r="L87" s="83" t="n"/>
      <c r="M87" s="83" t="n"/>
      <c r="N87" s="83" t="n"/>
      <c r="O87" s="83" t="n"/>
      <c r="P87" s="83" t="n"/>
      <c r="Q87" s="83" t="n"/>
    </row>
    <row r="88" ht="18" customHeight="1">
      <c r="A88" s="55" t="str">
        <f>IFERROR(IF(INDEX('İş Planı'!$C$5:$C$204,ROW()-4)="","",INDEX('İş Planı'!$C$5:$C$204,ROW()-4)),"")</f>
        <v>3.2.3 Yetkilendirme</v>
      </c>
      <c r="B88" s="55" t="str">
        <f>IFERROR(IF(INDEX('İş Planı'!$B$5:$B$204,ROW()-4)="","",INDEX('İş Planı'!$B$5:$B$204,ROW()-4)),"")</f>
        <v>BIGR</v>
      </c>
      <c r="C88" s="72">
        <f>IFERROR(IF(INDEX('İş Planı'!$I$5:$I$204,ROW()-4)="","",INDEX('İş Planı'!$I$5:$I$204,ROW()-4)),"")</f>
        <v>46283</v>
      </c>
      <c r="D88" s="72">
        <f>IFERROR(IF(INDEX('İş Planı'!$M$5:$M$204,ROW()-4)="","",INDEX('İş Planı'!$M$5:$M$204,ROW()-4)),"")</f>
        <v>46295</v>
      </c>
      <c r="E88" s="71" t="str">
        <f>IFERROR(IF(INDEX('İş Planı'!$O$5:$O$204,ROW()-4)="","",INDEX('İş Planı'!$O$5:$O$204,ROW()-4)),"")</f>
        <v>Gecikmiş</v>
      </c>
      <c r="F88" s="83" t="n"/>
      <c r="G88" s="83" t="n"/>
      <c r="H88" s="83" t="n"/>
      <c r="I88" s="83" t="n"/>
      <c r="J88" s="83" t="n"/>
      <c r="K88" s="83" t="n"/>
      <c r="L88" s="83" t="n"/>
      <c r="M88" s="83" t="n"/>
      <c r="N88" s="83" t="n"/>
      <c r="O88" s="83" t="n"/>
      <c r="P88" s="83" t="n"/>
      <c r="Q88" s="83" t="n"/>
    </row>
    <row r="89" ht="18" customHeight="1">
      <c r="A89" s="55" t="str">
        <f>IFERROR(IF(INDEX('İş Planı'!$C$5:$C$204,ROW()-4)="","",INDEX('İş Planı'!$C$5:$C$204,ROW()-4)),"")</f>
        <v>3.2.8 Hata Ele Alma ve Kayıt Yönetimi</v>
      </c>
      <c r="B89" s="55" t="str">
        <f>IFERROR(IF(INDEX('İş Planı'!$B$5:$B$204,ROW()-4)="","",INDEX('İş Planı'!$B$5:$B$204,ROW()-4)),"")</f>
        <v>BIGR</v>
      </c>
      <c r="C89" s="72">
        <f>IFERROR(IF(INDEX('İş Planı'!$I$5:$I$204,ROW()-4)="","",INDEX('İş Planı'!$I$5:$I$204,ROW()-4)),"")</f>
        <v>46296</v>
      </c>
      <c r="D89" s="72">
        <f>IFERROR(IF(INDEX('İş Planı'!$M$5:$M$204,ROW()-4)="","",INDEX('İş Planı'!$M$5:$M$204,ROW()-4)),"")</f>
        <v>46308</v>
      </c>
      <c r="E89" s="71" t="str">
        <f>IFERROR(IF(INDEX('İş Planı'!$O$5:$O$204,ROW()-4)="","",INDEX('İş Planı'!$O$5:$O$204,ROW()-4)),"")</f>
        <v>Devam Ediyor</v>
      </c>
      <c r="F89" s="83" t="n"/>
      <c r="G89" s="83" t="n"/>
      <c r="H89" s="83" t="n"/>
      <c r="I89" s="83" t="n"/>
      <c r="J89" s="83" t="n"/>
      <c r="K89" s="83" t="n"/>
      <c r="L89" s="83" t="n"/>
      <c r="M89" s="83" t="n"/>
      <c r="N89" s="83" t="n"/>
      <c r="O89" s="83" t="n"/>
      <c r="P89" s="83" t="n"/>
      <c r="Q89" s="83" t="n"/>
    </row>
    <row r="90" ht="18" customHeight="1">
      <c r="A90" s="55" t="str">
        <f>IFERROR(IF(INDEX('İş Planı'!$C$5:$C$204,ROW()-4)="","",INDEX('İş Planı'!$C$5:$C$204,ROW()-4)),"")</f>
        <v>3.2.10 Kötücül İşlemleri Engelleme</v>
      </c>
      <c r="B90" s="55" t="str">
        <f>IFERROR(IF(INDEX('İş Planı'!$B$5:$B$204,ROW()-4)="","",INDEX('İş Planı'!$B$5:$B$204,ROW()-4)),"")</f>
        <v>BIGR</v>
      </c>
      <c r="C90" s="72">
        <f>IFERROR(IF(INDEX('İş Planı'!$I$5:$I$204,ROW()-4)="","",INDEX('İş Planı'!$I$5:$I$204,ROW()-4)),"")</f>
        <v>46296</v>
      </c>
      <c r="D90" s="72">
        <f>IFERROR(IF(INDEX('İş Planı'!$M$5:$M$204,ROW()-4)="","",INDEX('İş Planı'!$M$5:$M$204,ROW()-4)),"")</f>
        <v>46309</v>
      </c>
      <c r="E90" s="71" t="str">
        <f>IFERROR(IF(INDEX('İş Planı'!$O$5:$O$204,ROW()-4)="","",INDEX('İş Planı'!$O$5:$O$204,ROW()-4)),"")</f>
        <v>Devam Ediyor</v>
      </c>
      <c r="F90" s="83" t="n"/>
      <c r="G90" s="83" t="n"/>
      <c r="H90" s="83" t="n"/>
      <c r="I90" s="83" t="n"/>
      <c r="J90" s="83" t="n"/>
      <c r="K90" s="83" t="n"/>
      <c r="L90" s="83" t="n"/>
      <c r="M90" s="83" t="n"/>
      <c r="N90" s="83" t="n"/>
      <c r="O90" s="83" t="n"/>
      <c r="P90" s="83" t="n"/>
      <c r="Q90" s="83" t="n"/>
    </row>
    <row r="91" ht="18" customHeight="1">
      <c r="A91" s="55" t="str">
        <f>IFERROR(IF(INDEX('İş Planı'!$C$5:$C$204,ROW()-4)="","",INDEX('İş Planı'!$C$5:$C$204,ROW()-4)),"")</f>
        <v>4.1.1 Kayıt Yönetimi</v>
      </c>
      <c r="B91" s="55" t="str">
        <f>IFERROR(IF(INDEX('İş Planı'!$B$5:$B$204,ROW()-4)="","",INDEX('İş Planı'!$B$5:$B$204,ROW()-4)),"")</f>
        <v>BIGR</v>
      </c>
      <c r="C91" s="72">
        <f>IFERROR(IF(INDEX('İş Planı'!$I$5:$I$204,ROW()-4)="","",INDEX('İş Planı'!$I$5:$I$204,ROW()-4)),"")</f>
        <v>46296</v>
      </c>
      <c r="D91" s="72">
        <f>IFERROR(IF(INDEX('İş Planı'!$M$5:$M$204,ROW()-4)="","",INDEX('İş Planı'!$M$5:$M$204,ROW()-4)),"")</f>
        <v>46310</v>
      </c>
      <c r="E91" s="71" t="str">
        <f>IFERROR(IF(INDEX('İş Planı'!$O$5:$O$204,ROW()-4)="","",INDEX('İş Planı'!$O$5:$O$204,ROW()-4)),"")</f>
        <v>Devam Ediyor</v>
      </c>
      <c r="F91" s="83" t="n"/>
      <c r="G91" s="83" t="n"/>
      <c r="H91" s="83" t="n"/>
      <c r="I91" s="83" t="n"/>
      <c r="J91" s="83" t="n"/>
      <c r="K91" s="83" t="n"/>
      <c r="L91" s="83" t="n"/>
      <c r="M91" s="83" t="n"/>
      <c r="N91" s="83" t="n"/>
      <c r="O91" s="83" t="n"/>
      <c r="P91" s="83" t="n"/>
      <c r="Q91" s="83" t="n"/>
    </row>
    <row r="92" ht="18" customHeight="1">
      <c r="A92" s="55" t="str">
        <f>IFERROR(IF(INDEX('İş Planı'!$C$5:$C$204,ROW()-4)="","",INDEX('İş Planı'!$C$5:$C$204,ROW()-4)),"")</f>
        <v>4.1.2  Erişim Kayıtları Yönetimi</v>
      </c>
      <c r="B92" s="55" t="str">
        <f>IFERROR(IF(INDEX('İş Planı'!$B$5:$B$204,ROW()-4)="","",INDEX('İş Planı'!$B$5:$B$204,ROW()-4)),"")</f>
        <v>BIGR</v>
      </c>
      <c r="C92" s="72">
        <f>IFERROR(IF(INDEX('İş Planı'!$I$5:$I$204,ROW()-4)="","",INDEX('İş Planı'!$I$5:$I$204,ROW()-4)),"")</f>
        <v>46307</v>
      </c>
      <c r="D92" s="72">
        <f>IFERROR(IF(INDEX('İş Planı'!$M$5:$M$204,ROW()-4)="","",INDEX('İş Planı'!$M$5:$M$204,ROW()-4)),"")</f>
        <v>46328</v>
      </c>
      <c r="E92" s="71" t="str">
        <f>IFERROR(IF(INDEX('İş Planı'!$O$5:$O$204,ROW()-4)="","",INDEX('İş Planı'!$O$5:$O$204,ROW()-4)),"")</f>
        <v>Planlanan</v>
      </c>
      <c r="F92" s="83" t="n"/>
      <c r="G92" s="83" t="n"/>
      <c r="H92" s="83" t="n"/>
      <c r="I92" s="83" t="n"/>
      <c r="J92" s="83" t="n"/>
      <c r="K92" s="83" t="n"/>
      <c r="L92" s="83" t="n"/>
      <c r="M92" s="83" t="n"/>
      <c r="N92" s="83" t="n"/>
      <c r="O92" s="83" t="n"/>
      <c r="P92" s="83" t="n"/>
      <c r="Q92" s="83" t="n"/>
    </row>
    <row r="93" ht="18" customHeight="1">
      <c r="A93" s="55" t="str">
        <f>IFERROR(IF(INDEX('İş Planı'!$C$5:$C$204,ROW()-4)="","",INDEX('İş Planı'!$C$5:$C$204,ROW()-4)),"")</f>
        <v>4.1.3 Yetkilendirme</v>
      </c>
      <c r="B93" s="55" t="str">
        <f>IFERROR(IF(INDEX('İş Planı'!$B$5:$B$204,ROW()-4)="","",INDEX('İş Planı'!$B$5:$B$204,ROW()-4)),"")</f>
        <v>BIGR</v>
      </c>
      <c r="C93" s="72">
        <f>IFERROR(IF(INDEX('İş Planı'!$I$5:$I$204,ROW()-4)="","",INDEX('İş Planı'!$I$5:$I$204,ROW()-4)),"")</f>
        <v>46283</v>
      </c>
      <c r="D93" s="72">
        <f>IFERROR(IF(INDEX('İş Planı'!$M$5:$M$204,ROW()-4)="","",INDEX('İş Planı'!$M$5:$M$204,ROW()-4)),"")</f>
        <v>46295</v>
      </c>
      <c r="E93" s="71" t="str">
        <f>IFERROR(IF(INDEX('İş Planı'!$O$5:$O$204,ROW()-4)="","",INDEX('İş Planı'!$O$5:$O$204,ROW()-4)),"")</f>
        <v>Gecikmiş</v>
      </c>
      <c r="F93" s="83" t="n"/>
      <c r="G93" s="83" t="n"/>
      <c r="H93" s="83" t="n"/>
      <c r="I93" s="83" t="n"/>
      <c r="J93" s="83" t="n"/>
      <c r="K93" s="83" t="n"/>
      <c r="L93" s="83" t="n"/>
      <c r="M93" s="83" t="n"/>
      <c r="N93" s="83" t="n"/>
      <c r="O93" s="83" t="n"/>
      <c r="P93" s="83" t="n"/>
      <c r="Q93" s="83" t="n"/>
    </row>
    <row r="94" ht="18" customHeight="1">
      <c r="A94" s="55" t="str">
        <f>IFERROR(IF(INDEX('İş Planı'!$C$5:$C$204,ROW()-4)="","",INDEX('İş Planı'!$C$5:$C$204,ROW()-4)),"")</f>
        <v>4.1.4 Şifreleme</v>
      </c>
      <c r="B94" s="55" t="str">
        <f>IFERROR(IF(INDEX('İş Planı'!$B$5:$B$204,ROW()-4)="","",INDEX('İş Planı'!$B$5:$B$204,ROW()-4)),"")</f>
        <v>BIGR</v>
      </c>
      <c r="C94" s="72">
        <f>IFERROR(IF(INDEX('İş Planı'!$I$5:$I$204,ROW()-4)="","",INDEX('İş Planı'!$I$5:$I$204,ROW()-4)),"")</f>
        <v>46307</v>
      </c>
      <c r="D94" s="72">
        <f>IFERROR(IF(INDEX('İş Planı'!$M$5:$M$204,ROW()-4)="","",INDEX('İş Planı'!$M$5:$M$204,ROW()-4)),"")</f>
        <v>46331</v>
      </c>
      <c r="E94" s="71" t="str">
        <f>IFERROR(IF(INDEX('İş Planı'!$O$5:$O$204,ROW()-4)="","",INDEX('İş Planı'!$O$5:$O$204,ROW()-4)),"")</f>
        <v>Planlanan</v>
      </c>
      <c r="F94" s="83" t="n"/>
      <c r="G94" s="83" t="n"/>
      <c r="H94" s="83" t="n"/>
      <c r="I94" s="83" t="n"/>
      <c r="J94" s="83" t="n"/>
      <c r="K94" s="83" t="n"/>
      <c r="L94" s="83" t="n"/>
      <c r="M94" s="83" t="n"/>
      <c r="N94" s="83" t="n"/>
      <c r="O94" s="83" t="n"/>
      <c r="P94" s="83" t="n"/>
      <c r="Q94" s="83" t="n"/>
    </row>
    <row r="95" ht="18" customHeight="1">
      <c r="A95" s="55" t="str">
        <f>IFERROR(IF(INDEX('İş Planı'!$C$5:$C$204,ROW()-4)="","",INDEX('İş Planı'!$C$5:$C$204,ROW()-4)),"")</f>
        <v>4.1.5 Yedekleme, Silme, Yok Etme ve Anonim Hale Getirme</v>
      </c>
      <c r="B95" s="55" t="str">
        <f>IFERROR(IF(INDEX('İş Planı'!$B$5:$B$204,ROW()-4)="","",INDEX('İş Planı'!$B$5:$B$204,ROW()-4)),"")</f>
        <v>BIGR</v>
      </c>
      <c r="C95" s="72">
        <f>IFERROR(IF(INDEX('İş Planı'!$I$5:$I$204,ROW()-4)="","",INDEX('İş Planı'!$I$5:$I$204,ROW()-4)),"")</f>
        <v>46307</v>
      </c>
      <c r="D95" s="72">
        <f>IFERROR(IF(INDEX('İş Planı'!$M$5:$M$204,ROW()-4)="","",INDEX('İş Planı'!$M$5:$M$204,ROW()-4)),"")</f>
        <v>46331</v>
      </c>
      <c r="E95" s="71" t="str">
        <f>IFERROR(IF(INDEX('İş Planı'!$O$5:$O$204,ROW()-4)="","",INDEX('İş Planı'!$O$5:$O$204,ROW()-4)),"")</f>
        <v>Planlanan</v>
      </c>
      <c r="F95" s="83" t="n"/>
      <c r="G95" s="83" t="n"/>
      <c r="H95" s="83" t="n"/>
      <c r="I95" s="83" t="n"/>
      <c r="J95" s="83" t="n"/>
      <c r="K95" s="83" t="n"/>
      <c r="L95" s="83" t="n"/>
      <c r="M95" s="83" t="n"/>
      <c r="N95" s="83" t="n"/>
      <c r="O95" s="83" t="n"/>
      <c r="P95" s="83" t="n"/>
      <c r="Q95" s="83" t="n"/>
    </row>
    <row r="96" ht="18" customHeight="1">
      <c r="A96" s="55" t="str">
        <f>IFERROR(IF(INDEX('İş Planı'!$C$5:$C$204,ROW()-4)="","",INDEX('İş Planı'!$C$5:$C$204,ROW()-4)),"")</f>
        <v>5.3.1 Web Sunucusu Sıkılaştırma Tedbirler</v>
      </c>
      <c r="B96" s="55" t="str">
        <f>IFERROR(IF(INDEX('İş Planı'!$B$5:$B$204,ROW()-4)="","",INDEX('İş Planı'!$B$5:$B$204,ROW()-4)),"")</f>
        <v>BIGR</v>
      </c>
      <c r="C96" s="72">
        <f>IFERROR(IF(INDEX('İş Planı'!$I$5:$I$204,ROW()-4)="","",INDEX('İş Planı'!$I$5:$I$204,ROW()-4)),"")</f>
        <v>46314</v>
      </c>
      <c r="D96" s="72">
        <f>IFERROR(IF(INDEX('İş Planı'!$M$5:$M$204,ROW()-4)="","",INDEX('İş Planı'!$M$5:$M$204,ROW()-4)),"")</f>
        <v>46328</v>
      </c>
      <c r="E96" s="71" t="str">
        <f>IFERROR(IF(INDEX('İş Planı'!$O$5:$O$204,ROW()-4)="","",INDEX('İş Planı'!$O$5:$O$204,ROW()-4)),"")</f>
        <v>Planlanan</v>
      </c>
      <c r="F96" s="83" t="n"/>
      <c r="G96" s="83" t="n"/>
      <c r="H96" s="83" t="n"/>
      <c r="I96" s="83" t="n"/>
      <c r="J96" s="83" t="n"/>
      <c r="K96" s="83" t="n"/>
      <c r="L96" s="83" t="n"/>
      <c r="M96" s="83" t="n"/>
      <c r="N96" s="83" t="n"/>
      <c r="O96" s="83" t="n"/>
      <c r="P96" s="83" t="n"/>
      <c r="Q96" s="83" t="n"/>
    </row>
    <row r="97" ht="18" customHeight="1">
      <c r="A97" s="55" t="str">
        <f>IFERROR(IF(INDEX('İş Planı'!$C$5:$C$204,ROW()-4)="","",INDEX('İş Planı'!$C$5:$C$204,ROW()-4)),"")</f>
        <v>5.3.2 Sanallaştırma Sunucusu Sıkılaştırma Tedbirleri</v>
      </c>
      <c r="B97" s="55" t="str">
        <f>IFERROR(IF(INDEX('İş Planı'!$B$5:$B$204,ROW()-4)="","",INDEX('İş Planı'!$B$5:$B$204,ROW()-4)),"")</f>
        <v>BIGR</v>
      </c>
      <c r="C97" s="72">
        <f>IFERROR(IF(INDEX('İş Planı'!$I$5:$I$204,ROW()-4)="","",INDEX('İş Planı'!$I$5:$I$204,ROW()-4)),"")</f>
        <v>46314</v>
      </c>
      <c r="D97" s="72">
        <f>IFERROR(IF(INDEX('İş Planı'!$M$5:$M$204,ROW()-4)="","",INDEX('İş Planı'!$M$5:$M$204,ROW()-4)),"")</f>
        <v>46328</v>
      </c>
      <c r="E97" s="71" t="str">
        <f>IFERROR(IF(INDEX('İş Planı'!$O$5:$O$204,ROW()-4)="","",INDEX('İş Planı'!$O$5:$O$204,ROW()-4)),"")</f>
        <v>Planlanan</v>
      </c>
      <c r="F97" s="83" t="n"/>
      <c r="G97" s="83" t="n"/>
      <c r="H97" s="83" t="n"/>
      <c r="I97" s="83" t="n"/>
      <c r="J97" s="83" t="n"/>
      <c r="K97" s="83" t="n"/>
      <c r="L97" s="83" t="n"/>
      <c r="M97" s="83" t="n"/>
      <c r="N97" s="83" t="n"/>
      <c r="O97" s="83" t="n"/>
      <c r="P97" s="83" t="n"/>
      <c r="Q97" s="83" t="n"/>
    </row>
    <row r="98" ht="18" customHeight="1">
      <c r="A98" s="55" t="str">
        <f>IFERROR(IF(INDEX('İş Planı'!$C$5:$C$204,ROW()-4)="","",INDEX('İş Planı'!$C$5:$C$204,ROW()-4)),"")</f>
        <v>Teleperformance Dış Hizmet Denetimi
Sözleşmeye uyum ve yasal durumu incelenecek. RM hizmeti de olduğu için ek konular çıkabilir.</v>
      </c>
      <c r="B98" s="55" t="str">
        <f>IFERROR(IF(INDEX('İş Planı'!$B$5:$B$204,ROW()-4)="","",INDEX('İş Planı'!$B$5:$B$204,ROW()-4)),"")</f>
        <v>Destek Hizmeti Denetimler</v>
      </c>
      <c r="C98" s="72">
        <f>IFERROR(IF(INDEX('İş Planı'!$I$5:$I$204,ROW()-4)="","",INDEX('İş Planı'!$I$5:$I$204,ROW()-4)),"")</f>
        <v>46276</v>
      </c>
      <c r="D98" s="72">
        <f>IFERROR(IF(INDEX('İş Planı'!$M$5:$M$204,ROW()-4)="","",INDEX('İş Planı'!$M$5:$M$204,ROW()-4)),"")</f>
        <v>46328</v>
      </c>
      <c r="E98" s="71" t="str">
        <f>IFERROR(IF(INDEX('İş Planı'!$O$5:$O$204,ROW()-4)="","",INDEX('İş Planı'!$O$5:$O$204,ROW()-4)),"")</f>
        <v>Devam Ediyor</v>
      </c>
      <c r="F98" s="83" t="n"/>
      <c r="G98" s="83" t="n"/>
      <c r="H98" s="83" t="n"/>
      <c r="I98" s="83" t="n"/>
      <c r="J98" s="83" t="n"/>
      <c r="K98" s="83" t="n"/>
      <c r="L98" s="83" t="n"/>
      <c r="M98" s="83" t="n"/>
      <c r="N98" s="83" t="n"/>
      <c r="O98" s="83" t="n"/>
      <c r="P98" s="83" t="n"/>
      <c r="Q98" s="83" t="n"/>
    </row>
    <row r="99" ht="18" customHeight="1">
      <c r="A99" s="55" t="str">
        <f>IFERROR(IF(INDEX('İş Planı'!$C$5:$C$204,ROW()-4)="","",INDEX('İş Planı'!$C$5:$C$204,ROW()-4)),"")</f>
        <v>Faaliyet İzni İptal Edilen Kurumlara İlişkin Yetki İptal Sürecinin İncelenmesi
Finans ve İş Birimleri Ekibi'ne denetim sürecinde destek olunacaktır.
30.09.2026 tarihinde Yetkilendirme Yönetimi Ekibi ile toplantı yapılmıştır.</v>
      </c>
      <c r="B99" s="55" t="str">
        <f>IFERROR(IF(INDEX('İş Planı'!$B$5:$B$204,ROW()-4)="","",INDEX('İş Planı'!$B$5:$B$204,ROW()-4)),"")</f>
        <v>Ad-Hoc İşler</v>
      </c>
      <c r="C99" s="72">
        <f>IFERROR(IF(INDEX('İş Planı'!$I$5:$I$204,ROW()-4)="","",INDEX('İş Planı'!$I$5:$I$204,ROW()-4)),"")</f>
        <v>46295</v>
      </c>
      <c r="D99" s="72">
        <f>IFERROR(IF(INDEX('İş Planı'!$M$5:$M$204,ROW()-4)="","",INDEX('İş Planı'!$M$5:$M$204,ROW()-4)),"")</f>
        <v/>
      </c>
      <c r="E99" s="71" t="str">
        <f>IFERROR(IF(INDEX('İş Planı'!$O$5:$O$204,ROW()-4)="","",INDEX('İş Planı'!$O$5:$O$204,ROW()-4)),"")</f>
        <v>Devam Ediyor</v>
      </c>
      <c r="F99" s="83" t="n"/>
      <c r="G99" s="83" t="n"/>
      <c r="H99" s="83" t="n"/>
      <c r="I99" s="83" t="n"/>
      <c r="J99" s="83" t="n"/>
      <c r="K99" s="83" t="n"/>
      <c r="L99" s="83" t="n"/>
      <c r="M99" s="83" t="n"/>
      <c r="N99" s="83" t="n"/>
      <c r="O99" s="83" t="n"/>
      <c r="P99" s="83" t="n"/>
      <c r="Q99" s="83" t="n"/>
    </row>
    <row r="100" ht="18" customHeight="1">
      <c r="A100" s="55">
        <f>IFERROR(IF(INDEX('İş Planı'!$C$5:$C$204,ROW()-4)="","",INDEX('İş Planı'!$C$5:$C$204,ROW()-4)),"")</f>
        <v/>
      </c>
      <c r="B100" s="55">
        <f>IFERROR(IF(INDEX('İş Planı'!$B$5:$B$204,ROW()-4)="","",INDEX('İş Planı'!$B$5:$B$204,ROW()-4)),"")</f>
        <v/>
      </c>
      <c r="C100" s="72">
        <f>IFERROR(IF(INDEX('İş Planı'!$I$5:$I$204,ROW()-4)="","",INDEX('İş Planı'!$I$5:$I$204,ROW()-4)),"")</f>
        <v/>
      </c>
      <c r="D100" s="72">
        <f>IFERROR(IF(INDEX('İş Planı'!$M$5:$M$204,ROW()-4)="","",INDEX('İş Planı'!$M$5:$M$204,ROW()-4)),"")</f>
        <v/>
      </c>
      <c r="E100" s="71">
        <f>IFERROR(IF(INDEX('İş Planı'!$O$5:$O$204,ROW()-4)="","",INDEX('İş Planı'!$O$5:$O$204,ROW()-4)),"")</f>
        <v/>
      </c>
      <c r="F100" s="83" t="n"/>
      <c r="G100" s="83" t="n"/>
      <c r="H100" s="83" t="n"/>
      <c r="I100" s="83" t="n"/>
      <c r="J100" s="83" t="n"/>
      <c r="K100" s="83" t="n"/>
      <c r="L100" s="83" t="n"/>
      <c r="M100" s="83" t="n"/>
      <c r="N100" s="83" t="n"/>
      <c r="O100" s="83" t="n"/>
      <c r="P100" s="83" t="n"/>
      <c r="Q100" s="83" t="n"/>
    </row>
    <row r="101" ht="18" customHeight="1">
      <c r="A101" s="55">
        <f>IFERROR(IF(INDEX('İş Planı'!$C$5:$C$204,ROW()-4)="","",INDEX('İş Planı'!$C$5:$C$204,ROW()-4)),"")</f>
        <v/>
      </c>
      <c r="B101" s="55">
        <f>IFERROR(IF(INDEX('İş Planı'!$B$5:$B$204,ROW()-4)="","",INDEX('İş Planı'!$B$5:$B$204,ROW()-4)),"")</f>
        <v/>
      </c>
      <c r="C101" s="72">
        <f>IFERROR(IF(INDEX('İş Planı'!$I$5:$I$204,ROW()-4)="","",INDEX('İş Planı'!$I$5:$I$204,ROW()-4)),"")</f>
        <v/>
      </c>
      <c r="D101" s="72">
        <f>IFERROR(IF(INDEX('İş Planı'!$M$5:$M$204,ROW()-4)="","",INDEX('İş Planı'!$M$5:$M$204,ROW()-4)),"")</f>
        <v/>
      </c>
      <c r="E101" s="71">
        <f>IFERROR(IF(INDEX('İş Planı'!$O$5:$O$204,ROW()-4)="","",INDEX('İş Planı'!$O$5:$O$204,ROW()-4)),"")</f>
        <v/>
      </c>
      <c r="F101" s="83" t="n"/>
      <c r="G101" s="83" t="n"/>
      <c r="H101" s="83" t="n"/>
      <c r="I101" s="83" t="n"/>
      <c r="J101" s="83" t="n"/>
      <c r="K101" s="83" t="n"/>
      <c r="L101" s="83" t="n"/>
      <c r="M101" s="83" t="n"/>
      <c r="N101" s="83" t="n"/>
      <c r="O101" s="83" t="n"/>
      <c r="P101" s="83" t="n"/>
      <c r="Q101" s="83" t="n"/>
    </row>
    <row r="102" ht="18" customHeight="1">
      <c r="A102" s="55">
        <f>IFERROR(IF(INDEX('İş Planı'!$C$5:$C$204,ROW()-4)="","",INDEX('İş Planı'!$C$5:$C$204,ROW()-4)),"")</f>
        <v/>
      </c>
      <c r="B102" s="55">
        <f>IFERROR(IF(INDEX('İş Planı'!$B$5:$B$204,ROW()-4)="","",INDEX('İş Planı'!$B$5:$B$204,ROW()-4)),"")</f>
        <v/>
      </c>
      <c r="C102" s="72">
        <f>IFERROR(IF(INDEX('İş Planı'!$I$5:$I$204,ROW()-4)="","",INDEX('İş Planı'!$I$5:$I$204,ROW()-4)),"")</f>
        <v/>
      </c>
      <c r="D102" s="72">
        <f>IFERROR(IF(INDEX('İş Planı'!$M$5:$M$204,ROW()-4)="","",INDEX('İş Planı'!$M$5:$M$204,ROW()-4)),"")</f>
        <v/>
      </c>
      <c r="E102" s="71">
        <f>IFERROR(IF(INDEX('İş Planı'!$O$5:$O$204,ROW()-4)="","",INDEX('İş Planı'!$O$5:$O$204,ROW()-4)),"")</f>
        <v/>
      </c>
      <c r="F102" s="83" t="n"/>
      <c r="G102" s="83" t="n"/>
      <c r="H102" s="83" t="n"/>
      <c r="I102" s="83" t="n"/>
      <c r="J102" s="83" t="n"/>
      <c r="K102" s="83" t="n"/>
      <c r="L102" s="83" t="n"/>
      <c r="M102" s="83" t="n"/>
      <c r="N102" s="83" t="n"/>
      <c r="O102" s="83" t="n"/>
      <c r="P102" s="83" t="n"/>
      <c r="Q102" s="83" t="n"/>
    </row>
    <row r="103" ht="18" customHeight="1">
      <c r="A103" s="55">
        <f>IFERROR(IF(INDEX('İş Planı'!$C$5:$C$204,ROW()-4)="","",INDEX('İş Planı'!$C$5:$C$204,ROW()-4)),"")</f>
        <v/>
      </c>
      <c r="B103" s="55">
        <f>IFERROR(IF(INDEX('İş Planı'!$B$5:$B$204,ROW()-4)="","",INDEX('İş Planı'!$B$5:$B$204,ROW()-4)),"")</f>
        <v/>
      </c>
      <c r="C103" s="72">
        <f>IFERROR(IF(INDEX('İş Planı'!$I$5:$I$204,ROW()-4)="","",INDEX('İş Planı'!$I$5:$I$204,ROW()-4)),"")</f>
        <v/>
      </c>
      <c r="D103" s="72">
        <f>IFERROR(IF(INDEX('İş Planı'!$M$5:$M$204,ROW()-4)="","",INDEX('İş Planı'!$M$5:$M$204,ROW()-4)),"")</f>
        <v/>
      </c>
      <c r="E103" s="71">
        <f>IFERROR(IF(INDEX('İş Planı'!$O$5:$O$204,ROW()-4)="","",INDEX('İş Planı'!$O$5:$O$204,ROW()-4)),"")</f>
        <v/>
      </c>
      <c r="F103" s="83" t="n"/>
      <c r="G103" s="83" t="n"/>
      <c r="H103" s="83" t="n"/>
      <c r="I103" s="83" t="n"/>
      <c r="J103" s="83" t="n"/>
      <c r="K103" s="83" t="n"/>
      <c r="L103" s="83" t="n"/>
      <c r="M103" s="83" t="n"/>
      <c r="N103" s="83" t="n"/>
      <c r="O103" s="83" t="n"/>
      <c r="P103" s="83" t="n"/>
      <c r="Q103" s="83" t="n"/>
    </row>
    <row r="104" ht="18" customHeight="1">
      <c r="A104" s="55">
        <f>IFERROR(IF(INDEX('İş Planı'!$C$5:$C$204,ROW()-4)="","",INDEX('İş Planı'!$C$5:$C$204,ROW()-4)),"")</f>
        <v/>
      </c>
      <c r="B104" s="55">
        <f>IFERROR(IF(INDEX('İş Planı'!$B$5:$B$204,ROW()-4)="","",INDEX('İş Planı'!$B$5:$B$204,ROW()-4)),"")</f>
        <v/>
      </c>
      <c r="C104" s="72">
        <f>IFERROR(IF(INDEX('İş Planı'!$I$5:$I$204,ROW()-4)="","",INDEX('İş Planı'!$I$5:$I$204,ROW()-4)),"")</f>
        <v/>
      </c>
      <c r="D104" s="72">
        <f>IFERROR(IF(INDEX('İş Planı'!$M$5:$M$204,ROW()-4)="","",INDEX('İş Planı'!$M$5:$M$204,ROW()-4)),"")</f>
        <v/>
      </c>
      <c r="E104" s="71">
        <f>IFERROR(IF(INDEX('İş Planı'!$O$5:$O$204,ROW()-4)="","",INDEX('İş Planı'!$O$5:$O$204,ROW()-4)),"")</f>
        <v/>
      </c>
      <c r="F104" s="83" t="n"/>
      <c r="G104" s="83" t="n"/>
      <c r="H104" s="83" t="n"/>
      <c r="I104" s="83" t="n"/>
      <c r="J104" s="83" t="n"/>
      <c r="K104" s="83" t="n"/>
      <c r="L104" s="83" t="n"/>
      <c r="M104" s="83" t="n"/>
      <c r="N104" s="83" t="n"/>
      <c r="O104" s="83" t="n"/>
      <c r="P104" s="83" t="n"/>
      <c r="Q104" s="83" t="n"/>
    </row>
    <row r="105" ht="18" customHeight="1">
      <c r="A105" s="55">
        <f>IFERROR(IF(INDEX('İş Planı'!$C$5:$C$204,ROW()-4)="","",INDEX('İş Planı'!$C$5:$C$204,ROW()-4)),"")</f>
        <v/>
      </c>
      <c r="B105" s="55">
        <f>IFERROR(IF(INDEX('İş Planı'!$B$5:$B$204,ROW()-4)="","",INDEX('İş Planı'!$B$5:$B$204,ROW()-4)),"")</f>
        <v/>
      </c>
      <c r="C105" s="72">
        <f>IFERROR(IF(INDEX('İş Planı'!$I$5:$I$204,ROW()-4)="","",INDEX('İş Planı'!$I$5:$I$204,ROW()-4)),"")</f>
        <v/>
      </c>
      <c r="D105" s="72">
        <f>IFERROR(IF(INDEX('İş Planı'!$M$5:$M$204,ROW()-4)="","",INDEX('İş Planı'!$M$5:$M$204,ROW()-4)),"")</f>
        <v/>
      </c>
      <c r="E105" s="71">
        <f>IFERROR(IF(INDEX('İş Planı'!$O$5:$O$204,ROW()-4)="","",INDEX('İş Planı'!$O$5:$O$204,ROW()-4)),"")</f>
        <v/>
      </c>
      <c r="F105" s="83" t="n"/>
      <c r="G105" s="83" t="n"/>
      <c r="H105" s="83" t="n"/>
      <c r="I105" s="83" t="n"/>
      <c r="J105" s="83" t="n"/>
      <c r="K105" s="83" t="n"/>
      <c r="L105" s="83" t="n"/>
      <c r="M105" s="83" t="n"/>
      <c r="N105" s="83" t="n"/>
      <c r="O105" s="83" t="n"/>
      <c r="P105" s="83" t="n"/>
      <c r="Q105" s="83" t="n"/>
    </row>
    <row r="106" ht="18" customHeight="1">
      <c r="A106" s="55">
        <f>IFERROR(IF(INDEX('İş Planı'!$C$5:$C$204,ROW()-4)="","",INDEX('İş Planı'!$C$5:$C$204,ROW()-4)),"")</f>
        <v/>
      </c>
      <c r="B106" s="55">
        <f>IFERROR(IF(INDEX('İş Planı'!$B$5:$B$204,ROW()-4)="","",INDEX('İş Planı'!$B$5:$B$204,ROW()-4)),"")</f>
        <v/>
      </c>
      <c r="C106" s="72">
        <f>IFERROR(IF(INDEX('İş Planı'!$I$5:$I$204,ROW()-4)="","",INDEX('İş Planı'!$I$5:$I$204,ROW()-4)),"")</f>
        <v/>
      </c>
      <c r="D106" s="72">
        <f>IFERROR(IF(INDEX('İş Planı'!$M$5:$M$204,ROW()-4)="","",INDEX('İş Planı'!$M$5:$M$204,ROW()-4)),"")</f>
        <v/>
      </c>
      <c r="E106" s="71">
        <f>IFERROR(IF(INDEX('İş Planı'!$O$5:$O$204,ROW()-4)="","",INDEX('İş Planı'!$O$5:$O$204,ROW()-4)),"")</f>
        <v/>
      </c>
      <c r="F106" s="83" t="n"/>
      <c r="G106" s="83" t="n"/>
      <c r="H106" s="83" t="n"/>
      <c r="I106" s="83" t="n"/>
      <c r="J106" s="83" t="n"/>
      <c r="K106" s="83" t="n"/>
      <c r="L106" s="83" t="n"/>
      <c r="M106" s="83" t="n"/>
      <c r="N106" s="83" t="n"/>
      <c r="O106" s="83" t="n"/>
      <c r="P106" s="83" t="n"/>
      <c r="Q106" s="83" t="n"/>
    </row>
    <row r="107" ht="18" customHeight="1">
      <c r="A107" s="55">
        <f>IFERROR(IF(INDEX('İş Planı'!$C$5:$C$204,ROW()-4)="","",INDEX('İş Planı'!$C$5:$C$204,ROW()-4)),"")</f>
        <v/>
      </c>
      <c r="B107" s="55">
        <f>IFERROR(IF(INDEX('İş Planı'!$B$5:$B$204,ROW()-4)="","",INDEX('İş Planı'!$B$5:$B$204,ROW()-4)),"")</f>
        <v/>
      </c>
      <c r="C107" s="72">
        <f>IFERROR(IF(INDEX('İş Planı'!$I$5:$I$204,ROW()-4)="","",INDEX('İş Planı'!$I$5:$I$204,ROW()-4)),"")</f>
        <v/>
      </c>
      <c r="D107" s="72">
        <f>IFERROR(IF(INDEX('İş Planı'!$M$5:$M$204,ROW()-4)="","",INDEX('İş Planı'!$M$5:$M$204,ROW()-4)),"")</f>
        <v/>
      </c>
      <c r="E107" s="71">
        <f>IFERROR(IF(INDEX('İş Planı'!$O$5:$O$204,ROW()-4)="","",INDEX('İş Planı'!$O$5:$O$204,ROW()-4)),"")</f>
        <v/>
      </c>
      <c r="F107" s="83" t="n"/>
      <c r="G107" s="83" t="n"/>
      <c r="H107" s="83" t="n"/>
      <c r="I107" s="83" t="n"/>
      <c r="J107" s="83" t="n"/>
      <c r="K107" s="83" t="n"/>
      <c r="L107" s="83" t="n"/>
      <c r="M107" s="83" t="n"/>
      <c r="N107" s="83" t="n"/>
      <c r="O107" s="83" t="n"/>
      <c r="P107" s="83" t="n"/>
      <c r="Q107" s="83" t="n"/>
    </row>
    <row r="108" ht="18" customHeight="1">
      <c r="A108" s="55">
        <f>IFERROR(IF(INDEX('İş Planı'!$C$5:$C$204,ROW()-4)="","",INDEX('İş Planı'!$C$5:$C$204,ROW()-4)),"")</f>
        <v/>
      </c>
      <c r="B108" s="55">
        <f>IFERROR(IF(INDEX('İş Planı'!$B$5:$B$204,ROW()-4)="","",INDEX('İş Planı'!$B$5:$B$204,ROW()-4)),"")</f>
        <v/>
      </c>
      <c r="C108" s="72">
        <f>IFERROR(IF(INDEX('İş Planı'!$I$5:$I$204,ROW()-4)="","",INDEX('İş Planı'!$I$5:$I$204,ROW()-4)),"")</f>
        <v/>
      </c>
      <c r="D108" s="72">
        <f>IFERROR(IF(INDEX('İş Planı'!$M$5:$M$204,ROW()-4)="","",INDEX('İş Planı'!$M$5:$M$204,ROW()-4)),"")</f>
        <v/>
      </c>
      <c r="E108" s="71">
        <f>IFERROR(IF(INDEX('İş Planı'!$O$5:$O$204,ROW()-4)="","",INDEX('İş Planı'!$O$5:$O$204,ROW()-4)),"")</f>
        <v/>
      </c>
      <c r="F108" s="83" t="n"/>
      <c r="G108" s="83" t="n"/>
      <c r="H108" s="83" t="n"/>
      <c r="I108" s="83" t="n"/>
      <c r="J108" s="83" t="n"/>
      <c r="K108" s="83" t="n"/>
      <c r="L108" s="83" t="n"/>
      <c r="M108" s="83" t="n"/>
      <c r="N108" s="83" t="n"/>
      <c r="O108" s="83" t="n"/>
      <c r="P108" s="83" t="n"/>
      <c r="Q108" s="83" t="n"/>
    </row>
    <row r="109" ht="18" customHeight="1">
      <c r="A109" s="55">
        <f>IFERROR(IF(INDEX('İş Planı'!$C$5:$C$204,ROW()-4)="","",INDEX('İş Planı'!$C$5:$C$204,ROW()-4)),"")</f>
        <v/>
      </c>
      <c r="B109" s="55">
        <f>IFERROR(IF(INDEX('İş Planı'!$B$5:$B$204,ROW()-4)="","",INDEX('İş Planı'!$B$5:$B$204,ROW()-4)),"")</f>
        <v/>
      </c>
      <c r="C109" s="72">
        <f>IFERROR(IF(INDEX('İş Planı'!$I$5:$I$204,ROW()-4)="","",INDEX('İş Planı'!$I$5:$I$204,ROW()-4)),"")</f>
        <v/>
      </c>
      <c r="D109" s="72">
        <f>IFERROR(IF(INDEX('İş Planı'!$M$5:$M$204,ROW()-4)="","",INDEX('İş Planı'!$M$5:$M$204,ROW()-4)),"")</f>
        <v/>
      </c>
      <c r="E109" s="71">
        <f>IFERROR(IF(INDEX('İş Planı'!$O$5:$O$204,ROW()-4)="","",INDEX('İş Planı'!$O$5:$O$204,ROW()-4)),"")</f>
        <v/>
      </c>
      <c r="F109" s="83" t="n"/>
      <c r="G109" s="83" t="n"/>
      <c r="H109" s="83" t="n"/>
      <c r="I109" s="83" t="n"/>
      <c r="J109" s="83" t="n"/>
      <c r="K109" s="83" t="n"/>
      <c r="L109" s="83" t="n"/>
      <c r="M109" s="83" t="n"/>
      <c r="N109" s="83" t="n"/>
      <c r="O109" s="83" t="n"/>
      <c r="P109" s="83" t="n"/>
      <c r="Q109" s="83" t="n"/>
    </row>
    <row r="110" ht="18" customHeight="1">
      <c r="A110" s="55">
        <f>IFERROR(IF(INDEX('İş Planı'!$C$5:$C$204,ROW()-4)="","",INDEX('İş Planı'!$C$5:$C$204,ROW()-4)),"")</f>
        <v/>
      </c>
      <c r="B110" s="55">
        <f>IFERROR(IF(INDEX('İş Planı'!$B$5:$B$204,ROW()-4)="","",INDEX('İş Planı'!$B$5:$B$204,ROW()-4)),"")</f>
        <v/>
      </c>
      <c r="C110" s="72">
        <f>IFERROR(IF(INDEX('İş Planı'!$I$5:$I$204,ROW()-4)="","",INDEX('İş Planı'!$I$5:$I$204,ROW()-4)),"")</f>
        <v/>
      </c>
      <c r="D110" s="72">
        <f>IFERROR(IF(INDEX('İş Planı'!$M$5:$M$204,ROW()-4)="","",INDEX('İş Planı'!$M$5:$M$204,ROW()-4)),"")</f>
        <v/>
      </c>
      <c r="E110" s="71">
        <f>IFERROR(IF(INDEX('İş Planı'!$O$5:$O$204,ROW()-4)="","",INDEX('İş Planı'!$O$5:$O$204,ROW()-4)),"")</f>
        <v/>
      </c>
      <c r="F110" s="83" t="n"/>
      <c r="G110" s="83" t="n"/>
      <c r="H110" s="83" t="n"/>
      <c r="I110" s="83" t="n"/>
      <c r="J110" s="83" t="n"/>
      <c r="K110" s="83" t="n"/>
      <c r="L110" s="83" t="n"/>
      <c r="M110" s="83" t="n"/>
      <c r="N110" s="83" t="n"/>
      <c r="O110" s="83" t="n"/>
      <c r="P110" s="83" t="n"/>
      <c r="Q110" s="83" t="n"/>
    </row>
    <row r="111" ht="18" customHeight="1">
      <c r="A111" s="55">
        <f>IFERROR(IF(INDEX('İş Planı'!$C$5:$C$204,ROW()-4)="","",INDEX('İş Planı'!$C$5:$C$204,ROW()-4)),"")</f>
        <v/>
      </c>
      <c r="B111" s="55">
        <f>IFERROR(IF(INDEX('İş Planı'!$B$5:$B$204,ROW()-4)="","",INDEX('İş Planı'!$B$5:$B$204,ROW()-4)),"")</f>
        <v/>
      </c>
      <c r="C111" s="72">
        <f>IFERROR(IF(INDEX('İş Planı'!$I$5:$I$204,ROW()-4)="","",INDEX('İş Planı'!$I$5:$I$204,ROW()-4)),"")</f>
        <v/>
      </c>
      <c r="D111" s="72">
        <f>IFERROR(IF(INDEX('İş Planı'!$M$5:$M$204,ROW()-4)="","",INDEX('İş Planı'!$M$5:$M$204,ROW()-4)),"")</f>
        <v/>
      </c>
      <c r="E111" s="71">
        <f>IFERROR(IF(INDEX('İş Planı'!$O$5:$O$204,ROW()-4)="","",INDEX('İş Planı'!$O$5:$O$204,ROW()-4)),"")</f>
        <v/>
      </c>
      <c r="F111" s="83" t="n"/>
      <c r="G111" s="83" t="n"/>
      <c r="H111" s="83" t="n"/>
      <c r="I111" s="83" t="n"/>
      <c r="J111" s="83" t="n"/>
      <c r="K111" s="83" t="n"/>
      <c r="L111" s="83" t="n"/>
      <c r="M111" s="83" t="n"/>
      <c r="N111" s="83" t="n"/>
      <c r="O111" s="83" t="n"/>
      <c r="P111" s="83" t="n"/>
      <c r="Q111" s="83" t="n"/>
    </row>
    <row r="112" ht="18" customHeight="1">
      <c r="A112" s="55">
        <f>IFERROR(IF(INDEX('İş Planı'!$C$5:$C$204,ROW()-4)="","",INDEX('İş Planı'!$C$5:$C$204,ROW()-4)),"")</f>
        <v/>
      </c>
      <c r="B112" s="55">
        <f>IFERROR(IF(INDEX('İş Planı'!$B$5:$B$204,ROW()-4)="","",INDEX('İş Planı'!$B$5:$B$204,ROW()-4)),"")</f>
        <v/>
      </c>
      <c r="C112" s="72">
        <f>IFERROR(IF(INDEX('İş Planı'!$I$5:$I$204,ROW()-4)="","",INDEX('İş Planı'!$I$5:$I$204,ROW()-4)),"")</f>
        <v/>
      </c>
      <c r="D112" s="72">
        <f>IFERROR(IF(INDEX('İş Planı'!$M$5:$M$204,ROW()-4)="","",INDEX('İş Planı'!$M$5:$M$204,ROW()-4)),"")</f>
        <v/>
      </c>
      <c r="E112" s="71">
        <f>IFERROR(IF(INDEX('İş Planı'!$O$5:$O$204,ROW()-4)="","",INDEX('İş Planı'!$O$5:$O$204,ROW()-4)),"")</f>
        <v/>
      </c>
      <c r="F112" s="83" t="n"/>
      <c r="G112" s="83" t="n"/>
      <c r="H112" s="83" t="n"/>
      <c r="I112" s="83" t="n"/>
      <c r="J112" s="83" t="n"/>
      <c r="K112" s="83" t="n"/>
      <c r="L112" s="83" t="n"/>
      <c r="M112" s="83" t="n"/>
      <c r="N112" s="83" t="n"/>
      <c r="O112" s="83" t="n"/>
      <c r="P112" s="83" t="n"/>
      <c r="Q112" s="83" t="n"/>
    </row>
    <row r="113" ht="18" customHeight="1">
      <c r="A113" s="55">
        <f>IFERROR(IF(INDEX('İş Planı'!$C$5:$C$204,ROW()-4)="","",INDEX('İş Planı'!$C$5:$C$204,ROW()-4)),"")</f>
        <v/>
      </c>
      <c r="B113" s="55">
        <f>IFERROR(IF(INDEX('İş Planı'!$B$5:$B$204,ROW()-4)="","",INDEX('İş Planı'!$B$5:$B$204,ROW()-4)),"")</f>
        <v/>
      </c>
      <c r="C113" s="72">
        <f>IFERROR(IF(INDEX('İş Planı'!$I$5:$I$204,ROW()-4)="","",INDEX('İş Planı'!$I$5:$I$204,ROW()-4)),"")</f>
        <v/>
      </c>
      <c r="D113" s="72">
        <f>IFERROR(IF(INDEX('İş Planı'!$M$5:$M$204,ROW()-4)="","",INDEX('İş Planı'!$M$5:$M$204,ROW()-4)),"")</f>
        <v/>
      </c>
      <c r="E113" s="71">
        <f>IFERROR(IF(INDEX('İş Planı'!$O$5:$O$204,ROW()-4)="","",INDEX('İş Planı'!$O$5:$O$204,ROW()-4)),"")</f>
        <v/>
      </c>
      <c r="F113" s="83" t="n"/>
      <c r="G113" s="83" t="n"/>
      <c r="H113" s="83" t="n"/>
      <c r="I113" s="83" t="n"/>
      <c r="J113" s="83" t="n"/>
      <c r="K113" s="83" t="n"/>
      <c r="L113" s="83" t="n"/>
      <c r="M113" s="83" t="n"/>
      <c r="N113" s="83" t="n"/>
      <c r="O113" s="83" t="n"/>
      <c r="P113" s="83" t="n"/>
      <c r="Q113" s="83" t="n"/>
    </row>
    <row r="114" ht="18" customHeight="1">
      <c r="A114" s="55">
        <f>IFERROR(IF(INDEX('İş Planı'!$C$5:$C$204,ROW()-4)="","",INDEX('İş Planı'!$C$5:$C$204,ROW()-4)),"")</f>
        <v/>
      </c>
      <c r="B114" s="55">
        <f>IFERROR(IF(INDEX('İş Planı'!$B$5:$B$204,ROW()-4)="","",INDEX('İş Planı'!$B$5:$B$204,ROW()-4)),"")</f>
        <v/>
      </c>
      <c r="C114" s="72">
        <f>IFERROR(IF(INDEX('İş Planı'!$I$5:$I$204,ROW()-4)="","",INDEX('İş Planı'!$I$5:$I$204,ROW()-4)),"")</f>
        <v/>
      </c>
      <c r="D114" s="72">
        <f>IFERROR(IF(INDEX('İş Planı'!$M$5:$M$204,ROW()-4)="","",INDEX('İş Planı'!$M$5:$M$204,ROW()-4)),"")</f>
        <v/>
      </c>
      <c r="E114" s="71">
        <f>IFERROR(IF(INDEX('İş Planı'!$O$5:$O$204,ROW()-4)="","",INDEX('İş Planı'!$O$5:$O$204,ROW()-4)),"")</f>
        <v/>
      </c>
      <c r="F114" s="83" t="n"/>
      <c r="G114" s="83" t="n"/>
      <c r="H114" s="83" t="n"/>
      <c r="I114" s="83" t="n"/>
      <c r="J114" s="83" t="n"/>
      <c r="K114" s="83" t="n"/>
      <c r="L114" s="83" t="n"/>
      <c r="M114" s="83" t="n"/>
      <c r="N114" s="83" t="n"/>
      <c r="O114" s="83" t="n"/>
      <c r="P114" s="83" t="n"/>
      <c r="Q114" s="83" t="n"/>
    </row>
    <row r="115" ht="18" customHeight="1">
      <c r="A115" s="55">
        <f>IFERROR(IF(INDEX('İş Planı'!$C$5:$C$204,ROW()-4)="","",INDEX('İş Planı'!$C$5:$C$204,ROW()-4)),"")</f>
        <v/>
      </c>
      <c r="B115" s="55">
        <f>IFERROR(IF(INDEX('İş Planı'!$B$5:$B$204,ROW()-4)="","",INDEX('İş Planı'!$B$5:$B$204,ROW()-4)),"")</f>
        <v/>
      </c>
      <c r="C115" s="72">
        <f>IFERROR(IF(INDEX('İş Planı'!$I$5:$I$204,ROW()-4)="","",INDEX('İş Planı'!$I$5:$I$204,ROW()-4)),"")</f>
        <v/>
      </c>
      <c r="D115" s="72">
        <f>IFERROR(IF(INDEX('İş Planı'!$M$5:$M$204,ROW()-4)="","",INDEX('İş Planı'!$M$5:$M$204,ROW()-4)),"")</f>
        <v/>
      </c>
      <c r="E115" s="71">
        <f>IFERROR(IF(INDEX('İş Planı'!$O$5:$O$204,ROW()-4)="","",INDEX('İş Planı'!$O$5:$O$204,ROW()-4)),"")</f>
        <v/>
      </c>
      <c r="F115" s="83" t="n"/>
      <c r="G115" s="83" t="n"/>
      <c r="H115" s="83" t="n"/>
      <c r="I115" s="83" t="n"/>
      <c r="J115" s="83" t="n"/>
      <c r="K115" s="83" t="n"/>
      <c r="L115" s="83" t="n"/>
      <c r="M115" s="83" t="n"/>
      <c r="N115" s="83" t="n"/>
      <c r="O115" s="83" t="n"/>
      <c r="P115" s="83" t="n"/>
      <c r="Q115" s="83" t="n"/>
    </row>
    <row r="116" ht="18" customHeight="1">
      <c r="A116" s="55">
        <f>IFERROR(IF(INDEX('İş Planı'!$C$5:$C$204,ROW()-4)="","",INDEX('İş Planı'!$C$5:$C$204,ROW()-4)),"")</f>
        <v/>
      </c>
      <c r="B116" s="55">
        <f>IFERROR(IF(INDEX('İş Planı'!$B$5:$B$204,ROW()-4)="","",INDEX('İş Planı'!$B$5:$B$204,ROW()-4)),"")</f>
        <v/>
      </c>
      <c r="C116" s="72">
        <f>IFERROR(IF(INDEX('İş Planı'!$I$5:$I$204,ROW()-4)="","",INDEX('İş Planı'!$I$5:$I$204,ROW()-4)),"")</f>
        <v/>
      </c>
      <c r="D116" s="72">
        <f>IFERROR(IF(INDEX('İş Planı'!$M$5:$M$204,ROW()-4)="","",INDEX('İş Planı'!$M$5:$M$204,ROW()-4)),"")</f>
        <v/>
      </c>
      <c r="E116" s="71">
        <f>IFERROR(IF(INDEX('İş Planı'!$O$5:$O$204,ROW()-4)="","",INDEX('İş Planı'!$O$5:$O$204,ROW()-4)),"")</f>
        <v/>
      </c>
      <c r="F116" s="83" t="n"/>
      <c r="G116" s="83" t="n"/>
      <c r="H116" s="83" t="n"/>
      <c r="I116" s="83" t="n"/>
      <c r="J116" s="83" t="n"/>
      <c r="K116" s="83" t="n"/>
      <c r="L116" s="83" t="n"/>
      <c r="M116" s="83" t="n"/>
      <c r="N116" s="83" t="n"/>
      <c r="O116" s="83" t="n"/>
      <c r="P116" s="83" t="n"/>
      <c r="Q116" s="83" t="n"/>
    </row>
    <row r="117" ht="18" customHeight="1">
      <c r="A117" s="55">
        <f>IFERROR(IF(INDEX('İş Planı'!$C$5:$C$204,ROW()-4)="","",INDEX('İş Planı'!$C$5:$C$204,ROW()-4)),"")</f>
        <v/>
      </c>
      <c r="B117" s="55">
        <f>IFERROR(IF(INDEX('İş Planı'!$B$5:$B$204,ROW()-4)="","",INDEX('İş Planı'!$B$5:$B$204,ROW()-4)),"")</f>
        <v/>
      </c>
      <c r="C117" s="72">
        <f>IFERROR(IF(INDEX('İş Planı'!$I$5:$I$204,ROW()-4)="","",INDEX('İş Planı'!$I$5:$I$204,ROW()-4)),"")</f>
        <v/>
      </c>
      <c r="D117" s="72">
        <f>IFERROR(IF(INDEX('İş Planı'!$M$5:$M$204,ROW()-4)="","",INDEX('İş Planı'!$M$5:$M$204,ROW()-4)),"")</f>
        <v/>
      </c>
      <c r="E117" s="71">
        <f>IFERROR(IF(INDEX('İş Planı'!$O$5:$O$204,ROW()-4)="","",INDEX('İş Planı'!$O$5:$O$204,ROW()-4)),"")</f>
        <v/>
      </c>
      <c r="F117" s="83" t="n"/>
      <c r="G117" s="83" t="n"/>
      <c r="H117" s="83" t="n"/>
      <c r="I117" s="83" t="n"/>
      <c r="J117" s="83" t="n"/>
      <c r="K117" s="83" t="n"/>
      <c r="L117" s="83" t="n"/>
      <c r="M117" s="83" t="n"/>
      <c r="N117" s="83" t="n"/>
      <c r="O117" s="83" t="n"/>
      <c r="P117" s="83" t="n"/>
      <c r="Q117" s="83" t="n"/>
    </row>
    <row r="118" ht="18" customHeight="1">
      <c r="A118" s="55">
        <f>IFERROR(IF(INDEX('İş Planı'!$C$5:$C$204,ROW()-4)="","",INDEX('İş Planı'!$C$5:$C$204,ROW()-4)),"")</f>
        <v/>
      </c>
      <c r="B118" s="55">
        <f>IFERROR(IF(INDEX('İş Planı'!$B$5:$B$204,ROW()-4)="","",INDEX('İş Planı'!$B$5:$B$204,ROW()-4)),"")</f>
        <v/>
      </c>
      <c r="C118" s="72">
        <f>IFERROR(IF(INDEX('İş Planı'!$I$5:$I$204,ROW()-4)="","",INDEX('İş Planı'!$I$5:$I$204,ROW()-4)),"")</f>
        <v/>
      </c>
      <c r="D118" s="72">
        <f>IFERROR(IF(INDEX('İş Planı'!$M$5:$M$204,ROW()-4)="","",INDEX('İş Planı'!$M$5:$M$204,ROW()-4)),"")</f>
        <v/>
      </c>
      <c r="E118" s="71">
        <f>IFERROR(IF(INDEX('İş Planı'!$O$5:$O$204,ROW()-4)="","",INDEX('İş Planı'!$O$5:$O$204,ROW()-4)),"")</f>
        <v/>
      </c>
      <c r="F118" s="83" t="n"/>
      <c r="G118" s="83" t="n"/>
      <c r="H118" s="83" t="n"/>
      <c r="I118" s="83" t="n"/>
      <c r="J118" s="83" t="n"/>
      <c r="K118" s="83" t="n"/>
      <c r="L118" s="83" t="n"/>
      <c r="M118" s="83" t="n"/>
      <c r="N118" s="83" t="n"/>
      <c r="O118" s="83" t="n"/>
      <c r="P118" s="83" t="n"/>
      <c r="Q118" s="83" t="n"/>
    </row>
    <row r="119" ht="18" customHeight="1">
      <c r="A119" s="55">
        <f>IFERROR(IF(INDEX('İş Planı'!$C$5:$C$204,ROW()-4)="","",INDEX('İş Planı'!$C$5:$C$204,ROW()-4)),"")</f>
        <v/>
      </c>
      <c r="B119" s="55">
        <f>IFERROR(IF(INDEX('İş Planı'!$B$5:$B$204,ROW()-4)="","",INDEX('İş Planı'!$B$5:$B$204,ROW()-4)),"")</f>
        <v/>
      </c>
      <c r="C119" s="72">
        <f>IFERROR(IF(INDEX('İş Planı'!$I$5:$I$204,ROW()-4)="","",INDEX('İş Planı'!$I$5:$I$204,ROW()-4)),"")</f>
        <v/>
      </c>
      <c r="D119" s="72">
        <f>IFERROR(IF(INDEX('İş Planı'!$M$5:$M$204,ROW()-4)="","",INDEX('İş Planı'!$M$5:$M$204,ROW()-4)),"")</f>
        <v/>
      </c>
      <c r="E119" s="71">
        <f>IFERROR(IF(INDEX('İş Planı'!$O$5:$O$204,ROW()-4)="","",INDEX('İş Planı'!$O$5:$O$204,ROW()-4)),"")</f>
        <v/>
      </c>
      <c r="F119" s="83" t="n"/>
      <c r="G119" s="83" t="n"/>
      <c r="H119" s="83" t="n"/>
      <c r="I119" s="83" t="n"/>
      <c r="J119" s="83" t="n"/>
      <c r="K119" s="83" t="n"/>
      <c r="L119" s="83" t="n"/>
      <c r="M119" s="83" t="n"/>
      <c r="N119" s="83" t="n"/>
      <c r="O119" s="83" t="n"/>
      <c r="P119" s="83" t="n"/>
      <c r="Q119" s="83" t="n"/>
    </row>
    <row r="120" ht="18" customHeight="1">
      <c r="A120" s="55">
        <f>IFERROR(IF(INDEX('İş Planı'!$C$5:$C$204,ROW()-4)="","",INDEX('İş Planı'!$C$5:$C$204,ROW()-4)),"")</f>
        <v/>
      </c>
      <c r="B120" s="55">
        <f>IFERROR(IF(INDEX('İş Planı'!$B$5:$B$204,ROW()-4)="","",INDEX('İş Planı'!$B$5:$B$204,ROW()-4)),"")</f>
        <v/>
      </c>
      <c r="C120" s="72">
        <f>IFERROR(IF(INDEX('İş Planı'!$I$5:$I$204,ROW()-4)="","",INDEX('İş Planı'!$I$5:$I$204,ROW()-4)),"")</f>
        <v/>
      </c>
      <c r="D120" s="72">
        <f>IFERROR(IF(INDEX('İş Planı'!$M$5:$M$204,ROW()-4)="","",INDEX('İş Planı'!$M$5:$M$204,ROW()-4)),"")</f>
        <v/>
      </c>
      <c r="E120" s="71">
        <f>IFERROR(IF(INDEX('İş Planı'!$O$5:$O$204,ROW()-4)="","",INDEX('İş Planı'!$O$5:$O$204,ROW()-4)),"")</f>
        <v/>
      </c>
      <c r="F120" s="83" t="n"/>
      <c r="G120" s="83" t="n"/>
      <c r="H120" s="83" t="n"/>
      <c r="I120" s="83" t="n"/>
      <c r="J120" s="83" t="n"/>
      <c r="K120" s="83" t="n"/>
      <c r="L120" s="83" t="n"/>
      <c r="M120" s="83" t="n"/>
      <c r="N120" s="83" t="n"/>
      <c r="O120" s="83" t="n"/>
      <c r="P120" s="83" t="n"/>
      <c r="Q120" s="83" t="n"/>
    </row>
    <row r="121" ht="18" customHeight="1">
      <c r="A121" s="55">
        <f>IFERROR(IF(INDEX('İş Planı'!$C$5:$C$204,ROW()-4)="","",INDEX('İş Planı'!$C$5:$C$204,ROW()-4)),"")</f>
        <v/>
      </c>
      <c r="B121" s="55">
        <f>IFERROR(IF(INDEX('İş Planı'!$B$5:$B$204,ROW()-4)="","",INDEX('İş Planı'!$B$5:$B$204,ROW()-4)),"")</f>
        <v/>
      </c>
      <c r="C121" s="72">
        <f>IFERROR(IF(INDEX('İş Planı'!$I$5:$I$204,ROW()-4)="","",INDEX('İş Planı'!$I$5:$I$204,ROW()-4)),"")</f>
        <v/>
      </c>
      <c r="D121" s="72">
        <f>IFERROR(IF(INDEX('İş Planı'!$M$5:$M$204,ROW()-4)="","",INDEX('İş Planı'!$M$5:$M$204,ROW()-4)),"")</f>
        <v/>
      </c>
      <c r="E121" s="71">
        <f>IFERROR(IF(INDEX('İş Planı'!$O$5:$O$204,ROW()-4)="","",INDEX('İş Planı'!$O$5:$O$204,ROW()-4)),"")</f>
        <v/>
      </c>
      <c r="F121" s="83" t="n"/>
      <c r="G121" s="83" t="n"/>
      <c r="H121" s="83" t="n"/>
      <c r="I121" s="83" t="n"/>
      <c r="J121" s="83" t="n"/>
      <c r="K121" s="83" t="n"/>
      <c r="L121" s="83" t="n"/>
      <c r="M121" s="83" t="n"/>
      <c r="N121" s="83" t="n"/>
      <c r="O121" s="83" t="n"/>
      <c r="P121" s="83" t="n"/>
      <c r="Q121" s="83" t="n"/>
    </row>
    <row r="122" ht="18" customHeight="1">
      <c r="A122" s="55">
        <f>IFERROR(IF(INDEX('İş Planı'!$C$5:$C$204,ROW()-4)="","",INDEX('İş Planı'!$C$5:$C$204,ROW()-4)),"")</f>
        <v/>
      </c>
      <c r="B122" s="55">
        <f>IFERROR(IF(INDEX('İş Planı'!$B$5:$B$204,ROW()-4)="","",INDEX('İş Planı'!$B$5:$B$204,ROW()-4)),"")</f>
        <v/>
      </c>
      <c r="C122" s="72">
        <f>IFERROR(IF(INDEX('İş Planı'!$I$5:$I$204,ROW()-4)="","",INDEX('İş Planı'!$I$5:$I$204,ROW()-4)),"")</f>
        <v/>
      </c>
      <c r="D122" s="72">
        <f>IFERROR(IF(INDEX('İş Planı'!$M$5:$M$204,ROW()-4)="","",INDEX('İş Planı'!$M$5:$M$204,ROW()-4)),"")</f>
        <v/>
      </c>
      <c r="E122" s="71">
        <f>IFERROR(IF(INDEX('İş Planı'!$O$5:$O$204,ROW()-4)="","",INDEX('İş Planı'!$O$5:$O$204,ROW()-4)),"")</f>
        <v/>
      </c>
      <c r="F122" s="83" t="n"/>
      <c r="G122" s="83" t="n"/>
      <c r="H122" s="83" t="n"/>
      <c r="I122" s="83" t="n"/>
      <c r="J122" s="83" t="n"/>
      <c r="K122" s="83" t="n"/>
      <c r="L122" s="83" t="n"/>
      <c r="M122" s="83" t="n"/>
      <c r="N122" s="83" t="n"/>
      <c r="O122" s="83" t="n"/>
      <c r="P122" s="83" t="n"/>
      <c r="Q122" s="83" t="n"/>
    </row>
    <row r="123" ht="18" customHeight="1">
      <c r="A123" s="55">
        <f>IFERROR(IF(INDEX('İş Planı'!$C$5:$C$204,ROW()-4)="","",INDEX('İş Planı'!$C$5:$C$204,ROW()-4)),"")</f>
        <v/>
      </c>
      <c r="B123" s="55">
        <f>IFERROR(IF(INDEX('İş Planı'!$B$5:$B$204,ROW()-4)="","",INDEX('İş Planı'!$B$5:$B$204,ROW()-4)),"")</f>
        <v/>
      </c>
      <c r="C123" s="72">
        <f>IFERROR(IF(INDEX('İş Planı'!$I$5:$I$204,ROW()-4)="","",INDEX('İş Planı'!$I$5:$I$204,ROW()-4)),"")</f>
        <v/>
      </c>
      <c r="D123" s="72">
        <f>IFERROR(IF(INDEX('İş Planı'!$M$5:$M$204,ROW()-4)="","",INDEX('İş Planı'!$M$5:$M$204,ROW()-4)),"")</f>
        <v/>
      </c>
      <c r="E123" s="71">
        <f>IFERROR(IF(INDEX('İş Planı'!$O$5:$O$204,ROW()-4)="","",INDEX('İş Planı'!$O$5:$O$204,ROW()-4)),"")</f>
        <v/>
      </c>
      <c r="F123" s="83" t="n"/>
      <c r="G123" s="83" t="n"/>
      <c r="H123" s="83" t="n"/>
      <c r="I123" s="83" t="n"/>
      <c r="J123" s="83" t="n"/>
      <c r="K123" s="83" t="n"/>
      <c r="L123" s="83" t="n"/>
      <c r="M123" s="83" t="n"/>
      <c r="N123" s="83" t="n"/>
      <c r="O123" s="83" t="n"/>
      <c r="P123" s="83" t="n"/>
      <c r="Q123" s="83" t="n"/>
    </row>
    <row r="124" ht="18" customHeight="1">
      <c r="A124" s="55">
        <f>IFERROR(IF(INDEX('İş Planı'!$C$5:$C$204,ROW()-4)="","",INDEX('İş Planı'!$C$5:$C$204,ROW()-4)),"")</f>
        <v/>
      </c>
      <c r="B124" s="55">
        <f>IFERROR(IF(INDEX('İş Planı'!$B$5:$B$204,ROW()-4)="","",INDEX('İş Planı'!$B$5:$B$204,ROW()-4)),"")</f>
        <v/>
      </c>
      <c r="C124" s="72">
        <f>IFERROR(IF(INDEX('İş Planı'!$I$5:$I$204,ROW()-4)="","",INDEX('İş Planı'!$I$5:$I$204,ROW()-4)),"")</f>
        <v/>
      </c>
      <c r="D124" s="72">
        <f>IFERROR(IF(INDEX('İş Planı'!$M$5:$M$204,ROW()-4)="","",INDEX('İş Planı'!$M$5:$M$204,ROW()-4)),"")</f>
        <v/>
      </c>
      <c r="E124" s="71">
        <f>IFERROR(IF(INDEX('İş Planı'!$O$5:$O$204,ROW()-4)="","",INDEX('İş Planı'!$O$5:$O$204,ROW()-4)),"")</f>
        <v/>
      </c>
      <c r="F124" s="83" t="n"/>
      <c r="G124" s="83" t="n"/>
      <c r="H124" s="83" t="n"/>
      <c r="I124" s="83" t="n"/>
      <c r="J124" s="83" t="n"/>
      <c r="K124" s="83" t="n"/>
      <c r="L124" s="83" t="n"/>
      <c r="M124" s="83" t="n"/>
      <c r="N124" s="83" t="n"/>
      <c r="O124" s="83" t="n"/>
      <c r="P124" s="83" t="n"/>
      <c r="Q124" s="83" t="n"/>
    </row>
    <row r="125" ht="18" customHeight="1">
      <c r="A125" s="55">
        <f>IFERROR(IF(INDEX('İş Planı'!$C$5:$C$204,ROW()-4)="","",INDEX('İş Planı'!$C$5:$C$204,ROW()-4)),"")</f>
        <v/>
      </c>
      <c r="B125" s="55">
        <f>IFERROR(IF(INDEX('İş Planı'!$B$5:$B$204,ROW()-4)="","",INDEX('İş Planı'!$B$5:$B$204,ROW()-4)),"")</f>
        <v/>
      </c>
      <c r="C125" s="72">
        <f>IFERROR(IF(INDEX('İş Planı'!$I$5:$I$204,ROW()-4)="","",INDEX('İş Planı'!$I$5:$I$204,ROW()-4)),"")</f>
        <v/>
      </c>
      <c r="D125" s="72">
        <f>IFERROR(IF(INDEX('İş Planı'!$M$5:$M$204,ROW()-4)="","",INDEX('İş Planı'!$M$5:$M$204,ROW()-4)),"")</f>
        <v/>
      </c>
      <c r="E125" s="71">
        <f>IFERROR(IF(INDEX('İş Planı'!$O$5:$O$204,ROW()-4)="","",INDEX('İş Planı'!$O$5:$O$204,ROW()-4)),"")</f>
        <v/>
      </c>
      <c r="F125" s="83" t="n"/>
      <c r="G125" s="83" t="n"/>
      <c r="H125" s="83" t="n"/>
      <c r="I125" s="83" t="n"/>
      <c r="J125" s="83" t="n"/>
      <c r="K125" s="83" t="n"/>
      <c r="L125" s="83" t="n"/>
      <c r="M125" s="83" t="n"/>
      <c r="N125" s="83" t="n"/>
      <c r="O125" s="83" t="n"/>
      <c r="P125" s="83" t="n"/>
      <c r="Q125" s="83" t="n"/>
    </row>
    <row r="126" ht="18" customHeight="1">
      <c r="A126" s="55">
        <f>IFERROR(IF(INDEX('İş Planı'!$C$5:$C$204,ROW()-4)="","",INDEX('İş Planı'!$C$5:$C$204,ROW()-4)),"")</f>
        <v/>
      </c>
      <c r="B126" s="55">
        <f>IFERROR(IF(INDEX('İş Planı'!$B$5:$B$204,ROW()-4)="","",INDEX('İş Planı'!$B$5:$B$204,ROW()-4)),"")</f>
        <v/>
      </c>
      <c r="C126" s="72">
        <f>IFERROR(IF(INDEX('İş Planı'!$I$5:$I$204,ROW()-4)="","",INDEX('İş Planı'!$I$5:$I$204,ROW()-4)),"")</f>
        <v/>
      </c>
      <c r="D126" s="72">
        <f>IFERROR(IF(INDEX('İş Planı'!$M$5:$M$204,ROW()-4)="","",INDEX('İş Planı'!$M$5:$M$204,ROW()-4)),"")</f>
        <v/>
      </c>
      <c r="E126" s="71">
        <f>IFERROR(IF(INDEX('İş Planı'!$O$5:$O$204,ROW()-4)="","",INDEX('İş Planı'!$O$5:$O$204,ROW()-4)),"")</f>
        <v/>
      </c>
      <c r="F126" s="83" t="n"/>
      <c r="G126" s="83" t="n"/>
      <c r="H126" s="83" t="n"/>
      <c r="I126" s="83" t="n"/>
      <c r="J126" s="83" t="n"/>
      <c r="K126" s="83" t="n"/>
      <c r="L126" s="83" t="n"/>
      <c r="M126" s="83" t="n"/>
      <c r="N126" s="83" t="n"/>
      <c r="O126" s="83" t="n"/>
      <c r="P126" s="83" t="n"/>
      <c r="Q126" s="83" t="n"/>
    </row>
    <row r="127" ht="18" customHeight="1">
      <c r="A127" s="55">
        <f>IFERROR(IF(INDEX('İş Planı'!$C$5:$C$204,ROW()-4)="","",INDEX('İş Planı'!$C$5:$C$204,ROW()-4)),"")</f>
        <v/>
      </c>
      <c r="B127" s="55">
        <f>IFERROR(IF(INDEX('İş Planı'!$B$5:$B$204,ROW()-4)="","",INDEX('İş Planı'!$B$5:$B$204,ROW()-4)),"")</f>
        <v/>
      </c>
      <c r="C127" s="72">
        <f>IFERROR(IF(INDEX('İş Planı'!$I$5:$I$204,ROW()-4)="","",INDEX('İş Planı'!$I$5:$I$204,ROW()-4)),"")</f>
        <v/>
      </c>
      <c r="D127" s="72">
        <f>IFERROR(IF(INDEX('İş Planı'!$M$5:$M$204,ROW()-4)="","",INDEX('İş Planı'!$M$5:$M$204,ROW()-4)),"")</f>
        <v/>
      </c>
      <c r="E127" s="71">
        <f>IFERROR(IF(INDEX('İş Planı'!$O$5:$O$204,ROW()-4)="","",INDEX('İş Planı'!$O$5:$O$204,ROW()-4)),"")</f>
        <v/>
      </c>
      <c r="F127" s="83" t="n"/>
      <c r="G127" s="83" t="n"/>
      <c r="H127" s="83" t="n"/>
      <c r="I127" s="83" t="n"/>
      <c r="J127" s="83" t="n"/>
      <c r="K127" s="83" t="n"/>
      <c r="L127" s="83" t="n"/>
      <c r="M127" s="83" t="n"/>
      <c r="N127" s="83" t="n"/>
      <c r="O127" s="83" t="n"/>
      <c r="P127" s="83" t="n"/>
      <c r="Q127" s="83" t="n"/>
    </row>
    <row r="128" ht="18" customHeight="1">
      <c r="A128" s="55">
        <f>IFERROR(IF(INDEX('İş Planı'!$C$5:$C$204,ROW()-4)="","",INDEX('İş Planı'!$C$5:$C$204,ROW()-4)),"")</f>
        <v/>
      </c>
      <c r="B128" s="55">
        <f>IFERROR(IF(INDEX('İş Planı'!$B$5:$B$204,ROW()-4)="","",INDEX('İş Planı'!$B$5:$B$204,ROW()-4)),"")</f>
        <v/>
      </c>
      <c r="C128" s="72">
        <f>IFERROR(IF(INDEX('İş Planı'!$I$5:$I$204,ROW()-4)="","",INDEX('İş Planı'!$I$5:$I$204,ROW()-4)),"")</f>
        <v/>
      </c>
      <c r="D128" s="72">
        <f>IFERROR(IF(INDEX('İş Planı'!$M$5:$M$204,ROW()-4)="","",INDEX('İş Planı'!$M$5:$M$204,ROW()-4)),"")</f>
        <v/>
      </c>
      <c r="E128" s="71">
        <f>IFERROR(IF(INDEX('İş Planı'!$O$5:$O$204,ROW()-4)="","",INDEX('İş Planı'!$O$5:$O$204,ROW()-4)),"")</f>
        <v/>
      </c>
      <c r="F128" s="83" t="n"/>
      <c r="G128" s="83" t="n"/>
      <c r="H128" s="83" t="n"/>
      <c r="I128" s="83" t="n"/>
      <c r="J128" s="83" t="n"/>
      <c r="K128" s="83" t="n"/>
      <c r="L128" s="83" t="n"/>
      <c r="M128" s="83" t="n"/>
      <c r="N128" s="83" t="n"/>
      <c r="O128" s="83" t="n"/>
      <c r="P128" s="83" t="n"/>
      <c r="Q128" s="83" t="n"/>
    </row>
    <row r="129" ht="18" customHeight="1">
      <c r="A129" s="55">
        <f>IFERROR(IF(INDEX('İş Planı'!$C$5:$C$204,ROW()-4)="","",INDEX('İş Planı'!$C$5:$C$204,ROW()-4)),"")</f>
        <v/>
      </c>
      <c r="B129" s="55">
        <f>IFERROR(IF(INDEX('İş Planı'!$B$5:$B$204,ROW()-4)="","",INDEX('İş Planı'!$B$5:$B$204,ROW()-4)),"")</f>
        <v/>
      </c>
      <c r="C129" s="72">
        <f>IFERROR(IF(INDEX('İş Planı'!$I$5:$I$204,ROW()-4)="","",INDEX('İş Planı'!$I$5:$I$204,ROW()-4)),"")</f>
        <v/>
      </c>
      <c r="D129" s="72">
        <f>IFERROR(IF(INDEX('İş Planı'!$M$5:$M$204,ROW()-4)="","",INDEX('İş Planı'!$M$5:$M$204,ROW()-4)),"")</f>
        <v/>
      </c>
      <c r="E129" s="71">
        <f>IFERROR(IF(INDEX('İş Planı'!$O$5:$O$204,ROW()-4)="","",INDEX('İş Planı'!$O$5:$O$204,ROW()-4)),"")</f>
        <v/>
      </c>
      <c r="F129" s="83" t="n"/>
      <c r="G129" s="83" t="n"/>
      <c r="H129" s="83" t="n"/>
      <c r="I129" s="83" t="n"/>
      <c r="J129" s="83" t="n"/>
      <c r="K129" s="83" t="n"/>
      <c r="L129" s="83" t="n"/>
      <c r="M129" s="83" t="n"/>
      <c r="N129" s="83" t="n"/>
      <c r="O129" s="83" t="n"/>
      <c r="P129" s="83" t="n"/>
      <c r="Q129" s="83" t="n"/>
    </row>
    <row r="130" ht="18" customHeight="1">
      <c r="A130" s="55">
        <f>IFERROR(IF(INDEX('İş Planı'!$C$5:$C$204,ROW()-4)="","",INDEX('İş Planı'!$C$5:$C$204,ROW()-4)),"")</f>
        <v/>
      </c>
      <c r="B130" s="55">
        <f>IFERROR(IF(INDEX('İş Planı'!$B$5:$B$204,ROW()-4)="","",INDEX('İş Planı'!$B$5:$B$204,ROW()-4)),"")</f>
        <v/>
      </c>
      <c r="C130" s="72">
        <f>IFERROR(IF(INDEX('İş Planı'!$I$5:$I$204,ROW()-4)="","",INDEX('İş Planı'!$I$5:$I$204,ROW()-4)),"")</f>
        <v/>
      </c>
      <c r="D130" s="72">
        <f>IFERROR(IF(INDEX('İş Planı'!$M$5:$M$204,ROW()-4)="","",INDEX('İş Planı'!$M$5:$M$204,ROW()-4)),"")</f>
        <v/>
      </c>
      <c r="E130" s="71">
        <f>IFERROR(IF(INDEX('İş Planı'!$O$5:$O$204,ROW()-4)="","",INDEX('İş Planı'!$O$5:$O$204,ROW()-4)),"")</f>
        <v/>
      </c>
      <c r="F130" s="83" t="n"/>
      <c r="G130" s="83" t="n"/>
      <c r="H130" s="83" t="n"/>
      <c r="I130" s="83" t="n"/>
      <c r="J130" s="83" t="n"/>
      <c r="K130" s="83" t="n"/>
      <c r="L130" s="83" t="n"/>
      <c r="M130" s="83" t="n"/>
      <c r="N130" s="83" t="n"/>
      <c r="O130" s="83" t="n"/>
      <c r="P130" s="83" t="n"/>
      <c r="Q130" s="83" t="n"/>
    </row>
    <row r="131" ht="18" customHeight="1">
      <c r="A131" s="55">
        <f>IFERROR(IF(INDEX('İş Planı'!$C$5:$C$204,ROW()-4)="","",INDEX('İş Planı'!$C$5:$C$204,ROW()-4)),"")</f>
        <v/>
      </c>
      <c r="B131" s="55">
        <f>IFERROR(IF(INDEX('İş Planı'!$B$5:$B$204,ROW()-4)="","",INDEX('İş Planı'!$B$5:$B$204,ROW()-4)),"")</f>
        <v/>
      </c>
      <c r="C131" s="72">
        <f>IFERROR(IF(INDEX('İş Planı'!$I$5:$I$204,ROW()-4)="","",INDEX('İş Planı'!$I$5:$I$204,ROW()-4)),"")</f>
        <v/>
      </c>
      <c r="D131" s="72">
        <f>IFERROR(IF(INDEX('İş Planı'!$M$5:$M$204,ROW()-4)="","",INDEX('İş Planı'!$M$5:$M$204,ROW()-4)),"")</f>
        <v/>
      </c>
      <c r="E131" s="71">
        <f>IFERROR(IF(INDEX('İş Planı'!$O$5:$O$204,ROW()-4)="","",INDEX('İş Planı'!$O$5:$O$204,ROW()-4)),"")</f>
        <v/>
      </c>
      <c r="F131" s="83" t="n"/>
      <c r="G131" s="83" t="n"/>
      <c r="H131" s="83" t="n"/>
      <c r="I131" s="83" t="n"/>
      <c r="J131" s="83" t="n"/>
      <c r="K131" s="83" t="n"/>
      <c r="L131" s="83" t="n"/>
      <c r="M131" s="83" t="n"/>
      <c r="N131" s="83" t="n"/>
      <c r="O131" s="83" t="n"/>
      <c r="P131" s="83" t="n"/>
      <c r="Q131" s="83" t="n"/>
    </row>
    <row r="132" ht="18" customHeight="1">
      <c r="A132" s="55">
        <f>IFERROR(IF(INDEX('İş Planı'!$C$5:$C$204,ROW()-4)="","",INDEX('İş Planı'!$C$5:$C$204,ROW()-4)),"")</f>
        <v/>
      </c>
      <c r="B132" s="55">
        <f>IFERROR(IF(INDEX('İş Planı'!$B$5:$B$204,ROW()-4)="","",INDEX('İş Planı'!$B$5:$B$204,ROW()-4)),"")</f>
        <v/>
      </c>
      <c r="C132" s="72">
        <f>IFERROR(IF(INDEX('İş Planı'!$I$5:$I$204,ROW()-4)="","",INDEX('İş Planı'!$I$5:$I$204,ROW()-4)),"")</f>
        <v/>
      </c>
      <c r="D132" s="72">
        <f>IFERROR(IF(INDEX('İş Planı'!$M$5:$M$204,ROW()-4)="","",INDEX('İş Planı'!$M$5:$M$204,ROW()-4)),"")</f>
        <v/>
      </c>
      <c r="E132" s="71">
        <f>IFERROR(IF(INDEX('İş Planı'!$O$5:$O$204,ROW()-4)="","",INDEX('İş Planı'!$O$5:$O$204,ROW()-4)),"")</f>
        <v/>
      </c>
      <c r="F132" s="83" t="n"/>
      <c r="G132" s="83" t="n"/>
      <c r="H132" s="83" t="n"/>
      <c r="I132" s="83" t="n"/>
      <c r="J132" s="83" t="n"/>
      <c r="K132" s="83" t="n"/>
      <c r="L132" s="83" t="n"/>
      <c r="M132" s="83" t="n"/>
      <c r="N132" s="83" t="n"/>
      <c r="O132" s="83" t="n"/>
      <c r="P132" s="83" t="n"/>
      <c r="Q132" s="83" t="n"/>
    </row>
    <row r="133" ht="18" customHeight="1">
      <c r="A133" s="55">
        <f>IFERROR(IF(INDEX('İş Planı'!$C$5:$C$204,ROW()-4)="","",INDEX('İş Planı'!$C$5:$C$204,ROW()-4)),"")</f>
        <v/>
      </c>
      <c r="B133" s="55">
        <f>IFERROR(IF(INDEX('İş Planı'!$B$5:$B$204,ROW()-4)="","",INDEX('İş Planı'!$B$5:$B$204,ROW()-4)),"")</f>
        <v/>
      </c>
      <c r="C133" s="72">
        <f>IFERROR(IF(INDEX('İş Planı'!$I$5:$I$204,ROW()-4)="","",INDEX('İş Planı'!$I$5:$I$204,ROW()-4)),"")</f>
        <v/>
      </c>
      <c r="D133" s="72">
        <f>IFERROR(IF(INDEX('İş Planı'!$M$5:$M$204,ROW()-4)="","",INDEX('İş Planı'!$M$5:$M$204,ROW()-4)),"")</f>
        <v/>
      </c>
      <c r="E133" s="71">
        <f>IFERROR(IF(INDEX('İş Planı'!$O$5:$O$204,ROW()-4)="","",INDEX('İş Planı'!$O$5:$O$204,ROW()-4)),"")</f>
        <v/>
      </c>
      <c r="F133" s="83" t="n"/>
      <c r="G133" s="83" t="n"/>
      <c r="H133" s="83" t="n"/>
      <c r="I133" s="83" t="n"/>
      <c r="J133" s="83" t="n"/>
      <c r="K133" s="83" t="n"/>
      <c r="L133" s="83" t="n"/>
      <c r="M133" s="83" t="n"/>
      <c r="N133" s="83" t="n"/>
      <c r="O133" s="83" t="n"/>
      <c r="P133" s="83" t="n"/>
      <c r="Q133" s="83" t="n"/>
    </row>
    <row r="134" ht="18" customHeight="1">
      <c r="A134" s="55">
        <f>IFERROR(IF(INDEX('İş Planı'!$C$5:$C$204,ROW()-4)="","",INDEX('İş Planı'!$C$5:$C$204,ROW()-4)),"")</f>
        <v/>
      </c>
      <c r="B134" s="55">
        <f>IFERROR(IF(INDEX('İş Planı'!$B$5:$B$204,ROW()-4)="","",INDEX('İş Planı'!$B$5:$B$204,ROW()-4)),"")</f>
        <v/>
      </c>
      <c r="C134" s="72">
        <f>IFERROR(IF(INDEX('İş Planı'!$I$5:$I$204,ROW()-4)="","",INDEX('İş Planı'!$I$5:$I$204,ROW()-4)),"")</f>
        <v/>
      </c>
      <c r="D134" s="72">
        <f>IFERROR(IF(INDEX('İş Planı'!$M$5:$M$204,ROW()-4)="","",INDEX('İş Planı'!$M$5:$M$204,ROW()-4)),"")</f>
        <v/>
      </c>
      <c r="E134" s="71">
        <f>IFERROR(IF(INDEX('İş Planı'!$O$5:$O$204,ROW()-4)="","",INDEX('İş Planı'!$O$5:$O$204,ROW()-4)),"")</f>
        <v/>
      </c>
      <c r="F134" s="83" t="n"/>
      <c r="G134" s="83" t="n"/>
      <c r="H134" s="83" t="n"/>
      <c r="I134" s="83" t="n"/>
      <c r="J134" s="83" t="n"/>
      <c r="K134" s="83" t="n"/>
      <c r="L134" s="83" t="n"/>
      <c r="M134" s="83" t="n"/>
      <c r="N134" s="83" t="n"/>
      <c r="O134" s="83" t="n"/>
      <c r="P134" s="83" t="n"/>
      <c r="Q134" s="83" t="n"/>
    </row>
    <row r="135" ht="18" customHeight="1">
      <c r="A135" s="55">
        <f>IFERROR(IF(INDEX('İş Planı'!$C$5:$C$204,ROW()-4)="","",INDEX('İş Planı'!$C$5:$C$204,ROW()-4)),"")</f>
        <v/>
      </c>
      <c r="B135" s="55">
        <f>IFERROR(IF(INDEX('İş Planı'!$B$5:$B$204,ROW()-4)="","",INDEX('İş Planı'!$B$5:$B$204,ROW()-4)),"")</f>
        <v/>
      </c>
      <c r="C135" s="72">
        <f>IFERROR(IF(INDEX('İş Planı'!$I$5:$I$204,ROW()-4)="","",INDEX('İş Planı'!$I$5:$I$204,ROW()-4)),"")</f>
        <v/>
      </c>
      <c r="D135" s="72">
        <f>IFERROR(IF(INDEX('İş Planı'!$M$5:$M$204,ROW()-4)="","",INDEX('İş Planı'!$M$5:$M$204,ROW()-4)),"")</f>
        <v/>
      </c>
      <c r="E135" s="71">
        <f>IFERROR(IF(INDEX('İş Planı'!$O$5:$O$204,ROW()-4)="","",INDEX('İş Planı'!$O$5:$O$204,ROW()-4)),"")</f>
        <v/>
      </c>
      <c r="F135" s="83" t="n"/>
      <c r="G135" s="83" t="n"/>
      <c r="H135" s="83" t="n"/>
      <c r="I135" s="83" t="n"/>
      <c r="J135" s="83" t="n"/>
      <c r="K135" s="83" t="n"/>
      <c r="L135" s="83" t="n"/>
      <c r="M135" s="83" t="n"/>
      <c r="N135" s="83" t="n"/>
      <c r="O135" s="83" t="n"/>
      <c r="P135" s="83" t="n"/>
      <c r="Q135" s="83" t="n"/>
    </row>
    <row r="136" ht="18" customHeight="1">
      <c r="A136" s="55">
        <f>IFERROR(IF(INDEX('İş Planı'!$C$5:$C$204,ROW()-4)="","",INDEX('İş Planı'!$C$5:$C$204,ROW()-4)),"")</f>
        <v/>
      </c>
      <c r="B136" s="55">
        <f>IFERROR(IF(INDEX('İş Planı'!$B$5:$B$204,ROW()-4)="","",INDEX('İş Planı'!$B$5:$B$204,ROW()-4)),"")</f>
        <v/>
      </c>
      <c r="C136" s="72">
        <f>IFERROR(IF(INDEX('İş Planı'!$I$5:$I$204,ROW()-4)="","",INDEX('İş Planı'!$I$5:$I$204,ROW()-4)),"")</f>
        <v/>
      </c>
      <c r="D136" s="72">
        <f>IFERROR(IF(INDEX('İş Planı'!$M$5:$M$204,ROW()-4)="","",INDEX('İş Planı'!$M$5:$M$204,ROW()-4)),"")</f>
        <v/>
      </c>
      <c r="E136" s="71">
        <f>IFERROR(IF(INDEX('İş Planı'!$O$5:$O$204,ROW()-4)="","",INDEX('İş Planı'!$O$5:$O$204,ROW()-4)),"")</f>
        <v/>
      </c>
      <c r="F136" s="83" t="n"/>
      <c r="G136" s="83" t="n"/>
      <c r="H136" s="83" t="n"/>
      <c r="I136" s="83" t="n"/>
      <c r="J136" s="83" t="n"/>
      <c r="K136" s="83" t="n"/>
      <c r="L136" s="83" t="n"/>
      <c r="M136" s="83" t="n"/>
      <c r="N136" s="83" t="n"/>
      <c r="O136" s="83" t="n"/>
      <c r="P136" s="83" t="n"/>
      <c r="Q136" s="83" t="n"/>
    </row>
    <row r="137" ht="18" customHeight="1">
      <c r="A137" s="55">
        <f>IFERROR(IF(INDEX('İş Planı'!$C$5:$C$204,ROW()-4)="","",INDEX('İş Planı'!$C$5:$C$204,ROW()-4)),"")</f>
        <v/>
      </c>
      <c r="B137" s="55">
        <f>IFERROR(IF(INDEX('İş Planı'!$B$5:$B$204,ROW()-4)="","",INDEX('İş Planı'!$B$5:$B$204,ROW()-4)),"")</f>
        <v/>
      </c>
      <c r="C137" s="72">
        <f>IFERROR(IF(INDEX('İş Planı'!$I$5:$I$204,ROW()-4)="","",INDEX('İş Planı'!$I$5:$I$204,ROW()-4)),"")</f>
        <v/>
      </c>
      <c r="D137" s="72">
        <f>IFERROR(IF(INDEX('İş Planı'!$M$5:$M$204,ROW()-4)="","",INDEX('İş Planı'!$M$5:$M$204,ROW()-4)),"")</f>
        <v/>
      </c>
      <c r="E137" s="71">
        <f>IFERROR(IF(INDEX('İş Planı'!$O$5:$O$204,ROW()-4)="","",INDEX('İş Planı'!$O$5:$O$204,ROW()-4)),"")</f>
        <v/>
      </c>
      <c r="F137" s="83" t="n"/>
      <c r="G137" s="83" t="n"/>
      <c r="H137" s="83" t="n"/>
      <c r="I137" s="83" t="n"/>
      <c r="J137" s="83" t="n"/>
      <c r="K137" s="83" t="n"/>
      <c r="L137" s="83" t="n"/>
      <c r="M137" s="83" t="n"/>
      <c r="N137" s="83" t="n"/>
      <c r="O137" s="83" t="n"/>
      <c r="P137" s="83" t="n"/>
      <c r="Q137" s="83" t="n"/>
    </row>
    <row r="138" ht="18" customHeight="1">
      <c r="A138" s="55">
        <f>IFERROR(IF(INDEX('İş Planı'!$C$5:$C$204,ROW()-4)="","",INDEX('İş Planı'!$C$5:$C$204,ROW()-4)),"")</f>
        <v/>
      </c>
      <c r="B138" s="55">
        <f>IFERROR(IF(INDEX('İş Planı'!$B$5:$B$204,ROW()-4)="","",INDEX('İş Planı'!$B$5:$B$204,ROW()-4)),"")</f>
        <v/>
      </c>
      <c r="C138" s="72">
        <f>IFERROR(IF(INDEX('İş Planı'!$I$5:$I$204,ROW()-4)="","",INDEX('İş Planı'!$I$5:$I$204,ROW()-4)),"")</f>
        <v/>
      </c>
      <c r="D138" s="72">
        <f>IFERROR(IF(INDEX('İş Planı'!$M$5:$M$204,ROW()-4)="","",INDEX('İş Planı'!$M$5:$M$204,ROW()-4)),"")</f>
        <v/>
      </c>
      <c r="E138" s="71">
        <f>IFERROR(IF(INDEX('İş Planı'!$O$5:$O$204,ROW()-4)="","",INDEX('İş Planı'!$O$5:$O$204,ROW()-4)),"")</f>
        <v/>
      </c>
      <c r="F138" s="83" t="n"/>
      <c r="G138" s="83" t="n"/>
      <c r="H138" s="83" t="n"/>
      <c r="I138" s="83" t="n"/>
      <c r="J138" s="83" t="n"/>
      <c r="K138" s="83" t="n"/>
      <c r="L138" s="83" t="n"/>
      <c r="M138" s="83" t="n"/>
      <c r="N138" s="83" t="n"/>
      <c r="O138" s="83" t="n"/>
      <c r="P138" s="83" t="n"/>
      <c r="Q138" s="83" t="n"/>
    </row>
    <row r="139" ht="18" customHeight="1">
      <c r="A139" s="55">
        <f>IFERROR(IF(INDEX('İş Planı'!$C$5:$C$204,ROW()-4)="","",INDEX('İş Planı'!$C$5:$C$204,ROW()-4)),"")</f>
        <v/>
      </c>
      <c r="B139" s="55">
        <f>IFERROR(IF(INDEX('İş Planı'!$B$5:$B$204,ROW()-4)="","",INDEX('İş Planı'!$B$5:$B$204,ROW()-4)),"")</f>
        <v/>
      </c>
      <c r="C139" s="72">
        <f>IFERROR(IF(INDEX('İş Planı'!$I$5:$I$204,ROW()-4)="","",INDEX('İş Planı'!$I$5:$I$204,ROW()-4)),"")</f>
        <v/>
      </c>
      <c r="D139" s="72">
        <f>IFERROR(IF(INDEX('İş Planı'!$M$5:$M$204,ROW()-4)="","",INDEX('İş Planı'!$M$5:$M$204,ROW()-4)),"")</f>
        <v/>
      </c>
      <c r="E139" s="71">
        <f>IFERROR(IF(INDEX('İş Planı'!$O$5:$O$204,ROW()-4)="","",INDEX('İş Planı'!$O$5:$O$204,ROW()-4)),"")</f>
        <v/>
      </c>
      <c r="F139" s="83" t="n"/>
      <c r="G139" s="83" t="n"/>
      <c r="H139" s="83" t="n"/>
      <c r="I139" s="83" t="n"/>
      <c r="J139" s="83" t="n"/>
      <c r="K139" s="83" t="n"/>
      <c r="L139" s="83" t="n"/>
      <c r="M139" s="83" t="n"/>
      <c r="N139" s="83" t="n"/>
      <c r="O139" s="83" t="n"/>
      <c r="P139" s="83" t="n"/>
      <c r="Q139" s="83" t="n"/>
    </row>
    <row r="140" ht="18" customHeight="1">
      <c r="A140" s="55">
        <f>IFERROR(IF(INDEX('İş Planı'!$C$5:$C$204,ROW()-4)="","",INDEX('İş Planı'!$C$5:$C$204,ROW()-4)),"")</f>
        <v/>
      </c>
      <c r="B140" s="55">
        <f>IFERROR(IF(INDEX('İş Planı'!$B$5:$B$204,ROW()-4)="","",INDEX('İş Planı'!$B$5:$B$204,ROW()-4)),"")</f>
        <v/>
      </c>
      <c r="C140" s="72">
        <f>IFERROR(IF(INDEX('İş Planı'!$I$5:$I$204,ROW()-4)="","",INDEX('İş Planı'!$I$5:$I$204,ROW()-4)),"")</f>
        <v/>
      </c>
      <c r="D140" s="72">
        <f>IFERROR(IF(INDEX('İş Planı'!$M$5:$M$204,ROW()-4)="","",INDEX('İş Planı'!$M$5:$M$204,ROW()-4)),"")</f>
        <v/>
      </c>
      <c r="E140" s="71">
        <f>IFERROR(IF(INDEX('İş Planı'!$O$5:$O$204,ROW()-4)="","",INDEX('İş Planı'!$O$5:$O$204,ROW()-4)),"")</f>
        <v/>
      </c>
      <c r="F140" s="83" t="n"/>
      <c r="G140" s="83" t="n"/>
      <c r="H140" s="83" t="n"/>
      <c r="I140" s="83" t="n"/>
      <c r="J140" s="83" t="n"/>
      <c r="K140" s="83" t="n"/>
      <c r="L140" s="83" t="n"/>
      <c r="M140" s="83" t="n"/>
      <c r="N140" s="83" t="n"/>
      <c r="O140" s="83" t="n"/>
      <c r="P140" s="83" t="n"/>
      <c r="Q140" s="83" t="n"/>
    </row>
    <row r="141" ht="18" customHeight="1">
      <c r="A141" s="55">
        <f>IFERROR(IF(INDEX('İş Planı'!$C$5:$C$204,ROW()-4)="","",INDEX('İş Planı'!$C$5:$C$204,ROW()-4)),"")</f>
        <v/>
      </c>
      <c r="B141" s="55">
        <f>IFERROR(IF(INDEX('İş Planı'!$B$5:$B$204,ROW()-4)="","",INDEX('İş Planı'!$B$5:$B$204,ROW()-4)),"")</f>
        <v/>
      </c>
      <c r="C141" s="72">
        <f>IFERROR(IF(INDEX('İş Planı'!$I$5:$I$204,ROW()-4)="","",INDEX('İş Planı'!$I$5:$I$204,ROW()-4)),"")</f>
        <v/>
      </c>
      <c r="D141" s="72">
        <f>IFERROR(IF(INDEX('İş Planı'!$M$5:$M$204,ROW()-4)="","",INDEX('İş Planı'!$M$5:$M$204,ROW()-4)),"")</f>
        <v/>
      </c>
      <c r="E141" s="71">
        <f>IFERROR(IF(INDEX('İş Planı'!$O$5:$O$204,ROW()-4)="","",INDEX('İş Planı'!$O$5:$O$204,ROW()-4)),"")</f>
        <v/>
      </c>
      <c r="F141" s="83" t="n"/>
      <c r="G141" s="83" t="n"/>
      <c r="H141" s="83" t="n"/>
      <c r="I141" s="83" t="n"/>
      <c r="J141" s="83" t="n"/>
      <c r="K141" s="83" t="n"/>
      <c r="L141" s="83" t="n"/>
      <c r="M141" s="83" t="n"/>
      <c r="N141" s="83" t="n"/>
      <c r="O141" s="83" t="n"/>
      <c r="P141" s="83" t="n"/>
      <c r="Q141" s="83" t="n"/>
    </row>
    <row r="142" ht="18" customHeight="1">
      <c r="A142" s="55">
        <f>IFERROR(IF(INDEX('İş Planı'!$C$5:$C$204,ROW()-4)="","",INDEX('İş Planı'!$C$5:$C$204,ROW()-4)),"")</f>
        <v/>
      </c>
      <c r="B142" s="55">
        <f>IFERROR(IF(INDEX('İş Planı'!$B$5:$B$204,ROW()-4)="","",INDEX('İş Planı'!$B$5:$B$204,ROW()-4)),"")</f>
        <v/>
      </c>
      <c r="C142" s="72">
        <f>IFERROR(IF(INDEX('İş Planı'!$I$5:$I$204,ROW()-4)="","",INDEX('İş Planı'!$I$5:$I$204,ROW()-4)),"")</f>
        <v/>
      </c>
      <c r="D142" s="72">
        <f>IFERROR(IF(INDEX('İş Planı'!$M$5:$M$204,ROW()-4)="","",INDEX('İş Planı'!$M$5:$M$204,ROW()-4)),"")</f>
        <v/>
      </c>
      <c r="E142" s="71">
        <f>IFERROR(IF(INDEX('İş Planı'!$O$5:$O$204,ROW()-4)="","",INDEX('İş Planı'!$O$5:$O$204,ROW()-4)),"")</f>
        <v/>
      </c>
      <c r="F142" s="83" t="n"/>
      <c r="G142" s="83" t="n"/>
      <c r="H142" s="83" t="n"/>
      <c r="I142" s="83" t="n"/>
      <c r="J142" s="83" t="n"/>
      <c r="K142" s="83" t="n"/>
      <c r="L142" s="83" t="n"/>
      <c r="M142" s="83" t="n"/>
      <c r="N142" s="83" t="n"/>
      <c r="O142" s="83" t="n"/>
      <c r="P142" s="83" t="n"/>
      <c r="Q142" s="83" t="n"/>
    </row>
    <row r="143" ht="18" customHeight="1">
      <c r="A143" s="55">
        <f>IFERROR(IF(INDEX('İş Planı'!$C$5:$C$204,ROW()-4)="","",INDEX('İş Planı'!$C$5:$C$204,ROW()-4)),"")</f>
        <v/>
      </c>
      <c r="B143" s="55">
        <f>IFERROR(IF(INDEX('İş Planı'!$B$5:$B$204,ROW()-4)="","",INDEX('İş Planı'!$B$5:$B$204,ROW()-4)),"")</f>
        <v/>
      </c>
      <c r="C143" s="72">
        <f>IFERROR(IF(INDEX('İş Planı'!$I$5:$I$204,ROW()-4)="","",INDEX('İş Planı'!$I$5:$I$204,ROW()-4)),"")</f>
        <v/>
      </c>
      <c r="D143" s="72">
        <f>IFERROR(IF(INDEX('İş Planı'!$M$5:$M$204,ROW()-4)="","",INDEX('İş Planı'!$M$5:$M$204,ROW()-4)),"")</f>
        <v/>
      </c>
      <c r="E143" s="71">
        <f>IFERROR(IF(INDEX('İş Planı'!$O$5:$O$204,ROW()-4)="","",INDEX('İş Planı'!$O$5:$O$204,ROW()-4)),"")</f>
        <v/>
      </c>
      <c r="F143" s="83" t="n"/>
      <c r="G143" s="83" t="n"/>
      <c r="H143" s="83" t="n"/>
      <c r="I143" s="83" t="n"/>
      <c r="J143" s="83" t="n"/>
      <c r="K143" s="83" t="n"/>
      <c r="L143" s="83" t="n"/>
      <c r="M143" s="83" t="n"/>
      <c r="N143" s="83" t="n"/>
      <c r="O143" s="83" t="n"/>
      <c r="P143" s="83" t="n"/>
      <c r="Q143" s="83" t="n"/>
    </row>
    <row r="144" ht="18" customHeight="1">
      <c r="A144" s="55">
        <f>IFERROR(IF(INDEX('İş Planı'!$C$5:$C$204,ROW()-4)="","",INDEX('İş Planı'!$C$5:$C$204,ROW()-4)),"")</f>
        <v/>
      </c>
      <c r="B144" s="55">
        <f>IFERROR(IF(INDEX('İş Planı'!$B$5:$B$204,ROW()-4)="","",INDEX('İş Planı'!$B$5:$B$204,ROW()-4)),"")</f>
        <v/>
      </c>
      <c r="C144" s="72">
        <f>IFERROR(IF(INDEX('İş Planı'!$I$5:$I$204,ROW()-4)="","",INDEX('İş Planı'!$I$5:$I$204,ROW()-4)),"")</f>
        <v/>
      </c>
      <c r="D144" s="72">
        <f>IFERROR(IF(INDEX('İş Planı'!$M$5:$M$204,ROW()-4)="","",INDEX('İş Planı'!$M$5:$M$204,ROW()-4)),"")</f>
        <v/>
      </c>
      <c r="E144" s="71">
        <f>IFERROR(IF(INDEX('İş Planı'!$O$5:$O$204,ROW()-4)="","",INDEX('İş Planı'!$O$5:$O$204,ROW()-4)),"")</f>
        <v/>
      </c>
      <c r="F144" s="83" t="n"/>
      <c r="G144" s="83" t="n"/>
      <c r="H144" s="83" t="n"/>
      <c r="I144" s="83" t="n"/>
      <c r="J144" s="83" t="n"/>
      <c r="K144" s="83" t="n"/>
      <c r="L144" s="83" t="n"/>
      <c r="M144" s="83" t="n"/>
      <c r="N144" s="83" t="n"/>
      <c r="O144" s="83" t="n"/>
      <c r="P144" s="83" t="n"/>
      <c r="Q144" s="83" t="n"/>
    </row>
    <row r="145" ht="18" customHeight="1">
      <c r="A145" s="55">
        <f>IFERROR(IF(INDEX('İş Planı'!$C$5:$C$204,ROW()-4)="","",INDEX('İş Planı'!$C$5:$C$204,ROW()-4)),"")</f>
        <v/>
      </c>
      <c r="B145" s="55">
        <f>IFERROR(IF(INDEX('İş Planı'!$B$5:$B$204,ROW()-4)="","",INDEX('İş Planı'!$B$5:$B$204,ROW()-4)),"")</f>
        <v/>
      </c>
      <c r="C145" s="72">
        <f>IFERROR(IF(INDEX('İş Planı'!$I$5:$I$204,ROW()-4)="","",INDEX('İş Planı'!$I$5:$I$204,ROW()-4)),"")</f>
        <v/>
      </c>
      <c r="D145" s="72">
        <f>IFERROR(IF(INDEX('İş Planı'!$M$5:$M$204,ROW()-4)="","",INDEX('İş Planı'!$M$5:$M$204,ROW()-4)),"")</f>
        <v/>
      </c>
      <c r="E145" s="71">
        <f>IFERROR(IF(INDEX('İş Planı'!$O$5:$O$204,ROW()-4)="","",INDEX('İş Planı'!$O$5:$O$204,ROW()-4)),"")</f>
        <v/>
      </c>
      <c r="F145" s="83" t="n"/>
      <c r="G145" s="83" t="n"/>
      <c r="H145" s="83" t="n"/>
      <c r="I145" s="83" t="n"/>
      <c r="J145" s="83" t="n"/>
      <c r="K145" s="83" t="n"/>
      <c r="L145" s="83" t="n"/>
      <c r="M145" s="83" t="n"/>
      <c r="N145" s="83" t="n"/>
      <c r="O145" s="83" t="n"/>
      <c r="P145" s="83" t="n"/>
      <c r="Q145" s="83" t="n"/>
    </row>
    <row r="146" ht="18" customHeight="1">
      <c r="A146" s="55">
        <f>IFERROR(IF(INDEX('İş Planı'!$C$5:$C$204,ROW()-4)="","",INDEX('İş Planı'!$C$5:$C$204,ROW()-4)),"")</f>
        <v/>
      </c>
      <c r="B146" s="55">
        <f>IFERROR(IF(INDEX('İş Planı'!$B$5:$B$204,ROW()-4)="","",INDEX('İş Planı'!$B$5:$B$204,ROW()-4)),"")</f>
        <v/>
      </c>
      <c r="C146" s="72">
        <f>IFERROR(IF(INDEX('İş Planı'!$I$5:$I$204,ROW()-4)="","",INDEX('İş Planı'!$I$5:$I$204,ROW()-4)),"")</f>
        <v/>
      </c>
      <c r="D146" s="72">
        <f>IFERROR(IF(INDEX('İş Planı'!$M$5:$M$204,ROW()-4)="","",INDEX('İş Planı'!$M$5:$M$204,ROW()-4)),"")</f>
        <v/>
      </c>
      <c r="E146" s="71">
        <f>IFERROR(IF(INDEX('İş Planı'!$O$5:$O$204,ROW()-4)="","",INDEX('İş Planı'!$O$5:$O$204,ROW()-4)),"")</f>
        <v/>
      </c>
      <c r="F146" s="83" t="n"/>
      <c r="G146" s="83" t="n"/>
      <c r="H146" s="83" t="n"/>
      <c r="I146" s="83" t="n"/>
      <c r="J146" s="83" t="n"/>
      <c r="K146" s="83" t="n"/>
      <c r="L146" s="83" t="n"/>
      <c r="M146" s="83" t="n"/>
      <c r="N146" s="83" t="n"/>
      <c r="O146" s="83" t="n"/>
      <c r="P146" s="83" t="n"/>
      <c r="Q146" s="83" t="n"/>
    </row>
    <row r="147" ht="18" customHeight="1">
      <c r="A147" s="55">
        <f>IFERROR(IF(INDEX('İş Planı'!$C$5:$C$204,ROW()-4)="","",INDEX('İş Planı'!$C$5:$C$204,ROW()-4)),"")</f>
        <v/>
      </c>
      <c r="B147" s="55">
        <f>IFERROR(IF(INDEX('İş Planı'!$B$5:$B$204,ROW()-4)="","",INDEX('İş Planı'!$B$5:$B$204,ROW()-4)),"")</f>
        <v/>
      </c>
      <c r="C147" s="72">
        <f>IFERROR(IF(INDEX('İş Planı'!$I$5:$I$204,ROW()-4)="","",INDEX('İş Planı'!$I$5:$I$204,ROW()-4)),"")</f>
        <v/>
      </c>
      <c r="D147" s="72">
        <f>IFERROR(IF(INDEX('İş Planı'!$M$5:$M$204,ROW()-4)="","",INDEX('İş Planı'!$M$5:$M$204,ROW()-4)),"")</f>
        <v/>
      </c>
      <c r="E147" s="71">
        <f>IFERROR(IF(INDEX('İş Planı'!$O$5:$O$204,ROW()-4)="","",INDEX('İş Planı'!$O$5:$O$204,ROW()-4)),"")</f>
        <v/>
      </c>
      <c r="F147" s="83" t="n"/>
      <c r="G147" s="83" t="n"/>
      <c r="H147" s="83" t="n"/>
      <c r="I147" s="83" t="n"/>
      <c r="J147" s="83" t="n"/>
      <c r="K147" s="83" t="n"/>
      <c r="L147" s="83" t="n"/>
      <c r="M147" s="83" t="n"/>
      <c r="N147" s="83" t="n"/>
      <c r="O147" s="83" t="n"/>
      <c r="P147" s="83" t="n"/>
      <c r="Q147" s="83" t="n"/>
    </row>
    <row r="148" ht="18" customHeight="1">
      <c r="A148" s="55">
        <f>IFERROR(IF(INDEX('İş Planı'!$C$5:$C$204,ROW()-4)="","",INDEX('İş Planı'!$C$5:$C$204,ROW()-4)),"")</f>
        <v/>
      </c>
      <c r="B148" s="55">
        <f>IFERROR(IF(INDEX('İş Planı'!$B$5:$B$204,ROW()-4)="","",INDEX('İş Planı'!$B$5:$B$204,ROW()-4)),"")</f>
        <v/>
      </c>
      <c r="C148" s="72">
        <f>IFERROR(IF(INDEX('İş Planı'!$I$5:$I$204,ROW()-4)="","",INDEX('İş Planı'!$I$5:$I$204,ROW()-4)),"")</f>
        <v/>
      </c>
      <c r="D148" s="72">
        <f>IFERROR(IF(INDEX('İş Planı'!$M$5:$M$204,ROW()-4)="","",INDEX('İş Planı'!$M$5:$M$204,ROW()-4)),"")</f>
        <v/>
      </c>
      <c r="E148" s="71">
        <f>IFERROR(IF(INDEX('İş Planı'!$O$5:$O$204,ROW()-4)="","",INDEX('İş Planı'!$O$5:$O$204,ROW()-4)),"")</f>
        <v/>
      </c>
      <c r="F148" s="83" t="n"/>
      <c r="G148" s="83" t="n"/>
      <c r="H148" s="83" t="n"/>
      <c r="I148" s="83" t="n"/>
      <c r="J148" s="83" t="n"/>
      <c r="K148" s="83" t="n"/>
      <c r="L148" s="83" t="n"/>
      <c r="M148" s="83" t="n"/>
      <c r="N148" s="83" t="n"/>
      <c r="O148" s="83" t="n"/>
      <c r="P148" s="83" t="n"/>
      <c r="Q148" s="83" t="n"/>
    </row>
    <row r="149" ht="18" customHeight="1">
      <c r="A149" s="55">
        <f>IFERROR(IF(INDEX('İş Planı'!$C$5:$C$204,ROW()-4)="","",INDEX('İş Planı'!$C$5:$C$204,ROW()-4)),"")</f>
        <v/>
      </c>
      <c r="B149" s="55">
        <f>IFERROR(IF(INDEX('İş Planı'!$B$5:$B$204,ROW()-4)="","",INDEX('İş Planı'!$B$5:$B$204,ROW()-4)),"")</f>
        <v/>
      </c>
      <c r="C149" s="72">
        <f>IFERROR(IF(INDEX('İş Planı'!$I$5:$I$204,ROW()-4)="","",INDEX('İş Planı'!$I$5:$I$204,ROW()-4)),"")</f>
        <v/>
      </c>
      <c r="D149" s="72">
        <f>IFERROR(IF(INDEX('İş Planı'!$M$5:$M$204,ROW()-4)="","",INDEX('İş Planı'!$M$5:$M$204,ROW()-4)),"")</f>
        <v/>
      </c>
      <c r="E149" s="71">
        <f>IFERROR(IF(INDEX('İş Planı'!$O$5:$O$204,ROW()-4)="","",INDEX('İş Planı'!$O$5:$O$204,ROW()-4)),"")</f>
        <v/>
      </c>
      <c r="F149" s="83" t="n"/>
      <c r="G149" s="83" t="n"/>
      <c r="H149" s="83" t="n"/>
      <c r="I149" s="83" t="n"/>
      <c r="J149" s="83" t="n"/>
      <c r="K149" s="83" t="n"/>
      <c r="L149" s="83" t="n"/>
      <c r="M149" s="83" t="n"/>
      <c r="N149" s="83" t="n"/>
      <c r="O149" s="83" t="n"/>
      <c r="P149" s="83" t="n"/>
      <c r="Q149" s="83" t="n"/>
    </row>
    <row r="150" ht="18" customHeight="1">
      <c r="A150" s="55">
        <f>IFERROR(IF(INDEX('İş Planı'!$C$5:$C$204,ROW()-4)="","",INDEX('İş Planı'!$C$5:$C$204,ROW()-4)),"")</f>
        <v/>
      </c>
      <c r="B150" s="55">
        <f>IFERROR(IF(INDEX('İş Planı'!$B$5:$B$204,ROW()-4)="","",INDEX('İş Planı'!$B$5:$B$204,ROW()-4)),"")</f>
        <v/>
      </c>
      <c r="C150" s="72">
        <f>IFERROR(IF(INDEX('İş Planı'!$I$5:$I$204,ROW()-4)="","",INDEX('İş Planı'!$I$5:$I$204,ROW()-4)),"")</f>
        <v/>
      </c>
      <c r="D150" s="72">
        <f>IFERROR(IF(INDEX('İş Planı'!$M$5:$M$204,ROW()-4)="","",INDEX('İş Planı'!$M$5:$M$204,ROW()-4)),"")</f>
        <v/>
      </c>
      <c r="E150" s="71">
        <f>IFERROR(IF(INDEX('İş Planı'!$O$5:$O$204,ROW()-4)="","",INDEX('İş Planı'!$O$5:$O$204,ROW()-4)),"")</f>
        <v/>
      </c>
      <c r="F150" s="83" t="n"/>
      <c r="G150" s="83" t="n"/>
      <c r="H150" s="83" t="n"/>
      <c r="I150" s="83" t="n"/>
      <c r="J150" s="83" t="n"/>
      <c r="K150" s="83" t="n"/>
      <c r="L150" s="83" t="n"/>
      <c r="M150" s="83" t="n"/>
      <c r="N150" s="83" t="n"/>
      <c r="O150" s="83" t="n"/>
      <c r="P150" s="83" t="n"/>
      <c r="Q150" s="83" t="n"/>
    </row>
    <row r="151" ht="18" customHeight="1">
      <c r="A151" s="55">
        <f>IFERROR(IF(INDEX('İş Planı'!$C$5:$C$204,ROW()-4)="","",INDEX('İş Planı'!$C$5:$C$204,ROW()-4)),"")</f>
        <v/>
      </c>
      <c r="B151" s="55">
        <f>IFERROR(IF(INDEX('İş Planı'!$B$5:$B$204,ROW()-4)="","",INDEX('İş Planı'!$B$5:$B$204,ROW()-4)),"")</f>
        <v/>
      </c>
      <c r="C151" s="72">
        <f>IFERROR(IF(INDEX('İş Planı'!$I$5:$I$204,ROW()-4)="","",INDEX('İş Planı'!$I$5:$I$204,ROW()-4)),"")</f>
        <v/>
      </c>
      <c r="D151" s="72">
        <f>IFERROR(IF(INDEX('İş Planı'!$M$5:$M$204,ROW()-4)="","",INDEX('İş Planı'!$M$5:$M$204,ROW()-4)),"")</f>
        <v/>
      </c>
      <c r="E151" s="71">
        <f>IFERROR(IF(INDEX('İş Planı'!$O$5:$O$204,ROW()-4)="","",INDEX('İş Planı'!$O$5:$O$204,ROW()-4)),"")</f>
        <v/>
      </c>
      <c r="F151" s="83" t="n"/>
      <c r="G151" s="83" t="n"/>
      <c r="H151" s="83" t="n"/>
      <c r="I151" s="83" t="n"/>
      <c r="J151" s="83" t="n"/>
      <c r="K151" s="83" t="n"/>
      <c r="L151" s="83" t="n"/>
      <c r="M151" s="83" t="n"/>
      <c r="N151" s="83" t="n"/>
      <c r="O151" s="83" t="n"/>
      <c r="P151" s="83" t="n"/>
      <c r="Q151" s="83" t="n"/>
    </row>
    <row r="152" ht="18" customHeight="1">
      <c r="A152" s="55">
        <f>IFERROR(IF(INDEX('İş Planı'!$C$5:$C$204,ROW()-4)="","",INDEX('İş Planı'!$C$5:$C$204,ROW()-4)),"")</f>
        <v/>
      </c>
      <c r="B152" s="55">
        <f>IFERROR(IF(INDEX('İş Planı'!$B$5:$B$204,ROW()-4)="","",INDEX('İş Planı'!$B$5:$B$204,ROW()-4)),"")</f>
        <v/>
      </c>
      <c r="C152" s="72">
        <f>IFERROR(IF(INDEX('İş Planı'!$I$5:$I$204,ROW()-4)="","",INDEX('İş Planı'!$I$5:$I$204,ROW()-4)),"")</f>
        <v/>
      </c>
      <c r="D152" s="72">
        <f>IFERROR(IF(INDEX('İş Planı'!$M$5:$M$204,ROW()-4)="","",INDEX('İş Planı'!$M$5:$M$204,ROW()-4)),"")</f>
        <v/>
      </c>
      <c r="E152" s="71">
        <f>IFERROR(IF(INDEX('İş Planı'!$O$5:$O$204,ROW()-4)="","",INDEX('İş Planı'!$O$5:$O$204,ROW()-4)),"")</f>
        <v/>
      </c>
      <c r="F152" s="83" t="n"/>
      <c r="G152" s="83" t="n"/>
      <c r="H152" s="83" t="n"/>
      <c r="I152" s="83" t="n"/>
      <c r="J152" s="83" t="n"/>
      <c r="K152" s="83" t="n"/>
      <c r="L152" s="83" t="n"/>
      <c r="M152" s="83" t="n"/>
      <c r="N152" s="83" t="n"/>
      <c r="O152" s="83" t="n"/>
      <c r="P152" s="83" t="n"/>
      <c r="Q152" s="83" t="n"/>
    </row>
    <row r="153" ht="18" customHeight="1">
      <c r="A153" s="55">
        <f>IFERROR(IF(INDEX('İş Planı'!$C$5:$C$204,ROW()-4)="","",INDEX('İş Planı'!$C$5:$C$204,ROW()-4)),"")</f>
        <v/>
      </c>
      <c r="B153" s="55">
        <f>IFERROR(IF(INDEX('İş Planı'!$B$5:$B$204,ROW()-4)="","",INDEX('İş Planı'!$B$5:$B$204,ROW()-4)),"")</f>
        <v/>
      </c>
      <c r="C153" s="72">
        <f>IFERROR(IF(INDEX('İş Planı'!$I$5:$I$204,ROW()-4)="","",INDEX('İş Planı'!$I$5:$I$204,ROW()-4)),"")</f>
        <v/>
      </c>
      <c r="D153" s="72">
        <f>IFERROR(IF(INDEX('İş Planı'!$M$5:$M$204,ROW()-4)="","",INDEX('İş Planı'!$M$5:$M$204,ROW()-4)),"")</f>
        <v/>
      </c>
      <c r="E153" s="71">
        <f>IFERROR(IF(INDEX('İş Planı'!$O$5:$O$204,ROW()-4)="","",INDEX('İş Planı'!$O$5:$O$204,ROW()-4)),"")</f>
        <v/>
      </c>
      <c r="F153" s="83" t="n"/>
      <c r="G153" s="83" t="n"/>
      <c r="H153" s="83" t="n"/>
      <c r="I153" s="83" t="n"/>
      <c r="J153" s="83" t="n"/>
      <c r="K153" s="83" t="n"/>
      <c r="L153" s="83" t="n"/>
      <c r="M153" s="83" t="n"/>
      <c r="N153" s="83" t="n"/>
      <c r="O153" s="83" t="n"/>
      <c r="P153" s="83" t="n"/>
      <c r="Q153" s="83" t="n"/>
    </row>
    <row r="154" ht="18" customHeight="1">
      <c r="A154" s="55">
        <f>IFERROR(IF(INDEX('İş Planı'!$C$5:$C$204,ROW()-4)="","",INDEX('İş Planı'!$C$5:$C$204,ROW()-4)),"")</f>
        <v/>
      </c>
      <c r="B154" s="55">
        <f>IFERROR(IF(INDEX('İş Planı'!$B$5:$B$204,ROW()-4)="","",INDEX('İş Planı'!$B$5:$B$204,ROW()-4)),"")</f>
        <v/>
      </c>
      <c r="C154" s="72">
        <f>IFERROR(IF(INDEX('İş Planı'!$I$5:$I$204,ROW()-4)="","",INDEX('İş Planı'!$I$5:$I$204,ROW()-4)),"")</f>
        <v/>
      </c>
      <c r="D154" s="72">
        <f>IFERROR(IF(INDEX('İş Planı'!$M$5:$M$204,ROW()-4)="","",INDEX('İş Planı'!$M$5:$M$204,ROW()-4)),"")</f>
        <v/>
      </c>
      <c r="E154" s="71">
        <f>IFERROR(IF(INDEX('İş Planı'!$O$5:$O$204,ROW()-4)="","",INDEX('İş Planı'!$O$5:$O$204,ROW()-4)),"")</f>
        <v/>
      </c>
      <c r="F154" s="83" t="n"/>
      <c r="G154" s="83" t="n"/>
      <c r="H154" s="83" t="n"/>
      <c r="I154" s="83" t="n"/>
      <c r="J154" s="83" t="n"/>
      <c r="K154" s="83" t="n"/>
      <c r="L154" s="83" t="n"/>
      <c r="M154" s="83" t="n"/>
      <c r="N154" s="83" t="n"/>
      <c r="O154" s="83" t="n"/>
      <c r="P154" s="83" t="n"/>
      <c r="Q154" s="83" t="n"/>
    </row>
    <row r="155" ht="18" customHeight="1">
      <c r="A155" s="55">
        <f>IFERROR(IF(INDEX('İş Planı'!$C$5:$C$204,ROW()-4)="","",INDEX('İş Planı'!$C$5:$C$204,ROW()-4)),"")</f>
        <v/>
      </c>
      <c r="B155" s="55">
        <f>IFERROR(IF(INDEX('İş Planı'!$B$5:$B$204,ROW()-4)="","",INDEX('İş Planı'!$B$5:$B$204,ROW()-4)),"")</f>
        <v/>
      </c>
      <c r="C155" s="72">
        <f>IFERROR(IF(INDEX('İş Planı'!$I$5:$I$204,ROW()-4)="","",INDEX('İş Planı'!$I$5:$I$204,ROW()-4)),"")</f>
        <v/>
      </c>
      <c r="D155" s="72">
        <f>IFERROR(IF(INDEX('İş Planı'!$M$5:$M$204,ROW()-4)="","",INDEX('İş Planı'!$M$5:$M$204,ROW()-4)),"")</f>
        <v/>
      </c>
      <c r="E155" s="71">
        <f>IFERROR(IF(INDEX('İş Planı'!$O$5:$O$204,ROW()-4)="","",INDEX('İş Planı'!$O$5:$O$204,ROW()-4)),"")</f>
        <v/>
      </c>
      <c r="F155" s="83" t="n"/>
      <c r="G155" s="83" t="n"/>
      <c r="H155" s="83" t="n"/>
      <c r="I155" s="83" t="n"/>
      <c r="J155" s="83" t="n"/>
      <c r="K155" s="83" t="n"/>
      <c r="L155" s="83" t="n"/>
      <c r="M155" s="83" t="n"/>
      <c r="N155" s="83" t="n"/>
      <c r="O155" s="83" t="n"/>
      <c r="P155" s="83" t="n"/>
      <c r="Q155" s="83" t="n"/>
    </row>
    <row r="156" ht="18" customHeight="1">
      <c r="A156" s="55">
        <f>IFERROR(IF(INDEX('İş Planı'!$C$5:$C$204,ROW()-4)="","",INDEX('İş Planı'!$C$5:$C$204,ROW()-4)),"")</f>
        <v/>
      </c>
      <c r="B156" s="55">
        <f>IFERROR(IF(INDEX('İş Planı'!$B$5:$B$204,ROW()-4)="","",INDEX('İş Planı'!$B$5:$B$204,ROW()-4)),"")</f>
        <v/>
      </c>
      <c r="C156" s="72">
        <f>IFERROR(IF(INDEX('İş Planı'!$I$5:$I$204,ROW()-4)="","",INDEX('İş Planı'!$I$5:$I$204,ROW()-4)),"")</f>
        <v/>
      </c>
      <c r="D156" s="72">
        <f>IFERROR(IF(INDEX('İş Planı'!$M$5:$M$204,ROW()-4)="","",INDEX('İş Planı'!$M$5:$M$204,ROW()-4)),"")</f>
        <v/>
      </c>
      <c r="E156" s="71">
        <f>IFERROR(IF(INDEX('İş Planı'!$O$5:$O$204,ROW()-4)="","",INDEX('İş Planı'!$O$5:$O$204,ROW()-4)),"")</f>
        <v/>
      </c>
      <c r="F156" s="83" t="n"/>
      <c r="G156" s="83" t="n"/>
      <c r="H156" s="83" t="n"/>
      <c r="I156" s="83" t="n"/>
      <c r="J156" s="83" t="n"/>
      <c r="K156" s="83" t="n"/>
      <c r="L156" s="83" t="n"/>
      <c r="M156" s="83" t="n"/>
      <c r="N156" s="83" t="n"/>
      <c r="O156" s="83" t="n"/>
      <c r="P156" s="83" t="n"/>
      <c r="Q156" s="83" t="n"/>
    </row>
    <row r="157" ht="18" customHeight="1">
      <c r="A157" s="55">
        <f>IFERROR(IF(INDEX('İş Planı'!$C$5:$C$204,ROW()-4)="","",INDEX('İş Planı'!$C$5:$C$204,ROW()-4)),"")</f>
        <v/>
      </c>
      <c r="B157" s="55">
        <f>IFERROR(IF(INDEX('İş Planı'!$B$5:$B$204,ROW()-4)="","",INDEX('İş Planı'!$B$5:$B$204,ROW()-4)),"")</f>
        <v/>
      </c>
      <c r="C157" s="72">
        <f>IFERROR(IF(INDEX('İş Planı'!$I$5:$I$204,ROW()-4)="","",INDEX('İş Planı'!$I$5:$I$204,ROW()-4)),"")</f>
        <v/>
      </c>
      <c r="D157" s="72">
        <f>IFERROR(IF(INDEX('İş Planı'!$M$5:$M$204,ROW()-4)="","",INDEX('İş Planı'!$M$5:$M$204,ROW()-4)),"")</f>
        <v/>
      </c>
      <c r="E157" s="71">
        <f>IFERROR(IF(INDEX('İş Planı'!$O$5:$O$204,ROW()-4)="","",INDEX('İş Planı'!$O$5:$O$204,ROW()-4)),"")</f>
        <v/>
      </c>
      <c r="F157" s="83" t="n"/>
      <c r="G157" s="83" t="n"/>
      <c r="H157" s="83" t="n"/>
      <c r="I157" s="83" t="n"/>
      <c r="J157" s="83" t="n"/>
      <c r="K157" s="83" t="n"/>
      <c r="L157" s="83" t="n"/>
      <c r="M157" s="83" t="n"/>
      <c r="N157" s="83" t="n"/>
      <c r="O157" s="83" t="n"/>
      <c r="P157" s="83" t="n"/>
      <c r="Q157" s="83" t="n"/>
    </row>
    <row r="158" ht="18" customHeight="1">
      <c r="A158" s="55">
        <f>IFERROR(IF(INDEX('İş Planı'!$C$5:$C$204,ROW()-4)="","",INDEX('İş Planı'!$C$5:$C$204,ROW()-4)),"")</f>
        <v/>
      </c>
      <c r="B158" s="55">
        <f>IFERROR(IF(INDEX('İş Planı'!$B$5:$B$204,ROW()-4)="","",INDEX('İş Planı'!$B$5:$B$204,ROW()-4)),"")</f>
        <v/>
      </c>
      <c r="C158" s="72">
        <f>IFERROR(IF(INDEX('İş Planı'!$I$5:$I$204,ROW()-4)="","",INDEX('İş Planı'!$I$5:$I$204,ROW()-4)),"")</f>
        <v/>
      </c>
      <c r="D158" s="72">
        <f>IFERROR(IF(INDEX('İş Planı'!$M$5:$M$204,ROW()-4)="","",INDEX('İş Planı'!$M$5:$M$204,ROW()-4)),"")</f>
        <v/>
      </c>
      <c r="E158" s="71">
        <f>IFERROR(IF(INDEX('İş Planı'!$O$5:$O$204,ROW()-4)="","",INDEX('İş Planı'!$O$5:$O$204,ROW()-4)),"")</f>
        <v/>
      </c>
      <c r="F158" s="83" t="n"/>
      <c r="G158" s="83" t="n"/>
      <c r="H158" s="83" t="n"/>
      <c r="I158" s="83" t="n"/>
      <c r="J158" s="83" t="n"/>
      <c r="K158" s="83" t="n"/>
      <c r="L158" s="83" t="n"/>
      <c r="M158" s="83" t="n"/>
      <c r="N158" s="83" t="n"/>
      <c r="O158" s="83" t="n"/>
      <c r="P158" s="83" t="n"/>
      <c r="Q158" s="83" t="n"/>
    </row>
    <row r="159" ht="18" customHeight="1">
      <c r="A159" s="55">
        <f>IFERROR(IF(INDEX('İş Planı'!$C$5:$C$204,ROW()-4)="","",INDEX('İş Planı'!$C$5:$C$204,ROW()-4)),"")</f>
        <v/>
      </c>
      <c r="B159" s="55">
        <f>IFERROR(IF(INDEX('İş Planı'!$B$5:$B$204,ROW()-4)="","",INDEX('İş Planı'!$B$5:$B$204,ROW()-4)),"")</f>
        <v/>
      </c>
      <c r="C159" s="72">
        <f>IFERROR(IF(INDEX('İş Planı'!$I$5:$I$204,ROW()-4)="","",INDEX('İş Planı'!$I$5:$I$204,ROW()-4)),"")</f>
        <v/>
      </c>
      <c r="D159" s="72">
        <f>IFERROR(IF(INDEX('İş Planı'!$M$5:$M$204,ROW()-4)="","",INDEX('İş Planı'!$M$5:$M$204,ROW()-4)),"")</f>
        <v/>
      </c>
      <c r="E159" s="71">
        <f>IFERROR(IF(INDEX('İş Planı'!$O$5:$O$204,ROW()-4)="","",INDEX('İş Planı'!$O$5:$O$204,ROW()-4)),"")</f>
        <v/>
      </c>
      <c r="F159" s="83" t="n"/>
      <c r="G159" s="83" t="n"/>
      <c r="H159" s="83" t="n"/>
      <c r="I159" s="83" t="n"/>
      <c r="J159" s="83" t="n"/>
      <c r="K159" s="83" t="n"/>
      <c r="L159" s="83" t="n"/>
      <c r="M159" s="83" t="n"/>
      <c r="N159" s="83" t="n"/>
      <c r="O159" s="83" t="n"/>
      <c r="P159" s="83" t="n"/>
      <c r="Q159" s="83" t="n"/>
    </row>
    <row r="160" ht="18" customHeight="1">
      <c r="A160" s="55">
        <f>IFERROR(IF(INDEX('İş Planı'!$C$5:$C$204,ROW()-4)="","",INDEX('İş Planı'!$C$5:$C$204,ROW()-4)),"")</f>
        <v/>
      </c>
      <c r="B160" s="55">
        <f>IFERROR(IF(INDEX('İş Planı'!$B$5:$B$204,ROW()-4)="","",INDEX('İş Planı'!$B$5:$B$204,ROW()-4)),"")</f>
        <v/>
      </c>
      <c r="C160" s="72">
        <f>IFERROR(IF(INDEX('İş Planı'!$I$5:$I$204,ROW()-4)="","",INDEX('İş Planı'!$I$5:$I$204,ROW()-4)),"")</f>
        <v/>
      </c>
      <c r="D160" s="72">
        <f>IFERROR(IF(INDEX('İş Planı'!$M$5:$M$204,ROW()-4)="","",INDEX('İş Planı'!$M$5:$M$204,ROW()-4)),"")</f>
        <v/>
      </c>
      <c r="E160" s="71">
        <f>IFERROR(IF(INDEX('İş Planı'!$O$5:$O$204,ROW()-4)="","",INDEX('İş Planı'!$O$5:$O$204,ROW()-4)),"")</f>
        <v/>
      </c>
      <c r="F160" s="83" t="n"/>
      <c r="G160" s="83" t="n"/>
      <c r="H160" s="83" t="n"/>
      <c r="I160" s="83" t="n"/>
      <c r="J160" s="83" t="n"/>
      <c r="K160" s="83" t="n"/>
      <c r="L160" s="83" t="n"/>
      <c r="M160" s="83" t="n"/>
      <c r="N160" s="83" t="n"/>
      <c r="O160" s="83" t="n"/>
      <c r="P160" s="83" t="n"/>
      <c r="Q160" s="83" t="n"/>
    </row>
    <row r="161" ht="18" customHeight="1">
      <c r="A161" s="55">
        <f>IFERROR(IF(INDEX('İş Planı'!$C$5:$C$204,ROW()-4)="","",INDEX('İş Planı'!$C$5:$C$204,ROW()-4)),"")</f>
        <v/>
      </c>
      <c r="B161" s="55">
        <f>IFERROR(IF(INDEX('İş Planı'!$B$5:$B$204,ROW()-4)="","",INDEX('İş Planı'!$B$5:$B$204,ROW()-4)),"")</f>
        <v/>
      </c>
      <c r="C161" s="72">
        <f>IFERROR(IF(INDEX('İş Planı'!$I$5:$I$204,ROW()-4)="","",INDEX('İş Planı'!$I$5:$I$204,ROW()-4)),"")</f>
        <v/>
      </c>
      <c r="D161" s="72">
        <f>IFERROR(IF(INDEX('İş Planı'!$M$5:$M$204,ROW()-4)="","",INDEX('İş Planı'!$M$5:$M$204,ROW()-4)),"")</f>
        <v/>
      </c>
      <c r="E161" s="71">
        <f>IFERROR(IF(INDEX('İş Planı'!$O$5:$O$204,ROW()-4)="","",INDEX('İş Planı'!$O$5:$O$204,ROW()-4)),"")</f>
        <v/>
      </c>
      <c r="F161" s="83" t="n"/>
      <c r="G161" s="83" t="n"/>
      <c r="H161" s="83" t="n"/>
      <c r="I161" s="83" t="n"/>
      <c r="J161" s="83" t="n"/>
      <c r="K161" s="83" t="n"/>
      <c r="L161" s="83" t="n"/>
      <c r="M161" s="83" t="n"/>
      <c r="N161" s="83" t="n"/>
      <c r="O161" s="83" t="n"/>
      <c r="P161" s="83" t="n"/>
      <c r="Q161" s="83" t="n"/>
    </row>
    <row r="162" ht="18" customHeight="1">
      <c r="A162" s="55">
        <f>IFERROR(IF(INDEX('İş Planı'!$C$5:$C$204,ROW()-4)="","",INDEX('İş Planı'!$C$5:$C$204,ROW()-4)),"")</f>
        <v/>
      </c>
      <c r="B162" s="55">
        <f>IFERROR(IF(INDEX('İş Planı'!$B$5:$B$204,ROW()-4)="","",INDEX('İş Planı'!$B$5:$B$204,ROW()-4)),"")</f>
        <v/>
      </c>
      <c r="C162" s="72">
        <f>IFERROR(IF(INDEX('İş Planı'!$I$5:$I$204,ROW()-4)="","",INDEX('İş Planı'!$I$5:$I$204,ROW()-4)),"")</f>
        <v/>
      </c>
      <c r="D162" s="72">
        <f>IFERROR(IF(INDEX('İş Planı'!$M$5:$M$204,ROW()-4)="","",INDEX('İş Planı'!$M$5:$M$204,ROW()-4)),"")</f>
        <v/>
      </c>
      <c r="E162" s="71">
        <f>IFERROR(IF(INDEX('İş Planı'!$O$5:$O$204,ROW()-4)="","",INDEX('İş Planı'!$O$5:$O$204,ROW()-4)),"")</f>
        <v/>
      </c>
      <c r="F162" s="83" t="n"/>
      <c r="G162" s="83" t="n"/>
      <c r="H162" s="83" t="n"/>
      <c r="I162" s="83" t="n"/>
      <c r="J162" s="83" t="n"/>
      <c r="K162" s="83" t="n"/>
      <c r="L162" s="83" t="n"/>
      <c r="M162" s="83" t="n"/>
      <c r="N162" s="83" t="n"/>
      <c r="O162" s="83" t="n"/>
      <c r="P162" s="83" t="n"/>
      <c r="Q162" s="83" t="n"/>
    </row>
    <row r="163" ht="18" customHeight="1">
      <c r="A163" s="55">
        <f>IFERROR(IF(INDEX('İş Planı'!$C$5:$C$204,ROW()-4)="","",INDEX('İş Planı'!$C$5:$C$204,ROW()-4)),"")</f>
        <v/>
      </c>
      <c r="B163" s="55">
        <f>IFERROR(IF(INDEX('İş Planı'!$B$5:$B$204,ROW()-4)="","",INDEX('İş Planı'!$B$5:$B$204,ROW()-4)),"")</f>
        <v/>
      </c>
      <c r="C163" s="72">
        <f>IFERROR(IF(INDEX('İş Planı'!$I$5:$I$204,ROW()-4)="","",INDEX('İş Planı'!$I$5:$I$204,ROW()-4)),"")</f>
        <v/>
      </c>
      <c r="D163" s="72">
        <f>IFERROR(IF(INDEX('İş Planı'!$M$5:$M$204,ROW()-4)="","",INDEX('İş Planı'!$M$5:$M$204,ROW()-4)),"")</f>
        <v/>
      </c>
      <c r="E163" s="71">
        <f>IFERROR(IF(INDEX('İş Planı'!$O$5:$O$204,ROW()-4)="","",INDEX('İş Planı'!$O$5:$O$204,ROW()-4)),"")</f>
        <v/>
      </c>
      <c r="F163" s="83" t="n"/>
      <c r="G163" s="83" t="n"/>
      <c r="H163" s="83" t="n"/>
      <c r="I163" s="83" t="n"/>
      <c r="J163" s="83" t="n"/>
      <c r="K163" s="83" t="n"/>
      <c r="L163" s="83" t="n"/>
      <c r="M163" s="83" t="n"/>
      <c r="N163" s="83" t="n"/>
      <c r="O163" s="83" t="n"/>
      <c r="P163" s="83" t="n"/>
      <c r="Q163" s="83" t="n"/>
    </row>
    <row r="164" ht="18" customHeight="1">
      <c r="A164" s="55">
        <f>IFERROR(IF(INDEX('İş Planı'!$C$5:$C$204,ROW()-4)="","",INDEX('İş Planı'!$C$5:$C$204,ROW()-4)),"")</f>
        <v/>
      </c>
      <c r="B164" s="55">
        <f>IFERROR(IF(INDEX('İş Planı'!$B$5:$B$204,ROW()-4)="","",INDEX('İş Planı'!$B$5:$B$204,ROW()-4)),"")</f>
        <v/>
      </c>
      <c r="C164" s="72">
        <f>IFERROR(IF(INDEX('İş Planı'!$I$5:$I$204,ROW()-4)="","",INDEX('İş Planı'!$I$5:$I$204,ROW()-4)),"")</f>
        <v/>
      </c>
      <c r="D164" s="72">
        <f>IFERROR(IF(INDEX('İş Planı'!$M$5:$M$204,ROW()-4)="","",INDEX('İş Planı'!$M$5:$M$204,ROW()-4)),"")</f>
        <v/>
      </c>
      <c r="E164" s="71">
        <f>IFERROR(IF(INDEX('İş Planı'!$O$5:$O$204,ROW()-4)="","",INDEX('İş Planı'!$O$5:$O$204,ROW()-4)),"")</f>
        <v/>
      </c>
      <c r="F164" s="83" t="n"/>
      <c r="G164" s="83" t="n"/>
      <c r="H164" s="83" t="n"/>
      <c r="I164" s="83" t="n"/>
      <c r="J164" s="83" t="n"/>
      <c r="K164" s="83" t="n"/>
      <c r="L164" s="83" t="n"/>
      <c r="M164" s="83" t="n"/>
      <c r="N164" s="83" t="n"/>
      <c r="O164" s="83" t="n"/>
      <c r="P164" s="83" t="n"/>
      <c r="Q164" s="83" t="n"/>
    </row>
    <row r="165" ht="18" customHeight="1">
      <c r="A165" s="55">
        <f>IFERROR(IF(INDEX('İş Planı'!$C$5:$C$204,ROW()-4)="","",INDEX('İş Planı'!$C$5:$C$204,ROW()-4)),"")</f>
        <v/>
      </c>
      <c r="B165" s="55">
        <f>IFERROR(IF(INDEX('İş Planı'!$B$5:$B$204,ROW()-4)="","",INDEX('İş Planı'!$B$5:$B$204,ROW()-4)),"")</f>
        <v/>
      </c>
      <c r="C165" s="72">
        <f>IFERROR(IF(INDEX('İş Planı'!$I$5:$I$204,ROW()-4)="","",INDEX('İş Planı'!$I$5:$I$204,ROW()-4)),"")</f>
        <v/>
      </c>
      <c r="D165" s="72">
        <f>IFERROR(IF(INDEX('İş Planı'!$M$5:$M$204,ROW()-4)="","",INDEX('İş Planı'!$M$5:$M$204,ROW()-4)),"")</f>
        <v/>
      </c>
      <c r="E165" s="71">
        <f>IFERROR(IF(INDEX('İş Planı'!$O$5:$O$204,ROW()-4)="","",INDEX('İş Planı'!$O$5:$O$204,ROW()-4)),"")</f>
        <v/>
      </c>
      <c r="F165" s="83" t="n"/>
      <c r="G165" s="83" t="n"/>
      <c r="H165" s="83" t="n"/>
      <c r="I165" s="83" t="n"/>
      <c r="J165" s="83" t="n"/>
      <c r="K165" s="83" t="n"/>
      <c r="L165" s="83" t="n"/>
      <c r="M165" s="83" t="n"/>
      <c r="N165" s="83" t="n"/>
      <c r="O165" s="83" t="n"/>
      <c r="P165" s="83" t="n"/>
      <c r="Q165" s="83" t="n"/>
    </row>
    <row r="166" ht="18" customHeight="1">
      <c r="A166" s="55">
        <f>IFERROR(IF(INDEX('İş Planı'!$C$5:$C$204,ROW()-4)="","",INDEX('İş Planı'!$C$5:$C$204,ROW()-4)),"")</f>
        <v/>
      </c>
      <c r="B166" s="55">
        <f>IFERROR(IF(INDEX('İş Planı'!$B$5:$B$204,ROW()-4)="","",INDEX('İş Planı'!$B$5:$B$204,ROW()-4)),"")</f>
        <v/>
      </c>
      <c r="C166" s="72">
        <f>IFERROR(IF(INDEX('İş Planı'!$I$5:$I$204,ROW()-4)="","",INDEX('İş Planı'!$I$5:$I$204,ROW()-4)),"")</f>
        <v/>
      </c>
      <c r="D166" s="72">
        <f>IFERROR(IF(INDEX('İş Planı'!$M$5:$M$204,ROW()-4)="","",INDEX('İş Planı'!$M$5:$M$204,ROW()-4)),"")</f>
        <v/>
      </c>
      <c r="E166" s="71">
        <f>IFERROR(IF(INDEX('İş Planı'!$O$5:$O$204,ROW()-4)="","",INDEX('İş Planı'!$O$5:$O$204,ROW()-4)),"")</f>
        <v/>
      </c>
      <c r="F166" s="83" t="n"/>
      <c r="G166" s="83" t="n"/>
      <c r="H166" s="83" t="n"/>
      <c r="I166" s="83" t="n"/>
      <c r="J166" s="83" t="n"/>
      <c r="K166" s="83" t="n"/>
      <c r="L166" s="83" t="n"/>
      <c r="M166" s="83" t="n"/>
      <c r="N166" s="83" t="n"/>
      <c r="O166" s="83" t="n"/>
      <c r="P166" s="83" t="n"/>
      <c r="Q166" s="83" t="n"/>
    </row>
    <row r="167" ht="18" customHeight="1">
      <c r="A167" s="55">
        <f>IFERROR(IF(INDEX('İş Planı'!$C$5:$C$204,ROW()-4)="","",INDEX('İş Planı'!$C$5:$C$204,ROW()-4)),"")</f>
        <v/>
      </c>
      <c r="B167" s="55">
        <f>IFERROR(IF(INDEX('İş Planı'!$B$5:$B$204,ROW()-4)="","",INDEX('İş Planı'!$B$5:$B$204,ROW()-4)),"")</f>
        <v/>
      </c>
      <c r="C167" s="72">
        <f>IFERROR(IF(INDEX('İş Planı'!$I$5:$I$204,ROW()-4)="","",INDEX('İş Planı'!$I$5:$I$204,ROW()-4)),"")</f>
        <v/>
      </c>
      <c r="D167" s="72">
        <f>IFERROR(IF(INDEX('İş Planı'!$M$5:$M$204,ROW()-4)="","",INDEX('İş Planı'!$M$5:$M$204,ROW()-4)),"")</f>
        <v/>
      </c>
      <c r="E167" s="71">
        <f>IFERROR(IF(INDEX('İş Planı'!$O$5:$O$204,ROW()-4)="","",INDEX('İş Planı'!$O$5:$O$204,ROW()-4)),"")</f>
        <v/>
      </c>
      <c r="F167" s="83" t="n"/>
      <c r="G167" s="83" t="n"/>
      <c r="H167" s="83" t="n"/>
      <c r="I167" s="83" t="n"/>
      <c r="J167" s="83" t="n"/>
      <c r="K167" s="83" t="n"/>
      <c r="L167" s="83" t="n"/>
      <c r="M167" s="83" t="n"/>
      <c r="N167" s="83" t="n"/>
      <c r="O167" s="83" t="n"/>
      <c r="P167" s="83" t="n"/>
      <c r="Q167" s="83" t="n"/>
    </row>
    <row r="168" ht="18" customHeight="1">
      <c r="A168" s="55">
        <f>IFERROR(IF(INDEX('İş Planı'!$C$5:$C$204,ROW()-4)="","",INDEX('İş Planı'!$C$5:$C$204,ROW()-4)),"")</f>
        <v/>
      </c>
      <c r="B168" s="55">
        <f>IFERROR(IF(INDEX('İş Planı'!$B$5:$B$204,ROW()-4)="","",INDEX('İş Planı'!$B$5:$B$204,ROW()-4)),"")</f>
        <v/>
      </c>
      <c r="C168" s="72">
        <f>IFERROR(IF(INDEX('İş Planı'!$I$5:$I$204,ROW()-4)="","",INDEX('İş Planı'!$I$5:$I$204,ROW()-4)),"")</f>
        <v/>
      </c>
      <c r="D168" s="72">
        <f>IFERROR(IF(INDEX('İş Planı'!$M$5:$M$204,ROW()-4)="","",INDEX('İş Planı'!$M$5:$M$204,ROW()-4)),"")</f>
        <v/>
      </c>
      <c r="E168" s="71">
        <f>IFERROR(IF(INDEX('İş Planı'!$O$5:$O$204,ROW()-4)="","",INDEX('İş Planı'!$O$5:$O$204,ROW()-4)),"")</f>
        <v/>
      </c>
      <c r="F168" s="83" t="n"/>
      <c r="G168" s="83" t="n"/>
      <c r="H168" s="83" t="n"/>
      <c r="I168" s="83" t="n"/>
      <c r="J168" s="83" t="n"/>
      <c r="K168" s="83" t="n"/>
      <c r="L168" s="83" t="n"/>
      <c r="M168" s="83" t="n"/>
      <c r="N168" s="83" t="n"/>
      <c r="O168" s="83" t="n"/>
      <c r="P168" s="83" t="n"/>
      <c r="Q168" s="83" t="n"/>
    </row>
    <row r="169" ht="18" customHeight="1">
      <c r="A169" s="55">
        <f>IFERROR(IF(INDEX('İş Planı'!$C$5:$C$204,ROW()-4)="","",INDEX('İş Planı'!$C$5:$C$204,ROW()-4)),"")</f>
        <v/>
      </c>
      <c r="B169" s="55">
        <f>IFERROR(IF(INDEX('İş Planı'!$B$5:$B$204,ROW()-4)="","",INDEX('İş Planı'!$B$5:$B$204,ROW()-4)),"")</f>
        <v/>
      </c>
      <c r="C169" s="72">
        <f>IFERROR(IF(INDEX('İş Planı'!$I$5:$I$204,ROW()-4)="","",INDEX('İş Planı'!$I$5:$I$204,ROW()-4)),"")</f>
        <v/>
      </c>
      <c r="D169" s="72">
        <f>IFERROR(IF(INDEX('İş Planı'!$M$5:$M$204,ROW()-4)="","",INDEX('İş Planı'!$M$5:$M$204,ROW()-4)),"")</f>
        <v/>
      </c>
      <c r="E169" s="71">
        <f>IFERROR(IF(INDEX('İş Planı'!$O$5:$O$204,ROW()-4)="","",INDEX('İş Planı'!$O$5:$O$204,ROW()-4)),"")</f>
        <v/>
      </c>
      <c r="F169" s="83" t="n"/>
      <c r="G169" s="83" t="n"/>
      <c r="H169" s="83" t="n"/>
      <c r="I169" s="83" t="n"/>
      <c r="J169" s="83" t="n"/>
      <c r="K169" s="83" t="n"/>
      <c r="L169" s="83" t="n"/>
      <c r="M169" s="83" t="n"/>
      <c r="N169" s="83" t="n"/>
      <c r="O169" s="83" t="n"/>
      <c r="P169" s="83" t="n"/>
      <c r="Q169" s="83" t="n"/>
    </row>
    <row r="170" ht="18" customHeight="1">
      <c r="A170" s="55">
        <f>IFERROR(IF(INDEX('İş Planı'!$C$5:$C$204,ROW()-4)="","",INDEX('İş Planı'!$C$5:$C$204,ROW()-4)),"")</f>
        <v/>
      </c>
      <c r="B170" s="55">
        <f>IFERROR(IF(INDEX('İş Planı'!$B$5:$B$204,ROW()-4)="","",INDEX('İş Planı'!$B$5:$B$204,ROW()-4)),"")</f>
        <v/>
      </c>
      <c r="C170" s="72">
        <f>IFERROR(IF(INDEX('İş Planı'!$I$5:$I$204,ROW()-4)="","",INDEX('İş Planı'!$I$5:$I$204,ROW()-4)),"")</f>
        <v/>
      </c>
      <c r="D170" s="72">
        <f>IFERROR(IF(INDEX('İş Planı'!$M$5:$M$204,ROW()-4)="","",INDEX('İş Planı'!$M$5:$M$204,ROW()-4)),"")</f>
        <v/>
      </c>
      <c r="E170" s="71">
        <f>IFERROR(IF(INDEX('İş Planı'!$O$5:$O$204,ROW()-4)="","",INDEX('İş Planı'!$O$5:$O$204,ROW()-4)),"")</f>
        <v/>
      </c>
      <c r="F170" s="83" t="n"/>
      <c r="G170" s="83" t="n"/>
      <c r="H170" s="83" t="n"/>
      <c r="I170" s="83" t="n"/>
      <c r="J170" s="83" t="n"/>
      <c r="K170" s="83" t="n"/>
      <c r="L170" s="83" t="n"/>
      <c r="M170" s="83" t="n"/>
      <c r="N170" s="83" t="n"/>
      <c r="O170" s="83" t="n"/>
      <c r="P170" s="83" t="n"/>
      <c r="Q170" s="83" t="n"/>
    </row>
    <row r="171" ht="18" customHeight="1">
      <c r="A171" s="55">
        <f>IFERROR(IF(INDEX('İş Planı'!$C$5:$C$204,ROW()-4)="","",INDEX('İş Planı'!$C$5:$C$204,ROW()-4)),"")</f>
        <v/>
      </c>
      <c r="B171" s="55">
        <f>IFERROR(IF(INDEX('İş Planı'!$B$5:$B$204,ROW()-4)="","",INDEX('İş Planı'!$B$5:$B$204,ROW()-4)),"")</f>
        <v/>
      </c>
      <c r="C171" s="72">
        <f>IFERROR(IF(INDEX('İş Planı'!$I$5:$I$204,ROW()-4)="","",INDEX('İş Planı'!$I$5:$I$204,ROW()-4)),"")</f>
        <v/>
      </c>
      <c r="D171" s="72">
        <f>IFERROR(IF(INDEX('İş Planı'!$M$5:$M$204,ROW()-4)="","",INDEX('İş Planı'!$M$5:$M$204,ROW()-4)),"")</f>
        <v/>
      </c>
      <c r="E171" s="71">
        <f>IFERROR(IF(INDEX('İş Planı'!$O$5:$O$204,ROW()-4)="","",INDEX('İş Planı'!$O$5:$O$204,ROW()-4)),"")</f>
        <v/>
      </c>
      <c r="F171" s="83" t="n"/>
      <c r="G171" s="83" t="n"/>
      <c r="H171" s="83" t="n"/>
      <c r="I171" s="83" t="n"/>
      <c r="J171" s="83" t="n"/>
      <c r="K171" s="83" t="n"/>
      <c r="L171" s="83" t="n"/>
      <c r="M171" s="83" t="n"/>
      <c r="N171" s="83" t="n"/>
      <c r="O171" s="83" t="n"/>
      <c r="P171" s="83" t="n"/>
      <c r="Q171" s="83" t="n"/>
    </row>
    <row r="172" ht="18" customHeight="1">
      <c r="A172" s="55">
        <f>IFERROR(IF(INDEX('İş Planı'!$C$5:$C$204,ROW()-4)="","",INDEX('İş Planı'!$C$5:$C$204,ROW()-4)),"")</f>
        <v/>
      </c>
      <c r="B172" s="55">
        <f>IFERROR(IF(INDEX('İş Planı'!$B$5:$B$204,ROW()-4)="","",INDEX('İş Planı'!$B$5:$B$204,ROW()-4)),"")</f>
        <v/>
      </c>
      <c r="C172" s="72">
        <f>IFERROR(IF(INDEX('İş Planı'!$I$5:$I$204,ROW()-4)="","",INDEX('İş Planı'!$I$5:$I$204,ROW()-4)),"")</f>
        <v/>
      </c>
      <c r="D172" s="72">
        <f>IFERROR(IF(INDEX('İş Planı'!$M$5:$M$204,ROW()-4)="","",INDEX('İş Planı'!$M$5:$M$204,ROW()-4)),"")</f>
        <v/>
      </c>
      <c r="E172" s="71">
        <f>IFERROR(IF(INDEX('İş Planı'!$O$5:$O$204,ROW()-4)="","",INDEX('İş Planı'!$O$5:$O$204,ROW()-4)),"")</f>
        <v/>
      </c>
      <c r="F172" s="83" t="n"/>
      <c r="G172" s="83" t="n"/>
      <c r="H172" s="83" t="n"/>
      <c r="I172" s="83" t="n"/>
      <c r="J172" s="83" t="n"/>
      <c r="K172" s="83" t="n"/>
      <c r="L172" s="83" t="n"/>
      <c r="M172" s="83" t="n"/>
      <c r="N172" s="83" t="n"/>
      <c r="O172" s="83" t="n"/>
      <c r="P172" s="83" t="n"/>
      <c r="Q172" s="83" t="n"/>
    </row>
    <row r="173" ht="18" customHeight="1">
      <c r="A173" s="55">
        <f>IFERROR(IF(INDEX('İş Planı'!$C$5:$C$204,ROW()-4)="","",INDEX('İş Planı'!$C$5:$C$204,ROW()-4)),"")</f>
        <v/>
      </c>
      <c r="B173" s="55">
        <f>IFERROR(IF(INDEX('İş Planı'!$B$5:$B$204,ROW()-4)="","",INDEX('İş Planı'!$B$5:$B$204,ROW()-4)),"")</f>
        <v/>
      </c>
      <c r="C173" s="72">
        <f>IFERROR(IF(INDEX('İş Planı'!$I$5:$I$204,ROW()-4)="","",INDEX('İş Planı'!$I$5:$I$204,ROW()-4)),"")</f>
        <v/>
      </c>
      <c r="D173" s="72">
        <f>IFERROR(IF(INDEX('İş Planı'!$M$5:$M$204,ROW()-4)="","",INDEX('İş Planı'!$M$5:$M$204,ROW()-4)),"")</f>
        <v/>
      </c>
      <c r="E173" s="71">
        <f>IFERROR(IF(INDEX('İş Planı'!$O$5:$O$204,ROW()-4)="","",INDEX('İş Planı'!$O$5:$O$204,ROW()-4)),"")</f>
        <v/>
      </c>
      <c r="F173" s="83" t="n"/>
      <c r="G173" s="83" t="n"/>
      <c r="H173" s="83" t="n"/>
      <c r="I173" s="83" t="n"/>
      <c r="J173" s="83" t="n"/>
      <c r="K173" s="83" t="n"/>
      <c r="L173" s="83" t="n"/>
      <c r="M173" s="83" t="n"/>
      <c r="N173" s="83" t="n"/>
      <c r="O173" s="83" t="n"/>
      <c r="P173" s="83" t="n"/>
      <c r="Q173" s="83" t="n"/>
    </row>
    <row r="174" ht="18" customHeight="1">
      <c r="A174" s="55">
        <f>IFERROR(IF(INDEX('İş Planı'!$C$5:$C$204,ROW()-4)="","",INDEX('İş Planı'!$C$5:$C$204,ROW()-4)),"")</f>
        <v/>
      </c>
      <c r="B174" s="55">
        <f>IFERROR(IF(INDEX('İş Planı'!$B$5:$B$204,ROW()-4)="","",INDEX('İş Planı'!$B$5:$B$204,ROW()-4)),"")</f>
        <v/>
      </c>
      <c r="C174" s="72">
        <f>IFERROR(IF(INDEX('İş Planı'!$I$5:$I$204,ROW()-4)="","",INDEX('İş Planı'!$I$5:$I$204,ROW()-4)),"")</f>
        <v/>
      </c>
      <c r="D174" s="72">
        <f>IFERROR(IF(INDEX('İş Planı'!$M$5:$M$204,ROW()-4)="","",INDEX('İş Planı'!$M$5:$M$204,ROW()-4)),"")</f>
        <v/>
      </c>
      <c r="E174" s="71">
        <f>IFERROR(IF(INDEX('İş Planı'!$O$5:$O$204,ROW()-4)="","",INDEX('İş Planı'!$O$5:$O$204,ROW()-4)),"")</f>
        <v/>
      </c>
      <c r="F174" s="83" t="n"/>
      <c r="G174" s="83" t="n"/>
      <c r="H174" s="83" t="n"/>
      <c r="I174" s="83" t="n"/>
      <c r="J174" s="83" t="n"/>
      <c r="K174" s="83" t="n"/>
      <c r="L174" s="83" t="n"/>
      <c r="M174" s="83" t="n"/>
      <c r="N174" s="83" t="n"/>
      <c r="O174" s="83" t="n"/>
      <c r="P174" s="83" t="n"/>
      <c r="Q174" s="83" t="n"/>
    </row>
    <row r="175" ht="18" customHeight="1">
      <c r="A175" s="55">
        <f>IFERROR(IF(INDEX('İş Planı'!$C$5:$C$204,ROW()-4)="","",INDEX('İş Planı'!$C$5:$C$204,ROW()-4)),"")</f>
        <v/>
      </c>
      <c r="B175" s="55">
        <f>IFERROR(IF(INDEX('İş Planı'!$B$5:$B$204,ROW()-4)="","",INDEX('İş Planı'!$B$5:$B$204,ROW()-4)),"")</f>
        <v/>
      </c>
      <c r="C175" s="72">
        <f>IFERROR(IF(INDEX('İş Planı'!$I$5:$I$204,ROW()-4)="","",INDEX('İş Planı'!$I$5:$I$204,ROW()-4)),"")</f>
        <v/>
      </c>
      <c r="D175" s="72">
        <f>IFERROR(IF(INDEX('İş Planı'!$M$5:$M$204,ROW()-4)="","",INDEX('İş Planı'!$M$5:$M$204,ROW()-4)),"")</f>
        <v/>
      </c>
      <c r="E175" s="71">
        <f>IFERROR(IF(INDEX('İş Planı'!$O$5:$O$204,ROW()-4)="","",INDEX('İş Planı'!$O$5:$O$204,ROW()-4)),"")</f>
        <v/>
      </c>
      <c r="F175" s="83" t="n"/>
      <c r="G175" s="83" t="n"/>
      <c r="H175" s="83" t="n"/>
      <c r="I175" s="83" t="n"/>
      <c r="J175" s="83" t="n"/>
      <c r="K175" s="83" t="n"/>
      <c r="L175" s="83" t="n"/>
      <c r="M175" s="83" t="n"/>
      <c r="N175" s="83" t="n"/>
      <c r="O175" s="83" t="n"/>
      <c r="P175" s="83" t="n"/>
      <c r="Q175" s="83" t="n"/>
    </row>
    <row r="176" ht="18" customHeight="1">
      <c r="A176" s="55">
        <f>IFERROR(IF(INDEX('İş Planı'!$C$5:$C$204,ROW()-4)="","",INDEX('İş Planı'!$C$5:$C$204,ROW()-4)),"")</f>
        <v/>
      </c>
      <c r="B176" s="55">
        <f>IFERROR(IF(INDEX('İş Planı'!$B$5:$B$204,ROW()-4)="","",INDEX('İş Planı'!$B$5:$B$204,ROW()-4)),"")</f>
        <v/>
      </c>
      <c r="C176" s="72">
        <f>IFERROR(IF(INDEX('İş Planı'!$I$5:$I$204,ROW()-4)="","",INDEX('İş Planı'!$I$5:$I$204,ROW()-4)),"")</f>
        <v/>
      </c>
      <c r="D176" s="72">
        <f>IFERROR(IF(INDEX('İş Planı'!$M$5:$M$204,ROW()-4)="","",INDEX('İş Planı'!$M$5:$M$204,ROW()-4)),"")</f>
        <v/>
      </c>
      <c r="E176" s="71">
        <f>IFERROR(IF(INDEX('İş Planı'!$O$5:$O$204,ROW()-4)="","",INDEX('İş Planı'!$O$5:$O$204,ROW()-4)),"")</f>
        <v/>
      </c>
      <c r="F176" s="83" t="n"/>
      <c r="G176" s="83" t="n"/>
      <c r="H176" s="83" t="n"/>
      <c r="I176" s="83" t="n"/>
      <c r="J176" s="83" t="n"/>
      <c r="K176" s="83" t="n"/>
      <c r="L176" s="83" t="n"/>
      <c r="M176" s="83" t="n"/>
      <c r="N176" s="83" t="n"/>
      <c r="O176" s="83" t="n"/>
      <c r="P176" s="83" t="n"/>
      <c r="Q176" s="83" t="n"/>
    </row>
    <row r="177" ht="18" customHeight="1">
      <c r="A177" s="55">
        <f>IFERROR(IF(INDEX('İş Planı'!$C$5:$C$204,ROW()-4)="","",INDEX('İş Planı'!$C$5:$C$204,ROW()-4)),"")</f>
        <v/>
      </c>
      <c r="B177" s="55">
        <f>IFERROR(IF(INDEX('İş Planı'!$B$5:$B$204,ROW()-4)="","",INDEX('İş Planı'!$B$5:$B$204,ROW()-4)),"")</f>
        <v/>
      </c>
      <c r="C177" s="72">
        <f>IFERROR(IF(INDEX('İş Planı'!$I$5:$I$204,ROW()-4)="","",INDEX('İş Planı'!$I$5:$I$204,ROW()-4)),"")</f>
        <v/>
      </c>
      <c r="D177" s="72">
        <f>IFERROR(IF(INDEX('İş Planı'!$M$5:$M$204,ROW()-4)="","",INDEX('İş Planı'!$M$5:$M$204,ROW()-4)),"")</f>
        <v/>
      </c>
      <c r="E177" s="71">
        <f>IFERROR(IF(INDEX('İş Planı'!$O$5:$O$204,ROW()-4)="","",INDEX('İş Planı'!$O$5:$O$204,ROW()-4)),"")</f>
        <v/>
      </c>
      <c r="F177" s="83" t="n"/>
      <c r="G177" s="83" t="n"/>
      <c r="H177" s="83" t="n"/>
      <c r="I177" s="83" t="n"/>
      <c r="J177" s="83" t="n"/>
      <c r="K177" s="83" t="n"/>
      <c r="L177" s="83" t="n"/>
      <c r="M177" s="83" t="n"/>
      <c r="N177" s="83" t="n"/>
      <c r="O177" s="83" t="n"/>
      <c r="P177" s="83" t="n"/>
      <c r="Q177" s="83" t="n"/>
    </row>
    <row r="178" ht="18" customHeight="1">
      <c r="A178" s="55">
        <f>IFERROR(IF(INDEX('İş Planı'!$C$5:$C$204,ROW()-4)="","",INDEX('İş Planı'!$C$5:$C$204,ROW()-4)),"")</f>
        <v/>
      </c>
      <c r="B178" s="55">
        <f>IFERROR(IF(INDEX('İş Planı'!$B$5:$B$204,ROW()-4)="","",INDEX('İş Planı'!$B$5:$B$204,ROW()-4)),"")</f>
        <v/>
      </c>
      <c r="C178" s="72">
        <f>IFERROR(IF(INDEX('İş Planı'!$I$5:$I$204,ROW()-4)="","",INDEX('İş Planı'!$I$5:$I$204,ROW()-4)),"")</f>
        <v/>
      </c>
      <c r="D178" s="72">
        <f>IFERROR(IF(INDEX('İş Planı'!$M$5:$M$204,ROW()-4)="","",INDEX('İş Planı'!$M$5:$M$204,ROW()-4)),"")</f>
        <v/>
      </c>
      <c r="E178" s="71">
        <f>IFERROR(IF(INDEX('İş Planı'!$O$5:$O$204,ROW()-4)="","",INDEX('İş Planı'!$O$5:$O$204,ROW()-4)),"")</f>
        <v/>
      </c>
      <c r="F178" s="83" t="n"/>
      <c r="G178" s="83" t="n"/>
      <c r="H178" s="83" t="n"/>
      <c r="I178" s="83" t="n"/>
      <c r="J178" s="83" t="n"/>
      <c r="K178" s="83" t="n"/>
      <c r="L178" s="83" t="n"/>
      <c r="M178" s="83" t="n"/>
      <c r="N178" s="83" t="n"/>
      <c r="O178" s="83" t="n"/>
      <c r="P178" s="83" t="n"/>
      <c r="Q178" s="83" t="n"/>
    </row>
    <row r="179" ht="18" customHeight="1">
      <c r="A179" s="55">
        <f>IFERROR(IF(INDEX('İş Planı'!$C$5:$C$204,ROW()-4)="","",INDEX('İş Planı'!$C$5:$C$204,ROW()-4)),"")</f>
        <v/>
      </c>
      <c r="B179" s="55">
        <f>IFERROR(IF(INDEX('İş Planı'!$B$5:$B$204,ROW()-4)="","",INDEX('İş Planı'!$B$5:$B$204,ROW()-4)),"")</f>
        <v/>
      </c>
      <c r="C179" s="72">
        <f>IFERROR(IF(INDEX('İş Planı'!$I$5:$I$204,ROW()-4)="","",INDEX('İş Planı'!$I$5:$I$204,ROW()-4)),"")</f>
        <v/>
      </c>
      <c r="D179" s="72">
        <f>IFERROR(IF(INDEX('İş Planı'!$M$5:$M$204,ROW()-4)="","",INDEX('İş Planı'!$M$5:$M$204,ROW()-4)),"")</f>
        <v/>
      </c>
      <c r="E179" s="71">
        <f>IFERROR(IF(INDEX('İş Planı'!$O$5:$O$204,ROW()-4)="","",INDEX('İş Planı'!$O$5:$O$204,ROW()-4)),"")</f>
        <v/>
      </c>
      <c r="F179" s="83" t="n"/>
      <c r="G179" s="83" t="n"/>
      <c r="H179" s="83" t="n"/>
      <c r="I179" s="83" t="n"/>
      <c r="J179" s="83" t="n"/>
      <c r="K179" s="83" t="n"/>
      <c r="L179" s="83" t="n"/>
      <c r="M179" s="83" t="n"/>
      <c r="N179" s="83" t="n"/>
      <c r="O179" s="83" t="n"/>
      <c r="P179" s="83" t="n"/>
      <c r="Q179" s="83" t="n"/>
    </row>
    <row r="180" ht="18" customHeight="1">
      <c r="A180" s="55">
        <f>IFERROR(IF(INDEX('İş Planı'!$C$5:$C$204,ROW()-4)="","",INDEX('İş Planı'!$C$5:$C$204,ROW()-4)),"")</f>
        <v/>
      </c>
      <c r="B180" s="55">
        <f>IFERROR(IF(INDEX('İş Planı'!$B$5:$B$204,ROW()-4)="","",INDEX('İş Planı'!$B$5:$B$204,ROW()-4)),"")</f>
        <v/>
      </c>
      <c r="C180" s="72">
        <f>IFERROR(IF(INDEX('İş Planı'!$I$5:$I$204,ROW()-4)="","",INDEX('İş Planı'!$I$5:$I$204,ROW()-4)),"")</f>
        <v/>
      </c>
      <c r="D180" s="72">
        <f>IFERROR(IF(INDEX('İş Planı'!$M$5:$M$204,ROW()-4)="","",INDEX('İş Planı'!$M$5:$M$204,ROW()-4)),"")</f>
        <v/>
      </c>
      <c r="E180" s="71">
        <f>IFERROR(IF(INDEX('İş Planı'!$O$5:$O$204,ROW()-4)="","",INDEX('İş Planı'!$O$5:$O$204,ROW()-4)),"")</f>
        <v/>
      </c>
      <c r="F180" s="83" t="n"/>
      <c r="G180" s="83" t="n"/>
      <c r="H180" s="83" t="n"/>
      <c r="I180" s="83" t="n"/>
      <c r="J180" s="83" t="n"/>
      <c r="K180" s="83" t="n"/>
      <c r="L180" s="83" t="n"/>
      <c r="M180" s="83" t="n"/>
      <c r="N180" s="83" t="n"/>
      <c r="O180" s="83" t="n"/>
      <c r="P180" s="83" t="n"/>
      <c r="Q180" s="83" t="n"/>
    </row>
    <row r="181" ht="18" customHeight="1">
      <c r="A181" s="55">
        <f>IFERROR(IF(INDEX('İş Planı'!$C$5:$C$204,ROW()-4)="","",INDEX('İş Planı'!$C$5:$C$204,ROW()-4)),"")</f>
        <v/>
      </c>
      <c r="B181" s="55">
        <f>IFERROR(IF(INDEX('İş Planı'!$B$5:$B$204,ROW()-4)="","",INDEX('İş Planı'!$B$5:$B$204,ROW()-4)),"")</f>
        <v/>
      </c>
      <c r="C181" s="72">
        <f>IFERROR(IF(INDEX('İş Planı'!$I$5:$I$204,ROW()-4)="","",INDEX('İş Planı'!$I$5:$I$204,ROW()-4)),"")</f>
        <v/>
      </c>
      <c r="D181" s="72">
        <f>IFERROR(IF(INDEX('İş Planı'!$M$5:$M$204,ROW()-4)="","",INDEX('İş Planı'!$M$5:$M$204,ROW()-4)),"")</f>
        <v/>
      </c>
      <c r="E181" s="71">
        <f>IFERROR(IF(INDEX('İş Planı'!$O$5:$O$204,ROW()-4)="","",INDEX('İş Planı'!$O$5:$O$204,ROW()-4)),"")</f>
        <v/>
      </c>
      <c r="F181" s="83" t="n"/>
      <c r="G181" s="83" t="n"/>
      <c r="H181" s="83" t="n"/>
      <c r="I181" s="83" t="n"/>
      <c r="J181" s="83" t="n"/>
      <c r="K181" s="83" t="n"/>
      <c r="L181" s="83" t="n"/>
      <c r="M181" s="83" t="n"/>
      <c r="N181" s="83" t="n"/>
      <c r="O181" s="83" t="n"/>
      <c r="P181" s="83" t="n"/>
      <c r="Q181" s="83" t="n"/>
    </row>
    <row r="182" ht="18" customHeight="1">
      <c r="A182" s="55">
        <f>IFERROR(IF(INDEX('İş Planı'!$C$5:$C$204,ROW()-4)="","",INDEX('İş Planı'!$C$5:$C$204,ROW()-4)),"")</f>
        <v/>
      </c>
      <c r="B182" s="55">
        <f>IFERROR(IF(INDEX('İş Planı'!$B$5:$B$204,ROW()-4)="","",INDEX('İş Planı'!$B$5:$B$204,ROW()-4)),"")</f>
        <v/>
      </c>
      <c r="C182" s="72">
        <f>IFERROR(IF(INDEX('İş Planı'!$I$5:$I$204,ROW()-4)="","",INDEX('İş Planı'!$I$5:$I$204,ROW()-4)),"")</f>
        <v/>
      </c>
      <c r="D182" s="72">
        <f>IFERROR(IF(INDEX('İş Planı'!$M$5:$M$204,ROW()-4)="","",INDEX('İş Planı'!$M$5:$M$204,ROW()-4)),"")</f>
        <v/>
      </c>
      <c r="E182" s="71">
        <f>IFERROR(IF(INDEX('İş Planı'!$O$5:$O$204,ROW()-4)="","",INDEX('İş Planı'!$O$5:$O$204,ROW()-4)),"")</f>
        <v/>
      </c>
      <c r="F182" s="83" t="n"/>
      <c r="G182" s="83" t="n"/>
      <c r="H182" s="83" t="n"/>
      <c r="I182" s="83" t="n"/>
      <c r="J182" s="83" t="n"/>
      <c r="K182" s="83" t="n"/>
      <c r="L182" s="83" t="n"/>
      <c r="M182" s="83" t="n"/>
      <c r="N182" s="83" t="n"/>
      <c r="O182" s="83" t="n"/>
      <c r="P182" s="83" t="n"/>
      <c r="Q182" s="83" t="n"/>
    </row>
    <row r="183" ht="18" customHeight="1">
      <c r="A183" s="55">
        <f>IFERROR(IF(INDEX('İş Planı'!$C$5:$C$204,ROW()-4)="","",INDEX('İş Planı'!$C$5:$C$204,ROW()-4)),"")</f>
        <v/>
      </c>
      <c r="B183" s="55">
        <f>IFERROR(IF(INDEX('İş Planı'!$B$5:$B$204,ROW()-4)="","",INDEX('İş Planı'!$B$5:$B$204,ROW()-4)),"")</f>
        <v/>
      </c>
      <c r="C183" s="72">
        <f>IFERROR(IF(INDEX('İş Planı'!$I$5:$I$204,ROW()-4)="","",INDEX('İş Planı'!$I$5:$I$204,ROW()-4)),"")</f>
        <v/>
      </c>
      <c r="D183" s="72">
        <f>IFERROR(IF(INDEX('İş Planı'!$M$5:$M$204,ROW()-4)="","",INDEX('İş Planı'!$M$5:$M$204,ROW()-4)),"")</f>
        <v/>
      </c>
      <c r="E183" s="71">
        <f>IFERROR(IF(INDEX('İş Planı'!$O$5:$O$204,ROW()-4)="","",INDEX('İş Planı'!$O$5:$O$204,ROW()-4)),"")</f>
        <v/>
      </c>
      <c r="F183" s="83" t="n"/>
      <c r="G183" s="83" t="n"/>
      <c r="H183" s="83" t="n"/>
      <c r="I183" s="83" t="n"/>
      <c r="J183" s="83" t="n"/>
      <c r="K183" s="83" t="n"/>
      <c r="L183" s="83" t="n"/>
      <c r="M183" s="83" t="n"/>
      <c r="N183" s="83" t="n"/>
      <c r="O183" s="83" t="n"/>
      <c r="P183" s="83" t="n"/>
      <c r="Q183" s="83" t="n"/>
    </row>
    <row r="184" ht="18" customHeight="1">
      <c r="A184" s="55">
        <f>IFERROR(IF(INDEX('İş Planı'!$C$5:$C$204,ROW()-4)="","",INDEX('İş Planı'!$C$5:$C$204,ROW()-4)),"")</f>
        <v/>
      </c>
      <c r="B184" s="55">
        <f>IFERROR(IF(INDEX('İş Planı'!$B$5:$B$204,ROW()-4)="","",INDEX('İş Planı'!$B$5:$B$204,ROW()-4)),"")</f>
        <v/>
      </c>
      <c r="C184" s="72">
        <f>IFERROR(IF(INDEX('İş Planı'!$I$5:$I$204,ROW()-4)="","",INDEX('İş Planı'!$I$5:$I$204,ROW()-4)),"")</f>
        <v/>
      </c>
      <c r="D184" s="72">
        <f>IFERROR(IF(INDEX('İş Planı'!$M$5:$M$204,ROW()-4)="","",INDEX('İş Planı'!$M$5:$M$204,ROW()-4)),"")</f>
        <v/>
      </c>
      <c r="E184" s="71">
        <f>IFERROR(IF(INDEX('İş Planı'!$O$5:$O$204,ROW()-4)="","",INDEX('İş Planı'!$O$5:$O$204,ROW()-4)),"")</f>
        <v/>
      </c>
      <c r="F184" s="83" t="n"/>
      <c r="G184" s="83" t="n"/>
      <c r="H184" s="83" t="n"/>
      <c r="I184" s="83" t="n"/>
      <c r="J184" s="83" t="n"/>
      <c r="K184" s="83" t="n"/>
      <c r="L184" s="83" t="n"/>
      <c r="M184" s="83" t="n"/>
      <c r="N184" s="83" t="n"/>
      <c r="O184" s="83" t="n"/>
      <c r="P184" s="83" t="n"/>
      <c r="Q184" s="83" t="n"/>
    </row>
    <row r="185" ht="18" customHeight="1">
      <c r="A185" s="55">
        <f>IFERROR(IF(INDEX('İş Planı'!$C$5:$C$204,ROW()-4)="","",INDEX('İş Planı'!$C$5:$C$204,ROW()-4)),"")</f>
        <v/>
      </c>
      <c r="B185" s="55">
        <f>IFERROR(IF(INDEX('İş Planı'!$B$5:$B$204,ROW()-4)="","",INDEX('İş Planı'!$B$5:$B$204,ROW()-4)),"")</f>
        <v/>
      </c>
      <c r="C185" s="72">
        <f>IFERROR(IF(INDEX('İş Planı'!$I$5:$I$204,ROW()-4)="","",INDEX('İş Planı'!$I$5:$I$204,ROW()-4)),"")</f>
        <v/>
      </c>
      <c r="D185" s="72">
        <f>IFERROR(IF(INDEX('İş Planı'!$M$5:$M$204,ROW()-4)="","",INDEX('İş Planı'!$M$5:$M$204,ROW()-4)),"")</f>
        <v/>
      </c>
      <c r="E185" s="71">
        <f>IFERROR(IF(INDEX('İş Planı'!$O$5:$O$204,ROW()-4)="","",INDEX('İş Planı'!$O$5:$O$204,ROW()-4)),"")</f>
        <v/>
      </c>
      <c r="F185" s="83" t="n"/>
      <c r="G185" s="83" t="n"/>
      <c r="H185" s="83" t="n"/>
      <c r="I185" s="83" t="n"/>
      <c r="J185" s="83" t="n"/>
      <c r="K185" s="83" t="n"/>
      <c r="L185" s="83" t="n"/>
      <c r="M185" s="83" t="n"/>
      <c r="N185" s="83" t="n"/>
      <c r="O185" s="83" t="n"/>
      <c r="P185" s="83" t="n"/>
      <c r="Q185" s="83" t="n"/>
    </row>
    <row r="186" ht="18" customHeight="1">
      <c r="A186" s="55">
        <f>IFERROR(IF(INDEX('İş Planı'!$C$5:$C$204,ROW()-4)="","",INDEX('İş Planı'!$C$5:$C$204,ROW()-4)),"")</f>
        <v/>
      </c>
      <c r="B186" s="55">
        <f>IFERROR(IF(INDEX('İş Planı'!$B$5:$B$204,ROW()-4)="","",INDEX('İş Planı'!$B$5:$B$204,ROW()-4)),"")</f>
        <v/>
      </c>
      <c r="C186" s="72">
        <f>IFERROR(IF(INDEX('İş Planı'!$I$5:$I$204,ROW()-4)="","",INDEX('İş Planı'!$I$5:$I$204,ROW()-4)),"")</f>
        <v/>
      </c>
      <c r="D186" s="72">
        <f>IFERROR(IF(INDEX('İş Planı'!$M$5:$M$204,ROW()-4)="","",INDEX('İş Planı'!$M$5:$M$204,ROW()-4)),"")</f>
        <v/>
      </c>
      <c r="E186" s="71">
        <f>IFERROR(IF(INDEX('İş Planı'!$O$5:$O$204,ROW()-4)="","",INDEX('İş Planı'!$O$5:$O$204,ROW()-4)),"")</f>
        <v/>
      </c>
      <c r="F186" s="83" t="n"/>
      <c r="G186" s="83" t="n"/>
      <c r="H186" s="83" t="n"/>
      <c r="I186" s="83" t="n"/>
      <c r="J186" s="83" t="n"/>
      <c r="K186" s="83" t="n"/>
      <c r="L186" s="83" t="n"/>
      <c r="M186" s="83" t="n"/>
      <c r="N186" s="83" t="n"/>
      <c r="O186" s="83" t="n"/>
      <c r="P186" s="83" t="n"/>
      <c r="Q186" s="83" t="n"/>
    </row>
    <row r="187" ht="18" customHeight="1">
      <c r="A187" s="55">
        <f>IFERROR(IF(INDEX('İş Planı'!$C$5:$C$204,ROW()-4)="","",INDEX('İş Planı'!$C$5:$C$204,ROW()-4)),"")</f>
        <v/>
      </c>
      <c r="B187" s="55">
        <f>IFERROR(IF(INDEX('İş Planı'!$B$5:$B$204,ROW()-4)="","",INDEX('İş Planı'!$B$5:$B$204,ROW()-4)),"")</f>
        <v/>
      </c>
      <c r="C187" s="72">
        <f>IFERROR(IF(INDEX('İş Planı'!$I$5:$I$204,ROW()-4)="","",INDEX('İş Planı'!$I$5:$I$204,ROW()-4)),"")</f>
        <v/>
      </c>
      <c r="D187" s="72">
        <f>IFERROR(IF(INDEX('İş Planı'!$M$5:$M$204,ROW()-4)="","",INDEX('İş Planı'!$M$5:$M$204,ROW()-4)),"")</f>
        <v/>
      </c>
      <c r="E187" s="71">
        <f>IFERROR(IF(INDEX('İş Planı'!$O$5:$O$204,ROW()-4)="","",INDEX('İş Planı'!$O$5:$O$204,ROW()-4)),"")</f>
        <v/>
      </c>
      <c r="F187" s="83" t="n"/>
      <c r="G187" s="83" t="n"/>
      <c r="H187" s="83" t="n"/>
      <c r="I187" s="83" t="n"/>
      <c r="J187" s="83" t="n"/>
      <c r="K187" s="83" t="n"/>
      <c r="L187" s="83" t="n"/>
      <c r="M187" s="83" t="n"/>
      <c r="N187" s="83" t="n"/>
      <c r="O187" s="83" t="n"/>
      <c r="P187" s="83" t="n"/>
      <c r="Q187" s="83" t="n"/>
    </row>
    <row r="188" ht="18" customHeight="1">
      <c r="A188" s="55">
        <f>IFERROR(IF(INDEX('İş Planı'!$C$5:$C$204,ROW()-4)="","",INDEX('İş Planı'!$C$5:$C$204,ROW()-4)),"")</f>
        <v/>
      </c>
      <c r="B188" s="55">
        <f>IFERROR(IF(INDEX('İş Planı'!$B$5:$B$204,ROW()-4)="","",INDEX('İş Planı'!$B$5:$B$204,ROW()-4)),"")</f>
        <v/>
      </c>
      <c r="C188" s="72">
        <f>IFERROR(IF(INDEX('İş Planı'!$I$5:$I$204,ROW()-4)="","",INDEX('İş Planı'!$I$5:$I$204,ROW()-4)),"")</f>
        <v/>
      </c>
      <c r="D188" s="72">
        <f>IFERROR(IF(INDEX('İş Planı'!$M$5:$M$204,ROW()-4)="","",INDEX('İş Planı'!$M$5:$M$204,ROW()-4)),"")</f>
        <v/>
      </c>
      <c r="E188" s="71">
        <f>IFERROR(IF(INDEX('İş Planı'!$O$5:$O$204,ROW()-4)="","",INDEX('İş Planı'!$O$5:$O$204,ROW()-4)),"")</f>
        <v/>
      </c>
      <c r="F188" s="83" t="n"/>
      <c r="G188" s="83" t="n"/>
      <c r="H188" s="83" t="n"/>
      <c r="I188" s="83" t="n"/>
      <c r="J188" s="83" t="n"/>
      <c r="K188" s="83" t="n"/>
      <c r="L188" s="83" t="n"/>
      <c r="M188" s="83" t="n"/>
      <c r="N188" s="83" t="n"/>
      <c r="O188" s="83" t="n"/>
      <c r="P188" s="83" t="n"/>
      <c r="Q188" s="83" t="n"/>
    </row>
    <row r="189" ht="18" customHeight="1">
      <c r="A189" s="55">
        <f>IFERROR(IF(INDEX('İş Planı'!$C$5:$C$204,ROW()-4)="","",INDEX('İş Planı'!$C$5:$C$204,ROW()-4)),"")</f>
        <v/>
      </c>
      <c r="B189" s="55">
        <f>IFERROR(IF(INDEX('İş Planı'!$B$5:$B$204,ROW()-4)="","",INDEX('İş Planı'!$B$5:$B$204,ROW()-4)),"")</f>
        <v/>
      </c>
      <c r="C189" s="72">
        <f>IFERROR(IF(INDEX('İş Planı'!$I$5:$I$204,ROW()-4)="","",INDEX('İş Planı'!$I$5:$I$204,ROW()-4)),"")</f>
        <v/>
      </c>
      <c r="D189" s="72">
        <f>IFERROR(IF(INDEX('İş Planı'!$M$5:$M$204,ROW()-4)="","",INDEX('İş Planı'!$M$5:$M$204,ROW()-4)),"")</f>
        <v/>
      </c>
      <c r="E189" s="71">
        <f>IFERROR(IF(INDEX('İş Planı'!$O$5:$O$204,ROW()-4)="","",INDEX('İş Planı'!$O$5:$O$204,ROW()-4)),"")</f>
        <v/>
      </c>
      <c r="F189" s="83" t="n"/>
      <c r="G189" s="83" t="n"/>
      <c r="H189" s="83" t="n"/>
      <c r="I189" s="83" t="n"/>
      <c r="J189" s="83" t="n"/>
      <c r="K189" s="83" t="n"/>
      <c r="L189" s="83" t="n"/>
      <c r="M189" s="83" t="n"/>
      <c r="N189" s="83" t="n"/>
      <c r="O189" s="83" t="n"/>
      <c r="P189" s="83" t="n"/>
      <c r="Q189" s="83" t="n"/>
    </row>
    <row r="190" ht="18" customHeight="1">
      <c r="A190" s="55">
        <f>IFERROR(IF(INDEX('İş Planı'!$C$5:$C$204,ROW()-4)="","",INDEX('İş Planı'!$C$5:$C$204,ROW()-4)),"")</f>
        <v/>
      </c>
      <c r="B190" s="55">
        <f>IFERROR(IF(INDEX('İş Planı'!$B$5:$B$204,ROW()-4)="","",INDEX('İş Planı'!$B$5:$B$204,ROW()-4)),"")</f>
        <v/>
      </c>
      <c r="C190" s="72">
        <f>IFERROR(IF(INDEX('İş Planı'!$I$5:$I$204,ROW()-4)="","",INDEX('İş Planı'!$I$5:$I$204,ROW()-4)),"")</f>
        <v/>
      </c>
      <c r="D190" s="72">
        <f>IFERROR(IF(INDEX('İş Planı'!$M$5:$M$204,ROW()-4)="","",INDEX('İş Planı'!$M$5:$M$204,ROW()-4)),"")</f>
        <v/>
      </c>
      <c r="E190" s="71">
        <f>IFERROR(IF(INDEX('İş Planı'!$O$5:$O$204,ROW()-4)="","",INDEX('İş Planı'!$O$5:$O$204,ROW()-4)),"")</f>
        <v/>
      </c>
      <c r="F190" s="83" t="n"/>
      <c r="G190" s="83" t="n"/>
      <c r="H190" s="83" t="n"/>
      <c r="I190" s="83" t="n"/>
      <c r="J190" s="83" t="n"/>
      <c r="K190" s="83" t="n"/>
      <c r="L190" s="83" t="n"/>
      <c r="M190" s="83" t="n"/>
      <c r="N190" s="83" t="n"/>
      <c r="O190" s="83" t="n"/>
      <c r="P190" s="83" t="n"/>
      <c r="Q190" s="83" t="n"/>
    </row>
    <row r="191" ht="18" customHeight="1">
      <c r="A191" s="55">
        <f>IFERROR(IF(INDEX('İş Planı'!$C$5:$C$204,ROW()-4)="","",INDEX('İş Planı'!$C$5:$C$204,ROW()-4)),"")</f>
        <v/>
      </c>
      <c r="B191" s="55">
        <f>IFERROR(IF(INDEX('İş Planı'!$B$5:$B$204,ROW()-4)="","",INDEX('İş Planı'!$B$5:$B$204,ROW()-4)),"")</f>
        <v/>
      </c>
      <c r="C191" s="72">
        <f>IFERROR(IF(INDEX('İş Planı'!$I$5:$I$204,ROW()-4)="","",INDEX('İş Planı'!$I$5:$I$204,ROW()-4)),"")</f>
        <v/>
      </c>
      <c r="D191" s="72">
        <f>IFERROR(IF(INDEX('İş Planı'!$M$5:$M$204,ROW()-4)="","",INDEX('İş Planı'!$M$5:$M$204,ROW()-4)),"")</f>
        <v/>
      </c>
      <c r="E191" s="71">
        <f>IFERROR(IF(INDEX('İş Planı'!$O$5:$O$204,ROW()-4)="","",INDEX('İş Planı'!$O$5:$O$204,ROW()-4)),"")</f>
        <v/>
      </c>
      <c r="F191" s="83" t="n"/>
      <c r="G191" s="83" t="n"/>
      <c r="H191" s="83" t="n"/>
      <c r="I191" s="83" t="n"/>
      <c r="J191" s="83" t="n"/>
      <c r="K191" s="83" t="n"/>
      <c r="L191" s="83" t="n"/>
      <c r="M191" s="83" t="n"/>
      <c r="N191" s="83" t="n"/>
      <c r="O191" s="83" t="n"/>
      <c r="P191" s="83" t="n"/>
      <c r="Q191" s="83" t="n"/>
    </row>
    <row r="192" ht="18" customHeight="1">
      <c r="A192" s="55">
        <f>IFERROR(IF(INDEX('İş Planı'!$C$5:$C$204,ROW()-4)="","",INDEX('İş Planı'!$C$5:$C$204,ROW()-4)),"")</f>
        <v/>
      </c>
      <c r="B192" s="55">
        <f>IFERROR(IF(INDEX('İş Planı'!$B$5:$B$204,ROW()-4)="","",INDEX('İş Planı'!$B$5:$B$204,ROW()-4)),"")</f>
        <v/>
      </c>
      <c r="C192" s="72">
        <f>IFERROR(IF(INDEX('İş Planı'!$I$5:$I$204,ROW()-4)="","",INDEX('İş Planı'!$I$5:$I$204,ROW()-4)),"")</f>
        <v/>
      </c>
      <c r="D192" s="72">
        <f>IFERROR(IF(INDEX('İş Planı'!$M$5:$M$204,ROW()-4)="","",INDEX('İş Planı'!$M$5:$M$204,ROW()-4)),"")</f>
        <v/>
      </c>
      <c r="E192" s="71">
        <f>IFERROR(IF(INDEX('İş Planı'!$O$5:$O$204,ROW()-4)="","",INDEX('İş Planı'!$O$5:$O$204,ROW()-4)),"")</f>
        <v/>
      </c>
      <c r="F192" s="83" t="n"/>
      <c r="G192" s="83" t="n"/>
      <c r="H192" s="83" t="n"/>
      <c r="I192" s="83" t="n"/>
      <c r="J192" s="83" t="n"/>
      <c r="K192" s="83" t="n"/>
      <c r="L192" s="83" t="n"/>
      <c r="M192" s="83" t="n"/>
      <c r="N192" s="83" t="n"/>
      <c r="O192" s="83" t="n"/>
      <c r="P192" s="83" t="n"/>
      <c r="Q192" s="83" t="n"/>
    </row>
    <row r="193" ht="18" customHeight="1">
      <c r="A193" s="55">
        <f>IFERROR(IF(INDEX('İş Planı'!$C$5:$C$204,ROW()-4)="","",INDEX('İş Planı'!$C$5:$C$204,ROW()-4)),"")</f>
        <v/>
      </c>
      <c r="B193" s="55">
        <f>IFERROR(IF(INDEX('İş Planı'!$B$5:$B$204,ROW()-4)="","",INDEX('İş Planı'!$B$5:$B$204,ROW()-4)),"")</f>
        <v/>
      </c>
      <c r="C193" s="72">
        <f>IFERROR(IF(INDEX('İş Planı'!$I$5:$I$204,ROW()-4)="","",INDEX('İş Planı'!$I$5:$I$204,ROW()-4)),"")</f>
        <v/>
      </c>
      <c r="D193" s="72">
        <f>IFERROR(IF(INDEX('İş Planı'!$M$5:$M$204,ROW()-4)="","",INDEX('İş Planı'!$M$5:$M$204,ROW()-4)),"")</f>
        <v/>
      </c>
      <c r="E193" s="71">
        <f>IFERROR(IF(INDEX('İş Planı'!$O$5:$O$204,ROW()-4)="","",INDEX('İş Planı'!$O$5:$O$204,ROW()-4)),"")</f>
        <v/>
      </c>
      <c r="F193" s="83" t="n"/>
      <c r="G193" s="83" t="n"/>
      <c r="H193" s="83" t="n"/>
      <c r="I193" s="83" t="n"/>
      <c r="J193" s="83" t="n"/>
      <c r="K193" s="83" t="n"/>
      <c r="L193" s="83" t="n"/>
      <c r="M193" s="83" t="n"/>
      <c r="N193" s="83" t="n"/>
      <c r="O193" s="83" t="n"/>
      <c r="P193" s="83" t="n"/>
      <c r="Q193" s="83" t="n"/>
    </row>
    <row r="194" ht="18" customHeight="1">
      <c r="A194" s="55">
        <f>IFERROR(IF(INDEX('İş Planı'!$C$5:$C$204,ROW()-4)="","",INDEX('İş Planı'!$C$5:$C$204,ROW()-4)),"")</f>
        <v/>
      </c>
      <c r="B194" s="55">
        <f>IFERROR(IF(INDEX('İş Planı'!$B$5:$B$204,ROW()-4)="","",INDEX('İş Planı'!$B$5:$B$204,ROW()-4)),"")</f>
        <v/>
      </c>
      <c r="C194" s="72">
        <f>IFERROR(IF(INDEX('İş Planı'!$I$5:$I$204,ROW()-4)="","",INDEX('İş Planı'!$I$5:$I$204,ROW()-4)),"")</f>
        <v/>
      </c>
      <c r="D194" s="72">
        <f>IFERROR(IF(INDEX('İş Planı'!$M$5:$M$204,ROW()-4)="","",INDEX('İş Planı'!$M$5:$M$204,ROW()-4)),"")</f>
        <v/>
      </c>
      <c r="E194" s="71">
        <f>IFERROR(IF(INDEX('İş Planı'!$O$5:$O$204,ROW()-4)="","",INDEX('İş Planı'!$O$5:$O$204,ROW()-4)),"")</f>
        <v/>
      </c>
      <c r="F194" s="83" t="n"/>
      <c r="G194" s="83" t="n"/>
      <c r="H194" s="83" t="n"/>
      <c r="I194" s="83" t="n"/>
      <c r="J194" s="83" t="n"/>
      <c r="K194" s="83" t="n"/>
      <c r="L194" s="83" t="n"/>
      <c r="M194" s="83" t="n"/>
      <c r="N194" s="83" t="n"/>
      <c r="O194" s="83" t="n"/>
      <c r="P194" s="83" t="n"/>
      <c r="Q194" s="83" t="n"/>
    </row>
    <row r="195" ht="18" customHeight="1">
      <c r="A195" s="55">
        <f>IFERROR(IF(INDEX('İş Planı'!$C$5:$C$204,ROW()-4)="","",INDEX('İş Planı'!$C$5:$C$204,ROW()-4)),"")</f>
        <v/>
      </c>
      <c r="B195" s="55">
        <f>IFERROR(IF(INDEX('İş Planı'!$B$5:$B$204,ROW()-4)="","",INDEX('İş Planı'!$B$5:$B$204,ROW()-4)),"")</f>
        <v/>
      </c>
      <c r="C195" s="72">
        <f>IFERROR(IF(INDEX('İş Planı'!$I$5:$I$204,ROW()-4)="","",INDEX('İş Planı'!$I$5:$I$204,ROW()-4)),"")</f>
        <v/>
      </c>
      <c r="D195" s="72">
        <f>IFERROR(IF(INDEX('İş Planı'!$M$5:$M$204,ROW()-4)="","",INDEX('İş Planı'!$M$5:$M$204,ROW()-4)),"")</f>
        <v/>
      </c>
      <c r="E195" s="71">
        <f>IFERROR(IF(INDEX('İş Planı'!$O$5:$O$204,ROW()-4)="","",INDEX('İş Planı'!$O$5:$O$204,ROW()-4)),"")</f>
        <v/>
      </c>
      <c r="F195" s="83" t="n"/>
      <c r="G195" s="83" t="n"/>
      <c r="H195" s="83" t="n"/>
      <c r="I195" s="83" t="n"/>
      <c r="J195" s="83" t="n"/>
      <c r="K195" s="83" t="n"/>
      <c r="L195" s="83" t="n"/>
      <c r="M195" s="83" t="n"/>
      <c r="N195" s="83" t="n"/>
      <c r="O195" s="83" t="n"/>
      <c r="P195" s="83" t="n"/>
      <c r="Q195" s="83" t="n"/>
    </row>
    <row r="196" ht="18" customHeight="1">
      <c r="A196" s="55">
        <f>IFERROR(IF(INDEX('İş Planı'!$C$5:$C$204,ROW()-4)="","",INDEX('İş Planı'!$C$5:$C$204,ROW()-4)),"")</f>
        <v/>
      </c>
      <c r="B196" s="55">
        <f>IFERROR(IF(INDEX('İş Planı'!$B$5:$B$204,ROW()-4)="","",INDEX('İş Planı'!$B$5:$B$204,ROW()-4)),"")</f>
        <v/>
      </c>
      <c r="C196" s="72">
        <f>IFERROR(IF(INDEX('İş Planı'!$I$5:$I$204,ROW()-4)="","",INDEX('İş Planı'!$I$5:$I$204,ROW()-4)),"")</f>
        <v/>
      </c>
      <c r="D196" s="72">
        <f>IFERROR(IF(INDEX('İş Planı'!$M$5:$M$204,ROW()-4)="","",INDEX('İş Planı'!$M$5:$M$204,ROW()-4)),"")</f>
        <v/>
      </c>
      <c r="E196" s="71">
        <f>IFERROR(IF(INDEX('İş Planı'!$O$5:$O$204,ROW()-4)="","",INDEX('İş Planı'!$O$5:$O$204,ROW()-4)),"")</f>
        <v/>
      </c>
      <c r="F196" s="83" t="n"/>
      <c r="G196" s="83" t="n"/>
      <c r="H196" s="83" t="n"/>
      <c r="I196" s="83" t="n"/>
      <c r="J196" s="83" t="n"/>
      <c r="K196" s="83" t="n"/>
      <c r="L196" s="83" t="n"/>
      <c r="M196" s="83" t="n"/>
      <c r="N196" s="83" t="n"/>
      <c r="O196" s="83" t="n"/>
      <c r="P196" s="83" t="n"/>
      <c r="Q196" s="83" t="n"/>
    </row>
    <row r="197" ht="18" customHeight="1">
      <c r="A197" s="55">
        <f>IFERROR(IF(INDEX('İş Planı'!$C$5:$C$204,ROW()-4)="","",INDEX('İş Planı'!$C$5:$C$204,ROW()-4)),"")</f>
        <v/>
      </c>
      <c r="B197" s="55">
        <f>IFERROR(IF(INDEX('İş Planı'!$B$5:$B$204,ROW()-4)="","",INDEX('İş Planı'!$B$5:$B$204,ROW()-4)),"")</f>
        <v/>
      </c>
      <c r="C197" s="72">
        <f>IFERROR(IF(INDEX('İş Planı'!$I$5:$I$204,ROW()-4)="","",INDEX('İş Planı'!$I$5:$I$204,ROW()-4)),"")</f>
        <v/>
      </c>
      <c r="D197" s="72">
        <f>IFERROR(IF(INDEX('İş Planı'!$M$5:$M$204,ROW()-4)="","",INDEX('İş Planı'!$M$5:$M$204,ROW()-4)),"")</f>
        <v/>
      </c>
      <c r="E197" s="71">
        <f>IFERROR(IF(INDEX('İş Planı'!$O$5:$O$204,ROW()-4)="","",INDEX('İş Planı'!$O$5:$O$204,ROW()-4)),"")</f>
        <v/>
      </c>
      <c r="F197" s="83" t="n"/>
      <c r="G197" s="83" t="n"/>
      <c r="H197" s="83" t="n"/>
      <c r="I197" s="83" t="n"/>
      <c r="J197" s="83" t="n"/>
      <c r="K197" s="83" t="n"/>
      <c r="L197" s="83" t="n"/>
      <c r="M197" s="83" t="n"/>
      <c r="N197" s="83" t="n"/>
      <c r="O197" s="83" t="n"/>
      <c r="P197" s="83" t="n"/>
      <c r="Q197" s="83" t="n"/>
    </row>
    <row r="198" ht="18" customHeight="1">
      <c r="A198" s="55">
        <f>IFERROR(IF(INDEX('İş Planı'!$C$5:$C$204,ROW()-4)="","",INDEX('İş Planı'!$C$5:$C$204,ROW()-4)),"")</f>
        <v/>
      </c>
      <c r="B198" s="55">
        <f>IFERROR(IF(INDEX('İş Planı'!$B$5:$B$204,ROW()-4)="","",INDEX('İş Planı'!$B$5:$B$204,ROW()-4)),"")</f>
        <v/>
      </c>
      <c r="C198" s="72">
        <f>IFERROR(IF(INDEX('İş Planı'!$I$5:$I$204,ROW()-4)="","",INDEX('İş Planı'!$I$5:$I$204,ROW()-4)),"")</f>
        <v/>
      </c>
      <c r="D198" s="72">
        <f>IFERROR(IF(INDEX('İş Planı'!$M$5:$M$204,ROW()-4)="","",INDEX('İş Planı'!$M$5:$M$204,ROW()-4)),"")</f>
        <v/>
      </c>
      <c r="E198" s="71">
        <f>IFERROR(IF(INDEX('İş Planı'!$O$5:$O$204,ROW()-4)="","",INDEX('İş Planı'!$O$5:$O$204,ROW()-4)),"")</f>
        <v/>
      </c>
      <c r="F198" s="83" t="n"/>
      <c r="G198" s="83" t="n"/>
      <c r="H198" s="83" t="n"/>
      <c r="I198" s="83" t="n"/>
      <c r="J198" s="83" t="n"/>
      <c r="K198" s="83" t="n"/>
      <c r="L198" s="83" t="n"/>
      <c r="M198" s="83" t="n"/>
      <c r="N198" s="83" t="n"/>
      <c r="O198" s="83" t="n"/>
      <c r="P198" s="83" t="n"/>
      <c r="Q198" s="83" t="n"/>
    </row>
    <row r="199" ht="18" customHeight="1">
      <c r="A199" s="55">
        <f>IFERROR(IF(INDEX('İş Planı'!$C$5:$C$204,ROW()-4)="","",INDEX('İş Planı'!$C$5:$C$204,ROW()-4)),"")</f>
        <v/>
      </c>
      <c r="B199" s="55">
        <f>IFERROR(IF(INDEX('İş Planı'!$B$5:$B$204,ROW()-4)="","",INDEX('İş Planı'!$B$5:$B$204,ROW()-4)),"")</f>
        <v/>
      </c>
      <c r="C199" s="72">
        <f>IFERROR(IF(INDEX('İş Planı'!$I$5:$I$204,ROW()-4)="","",INDEX('İş Planı'!$I$5:$I$204,ROW()-4)),"")</f>
        <v/>
      </c>
      <c r="D199" s="72">
        <f>IFERROR(IF(INDEX('İş Planı'!$M$5:$M$204,ROW()-4)="","",INDEX('İş Planı'!$M$5:$M$204,ROW()-4)),"")</f>
        <v/>
      </c>
      <c r="E199" s="71">
        <f>IFERROR(IF(INDEX('İş Planı'!$O$5:$O$204,ROW()-4)="","",INDEX('İş Planı'!$O$5:$O$204,ROW()-4)),"")</f>
        <v/>
      </c>
      <c r="F199" s="83" t="n"/>
      <c r="G199" s="83" t="n"/>
      <c r="H199" s="83" t="n"/>
      <c r="I199" s="83" t="n"/>
      <c r="J199" s="83" t="n"/>
      <c r="K199" s="83" t="n"/>
      <c r="L199" s="83" t="n"/>
      <c r="M199" s="83" t="n"/>
      <c r="N199" s="83" t="n"/>
      <c r="O199" s="83" t="n"/>
      <c r="P199" s="83" t="n"/>
      <c r="Q199" s="83" t="n"/>
    </row>
    <row r="200" ht="18" customHeight="1">
      <c r="A200" s="55">
        <f>IFERROR(IF(INDEX('İş Planı'!$C$5:$C$204,ROW()-4)="","",INDEX('İş Planı'!$C$5:$C$204,ROW()-4)),"")</f>
        <v/>
      </c>
      <c r="B200" s="55">
        <f>IFERROR(IF(INDEX('İş Planı'!$B$5:$B$204,ROW()-4)="","",INDEX('İş Planı'!$B$5:$B$204,ROW()-4)),"")</f>
        <v/>
      </c>
      <c r="C200" s="72">
        <f>IFERROR(IF(INDEX('İş Planı'!$I$5:$I$204,ROW()-4)="","",INDEX('İş Planı'!$I$5:$I$204,ROW()-4)),"")</f>
        <v/>
      </c>
      <c r="D200" s="72">
        <f>IFERROR(IF(INDEX('İş Planı'!$M$5:$M$204,ROW()-4)="","",INDEX('İş Planı'!$M$5:$M$204,ROW()-4)),"")</f>
        <v/>
      </c>
      <c r="E200" s="71">
        <f>IFERROR(IF(INDEX('İş Planı'!$O$5:$O$204,ROW()-4)="","",INDEX('İş Planı'!$O$5:$O$204,ROW()-4)),"")</f>
        <v/>
      </c>
      <c r="F200" s="83" t="n"/>
      <c r="G200" s="83" t="n"/>
      <c r="H200" s="83" t="n"/>
      <c r="I200" s="83" t="n"/>
      <c r="J200" s="83" t="n"/>
      <c r="K200" s="83" t="n"/>
      <c r="L200" s="83" t="n"/>
      <c r="M200" s="83" t="n"/>
      <c r="N200" s="83" t="n"/>
      <c r="O200" s="83" t="n"/>
      <c r="P200" s="83" t="n"/>
      <c r="Q200" s="83" t="n"/>
    </row>
    <row r="201" ht="18" customHeight="1">
      <c r="A201" s="55">
        <f>IFERROR(IF(INDEX('İş Planı'!$C$5:$C$204,ROW()-4)="","",INDEX('İş Planı'!$C$5:$C$204,ROW()-4)),"")</f>
        <v/>
      </c>
      <c r="B201" s="55">
        <f>IFERROR(IF(INDEX('İş Planı'!$B$5:$B$204,ROW()-4)="","",INDEX('İş Planı'!$B$5:$B$204,ROW()-4)),"")</f>
        <v/>
      </c>
      <c r="C201" s="72">
        <f>IFERROR(IF(INDEX('İş Planı'!$I$5:$I$204,ROW()-4)="","",INDEX('İş Planı'!$I$5:$I$204,ROW()-4)),"")</f>
        <v/>
      </c>
      <c r="D201" s="72">
        <f>IFERROR(IF(INDEX('İş Planı'!$M$5:$M$204,ROW()-4)="","",INDEX('İş Planı'!$M$5:$M$204,ROW()-4)),"")</f>
        <v/>
      </c>
      <c r="E201" s="71">
        <f>IFERROR(IF(INDEX('İş Planı'!$O$5:$O$204,ROW()-4)="","",INDEX('İş Planı'!$O$5:$O$204,ROW()-4)),"")</f>
        <v/>
      </c>
      <c r="F201" s="83" t="n"/>
      <c r="G201" s="83" t="n"/>
      <c r="H201" s="83" t="n"/>
      <c r="I201" s="83" t="n"/>
      <c r="J201" s="83" t="n"/>
      <c r="K201" s="83" t="n"/>
      <c r="L201" s="83" t="n"/>
      <c r="M201" s="83" t="n"/>
      <c r="N201" s="83" t="n"/>
      <c r="O201" s="83" t="n"/>
      <c r="P201" s="83" t="n"/>
      <c r="Q201" s="83" t="n"/>
    </row>
    <row r="202" ht="18" customHeight="1">
      <c r="A202" s="55">
        <f>IFERROR(IF(INDEX('İş Planı'!$C$5:$C$204,ROW()-4)="","",INDEX('İş Planı'!$C$5:$C$204,ROW()-4)),"")</f>
        <v/>
      </c>
      <c r="B202" s="55">
        <f>IFERROR(IF(INDEX('İş Planı'!$B$5:$B$204,ROW()-4)="","",INDEX('İş Planı'!$B$5:$B$204,ROW()-4)),"")</f>
        <v/>
      </c>
      <c r="C202" s="72">
        <f>IFERROR(IF(INDEX('İş Planı'!$I$5:$I$204,ROW()-4)="","",INDEX('İş Planı'!$I$5:$I$204,ROW()-4)),"")</f>
        <v/>
      </c>
      <c r="D202" s="72">
        <f>IFERROR(IF(INDEX('İş Planı'!$M$5:$M$204,ROW()-4)="","",INDEX('İş Planı'!$M$5:$M$204,ROW()-4)),"")</f>
        <v/>
      </c>
      <c r="E202" s="71">
        <f>IFERROR(IF(INDEX('İş Planı'!$O$5:$O$204,ROW()-4)="","",INDEX('İş Planı'!$O$5:$O$204,ROW()-4)),"")</f>
        <v/>
      </c>
      <c r="F202" s="83" t="n"/>
      <c r="G202" s="83" t="n"/>
      <c r="H202" s="83" t="n"/>
      <c r="I202" s="83" t="n"/>
      <c r="J202" s="83" t="n"/>
      <c r="K202" s="83" t="n"/>
      <c r="L202" s="83" t="n"/>
      <c r="M202" s="83" t="n"/>
      <c r="N202" s="83" t="n"/>
      <c r="O202" s="83" t="n"/>
      <c r="P202" s="83" t="n"/>
      <c r="Q202" s="83" t="n"/>
    </row>
    <row r="203" ht="18" customHeight="1">
      <c r="A203" s="55">
        <f>IFERROR(IF(INDEX('İş Planı'!$C$5:$C$204,ROW()-4)="","",INDEX('İş Planı'!$C$5:$C$204,ROW()-4)),"")</f>
        <v/>
      </c>
      <c r="B203" s="55">
        <f>IFERROR(IF(INDEX('İş Planı'!$B$5:$B$204,ROW()-4)="","",INDEX('İş Planı'!$B$5:$B$204,ROW()-4)),"")</f>
        <v/>
      </c>
      <c r="C203" s="72">
        <f>IFERROR(IF(INDEX('İş Planı'!$I$5:$I$204,ROW()-4)="","",INDEX('İş Planı'!$I$5:$I$204,ROW()-4)),"")</f>
        <v/>
      </c>
      <c r="D203" s="72">
        <f>IFERROR(IF(INDEX('İş Planı'!$M$5:$M$204,ROW()-4)="","",INDEX('İş Planı'!$M$5:$M$204,ROW()-4)),"")</f>
        <v/>
      </c>
      <c r="E203" s="71">
        <f>IFERROR(IF(INDEX('İş Planı'!$O$5:$O$204,ROW()-4)="","",INDEX('İş Planı'!$O$5:$O$204,ROW()-4)),"")</f>
        <v/>
      </c>
      <c r="F203" s="83" t="n"/>
      <c r="G203" s="83" t="n"/>
      <c r="H203" s="83" t="n"/>
      <c r="I203" s="83" t="n"/>
      <c r="J203" s="83" t="n"/>
      <c r="K203" s="83" t="n"/>
      <c r="L203" s="83" t="n"/>
      <c r="M203" s="83" t="n"/>
      <c r="N203" s="83" t="n"/>
      <c r="O203" s="83" t="n"/>
      <c r="P203" s="83" t="n"/>
      <c r="Q203" s="83" t="n"/>
    </row>
    <row r="204" ht="18" customHeight="1">
      <c r="A204" s="55">
        <f>IFERROR(IF(INDEX('İş Planı'!$C$5:$C$204,ROW()-4)="","",INDEX('İş Planı'!$C$5:$C$204,ROW()-4)),"")</f>
        <v/>
      </c>
      <c r="B204" s="55">
        <f>IFERROR(IF(INDEX('İş Planı'!$B$5:$B$204,ROW()-4)="","",INDEX('İş Planı'!$B$5:$B$204,ROW()-4)),"")</f>
        <v/>
      </c>
      <c r="C204" s="72">
        <f>IFERROR(IF(INDEX('İş Planı'!$I$5:$I$204,ROW()-4)="","",INDEX('İş Planı'!$I$5:$I$204,ROW()-4)),"")</f>
        <v/>
      </c>
      <c r="D204" s="72">
        <f>IFERROR(IF(INDEX('İş Planı'!$M$5:$M$204,ROW()-4)="","",INDEX('İş Planı'!$M$5:$M$204,ROW()-4)),"")</f>
        <v/>
      </c>
      <c r="E204" s="71">
        <f>IFERROR(IF(INDEX('İş Planı'!$O$5:$O$204,ROW()-4)="","",INDEX('İş Planı'!$O$5:$O$204,ROW()-4)),"")</f>
        <v/>
      </c>
      <c r="F204" s="83" t="n"/>
      <c r="G204" s="83" t="n"/>
      <c r="H204" s="83" t="n"/>
      <c r="I204" s="83" t="n"/>
      <c r="J204" s="83" t="n"/>
      <c r="K204" s="83" t="n"/>
      <c r="L204" s="83" t="n"/>
      <c r="M204" s="83" t="n"/>
      <c r="N204" s="83" t="n"/>
      <c r="O204" s="83" t="n"/>
      <c r="P204" s="83" t="n"/>
      <c r="Q204" s="83" t="n"/>
    </row>
    <row r="206">
      <c r="A206" s="84">
        <f>Hesap!$B$3</f>
        <v>46300</v>
      </c>
      <c r="B206" s="64" t="inlineStr">
        <is>
          <t>↑ Gantt'taki kırmızı 'bugün' çizgisi bu hücreyi okur - silmeyin</t>
        </is>
      </c>
    </row>
  </sheetData>
  <mergeCells count="6">
    <mergeCell ref="C3:C4"/>
    <mergeCell ref="B3:B4"/>
    <mergeCell ref="A3:A4"/>
    <mergeCell ref="E3:E4"/>
    <mergeCell ref="D3:D4"/>
    <mergeCell ref="A1:Q2"/>
  </mergeCells>
  <conditionalFormatting sqref="F5:Q204">
    <cfRule type="expression" priority="1" dxfId="6">
      <formula>AND($E5="Planlanan",$C5&lt;&gt;"",$D5&lt;&gt;"",F$4&lt;=$D5,EOMONTH(F$4,0)&gt;=$C5)</formula>
    </cfRule>
    <cfRule type="expression" priority="2" dxfId="7">
      <formula>AND($E5="Devam Ediyor",$C5&lt;&gt;"",$D5&lt;&gt;"",F$4&lt;=$D5,EOMONTH(F$4,0)&gt;=$C5)</formula>
    </cfRule>
    <cfRule type="expression" priority="3" dxfId="8">
      <formula>AND($E5="Tamamlandı",$C5&lt;&gt;"",$D5&lt;&gt;"",F$4&lt;=$D5,EOMONTH(F$4,0)&gt;=$C5)</formula>
    </cfRule>
    <cfRule type="expression" priority="4" dxfId="9">
      <formula>AND($E5="Gecikmiş",$C5&lt;&gt;"",$D5&lt;&gt;"",F$4&lt;=$D5,EOMONTH(F$4,0)&gt;=$C5)</formula>
    </cfRule>
  </conditionalFormatting>
  <conditionalFormatting sqref="F4:Q204">
    <cfRule type="expression" priority="5" dxfId="10">
      <formula>AND($A$206&gt;=F$4,$A$206&lt;=EOMONTH(F$4,0))</formula>
    </cfRule>
  </conditionalFormatting>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sheetPr>
  <dimension ref="B2:K48"/>
  <sheetViews>
    <sheetView showGridLines="0" workbookViewId="0">
      <selection activeCell="A1" sqref="A1"/>
    </sheetView>
  </sheetViews>
  <sheetFormatPr baseColWidth="8" defaultRowHeight="15"/>
  <cols>
    <col width="3" customWidth="1" min="1" max="1"/>
    <col width="3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2">
      <c r="B2" s="66" t="inlineStr">
        <is>
          <t>KULLANIM KILAVUZU</t>
        </is>
      </c>
      <c r="C2" s="2" t="n"/>
      <c r="D2" s="2" t="n"/>
      <c r="E2" s="2" t="n"/>
      <c r="F2" s="2" t="n"/>
      <c r="G2" s="2" t="n"/>
      <c r="H2" s="2" t="n"/>
      <c r="I2" s="2" t="n"/>
      <c r="J2" s="2" t="n"/>
      <c r="K2" s="2" t="n"/>
    </row>
    <row r="3">
      <c r="B3" s="2" t="n"/>
      <c r="C3" s="2" t="n"/>
      <c r="D3" s="2" t="n"/>
      <c r="E3" s="2" t="n"/>
      <c r="F3" s="2" t="n"/>
      <c r="G3" s="2" t="n"/>
      <c r="H3" s="2" t="n"/>
      <c r="I3" s="2" t="n"/>
      <c r="J3" s="2" t="n"/>
      <c r="K3" s="2" t="n"/>
    </row>
    <row r="5">
      <c r="B5" s="85" t="inlineStr">
        <is>
          <t>1. Veri girişi</t>
        </is>
      </c>
      <c r="C5" s="86" t="inlineStr">
        <is>
          <t>Yalnızca beyaz hücrelere yazın: Grup, İş Kalemi, Sorumlu 1-4, Öncelik, Başlangıç, Bitiş, Gecikme (Gün), İlerleme %, Gecikme Sebebi, Karar / Not ve Mutabakat. Gri sütunlar formüllüdür.</t>
        </is>
      </c>
    </row>
    <row r="6"/>
    <row r="7"/>
    <row r="8"/>
    <row r="10">
      <c r="B10" s="85" t="inlineStr">
        <is>
          <t>2. Durum nasıl belirlenir?</t>
        </is>
      </c>
      <c r="C10" s="86" t="inlineStr">
        <is>
          <t>İlerleme %100 ise TAMAMLANDI; değilse Revize Bitiş geçmişse GECİKMİŞ; değilse ilerleme başlamış veya Başlangıç gelmişse DEVAM EDİYOR; hiçbiri değilse PLANLANAN. Bir işi kapatmak için İlerleme %'ye 100% yazın.</t>
        </is>
      </c>
    </row>
    <row r="11"/>
    <row r="12"/>
    <row r="13"/>
    <row r="15">
      <c r="B15" s="85" t="inlineStr">
        <is>
          <t>3. Mutabakat</t>
        </is>
      </c>
      <c r="C15" s="86" t="inlineStr">
        <is>
          <t>Mutabakat sütununa mutabakatın FİİLEN yapıldığı tarihi girin. Kural: Bitiş tarihinden sonraki 7 gün içinde yapılmalı. Mutabakat Gün sütunu kaç günde yapıldığını hesaplar. Mutabakat Uyarı sütunu: tarih girilmişse '✔ N günde yapıldı' (süreyi aşmışsa kırmızı '(geç)'), girilmemişse kalan süreyi '● Mutabakat için N gün', süre dolmuşsa '⚠ Mutabakat N gün gecikti' yazar. Bitiş tarihi henüz gelmemiş işlerde uyarı üretilmez.</t>
        </is>
      </c>
    </row>
    <row r="16"/>
    <row r="17"/>
    <row r="18"/>
    <row r="20">
      <c r="B20" s="85" t="inlineStr">
        <is>
          <t>4. Projeksiyon Uyarısı</t>
        </is>
      </c>
      <c r="C20" s="86" t="inlineStr">
        <is>
          <t>Planın ne kadarının geçtiği ile işin ne kadarının bittiği karşılaştırılır. Geçen süre oranı = (Bugün - Başlangıç + 1) / Süre. Bu oran ile İlerleme % arasındaki fark 30 puandan FAZLA ise uyarı üretilir, değilse sütun boş kalır. Örnek: 30 günlük iş, 20 gün geçmiş, ilerleme %20 → geçen oran %67, fark %47 → '⚠ Gecikebilir (%47 geride)'. Tamamlanmış işlerde ve başlamamış işlerde hesaplanmaz.</t>
        </is>
      </c>
    </row>
    <row r="21"/>
    <row r="22"/>
    <row r="23"/>
    <row r="25">
      <c r="B25" s="85" t="inlineStr">
        <is>
          <t>5. Açılır listeler</t>
        </is>
      </c>
      <c r="C25" s="86" t="inlineStr">
        <is>
          <t>Grup, Sorumlu 1-4 ve Öncelik listeleri 'Listeler' sayfasından gelir. Yeni değer için ilgili sütundaki ilk boş hücreye yazın.</t>
        </is>
      </c>
    </row>
    <row r="26"/>
    <row r="27"/>
    <row r="28"/>
    <row r="30">
      <c r="B30" s="85" t="inlineStr">
        <is>
          <t>6. Kişi bazlı gün yükü</t>
        </is>
      </c>
      <c r="C30" s="86" t="inlineStr">
        <is>
          <t>Listeler sayfasında J:N sütunlarında her kişinin iş sayısı, toplam günü, açık günü ve geciken işi listelenir. Sorumlu 1-4'ün dördü birden sayılır.</t>
        </is>
      </c>
    </row>
    <row r="31"/>
    <row r="32"/>
    <row r="33"/>
    <row r="35">
      <c r="B35" s="85" t="inlineStr">
        <is>
          <t>7. Gantt sayfaları</t>
        </is>
      </c>
      <c r="C35" s="86" t="inlineStr">
        <is>
          <t>Haftalık ve Aylık Gantt, İş Planı'ndan otomatik boyanır. Renk Durum'a göre seçilir. Kırmızı dikey çizgi bugünü gösterir. Çubuk yalnızca Başlangıç VE Bitiş tarihi girilmiş işler için çizilir.</t>
        </is>
      </c>
    </row>
    <row r="36"/>
    <row r="37"/>
    <row r="38"/>
    <row r="40">
      <c r="B40" s="85" t="inlineStr">
        <is>
          <t>8. Yönetici Özeti</t>
        </is>
      </c>
      <c r="C40" s="86" t="inlineStr">
        <is>
          <t>8 KPI kartı ve 11 grafik otomatik güncellenir. En altta Mutabakat Durumu (halka) ve Projeksiyon Riski (sütun) grafikleri vardır.</t>
        </is>
      </c>
    </row>
    <row r="41"/>
    <row r="42"/>
    <row r="43"/>
    <row r="45">
      <c r="B45" s="85" t="inlineStr">
        <is>
          <t>9. Satır eklemek</t>
        </is>
      </c>
      <c r="C45" s="86" t="inlineStr">
        <is>
          <t>Satır 204'e kadar hazır boş satır vardır (95 kalem dolu). ARAYA SATIR EKLEMEYİN: Excel yeni satırlara formülleri kopyalamaz. Yeni işi en alttaki boş satıra yazıp Grup'a göre sıralayın.</t>
        </is>
      </c>
    </row>
    <row r="46"/>
    <row r="47"/>
    <row r="48"/>
  </sheetData>
  <mergeCells count="10">
    <mergeCell ref="C20:K23"/>
    <mergeCell ref="C10:K13"/>
    <mergeCell ref="C40:K43"/>
    <mergeCell ref="C15:K18"/>
    <mergeCell ref="C30:K33"/>
    <mergeCell ref="C45:K48"/>
    <mergeCell ref="C5:K8"/>
    <mergeCell ref="C35:K38"/>
    <mergeCell ref="B2:K3"/>
    <mergeCell ref="C25:K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2026-10-05T11:08:07Z</dcterms:created>
  <dcterms:modified xmlns:dcterms="http://purl.org/dc/terms/" xmlns:xsi="http://www.w3.org/2001/XMLSchema-instance" xsi:type="dcterms:W3CDTF">2026-10-05T11:08:08Z</dcterms:modified>
</cp:coreProperties>
</file>