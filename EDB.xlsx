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efb152f8e142b1" /></Relationships>
</file>

<file path=xl/workbook.xml><?xml version="1.0" encoding="utf-8"?>
<x:workbook xmlns:x="http://schemas.openxmlformats.org/spreadsheetml/2006/main">
  <x:sheets>
    <x:sheet xmlns:r="http://schemas.openxmlformats.org/officeDocument/2006/relationships" name="Denetim Özeti" sheetId="1" r:id="Rd0726fc669294513"/>
    <x:sheet xmlns:r="http://schemas.openxmlformats.org/officeDocument/2006/relationships" name="Kapsam" sheetId="2" r:id="Rd2ce3b38721b4ffd"/>
    <x:sheet xmlns:r="http://schemas.openxmlformats.org/officeDocument/2006/relationships" name="Uygulama" sheetId="3" r:id="R993c282f9a3b4422"/>
    <x:sheet xmlns:r="http://schemas.openxmlformats.org/officeDocument/2006/relationships" name="Kanıt Takibi" sheetId="4" r:id="Rff8dd5d634054f7b"/>
    <x:sheet xmlns:r="http://schemas.openxmlformats.org/officeDocument/2006/relationships" name="Bulgu ve Risk" sheetId="5" r:id="Rbadcdedd19ca440c"/>
    <x:sheet xmlns:r="http://schemas.openxmlformats.org/officeDocument/2006/relationships" name="MSP Genel" sheetId="6" r:id="R076bcf2cf9854c88"/>
    <x:sheet xmlns:r="http://schemas.openxmlformats.org/officeDocument/2006/relationships" name="VMware ESXi" sheetId="7" r:id="R081ed066d1d248d2"/>
    <x:sheet xmlns:r="http://schemas.openxmlformats.org/officeDocument/2006/relationships" name="VMware vCenter" sheetId="8" r:id="R9feeb8e67bd34a1a"/>
    <x:sheet xmlns:r="http://schemas.openxmlformats.org/officeDocument/2006/relationships" name="VMware vSAN" sheetId="9" r:id="Ra3506ff1ffe342bc"/>
    <x:sheet xmlns:r="http://schemas.openxmlformats.org/officeDocument/2006/relationships" name="VMware NSX" sheetId="10" r:id="Rc8958062bf434506"/>
    <x:sheet xmlns:r="http://schemas.openxmlformats.org/officeDocument/2006/relationships" name="VMware Distributed Switch" sheetId="11" r:id="R913034ab9f13462a"/>
    <x:sheet xmlns:r="http://schemas.openxmlformats.org/officeDocument/2006/relationships" name="VMware vMotion" sheetId="12" r:id="R4fccc204366b43ba"/>
    <x:sheet xmlns:r="http://schemas.openxmlformats.org/officeDocument/2006/relationships" name="VMware Cloud Director" sheetId="13" r:id="R15d7d1c3af714904"/>
    <x:sheet xmlns:r="http://schemas.openxmlformats.org/officeDocument/2006/relationships" name="Veeam" sheetId="14" r:id="R69afeb2fe46342f7"/>
    <x:sheet xmlns:r="http://schemas.openxmlformats.org/officeDocument/2006/relationships" name="Carbon Black EDRaaS" sheetId="15" r:id="R3f99571be80245bb"/>
    <x:sheet xmlns:r="http://schemas.openxmlformats.org/officeDocument/2006/relationships" name="FortiGate VDOM" sheetId="16" r:id="Reb2f870369f24681"/>
    <x:sheet xmlns:r="http://schemas.openxmlformats.org/officeDocument/2006/relationships" name="Forti IPS" sheetId="17" r:id="R9d6f7206ed554c9f"/>
    <x:sheet xmlns:r="http://schemas.openxmlformats.org/officeDocument/2006/relationships" name="Splunk SIEM" sheetId="18" r:id="R34d8043413fd41f8"/>
    <x:sheet xmlns:r="http://schemas.openxmlformats.org/officeDocument/2006/relationships" name="IronPort Email Security" sheetId="19" r:id="R6bfad79d04a94b72"/>
    <x:sheet xmlns:r="http://schemas.openxmlformats.org/officeDocument/2006/relationships" name="Kong API Gateway" sheetId="20" r:id="R4ae2168ab2e44915"/>
    <x:sheet xmlns:r="http://schemas.openxmlformats.org/officeDocument/2006/relationships" name="CyberArk PAM" sheetId="21" r:id="R1586d60dcdde46da"/>
    <x:sheet xmlns:r="http://schemas.openxmlformats.org/officeDocument/2006/relationships" name="Forcepoint DLP" sheetId="22" r:id="Rbd77a0b4ba514202"/>
    <x:sheet xmlns:r="http://schemas.openxmlformats.org/officeDocument/2006/relationships" name="Zabbix" sheetId="23" r:id="R3d0cdc15b4db47bc"/>
    <x:sheet xmlns:r="http://schemas.openxmlformats.org/officeDocument/2006/relationships" name="Grafana" sheetId="24" r:id="Re7e5f3d0f56e4ab0"/>
    <x:sheet xmlns:r="http://schemas.openxmlformats.org/officeDocument/2006/relationships" name="ManageEngine Endpoint Central" sheetId="25" r:id="Rb62159d66c054b91"/>
    <x:sheet xmlns:r="http://schemas.openxmlformats.org/officeDocument/2006/relationships" name="Trellix Endpoint Security" sheetId="26" r:id="Rd7d2d37c30b1423d"/>
    <x:sheet xmlns:r="http://schemas.openxmlformats.org/officeDocument/2006/relationships" name="Citrix NetScaler ADC" sheetId="27" r:id="R7f1710227ba74b6a"/>
    <x:sheet xmlns:r="http://schemas.openxmlformats.org/officeDocument/2006/relationships" name="Citrix NetScaler WAF" sheetId="28" r:id="R7c6b0739fbbf4291"/>
    <x:sheet xmlns:r="http://schemas.openxmlformats.org/officeDocument/2006/relationships" name="Exchange 2019" sheetId="29" r:id="R9224792b3a22412a"/>
    <x:sheet xmlns:r="http://schemas.openxmlformats.org/officeDocument/2006/relationships" name="Active Directory GPO" sheetId="30" r:id="R4a2b93fe10e8414b"/>
    <x:sheet xmlns:r="http://schemas.openxmlformats.org/officeDocument/2006/relationships" name="Kaynaklar" sheetId="31" r:id="R52e60d2cffde460a"/>
    <x:sheet xmlns:r="http://schemas.openxmlformats.org/officeDocument/2006/relationships" name="Kontrol Dizini" sheetId="32" r:id="R7080f25d4b2945ac"/>
    <x:sheet xmlns:r="http://schemas.openxmlformats.org/officeDocument/2006/relationships" name="CIS Dizini" sheetId="33" r:id="R291e2b380e4e4829"/>
    <x:sheet xmlns:r="http://schemas.openxmlformats.org/officeDocument/2006/relationships" name="Teknik Ölçütler" sheetId="34" r:id="Rcbc661118ed4488b"/>
    <x:sheet xmlns:r="http://schemas.openxmlformats.org/officeDocument/2006/relationships" name="Birleştirme İzi" sheetId="35" r:id="R6608d7fe77f14994"/>
    <x:sheet xmlns:r="http://schemas.openxmlformats.org/officeDocument/2006/relationships" name="Açık Konular" sheetId="36" r:id="Rd93659ee43ef4225"/>
    <x:sheet xmlns:r="http://schemas.openxmlformats.org/officeDocument/2006/relationships" name="NIST Dizini" sheetId="37" r:id="Rfd9f46da76a44217"/>
    <x:sheet xmlns:r="http://schemas.openxmlformats.org/officeDocument/2006/relationships" name="BİGR Konumları" sheetId="38" r:id="Rb13b998f89274741"/>
    <x:sheet xmlns:r="http://schemas.openxmlformats.org/officeDocument/2006/relationships" name="Terimler" sheetId="39" r:id="R7d3dbbf1bbad42a2"/>
    <x:sheet xmlns:r="http://schemas.openxmlformats.org/officeDocument/2006/relationships" name="Kullanım Yöntemi" sheetId="40" r:id="Raf2f3081a5d4428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sz val="11"/>
      <x:color rgb="FF243B49"/>
      <x:name val="Arial"/>
    </x:font>
    <x:font>
      <x:b/>
      <x:sz val="16"/>
      <x:color rgb="FF203A4B"/>
      <x:name val="Arial"/>
    </x:font>
    <x:font>
      <x:sz val="11"/>
      <x:color rgb="FF526976"/>
      <x:name val="Arial"/>
    </x:font>
    <x:font>
      <x:b/>
      <x:sz val="11"/>
      <x:color rgb="FFFFFFFF"/>
      <x:name val="Arial"/>
    </x:font>
    <x:font>
      <x:sz val="11"/>
      <x:color rgb="FF294E77"/>
      <x:name val="Arial"/>
    </x:font>
    <x:font>
      <x:b/>
      <x:sz val="11"/>
      <x:color rgb="FF203A4B"/>
      <x:name val="Carlito"/>
    </x:font>
    <x:font>
      <x:sz val="11"/>
      <x:color rgb="FF526976"/>
      <x:name val="Carlito"/>
    </x:font>
  </x:fonts>
  <x:fills count="5">
    <x:fill>
      <x:patternFill patternType="none"/>
    </x:fill>
    <x:fill>
      <x:patternFill patternType="gray125"/>
    </x:fill>
    <x:fill>
      <x:patternFill patternType="solid">
        <x:fgColor rgb="FF203A4B"/>
      </x:patternFill>
    </x:fill>
    <x:fill>
      <x:patternFill patternType="solid">
        <x:fgColor rgb="FFFFF5D9"/>
      </x:patternFill>
    </x:fill>
    <x:fill>
      <x:patternFill patternType="solid">
        <x:fgColor rgb="FFEDF1F4"/>
      </x:patternFill>
    </x:fill>
  </x:fills>
  <x:borders count="3">
    <x:border/>
    <x:border>
      <x:bottom style="thin">
        <x:color rgb="FF203A4B"/>
      </x:bottom>
    </x:border>
    <x:border>
      <x:top style="thin">
        <x:color rgb="FF203A4B"/>
      </x:top>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0" fontId="5"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6" fillId="0" borderId="0" xfId="0" applyNumberFormat="1" applyFont="1" applyFill="1" applyBorder="1"/>
    <x:xf numFmtId="0" fontId="6" fillId="0" borderId="2" xfId="0" applyNumberFormat="1" applyFont="1" applyFill="1" applyBorder="1"/>
    <x:xf numFmtId="0" fontId="7" fillId="0" borderId="0" xfId="0" applyNumberFormat="1" applyFont="1" applyFill="1" applyBorder="1"/>
  </x:cellXfs>
  <x:cellStyles count="1">
    <x:cellStyle name="Normal" xfId="0"/>
  </x:cellStyles>
  <x:dxfs count="7">
    <x:dxf>
      <x:font>
        <x:color rgb="FFA83C31"/>
      </x:font>
      <x:fill>
        <x:patternFill patternType="solid">
          <x:bgColor rgb="FFFBE7E3"/>
        </x:patternFill>
      </x:fill>
    </x:dxf>
    <x:dxf>
      <x:font>
        <x:color rgb="FFA83C31"/>
      </x:font>
      <x:fill>
        <x:patternFill patternType="solid">
          <x:bgColor rgb="FFFBE7E3"/>
        </x:patternFill>
      </x:fill>
    </x:dxf>
    <x:dxf>
      <x:font>
        <x:color rgb="FFA83C31"/>
      </x:font>
      <x:fill>
        <x:patternFill patternType="solid">
          <x:bgColor rgb="FFFBE7E3"/>
        </x:patternFill>
      </x:fill>
    </x:dxf>
    <x:dxf>
      <x:font>
        <x:color rgb="FFA83C31"/>
      </x:font>
      <x:fill>
        <x:patternFill patternType="solid">
          <x:bgColor rgb="FFFBE7E3"/>
        </x:patternFill>
      </x:fill>
    </x:dxf>
    <x:dxf>
      <x:font>
        <x:b/>
        <x:color rgb="FFA83C31"/>
      </x:font>
      <x:fill>
        <x:patternFill patternType="solid">
          <x:bgColor rgb="FFFBE7E3"/>
        </x:patternFill>
      </x:fill>
    </x:dxf>
    <x:dxf>
      <x:font>
        <x:color rgb="FFA83C31"/>
      </x:font>
      <x:fill>
        <x:patternFill patternType="solid">
          <x:bgColor rgb="FFFBE7E3"/>
        </x:patternFill>
      </x:fill>
    </x:dxf>
    <x:dxf>
      <x:font>
        <x:color rgb="FFA83C31"/>
      </x:font>
      <x:fill>
        <x:patternFill patternType="solid">
          <x:bgColor rgb="FFFBE7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e2d28c1a264a67" /><Relationship Type="http://schemas.openxmlformats.org/officeDocument/2006/relationships/theme" Target="/xl/theme/theme1.xml" Id="Rd836c98c6bc54a2a" /><Relationship Type="http://schemas.openxmlformats.org/officeDocument/2006/relationships/sharedStrings" Target="/xl/sharedStrings.xml" Id="R5963b6d9da134975" /><Relationship Type="http://schemas.openxmlformats.org/officeDocument/2006/relationships/worksheet" Target="/xl/worksheets/sheet1.xml" Id="Rd0726fc669294513" /><Relationship Type="http://schemas.openxmlformats.org/officeDocument/2006/relationships/worksheet" Target="/xl/worksheets/sheet2.xml" Id="Rd2ce3b38721b4ffd" /><Relationship Type="http://schemas.openxmlformats.org/officeDocument/2006/relationships/worksheet" Target="/xl/worksheets/sheet3.xml" Id="R993c282f9a3b4422" /><Relationship Type="http://schemas.openxmlformats.org/officeDocument/2006/relationships/worksheet" Target="/xl/worksheets/sheet4.xml" Id="Rff8dd5d634054f7b" /><Relationship Type="http://schemas.openxmlformats.org/officeDocument/2006/relationships/worksheet" Target="/xl/worksheets/sheet5.xml" Id="Rbadcdedd19ca440c" /><Relationship Type="http://schemas.openxmlformats.org/officeDocument/2006/relationships/worksheet" Target="/xl/worksheets/sheet6.xml" Id="R076bcf2cf9854c88" /><Relationship Type="http://schemas.openxmlformats.org/officeDocument/2006/relationships/worksheet" Target="/xl/worksheets/sheet7.xml" Id="R081ed066d1d248d2" /><Relationship Type="http://schemas.openxmlformats.org/officeDocument/2006/relationships/worksheet" Target="/xl/worksheets/sheet8.xml" Id="R9feeb8e67bd34a1a" /><Relationship Type="http://schemas.openxmlformats.org/officeDocument/2006/relationships/worksheet" Target="/xl/worksheets/sheet9.xml" Id="Ra3506ff1ffe342bc" /><Relationship Type="http://schemas.openxmlformats.org/officeDocument/2006/relationships/worksheet" Target="/xl/worksheets/sheet10.xml" Id="Rc8958062bf434506" /><Relationship Type="http://schemas.openxmlformats.org/officeDocument/2006/relationships/worksheet" Target="/xl/worksheets/sheet11.xml" Id="R913034ab9f13462a" /><Relationship Type="http://schemas.openxmlformats.org/officeDocument/2006/relationships/worksheet" Target="/xl/worksheets/sheet12.xml" Id="R4fccc204366b43ba" /><Relationship Type="http://schemas.openxmlformats.org/officeDocument/2006/relationships/worksheet" Target="/xl/worksheets/sheet13.xml" Id="R15d7d1c3af714904" /><Relationship Type="http://schemas.openxmlformats.org/officeDocument/2006/relationships/worksheet" Target="/xl/worksheets/sheet14.xml" Id="R69afeb2fe46342f7" /><Relationship Type="http://schemas.openxmlformats.org/officeDocument/2006/relationships/worksheet" Target="/xl/worksheets/sheet15.xml" Id="R3f99571be80245bb" /><Relationship Type="http://schemas.openxmlformats.org/officeDocument/2006/relationships/worksheet" Target="/xl/worksheets/sheet16.xml" Id="Reb2f870369f24681" /><Relationship Type="http://schemas.openxmlformats.org/officeDocument/2006/relationships/worksheet" Target="/xl/worksheets/sheet17.xml" Id="R9d6f7206ed554c9f" /><Relationship Type="http://schemas.openxmlformats.org/officeDocument/2006/relationships/worksheet" Target="/xl/worksheets/sheet18.xml" Id="R34d8043413fd41f8" /><Relationship Type="http://schemas.openxmlformats.org/officeDocument/2006/relationships/worksheet" Target="/xl/worksheets/sheet19.xml" Id="R6bfad79d04a94b72" /><Relationship Type="http://schemas.openxmlformats.org/officeDocument/2006/relationships/worksheet" Target="/xl/worksheets/sheet20.xml" Id="R4ae2168ab2e44915" /><Relationship Type="http://schemas.openxmlformats.org/officeDocument/2006/relationships/worksheet" Target="/xl/worksheets/sheet21.xml" Id="R1586d60dcdde46da" /><Relationship Type="http://schemas.openxmlformats.org/officeDocument/2006/relationships/worksheet" Target="/xl/worksheets/sheet22.xml" Id="Rbd77a0b4ba514202" /><Relationship Type="http://schemas.openxmlformats.org/officeDocument/2006/relationships/worksheet" Target="/xl/worksheets/sheet23.xml" Id="R3d0cdc15b4db47bc" /><Relationship Type="http://schemas.openxmlformats.org/officeDocument/2006/relationships/worksheet" Target="/xl/worksheets/sheet24.xml" Id="Re7e5f3d0f56e4ab0" /><Relationship Type="http://schemas.openxmlformats.org/officeDocument/2006/relationships/worksheet" Target="/xl/worksheets/sheet25.xml" Id="Rb62159d66c054b91" /><Relationship Type="http://schemas.openxmlformats.org/officeDocument/2006/relationships/worksheet" Target="/xl/worksheets/sheet26.xml" Id="Rd7d2d37c30b1423d" /><Relationship Type="http://schemas.openxmlformats.org/officeDocument/2006/relationships/worksheet" Target="/xl/worksheets/sheet27.xml" Id="R7f1710227ba74b6a" /><Relationship Type="http://schemas.openxmlformats.org/officeDocument/2006/relationships/worksheet" Target="/xl/worksheets/sheet28.xml" Id="R7c6b0739fbbf4291" /><Relationship Type="http://schemas.openxmlformats.org/officeDocument/2006/relationships/worksheet" Target="/xl/worksheets/sheet29.xml" Id="R9224792b3a22412a" /><Relationship Type="http://schemas.openxmlformats.org/officeDocument/2006/relationships/worksheet" Target="/xl/worksheets/sheet30.xml" Id="R4a2b93fe10e8414b" /><Relationship Type="http://schemas.openxmlformats.org/officeDocument/2006/relationships/worksheet" Target="/xl/worksheets/sheet31.xml" Id="R52e60d2cffde460a" /><Relationship Type="http://schemas.openxmlformats.org/officeDocument/2006/relationships/worksheet" Target="/xl/worksheets/sheet32.xml" Id="R7080f25d4b2945ac" /><Relationship Type="http://schemas.openxmlformats.org/officeDocument/2006/relationships/worksheet" Target="/xl/worksheets/sheet33.xml" Id="R291e2b380e4e4829" /><Relationship Type="http://schemas.openxmlformats.org/officeDocument/2006/relationships/worksheet" Target="/xl/worksheets/sheet34.xml" Id="Rcbc661118ed4488b" /><Relationship Type="http://schemas.openxmlformats.org/officeDocument/2006/relationships/worksheet" Target="/xl/worksheets/sheet35.xml" Id="R6608d7fe77f14994" /><Relationship Type="http://schemas.openxmlformats.org/officeDocument/2006/relationships/worksheet" Target="/xl/worksheets/sheet36.xml" Id="Rd93659ee43ef4225" /><Relationship Type="http://schemas.openxmlformats.org/officeDocument/2006/relationships/worksheet" Target="/xl/worksheets/sheet37.xml" Id="Rfd9f46da76a44217" /><Relationship Type="http://schemas.openxmlformats.org/officeDocument/2006/relationships/worksheet" Target="/xl/worksheets/sheet38.xml" Id="Rb13b998f89274741" /><Relationship Type="http://schemas.openxmlformats.org/officeDocument/2006/relationships/worksheet" Target="/xl/worksheets/sheet39.xml" Id="R7d3dbbf1bbad42a2" /><Relationship Type="http://schemas.openxmlformats.org/officeDocument/2006/relationships/worksheet" Target="/xl/worksheets/sheet40.xml" Id="Raf2f3081a5d4428e" /></Relationships>
</file>

<file path=xl/tables/table1.xml><?xml version="1.0" encoding="utf-8"?>
<x:table xmlns:x="http://schemas.openxmlformats.org/spreadsheetml/2006/main" id="1" name="Overview" displayName="Overview" ref="A5:I30" headerRowCount="1" totalsRowCount="0" totalsRowShown="0">
  <x:tableColumns count="9">
    <x:tableColumn id="1" name="Ürün / kontrol alanı"/>
    <x:tableColumn id="2" name="Tekil soru"/>
    <x:tableColumn id="3" name="Planlanan kayıt"/>
    <x:tableColumn id="4" name="Gözden geçirilmiş"/>
    <x:tableColumn id="5" name="Uygun"/>
    <x:tableColumn id="6" name="Kısmen uygun"/>
    <x:tableColumn id="7" name="Uygunsuz"/>
    <x:tableColumn id="8" name="Kanıt yetersiz"/>
    <x:tableColumn id="9" name="Uygulanmaz"/>
  </x:tableColumns>
  <x:tableStyleInfo name="TableStyleMedium2" showFirstColumn="0" showLastColumn="0" showRowStripes="1" showColumnStripes="0"/>
</x:table>
</file>

<file path=xl/tables/table2.xml><?xml version="1.0" encoding="utf-8"?>
<x:table xmlns:x="http://schemas.openxmlformats.org/spreadsheetml/2006/main" id="2" name="Scope" displayName="Scope" ref="A5:P30" headerRowCount="1" totalsRowCount="0" totalsRowShown="0">
  <x:tableColumns count="16">
    <x:tableColumn id="1" name="KapsamID"/>
    <x:tableColumn id="2" name="Ürün"/>
    <x:tableColumn id="3" name="Dağıtım / rol / modül"/>
    <x:tableColumn id="4" name="Kurulu sürüm / build"/>
    <x:tableColumn id="5" name="Lisans / donanım desteği"/>
    <x:tableColumn id="6" name="Müşteri / hizmet sınırı"/>
    <x:tableColumn id="7" name="Veri sınıfı / konum"/>
    <x:tableColumn id="8" name="Varlık listesi / evren"/>
    <x:tableColumn id="9" name="Kaynak sürümü / profil"/>
    <x:tableColumn id="10" name="Sorumlu"/>
    <x:tableColumn id="11" name="Dayanak kanıt / sözleşme"/>
    <x:tableColumn id="12" name="Kapsam kararı"/>
    <x:tableColumn id="13" name="Gerekçe / dışarıda kalan"/>
    <x:tableColumn id="14" name="Onaylayan"/>
    <x:tableColumn id="15" name="Onay tarihi"/>
    <x:tableColumn id="16" name="OnayliKapsamID"/>
  </x:tableColumns>
  <x:tableStyleInfo name="TableStyleMedium2" showFirstColumn="0" showLastColumn="0" showRowStripes="1" showColumnStripes="0"/>
</x:table>
</file>

<file path=xl/tables/table3.xml><?xml version="1.0" encoding="utf-8"?>
<x:table xmlns:x="http://schemas.openxmlformats.org/spreadsheetml/2006/main" id="30" name="Exec" displayName="Exec" ref="A5:W485" headerRowCount="1" totalsRowCount="0" totalsRowShown="0">
  <x:tableColumns count="23">
    <x:tableColumn id="1" name="TestID"/>
    <x:tableColumn id="2" name="KontrolID"/>
    <x:tableColumn id="3" name="Urun"/>
    <x:tableColumn id="4" name="KapsamID"/>
    <x:tableColumn id="5" name="Hedef / tenant / örneklem"/>
    <x:tableColumn id="6" name="Kurulu sürüm / rol"/>
    <x:tableColumn id="7" name="Kaynak / profil / alt madde"/>
    <x:tableColumn id="8" name="Uygulanabilirlik"/>
    <x:tableColumn id="9" name="Kapsam / örneklem gerekçesi"/>
    <x:tableColumn id="10" name="KanitID"/>
    <x:tableColumn id="11" name="Kanıtta tam konum"/>
    <x:tableColumn id="12" name="Test tarihi"/>
    <x:tableColumn id="13" name="Alt koşullar ve fiili sonuç"/>
    <x:tableColumn id="14" name="Tasarım sonucu"/>
    <x:tableColumn id="15" name="İşleyiş sonucu"/>
    <x:tableColumn id="16" name="Denetçi sonucu"/>
    <x:tableColumn id="17" name="Denetçi"/>
    <x:tableColumn id="18" name="Gözden geçiren"/>
    <x:tableColumn id="19" name="İnceleme tarihi"/>
    <x:tableColumn id="20" name="BulguID"/>
    <x:tableColumn id="21" name="Sapma / açıklama"/>
    <x:tableColumn id="22" name="Kayıt denetimi"/>
    <x:tableColumn id="23" name="GecerliSonuc"/>
  </x:tableColumns>
  <x:tableStyleInfo name="TableStyleMedium2" showFirstColumn="0" showLastColumn="0" showRowStripes="1" showColumnStripes="0"/>
</x:table>
</file>

<file path=xl/tables/table4.xml><?xml version="1.0" encoding="utf-8"?>
<x:table xmlns:x="http://schemas.openxmlformats.org/spreadsheetml/2006/main" id="29" name="Evidence" displayName="Evidence" ref="A5:Q105" headerRowCount="1" totalsRowCount="0" totalsRowShown="0">
  <x:tableColumns count="17">
    <x:tableColumn id="1" name="KanitID"/>
    <x:tableColumn id="2" name="İlgili test ID"/>
    <x:tableColumn id="3" name="Kanıt talebi / paket içeriği"/>
    <x:tableColumn id="4" name="Talep sahibi"/>
    <x:tableColumn id="5" name="Talep tarihi"/>
    <x:tableColumn id="6" name="Hedef tarih"/>
    <x:tableColumn id="7" name="Teslim durumu"/>
    <x:tableColumn id="8" name="Teslim tarihi"/>
    <x:tableColumn id="9" name="Kaynak sistem / yöntem"/>
    <x:tableColumn id="10" name="Dosya / paket konumu"/>
    <x:tableColumn id="11" name="SHA-256 / bütünlük yöntemi"/>
    <x:tableColumn id="12" name="Tenant / hedef kapsamı"/>
    <x:tableColumn id="13" name="Toplayan"/>
    <x:tableColumn id="14" name="Saat dilimi"/>
    <x:tableColumn id="15" name="İnceleme kararı"/>
    <x:tableColumn id="16" name="Doğrulayan"/>
    <x:tableColumn id="17" name="Kabul edilen ID"/>
  </x:tableColumns>
  <x:tableStyleInfo name="TableStyleMedium2" showFirstColumn="0" showLastColumn="0" showRowStripes="1" showColumnStripes="0"/>
</x:table>
</file>

<file path=xl/tables/table5.xml><?xml version="1.0" encoding="utf-8"?>
<x:table xmlns:x="http://schemas.openxmlformats.org/spreadsheetml/2006/main" id="31" name="Findings" displayName="Findings" ref="A5:X65" headerRowCount="1" totalsRowCount="0" totalsRowShown="0">
  <x:tableColumns count="24">
    <x:tableColumn id="1" name="BulguID"/>
    <x:tableColumn id="2" name="İlk test ID"/>
    <x:tableColumn id="3" name="Başlık"/>
    <x:tableColumn id="4" name="Fiili durum ve kanıt"/>
    <x:tableColumn id="5" name="Karşılanmayan ölçüt / kaynak"/>
    <x:tableColumn id="6" name="Kök neden"/>
    <x:tableColumn id="7" name="Etkilenen tenant / evren"/>
    <x:tableColumn id="8" name="İş etkisi"/>
    <x:tableColumn id="9" name="Brüt risk gerekçesi"/>
    <x:tableColumn id="10" name="Brüt risk sınıfı"/>
    <x:tableColumn id="11" name="Mevcut telafi ve kanıt"/>
    <x:tableColumn id="12" name="Artık risk gerekçesi"/>
    <x:tableColumn id="13" name="Artık risk sınıfı"/>
    <x:tableColumn id="14" name="Risk yöntemi / onay kaydı"/>
    <x:tableColumn id="15" name="Aksiyon"/>
    <x:tableColumn id="16" name="Sorumlu"/>
    <x:tableColumn id="17" name="Hedef tarih"/>
    <x:tableColumn id="18" name="Yönetim cevabı / risk kabulü"/>
    <x:tableColumn id="19" name="Tekrar test ID"/>
    <x:tableColumn id="20" name="Bağımsız kapatan"/>
    <x:tableColumn id="21" name="Kapanış tarihi"/>
    <x:tableColumn id="22" name="Beyan edilen durum"/>
    <x:tableColumn id="23" name="GecerliDurum"/>
    <x:tableColumn id="24" name="KayitliBulguID"/>
  </x:tableColumns>
  <x:tableStyleInfo name="TableStyleMedium2" showFirstColumn="0" showLastColumn="0" showRowStripes="1" showColumnStripes="0"/>
</x:table>
</file>

<file path=xl/tables/table6.xml><?xml version="1.0" encoding="utf-8"?>
<x:table xmlns:x="http://schemas.openxmlformats.org/spreadsheetml/2006/main" id="3" name="Q0" displayName="Q0" ref="A5:L94"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7.xml><?xml version="1.0" encoding="utf-8"?>
<x:table xmlns:x="http://schemas.openxmlformats.org/spreadsheetml/2006/main" id="4" name="Q1" displayName="Q1" ref="A5:L78"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8.xml><?xml version="1.0" encoding="utf-8"?>
<x:table xmlns:x="http://schemas.openxmlformats.org/spreadsheetml/2006/main" id="5" name="Q2" displayName="Q2" ref="A5:L11"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9.xml><?xml version="1.0" encoding="utf-8"?>
<x:table xmlns:x="http://schemas.openxmlformats.org/spreadsheetml/2006/main" id="6" name="Q3" displayName="Q3" ref="A5:L11"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0.xml><?xml version="1.0" encoding="utf-8"?>
<x:table xmlns:x="http://schemas.openxmlformats.org/spreadsheetml/2006/main" id="7" name="Q4" displayName="Q4" ref="A5:L12"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1.xml><?xml version="1.0" encoding="utf-8"?>
<x:table xmlns:x="http://schemas.openxmlformats.org/spreadsheetml/2006/main" id="8" name="Q5" displayName="Q5" ref="A5:L13"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2.xml><?xml version="1.0" encoding="utf-8"?>
<x:table xmlns:x="http://schemas.openxmlformats.org/spreadsheetml/2006/main" id="9" name="Q6" displayName="Q6" ref="A5:L9"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3.xml><?xml version="1.0" encoding="utf-8"?>
<x:table xmlns:x="http://schemas.openxmlformats.org/spreadsheetml/2006/main" id="10" name="Q7" displayName="Q7" ref="A5:L12"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4.xml><?xml version="1.0" encoding="utf-8"?>
<x:table xmlns:x="http://schemas.openxmlformats.org/spreadsheetml/2006/main" id="11" name="Q8" displayName="Q8" ref="A5:L19"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5.xml><?xml version="1.0" encoding="utf-8"?>
<x:table xmlns:x="http://schemas.openxmlformats.org/spreadsheetml/2006/main" id="12" name="Q9" displayName="Q9" ref="A5:L14"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6.xml><?xml version="1.0" encoding="utf-8"?>
<x:table xmlns:x="http://schemas.openxmlformats.org/spreadsheetml/2006/main" id="13" name="Q10" displayName="Q10" ref="A5:L49"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7.xml><?xml version="1.0" encoding="utf-8"?>
<x:table xmlns:x="http://schemas.openxmlformats.org/spreadsheetml/2006/main" id="14" name="Q11" displayName="Q11" ref="A5:L10"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8.xml><?xml version="1.0" encoding="utf-8"?>
<x:table xmlns:x="http://schemas.openxmlformats.org/spreadsheetml/2006/main" id="15" name="Q12" displayName="Q12" ref="A5:L25"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19.xml><?xml version="1.0" encoding="utf-8"?>
<x:table xmlns:x="http://schemas.openxmlformats.org/spreadsheetml/2006/main" id="16" name="Q13" displayName="Q13" ref="A5:L22"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0.xml><?xml version="1.0" encoding="utf-8"?>
<x:table xmlns:x="http://schemas.openxmlformats.org/spreadsheetml/2006/main" id="17" name="Q14" displayName="Q14" ref="A5:L31"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1.xml><?xml version="1.0" encoding="utf-8"?>
<x:table xmlns:x="http://schemas.openxmlformats.org/spreadsheetml/2006/main" id="18" name="Q15" displayName="Q15" ref="A5:L13"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2.xml><?xml version="1.0" encoding="utf-8"?>
<x:table xmlns:x="http://schemas.openxmlformats.org/spreadsheetml/2006/main" id="19" name="Q16" displayName="Q16" ref="A5:L13"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3.xml><?xml version="1.0" encoding="utf-8"?>
<x:table xmlns:x="http://schemas.openxmlformats.org/spreadsheetml/2006/main" id="20" name="Q17" displayName="Q17" ref="A5:L12"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4.xml><?xml version="1.0" encoding="utf-8"?>
<x:table xmlns:x="http://schemas.openxmlformats.org/spreadsheetml/2006/main" id="21" name="Q18" displayName="Q18" ref="A5:L12"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5.xml><?xml version="1.0" encoding="utf-8"?>
<x:table xmlns:x="http://schemas.openxmlformats.org/spreadsheetml/2006/main" id="22" name="Q19" displayName="Q19" ref="A5:L14"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6.xml><?xml version="1.0" encoding="utf-8"?>
<x:table xmlns:x="http://schemas.openxmlformats.org/spreadsheetml/2006/main" id="23" name="Q20" displayName="Q20" ref="A5:L14"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7.xml><?xml version="1.0" encoding="utf-8"?>
<x:table xmlns:x="http://schemas.openxmlformats.org/spreadsheetml/2006/main" id="24" name="Q21" displayName="Q21" ref="A5:L11"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8.xml><?xml version="1.0" encoding="utf-8"?>
<x:table xmlns:x="http://schemas.openxmlformats.org/spreadsheetml/2006/main" id="25" name="Q22" displayName="Q22" ref="A5:L13"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29.xml><?xml version="1.0" encoding="utf-8"?>
<x:table xmlns:x="http://schemas.openxmlformats.org/spreadsheetml/2006/main" id="26" name="Q23" displayName="Q23" ref="A5:L28"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30.xml><?xml version="1.0" encoding="utf-8"?>
<x:table xmlns:x="http://schemas.openxmlformats.org/spreadsheetml/2006/main" id="27" name="Q24" displayName="Q24" ref="A5:L15" headerRowCount="1" totalsRowCount="0" totalsRowShown="0">
  <x:tableColumns count="12">
    <x:tableColumn id="1" name="Kontrol ID"/>
    <x:tableColumn id="2" name="Kontrol grubu"/>
    <x:tableColumn id="3" name="Denetim sorusu"/>
    <x:tableColumn id="4" name="Kabul ölçütü"/>
    <x:tableColumn id="5" name="Mantık ve risk senaryosu"/>
    <x:tableColumn id="6" name="Kanıt talebi"/>
    <x:tableColumn id="7" name="Doğrulama adımları"/>
    <x:tableColumn id="8" name="Kapsam / sürüm koşulu"/>
    <x:tableColumn id="9" name="İş etkisi / sınır"/>
    <x:tableColumn id="10" name="Kaynak ve madde"/>
    <x:tableColumn id="11" name="NIST kontrol amacı"/>
    <x:tableColumn id="12" name="Köken izleme"/>
  </x:tableColumns>
  <x:tableStyleInfo name="TableStyleMedium2" showFirstColumn="0" showLastColumn="0" showRowStripes="1" showColumnStripes="0"/>
</x:table>
</file>

<file path=xl/tables/table31.xml><?xml version="1.0" encoding="utf-8"?>
<x:table xmlns:x="http://schemas.openxmlformats.org/spreadsheetml/2006/main" id="32" name="Sources" displayName="Sources" ref="A5:H79" headerRowCount="1" totalsRowCount="0" totalsRowShown="0">
  <x:tableColumns count="8">
    <x:tableColumn id="1" name="KaynakID"/>
    <x:tableColumn id="2" name="Belge / başlık"/>
    <x:tableColumn id="3" name="Yayımlayan / köken"/>
    <x:tableColumn id="4" name="Sürüm"/>
    <x:tableColumn id="5" name="URL / dosya"/>
    <x:tableColumn id="6" name="Kullanım ve doğrulama sınırı"/>
    <x:tableColumn id="7" name="Erişim / inceleme tarihi"/>
    <x:tableColumn id="8" name="SHA-256"/>
  </x:tableColumns>
  <x:tableStyleInfo name="TableStyleMedium2" showFirstColumn="0" showLastColumn="0" showRowStripes="1" showColumnStripes="0"/>
</x:table>
</file>

<file path=xl/tables/table32.xml><?xml version="1.0" encoding="utf-8"?>
<x:table xmlns:x="http://schemas.openxmlformats.org/spreadsheetml/2006/main" id="28" name="Controls" displayName="Controls" ref="A5:D435" headerRowCount="1" totalsRowCount="0" totalsRowShown="0">
  <x:tableColumns count="4">
    <x:tableColumn id="1" name="ID"/>
    <x:tableColumn id="2" name="Ürün"/>
    <x:tableColumn id="3" name="Kontrole git"/>
    <x:tableColumn id="4" name="Kaynak türü"/>
  </x:tableColumns>
  <x:tableStyleInfo name="TableStyleMedium2" showFirstColumn="0" showLastColumn="0" showRowStripes="1" showColumnStripes="0"/>
</x:table>
</file>

<file path=xl/tables/table33.xml><?xml version="1.0" encoding="utf-8"?>
<x:table xmlns:x="http://schemas.openxmlformats.org/spreadsheetml/2006/main" id="33" name="CIS" displayName="CIS" ref="A5:I348" headerRowCount="1" totalsRowCount="0" totalsRowShown="0">
  <x:tableColumns count="9">
    <x:tableColumn id="1" name="KaynakID"/>
    <x:tableColumn id="2" name="CIS madde"/>
    <x:tableColumn id="3" name="Kaynak başlığı"/>
    <x:tableColumn id="4" name="Kaynak profili"/>
    <x:tableColumn id="5" name="Kaynak değerlendirme türü"/>
    <x:tableColumn id="6" name="Basılı sayfa"/>
    <x:tableColumn id="7" name="PDF sayfası"/>
    <x:tableColumn id="8" name="Yeni kontrol / durum"/>
    <x:tableColumn id="9" name="Aktarım kararı"/>
  </x:tableColumns>
  <x:tableStyleInfo name="TableStyleMedium2" showFirstColumn="0" showLastColumn="0" showRowStripes="1" showColumnStripes="0"/>
</x:table>
</file>

<file path=xl/tables/table34.xml><?xml version="1.0" encoding="utf-8"?>
<x:table xmlns:x="http://schemas.openxmlformats.org/spreadsheetml/2006/main" id="34" name="Parameters" displayName="Parameters" ref="A5:H29" headerRowCount="1" totalsRowCount="0" totalsRowShown="0">
  <x:tableColumns count="8">
    <x:tableColumn id="1" name="Kontrol ID"/>
    <x:tableColumn id="2" name="KaynakID"/>
    <x:tableColumn id="3" name="CIS madde"/>
    <x:tableColumn id="4" name="Parametre"/>
    <x:tableColumn id="5" name="Beklenen değer"/>
    <x:tableColumn id="6" name="Salt okunur doğrulama"/>
    <x:tableColumn id="7" name="Basılı sayfa"/>
    <x:tableColumn id="8" name="PDF sayfası"/>
  </x:tableColumns>
  <x:tableStyleInfo name="TableStyleMedium2" showFirstColumn="0" showLastColumn="0" showRowStripes="1" showColumnStripes="0"/>
</x:table>
</file>

<file path=xl/tables/table35.xml><?xml version="1.0" encoding="utf-8"?>
<x:table xmlns:x="http://schemas.openxmlformats.org/spreadsheetml/2006/main" id="35" name="MergeTrace" displayName="MergeTrace" ref="A5:F732" headerRowCount="1" totalsRowCount="0" totalsRowShown="0">
  <x:tableColumns count="6">
    <x:tableColumn id="1" name="Kaynak set"/>
    <x:tableColumn id="2" name="Eski soru ID"/>
    <x:tableColumn id="3" name="Yeni kontrol ID"/>
    <x:tableColumn id="4" name="Karar"/>
    <x:tableColumn id="5" name="Kararın gerekçesi"/>
    <x:tableColumn id="6" name="Eski ek kanıt talebi"/>
  </x:tableColumns>
  <x:tableStyleInfo name="TableStyleMedium2" showFirstColumn="0" showLastColumn="0" showRowStripes="1" showColumnStripes="0"/>
</x:table>
</file>

<file path=xl/tables/table36.xml><?xml version="1.0" encoding="utf-8"?>
<x:table xmlns:x="http://schemas.openxmlformats.org/spreadsheetml/2006/main" id="36" name="OpenIssues" displayName="OpenIssues" ref="A5:G33" headerRowCount="1" totalsRowCount="0" totalsRowShown="0">
  <x:tableColumns count="7">
    <x:tableColumn id="1" name="KayıtID"/>
    <x:tableColumn id="2" name="Kaynak"/>
    <x:tableColumn id="3" name="Madde / konu"/>
    <x:tableColumn id="4" name="Doğrulanan sorun veya sınır"/>
    <x:tableColumn id="5" name="Tamamlama için gereken"/>
    <x:tableColumn id="6" name="Takip durumu"/>
    <x:tableColumn id="7" name="Sorumlu / karar kaydı"/>
  </x:tableColumns>
  <x:tableStyleInfo name="TableStyleMedium2" showFirstColumn="0" showLastColumn="0" showRowStripes="1" showColumnStripes="0"/>
</x:table>
</file>

<file path=xl/tables/table37.xml><?xml version="1.0" encoding="utf-8"?>
<x:table xmlns:x="http://schemas.openxmlformats.org/spreadsheetml/2006/main" id="37" name="Nist" displayName="Nist" ref="A5:D123" headerRowCount="1" totalsRowCount="0" totalsRowShown="0">
  <x:tableColumns count="4">
    <x:tableColumn id="1" name="Kontrol ID"/>
    <x:tableColumn id="2" name="Resmî kontrol başlığı"/>
    <x:tableColumn id="3" name="KaynakID"/>
    <x:tableColumn id="4" name="OSCAL kimliği"/>
  </x:tableColumns>
  <x:tableStyleInfo name="TableStyleMedium2" showFirstColumn="0" showLastColumn="0" showRowStripes="1" showColumnStripes="0"/>
</x:table>
</file>

<file path=xl/tables/table38.xml><?xml version="1.0" encoding="utf-8"?>
<x:table xmlns:x="http://schemas.openxmlformats.org/spreadsheetml/2006/main" id="38" name="Bigr" displayName="Bigr" ref="A5:E27" headerRowCount="1" totalsRowCount="0" totalsRowShown="0">
  <x:tableColumns count="5">
    <x:tableColumn id="1" name="Bölüm"/>
    <x:tableColumn id="2" name="Basılı sayfa"/>
    <x:tableColumn id="3" name="PDF sayfası"/>
    <x:tableColumn id="4" name="Konumun anlamı"/>
    <x:tableColumn id="5" name="KaynakID"/>
  </x:tableColumns>
  <x:tableStyleInfo name="TableStyleMedium2" showFirstColumn="0" showLastColumn="0" showRowStripes="1" showColumnStripes="0"/>
</x:table>
</file>

<file path=xl/tables/table39.xml><?xml version="1.0" encoding="utf-8"?>
<x:table xmlns:x="http://schemas.openxmlformats.org/spreadsheetml/2006/main" id="39" name="Glossary" displayName="Glossary" ref="A5:D107" headerRowCount="1" totalsRowCount="0" totalsRowShown="0">
  <x:tableColumns count="4">
    <x:tableColumn id="1" name="Terim"/>
    <x:tableColumn id="2" name="Açılım"/>
    <x:tableColumn id="3" name="Çalışmadaki anlamı"/>
    <x:tableColumn id="4" name="Dayanak / kullanım bağlamı"/>
  </x:tableColumns>
  <x:tableStyleInfo name="TableStyleMedium2" showFirstColumn="0" showLastColumn="0" showRowStripes="1" showColumnStripes="0"/>
</x:table>
</file>

<file path=xl/tables/table40.xml><?xml version="1.0" encoding="utf-8"?>
<x:table xmlns:x="http://schemas.openxmlformats.org/spreadsheetml/2006/main" id="40" name="Method" displayName="Method" ref="A5:C21" headerRowCount="1" totalsRowCount="0" totalsRowShown="0">
  <x:tableColumns count="3">
    <x:tableColumn id="1" name="Konu"/>
    <x:tableColumn id="2" name="Uygulama"/>
    <x:tableColumn id="3" name="Dayana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44f299a0eec47d1" /></Relationships>
</file>

<file path=xl/worksheets/_rels/sheet2.xml.rels>&#65279;<?xml version="1.0" encoding="utf-8"?><Relationships xmlns="http://schemas.openxmlformats.org/package/2006/relationships"><Relationship Type="http://schemas.openxmlformats.org/officeDocument/2006/relationships/table" Target="/xl/tables/table2.xml" Id="R0525e50921944240" /></Relationships>
</file>

<file path=xl/worksheets/_rels/sheet3.xml.rels>&#65279;<?xml version="1.0" encoding="utf-8"?><Relationships xmlns="http://schemas.openxmlformats.org/package/2006/relationships"><Relationship Type="http://schemas.openxmlformats.org/officeDocument/2006/relationships/table" Target="/xl/tables/table3.xml" Id="Rf3bbc5e537b1443c" /></Relationships>
</file>

<file path=xl/worksheets/_rels/sheet4.xml.rels>&#65279;<?xml version="1.0" encoding="utf-8"?><Relationships xmlns="http://schemas.openxmlformats.org/package/2006/relationships"><Relationship Type="http://schemas.openxmlformats.org/officeDocument/2006/relationships/table" Target="/xl/tables/table4.xml" Id="R4ff56d00169e4fde" /></Relationships>
</file>

<file path=xl/worksheets/_rels/sheet5.xml.rels>&#65279;<?xml version="1.0" encoding="utf-8"?><Relationships xmlns="http://schemas.openxmlformats.org/package/2006/relationships"><Relationship Type="http://schemas.openxmlformats.org/officeDocument/2006/relationships/table" Target="/xl/tables/table5.xml" Id="Rfb02a33b122c4787" /></Relationships>
</file>

<file path=xl/worksheets/_rels/sheet6.xml.rels>&#65279;<?xml version="1.0" encoding="utf-8"?><Relationships xmlns="http://schemas.openxmlformats.org/package/2006/relationships"><Relationship Type="http://schemas.openxmlformats.org/officeDocument/2006/relationships/table" Target="/xl/tables/table6.xml" Id="Rd7f35dab91984896" /></Relationships>
</file>

<file path=xl/worksheets/_rels/sheet7.xml.rels>&#65279;<?xml version="1.0" encoding="utf-8"?><Relationships xmlns="http://schemas.openxmlformats.org/package/2006/relationships"><Relationship Type="http://schemas.openxmlformats.org/officeDocument/2006/relationships/table" Target="/xl/tables/table7.xml" Id="R40bcb4758bcb450e" /></Relationships>
</file>

<file path=xl/worksheets/_rels/sheet8.xml.rels>&#65279;<?xml version="1.0" encoding="utf-8"?><Relationships xmlns="http://schemas.openxmlformats.org/package/2006/relationships"><Relationship Type="http://schemas.openxmlformats.org/officeDocument/2006/relationships/table" Target="/xl/tables/table8.xml" Id="R892d1c4ce15b4281" /></Relationships>
</file>

<file path=xl/worksheets/_rels/sheet9.xml.rels>&#65279;<?xml version="1.0" encoding="utf-8"?><Relationships xmlns="http://schemas.openxmlformats.org/package/2006/relationships"><Relationship Type="http://schemas.openxmlformats.org/officeDocument/2006/relationships/table" Target="/xl/tables/table9.xml" Id="Rdccc11170a794a20" /></Relationships>
</file>

<file path=xl/worksheets/_rels/sheet10.xml.rels>&#65279;<?xml version="1.0" encoding="utf-8"?><Relationships xmlns="http://schemas.openxmlformats.org/package/2006/relationships"><Relationship Type="http://schemas.openxmlformats.org/officeDocument/2006/relationships/table" Target="/xl/tables/table10.xml" Id="Ra49117c52b8d4759" /></Relationships>
</file>

<file path=xl/worksheets/_rels/sheet11.xml.rels>&#65279;<?xml version="1.0" encoding="utf-8"?><Relationships xmlns="http://schemas.openxmlformats.org/package/2006/relationships"><Relationship Type="http://schemas.openxmlformats.org/officeDocument/2006/relationships/table" Target="/xl/tables/table11.xml" Id="R05392224225b4342" /></Relationships>
</file>

<file path=xl/worksheets/_rels/sheet12.xml.rels>&#65279;<?xml version="1.0" encoding="utf-8"?><Relationships xmlns="http://schemas.openxmlformats.org/package/2006/relationships"><Relationship Type="http://schemas.openxmlformats.org/officeDocument/2006/relationships/table" Target="/xl/tables/table12.xml" Id="R652a25d17b66436b" /></Relationships>
</file>

<file path=xl/worksheets/_rels/sheet13.xml.rels>&#65279;<?xml version="1.0" encoding="utf-8"?><Relationships xmlns="http://schemas.openxmlformats.org/package/2006/relationships"><Relationship Type="http://schemas.openxmlformats.org/officeDocument/2006/relationships/table" Target="/xl/tables/table13.xml" Id="R05119f9853ac4d09" /></Relationships>
</file>

<file path=xl/worksheets/_rels/sheet14.xml.rels>&#65279;<?xml version="1.0" encoding="utf-8"?><Relationships xmlns="http://schemas.openxmlformats.org/package/2006/relationships"><Relationship Type="http://schemas.openxmlformats.org/officeDocument/2006/relationships/table" Target="/xl/tables/table14.xml" Id="Rc1f5111221cc4ab2" /></Relationships>
</file>

<file path=xl/worksheets/_rels/sheet15.xml.rels>&#65279;<?xml version="1.0" encoding="utf-8"?><Relationships xmlns="http://schemas.openxmlformats.org/package/2006/relationships"><Relationship Type="http://schemas.openxmlformats.org/officeDocument/2006/relationships/table" Target="/xl/tables/table15.xml" Id="R6028e179f7f746ef" /></Relationships>
</file>

<file path=xl/worksheets/_rels/sheet16.xml.rels>&#65279;<?xml version="1.0" encoding="utf-8"?><Relationships xmlns="http://schemas.openxmlformats.org/package/2006/relationships"><Relationship Type="http://schemas.openxmlformats.org/officeDocument/2006/relationships/table" Target="/xl/tables/table16.xml" Id="Re11569a30b8d4dd2" /></Relationships>
</file>

<file path=xl/worksheets/_rels/sheet17.xml.rels>&#65279;<?xml version="1.0" encoding="utf-8"?><Relationships xmlns="http://schemas.openxmlformats.org/package/2006/relationships"><Relationship Type="http://schemas.openxmlformats.org/officeDocument/2006/relationships/table" Target="/xl/tables/table17.xml" Id="R40500915f52549d9" /></Relationships>
</file>

<file path=xl/worksheets/_rels/sheet18.xml.rels>&#65279;<?xml version="1.0" encoding="utf-8"?><Relationships xmlns="http://schemas.openxmlformats.org/package/2006/relationships"><Relationship Type="http://schemas.openxmlformats.org/officeDocument/2006/relationships/table" Target="/xl/tables/table18.xml" Id="Rab29c4bd81ff4733" /></Relationships>
</file>

<file path=xl/worksheets/_rels/sheet19.xml.rels>&#65279;<?xml version="1.0" encoding="utf-8"?><Relationships xmlns="http://schemas.openxmlformats.org/package/2006/relationships"><Relationship Type="http://schemas.openxmlformats.org/officeDocument/2006/relationships/table" Target="/xl/tables/table19.xml" Id="R552f33efde3b4c23" /></Relationships>
</file>

<file path=xl/worksheets/_rels/sheet20.xml.rels>&#65279;<?xml version="1.0" encoding="utf-8"?><Relationships xmlns="http://schemas.openxmlformats.org/package/2006/relationships"><Relationship Type="http://schemas.openxmlformats.org/officeDocument/2006/relationships/table" Target="/xl/tables/table20.xml" Id="R33d5d42345a947cc" /></Relationships>
</file>

<file path=xl/worksheets/_rels/sheet21.xml.rels>&#65279;<?xml version="1.0" encoding="utf-8"?><Relationships xmlns="http://schemas.openxmlformats.org/package/2006/relationships"><Relationship Type="http://schemas.openxmlformats.org/officeDocument/2006/relationships/table" Target="/xl/tables/table21.xml" Id="Rca1d8737547e4141" /></Relationships>
</file>

<file path=xl/worksheets/_rels/sheet22.xml.rels>&#65279;<?xml version="1.0" encoding="utf-8"?><Relationships xmlns="http://schemas.openxmlformats.org/package/2006/relationships"><Relationship Type="http://schemas.openxmlformats.org/officeDocument/2006/relationships/table" Target="/xl/tables/table22.xml" Id="R4355693e26364fc1" /></Relationships>
</file>

<file path=xl/worksheets/_rels/sheet23.xml.rels>&#65279;<?xml version="1.0" encoding="utf-8"?><Relationships xmlns="http://schemas.openxmlformats.org/package/2006/relationships"><Relationship Type="http://schemas.openxmlformats.org/officeDocument/2006/relationships/table" Target="/xl/tables/table23.xml" Id="R2f2760ab199b45f6" /></Relationships>
</file>

<file path=xl/worksheets/_rels/sheet24.xml.rels>&#65279;<?xml version="1.0" encoding="utf-8"?><Relationships xmlns="http://schemas.openxmlformats.org/package/2006/relationships"><Relationship Type="http://schemas.openxmlformats.org/officeDocument/2006/relationships/table" Target="/xl/tables/table24.xml" Id="R06994b2e7e374bec" /></Relationships>
</file>

<file path=xl/worksheets/_rels/sheet25.xml.rels>&#65279;<?xml version="1.0" encoding="utf-8"?><Relationships xmlns="http://schemas.openxmlformats.org/package/2006/relationships"><Relationship Type="http://schemas.openxmlformats.org/officeDocument/2006/relationships/table" Target="/xl/tables/table25.xml" Id="Re005f0c265c243c6" /></Relationships>
</file>

<file path=xl/worksheets/_rels/sheet26.xml.rels>&#65279;<?xml version="1.0" encoding="utf-8"?><Relationships xmlns="http://schemas.openxmlformats.org/package/2006/relationships"><Relationship Type="http://schemas.openxmlformats.org/officeDocument/2006/relationships/table" Target="/xl/tables/table26.xml" Id="R49d6b48615c34133" /></Relationships>
</file>

<file path=xl/worksheets/_rels/sheet27.xml.rels>&#65279;<?xml version="1.0" encoding="utf-8"?><Relationships xmlns="http://schemas.openxmlformats.org/package/2006/relationships"><Relationship Type="http://schemas.openxmlformats.org/officeDocument/2006/relationships/table" Target="/xl/tables/table27.xml" Id="Rdbe057386a324e66" /></Relationships>
</file>

<file path=xl/worksheets/_rels/sheet28.xml.rels>&#65279;<?xml version="1.0" encoding="utf-8"?><Relationships xmlns="http://schemas.openxmlformats.org/package/2006/relationships"><Relationship Type="http://schemas.openxmlformats.org/officeDocument/2006/relationships/table" Target="/xl/tables/table28.xml" Id="R6e407726eb2f4abd" /></Relationships>
</file>

<file path=xl/worksheets/_rels/sheet29.xml.rels>&#65279;<?xml version="1.0" encoding="utf-8"?><Relationships xmlns="http://schemas.openxmlformats.org/package/2006/relationships"><Relationship Type="http://schemas.openxmlformats.org/officeDocument/2006/relationships/table" Target="/xl/tables/table29.xml" Id="R9284541c31b34074" /></Relationships>
</file>

<file path=xl/worksheets/_rels/sheet30.xml.rels>&#65279;<?xml version="1.0" encoding="utf-8"?><Relationships xmlns="http://schemas.openxmlformats.org/package/2006/relationships"><Relationship Type="http://schemas.openxmlformats.org/officeDocument/2006/relationships/table" Target="/xl/tables/table30.xml" Id="Rdddb4d04c9eb45da" /></Relationships>
</file>

<file path=xl/worksheets/_rels/sheet31.xml.rels><?xml version='1.0' encoding='utf-8'?>
<ns0:Relationships xmlns:ns0="http://schemas.openxmlformats.org/package/2006/relationships"><ns0:Relationship Type="http://schemas.openxmlformats.org/officeDocument/2006/relationships/table" Target="/xl/tables/table31.xml" Id="R803cae2ee33c4755" /><ns0:Relationship Id="rIdLink1" Type="http://schemas.openxmlformats.org/officeDocument/2006/relationships/hyperlink" Target="https://csrc.nist.gov/pubs/sp/800/53/r5/upd1/final" TargetMode="External" /><ns0:Relationship Id="rIdLink2" Type="http://schemas.openxmlformats.org/officeDocument/2006/relationships/hyperlink" Target="https://raw.githubusercontent.com/usnistgov/oscal-content/main/nist.gov/SP800-53/rev5/json/NIST_SP-800-53_rev5_catalog.json" TargetMode="External" /><ns0:Relationship Id="rIdLink3" Type="http://schemas.openxmlformats.org/officeDocument/2006/relationships/hyperlink" Target="https://csrc.nist.gov/pubs/sp/800/53/a/r5/final" TargetMode="External" /><ns0:Relationship Id="rIdLink4" Type="http://schemas.openxmlformats.org/officeDocument/2006/relationships/hyperlink" Target="https://www.iso.org/standard/27001" TargetMode="External" /><ns0:Relationship Id="rIdLink5" Type="http://schemas.openxmlformats.org/officeDocument/2006/relationships/hyperlink" Target="https://committee.iso.org/files/live/sites/jtc1sc27/files/resources/ISO-IECJTC1-SC27-WG1_N3298_Auditing%20Practices%20Note%20-%20SoA.pdf" TargetMode="External" /><ns0:Relationship Id="rIdLink6" Type="http://schemas.openxmlformats.org/officeDocument/2006/relationships/hyperlink" Target="https://committee.iso.org/files/live/sites/jtc1sc27/files/resources/ISO-IECJTC1-SC27-WG1_N3297_Auditing%20Practices%20Note%20-%20Annex%20A.pdf" TargetMode="External" /><ns0:Relationship Id="rIdLink7" Type="http://schemas.openxmlformats.org/officeDocument/2006/relationships/hyperlink" Target="https://www.resmigazete.gov.tr/eskiler/2020/03/20200315-10.htm" TargetMode="External" /><ns0:Relationship Id="rIdLink8" Type="http://schemas.openxmlformats.org/officeDocument/2006/relationships/hyperlink" Target="https://www.lexpera.com.tr/resmi-gazete/metin/bankalarin-bilgi-sistemleri-ve-elektronik-bankacilik-hizmetleri-hakkinda-yonetmelik-31069" TargetMode="External" /><ns0:Relationship Id="rIdLink9" Type="http://schemas.openxmlformats.org/officeDocument/2006/relationships/hyperlink" Target="https://www.bddk.org.tr/Mevzuat/Liste/134" TargetMode="External" /><ns0:Relationship Id="rIdLink10" Type="http://schemas.openxmlformats.org/officeDocument/2006/relationships/hyperlink" Target="C:\Users\whoai\Downloads\MSP Denetim\Bilgi Gu&#776;venlig&#774;i Rehberi.pdf" TargetMode="External" /><ns0:Relationship Id="rIdLink11" Type="http://schemas.openxmlformats.org/officeDocument/2006/relationships/hyperlink" Target="https://www.cisecurity.org/benchmark/vmware" TargetMode="External" /><ns0:Relationship Id="rIdLink12" Type="http://schemas.openxmlformats.org/officeDocument/2006/relationships/hyperlink" Target="https://raw.githubusercontent.com/vmware/vcf-security-and-compliance-guidelines/main/security-configuration-hardening-guide/vsphere/8.0/vmware-vsphere-security-configuration-guide-8-controls.csv" TargetMode="External" /><ns0:Relationship Id="rIdLink13" Type="http://schemas.openxmlformats.org/officeDocument/2006/relationships/hyperlink" Target="https://developer.broadcom.com/xapis/vsphere-web-services-api/latest/vim.vm.ConfigSpec.EncryptedVMotionModes.html" TargetMode="External" /><ns0:Relationship Id="rIdLink14" Type="http://schemas.openxmlformats.org/officeDocument/2006/relationships/hyperlink" Target="https://knowledge.broadcom.com/external/article/378422/nsx-distributed-firewall-exclusion-list.html" TargetMode="External" /><ns0:Relationship Id="rIdLink15" Type="http://schemas.openxmlformats.org/officeDocument/2006/relationships/hyperlink" Target="https://developer.broadcom.com/xapis/vmware-cloud-director-openapi/latest/global-roles/" TargetMode="External" /><ns0:Relationship Id="rIdLink16" Type="http://schemas.openxmlformats.org/officeDocument/2006/relationships/hyperlink" Target="https://knowledge.broadcom.com/external/article/437757/vsan-esa-storage-policy-and-encryption-f.html" TargetMode="External" /><ns0:Relationship Id="rIdLink17" Type="http://schemas.openxmlformats.org/officeDocument/2006/relationships/hyperlink" Target="https://helpcenter.veeam.com/docs/vbr/userguide/securing_backup_infrastructure.html" TargetMode="External" /><ns0:Relationship Id="rIdLink18" Type="http://schemas.openxmlformats.org/officeDocument/2006/relationships/hyperlink" Target="https://helpcenter.veeam.com/docs/vbr/userguide/hardened_repository.html" TargetMode="External" /><ns0:Relationship Id="rIdLink19" Type="http://schemas.openxmlformats.org/officeDocument/2006/relationships/hyperlink" Target="https://helpcenter.veeam.com/docs/vbr/userguide/best_practices_analyzer.html" TargetMode="External" /><ns0:Relationship Id="rIdLink20" Type="http://schemas.openxmlformats.org/officeDocument/2006/relationships/hyperlink" Target="https://knowledge.broadcom.com/external/article/403697/minimum-role-permissions-required-to-per.html" TargetMode="External" /><ns0:Relationship Id="rIdLink21" Type="http://schemas.openxmlformats.org/officeDocument/2006/relationships/hyperlink" Target="https://docs.fortinet.com/document/fortigate/7.4.5/administration-guide/597696/vdom-overview" TargetMode="External" /><ns0:Relationship Id="rIdLink22" Type="http://schemas.openxmlformats.org/officeDocument/2006/relationships/hyperlink" Target="https://docs.fortinet.com/document/fortigate/7.4.0/best-practices/555436" TargetMode="External" /><ns0:Relationship Id="rIdLink23" Type="http://schemas.openxmlformats.org/officeDocument/2006/relationships/hyperlink" Target="https://docs.fortinet.com/document/fortigate/7.4.0/ips-architecture-guide/748610/transparent-mode" TargetMode="External" /><ns0:Relationship Id="rIdLink24" Type="http://schemas.openxmlformats.org/officeDocument/2006/relationships/hyperlink" Target="https://help.splunk.com/en/splunk-enterprise/administer/manage-users-and-security/10.0/introduction-to-securing-the-splunk-platform/about-securing-the-splunk-platform" TargetMode="External" /><ns0:Relationship Id="rIdLink25" Type="http://schemas.openxmlformats.org/officeDocument/2006/relationships/hyperlink" Target="https://help.splunk.com/en/splunk-enterprise/administer/manage-users-and-security/10.4/manage-splunk-platform-users-and-roles/use-access-control-to-secure-splunk-data" TargetMode="External" /><ns0:Relationship Id="rIdLink26" Type="http://schemas.openxmlformats.org/officeDocument/2006/relationships/hyperlink" Target="https://www.cisco.com/c/en/us/support/docs/security/email-security-appliance/215360-best-practice-for-email-authentication.pdf" TargetMode="External" /><ns0:Relationship Id="rIdLink27" Type="http://schemas.openxmlformats.org/officeDocument/2006/relationships/hyperlink" Target="https://www.cisco.com/c/en/us/support/docs/security/email-security-appliance/215715-best-practices-guide-for-incoming-and-ou.pdf" TargetMode="External" /><ns0:Relationship Id="rIdLink28" Type="http://schemas.openxmlformats.org/officeDocument/2006/relationships/hyperlink" Target="https://www.cisco.com/c/dam/en/us/products/collateral/security/esa-and-msa-comprehensive.pdf" TargetMode="External" /><ns0:Relationship Id="rIdLink29" Type="http://schemas.openxmlformats.org/officeDocument/2006/relationships/hyperlink" Target="https://developer.konghq.com/gateway/secure-the-admin-api/" TargetMode="External" /><ns0:Relationship Id="rIdLink30" Type="http://schemas.openxmlformats.org/officeDocument/2006/relationships/hyperlink" Target="https://developer.konghq.com/gateway/entities/rbac/" TargetMode="External" /><ns0:Relationship Id="rIdLink31" Type="http://schemas.openxmlformats.org/officeDocument/2006/relationships/hyperlink" Target="https://developer.konghq.com/gateway/entities/workspace/" TargetMode="External" /><ns0:Relationship Id="rIdLink32" Type="http://schemas.openxmlformats.org/officeDocument/2006/relationships/hyperlink" Target="https://developer.konghq.com/gateway/security/" TargetMode="External" /><ns0:Relationship Id="rIdLink33" Type="http://schemas.openxmlformats.org/officeDocument/2006/relationships/hyperlink" Target="https://docs.cyberark.com/pam-self-hosted/latest/en/content/security/security-hardening-introduction.htm" TargetMode="External" /><ns0:Relationship Id="rIdLink34" Type="http://schemas.openxmlformats.org/officeDocument/2006/relationships/hyperlink" Target="https://github.com/cyberark/CYBRHardeningCheck" TargetMode="External" /><ns0:Relationship Id="rIdLink35" Type="http://schemas.openxmlformats.org/officeDocument/2006/relationships/hyperlink" Target="https://help.forcepoint.com/dlp/10.3.0/dlphelp/2450F236-E242-4BAB-8281-C8A470A79147.html" TargetMode="External" /><ns0:Relationship Id="rIdLink36" Type="http://schemas.openxmlformats.org/officeDocument/2006/relationships/hyperlink" Target="https://help.forcepoint.com/docs/data/v87/help/help.pdf" TargetMode="External" /><ns0:Relationship Id="rIdLink37" Type="http://schemas.openxmlformats.org/officeDocument/2006/relationships/hyperlink" Target="https://www.zabbix.com/documentation/7.0/en/manual/best_practices/security/access_control" TargetMode="External" /><ns0:Relationship Id="rIdLink38" Type="http://schemas.openxmlformats.org/officeDocument/2006/relationships/hyperlink" Target="https://www.zabbix.com/documentation/7.0/en/manual/encryption" TargetMode="External" /><ns0:Relationship Id="rIdLink39" Type="http://schemas.openxmlformats.org/officeDocument/2006/relationships/hyperlink" Target="https://www.zabbix.com/documentation/current/en/manual/best_practices/security" TargetMode="External" /><ns0:Relationship Id="rIdLink40" Type="http://schemas.openxmlformats.org/officeDocument/2006/relationships/hyperlink" Target="https://grafana.com/docs/grafana/latest/setup-grafana/configure-security/" TargetMode="External" /><ns0:Relationship Id="rIdLink41" Type="http://schemas.openxmlformats.org/officeDocument/2006/relationships/hyperlink" Target="https://grafana.com/docs/grafana/latest/setup-grafana/configure-security/configure-security-hardening/" TargetMode="External" /><ns0:Relationship Id="rIdLink42" Type="http://schemas.openxmlformats.org/officeDocument/2006/relationships/hyperlink" Target="https://www.manageengine.com/products/desktop-central/security-recommendations.html" TargetMode="External" /><ns0:Relationship Id="rIdLink43" Type="http://schemas.openxmlformats.org/officeDocument/2006/relationships/hyperlink" Target="https://www.trellix.com/blogs/perspectives/mitigating-security-update-risks-part-4/" TargetMode="External" /><ns0:Relationship Id="rIdLink44" Type="http://schemas.openxmlformats.org/officeDocument/2006/relationships/hyperlink" Target="https://www.trellix.com/blogs/perspectives/cisos-cyber-criminals-dont-want-you-to-know-this-one-weird-trick-to-alleviate-insider-threat-nightmares/" TargetMode="External" /><ns0:Relationship Id="rIdLink45" Type="http://schemas.openxmlformats.org/officeDocument/2006/relationships/hyperlink" Target="https://docs.trellix.com/bundle/trellix-epolicy-orchestrator-on-prem-5.10.0-product-guide/page/UUID-2ac1132b-f088-192f-6a6a-22462c2651a1.html" TargetMode="External" /><ns0:Relationship Id="rIdLink46" Type="http://schemas.openxmlformats.org/officeDocument/2006/relationships/hyperlink" Target="https://docs.netscaler.com/en-us/netscaler-adc-secure-deployment.html" TargetMode="External" /><ns0:Relationship Id="rIdLink47" Type="http://schemas.openxmlformats.org/officeDocument/2006/relationships/hyperlink" Target="https://docs.netscaler.com/en-us/netscaler-adc-secure-deployment/configuration-guidelines/network-security.html" TargetMode="External" /><ns0:Relationship Id="rIdLink48" Type="http://schemas.openxmlformats.org/officeDocument/2006/relationships/hyperlink" Target="https://docs.netscaler.com/en-us/netscaler-adc-secure-deployment/other-features/netscaler-web-app-firewall-security-recommendations.html" TargetMode="External" /><ns0:Relationship Id="rIdLink49" Type="http://schemas.openxmlformats.org/officeDocument/2006/relationships/hyperlink" Target="https://docs.netscaler.com/en-us/citrix-adc/current-release/application-firewall/deploymentguide.html" TargetMode="External" /><ns0:Relationship Id="rIdLink50" Type="http://schemas.openxmlformats.org/officeDocument/2006/relationships/hyperlink" Target="https://developer.carbonblack.com/getting-started" TargetMode="External" /><ns0:Relationship Id="rIdLink51" Type="http://schemas.openxmlformats.org/officeDocument/2006/relationships/hyperlink" Target="https://docs.ces.cisco.com/docs/cloud-email-security-quick-start-guide" TargetMode="External" /><ns0:Relationship Id="rIdLink52" Type="http://schemas.openxmlformats.org/officeDocument/2006/relationships/hyperlink" Target="C:\Users\whoai\Downloads\CIS_FortiGate_7.4.x_Benchmark_v1.0.1.pdf" TargetMode="External" /><ns0:Relationship Id="rIdLink53" Type="http://schemas.openxmlformats.org/officeDocument/2006/relationships/hyperlink" Target="C:\Users\whoai\Downloads\CIS_Benchmarks__Active_Directory_Guide__2024_11.pdf" TargetMode="External" /><ns0:Relationship Id="rIdLink54" Type="http://schemas.openxmlformats.org/officeDocument/2006/relationships/hyperlink" Target="C:\Users\whoai\Downloads\CIS VMWare ESXi 7 Benchmark V1.6.0 PDF.pdf" TargetMode="External" /><ns0:Relationship Id="rIdLink55" Type="http://schemas.openxmlformats.org/officeDocument/2006/relationships/hyperlink" Target="C:\Users\whoai\Downloads\CIS_VMware_ESXi_8.0_Benchmark_v1.4.0_PDF.pdf" TargetMode="External" /><ns0:Relationship Id="rIdLink56" Type="http://schemas.openxmlformats.org/officeDocument/2006/relationships/hyperlink" Target="C:\Users\whoai\Downloads\CIS_Microsoft_Exchange_Server_2019_Benchmark_v1.0.0.pdf" TargetMode="External" /><ns0:Relationship Id="rIdLink57" Type="http://schemas.openxmlformats.org/officeDocument/2006/relationships/hyperlink" Target="https://community.fortinet.com/fortigate-3/technical-tip-how-to-send-encrypted-logs-to-syslog-server-126495" TargetMode="External" /><ns0:Relationship Id="rIdLink58" Type="http://schemas.openxmlformats.org/officeDocument/2006/relationships/hyperlink" Target="https://learn.microsoft.com/en-us/powershell/module/exchangepowershell/get-rpcclientaccess?view=exchange-ps" TargetMode="External" /><ns0:Relationship Id="rIdLink59" Type="http://schemas.openxmlformats.org/officeDocument/2006/relationships/hyperlink" Target="https://learn.microsoft.com/en-us/powershell/module/exchangepowershell/set-owavirtualdirectory?view=exchange-ps#-smimeenabled" TargetMode="External" /><ns0:Relationship Id="rIdLink60" Type="http://schemas.openxmlformats.org/officeDocument/2006/relationships/hyperlink" Target="https://learn.microsoft.com/en-us/powershell/module/exchangepowershell/set-mobiledevicemailboxpolicy?view=exchange-ps" TargetMode="External" /><ns0:Relationship Id="rIdLink61" Type="http://schemas.openxmlformats.org/officeDocument/2006/relationships/hyperlink" Target="https://learn.microsoft.com/en-us/exchange/clients/outlook-for-ios-and-android/manage-devices" TargetMode="External" /><ns0:Relationship Id="rIdLink62" Type="http://schemas.openxmlformats.org/officeDocument/2006/relationships/hyperlink" Target="https://learn.microsoft.com/en-us/windows-server/identity/ad-ds/plan/security-best-practices/best-practices-for-securing-active-directory" TargetMode="External" /><ns0:Relationship Id="rIdLink63" Type="http://schemas.openxmlformats.org/officeDocument/2006/relationships/hyperlink" Target="https://learn.microsoft.com/en-us/windows-server/identity/ad-ds/plan/security-best-practices/implementing-least-privilege-administrative-models" TargetMode="External" /><ns0:Relationship Id="rIdLink64" Type="http://schemas.openxmlformats.org/officeDocument/2006/relationships/hyperlink" Target="https://learn.microsoft.com/en-us/windows-server/identity/ad-ds/plan/planning-operations-master-role-placement" TargetMode="External" /><ns0:Relationship Id="rIdLink65" Type="http://schemas.openxmlformats.org/officeDocument/2006/relationships/hyperlink" Target="https://learn.microsoft.com/en-us/windows-server/identity/ad-ds/manage/group-policy/group-policy-processing" TargetMode="External" /><ns0:Relationship Id="rIdLink66" Type="http://schemas.openxmlformats.org/officeDocument/2006/relationships/hyperlink" Target="https://learn.microsoft.com/en-us/powershell/module/grouppolicy/restore-gpo?view=windowsserver2025-ps" TargetMode="External" /><ns0:Relationship Id="rIdLink67" Type="http://schemas.openxmlformats.org/officeDocument/2006/relationships/hyperlink" Target="https://learn.microsoft.com/en-us/troubleshoot/windows-client/group-policy/create-and-manage-central-store" TargetMode="External" /><ns0:Relationship Id="rIdLink68" Type="http://schemas.openxmlformats.org/officeDocument/2006/relationships/hyperlink" Target="https://man.openbsd.org/sshd_config" TargetMode="External" /><ns0:Relationship Id="rIdLink69" Type="http://schemas.openxmlformats.org/officeDocument/2006/relationships/hyperlink" Target="C:\Users\whoai\Downloads\MSP Denetim\outputs\01a08028\MSP_Ic_Denetim_Soru_Seti.xlsx" TargetMode="External" /><ns0:Relationship Id="rIdLink70" Type="http://schemas.openxmlformats.org/officeDocument/2006/relationships/hyperlink" Target="C:\Users\whoai\Downloads\MSP_Denetimi_Kontrol_Seti_v6.xlsx" TargetMode="External" /><ns0:Relationship Id="rIdLink71" Type="http://schemas.openxmlformats.org/officeDocument/2006/relationships/hyperlink" Target="https://helpcenter.veeam.com/docs/vbr/userguide/backup_repository_sobr.html" TargetMode="External" /><ns0:Relationship Id="rIdLink72" Type="http://schemas.openxmlformats.org/officeDocument/2006/relationships/hyperlink" Target="https://docs.fortinet.com/document/fortigate/7.4.7/administration-guide/139692/routing-concepts" TargetMode="External" /><ns0:Relationship Id="rIdLink73" Type="http://schemas.openxmlformats.org/officeDocument/2006/relationships/hyperlink" Target="https://www.cve.org/ResourcesSupport/FAQs" TargetMode="External" /><ns0:Relationship Id="rIdLink74" Type="http://schemas.openxmlformats.org/officeDocument/2006/relationships/hyperlink" Target="https://www.cve.org/ResourcesSupport/Resources" TargetMode="External" /></ns0:Relationships>
</file>

<file path=xl/worksheets/_rels/sheet32.xml.rels><?xml version='1.0' encoding='utf-8'?>
<ns0:Relationships xmlns:ns0="http://schemas.openxmlformats.org/package/2006/relationships"><ns0:Relationship Type="http://schemas.openxmlformats.org/officeDocument/2006/relationships/table" Target="/xl/tables/table32.xml" Id="Raf39d6d032e64732" /></ns0:Relationships>
</file>

<file path=xl/worksheets/_rels/sheet33.xml.rels><?xml version='1.0' encoding='utf-8'?>
<ns0:Relationships xmlns:ns0="http://schemas.openxmlformats.org/package/2006/relationships"><ns0:Relationship Type="http://schemas.openxmlformats.org/officeDocument/2006/relationships/table" Target="/xl/tables/table33.xml" Id="Ref7f1f6506c34c4c" /></ns0:Relationships>
</file>

<file path=xl/worksheets/_rels/sheet34.xml.rels>&#65279;<?xml version="1.0" encoding="utf-8"?><Relationships xmlns="http://schemas.openxmlformats.org/package/2006/relationships"><Relationship Type="http://schemas.openxmlformats.org/officeDocument/2006/relationships/table" Target="/xl/tables/table34.xml" Id="R568be0f2afec4628" /></Relationships>
</file>

<file path=xl/worksheets/_rels/sheet35.xml.rels>&#65279;<?xml version="1.0" encoding="utf-8"?><Relationships xmlns="http://schemas.openxmlformats.org/package/2006/relationships"><Relationship Type="http://schemas.openxmlformats.org/officeDocument/2006/relationships/table" Target="/xl/tables/table35.xml" Id="Re6051b67d485469d" /></Relationships>
</file>

<file path=xl/worksheets/_rels/sheet36.xml.rels>&#65279;<?xml version="1.0" encoding="utf-8"?><Relationships xmlns="http://schemas.openxmlformats.org/package/2006/relationships"><Relationship Type="http://schemas.openxmlformats.org/officeDocument/2006/relationships/table" Target="/xl/tables/table36.xml" Id="R2d35362c887f4af4" /></Relationships>
</file>

<file path=xl/worksheets/_rels/sheet37.xml.rels>&#65279;<?xml version="1.0" encoding="utf-8"?><Relationships xmlns="http://schemas.openxmlformats.org/package/2006/relationships"><Relationship Type="http://schemas.openxmlformats.org/officeDocument/2006/relationships/table" Target="/xl/tables/table37.xml" Id="R87af8770c9a94314" /></Relationships>
</file>

<file path=xl/worksheets/_rels/sheet38.xml.rels>&#65279;<?xml version="1.0" encoding="utf-8"?><Relationships xmlns="http://schemas.openxmlformats.org/package/2006/relationships"><Relationship Type="http://schemas.openxmlformats.org/officeDocument/2006/relationships/table" Target="/xl/tables/table38.xml" Id="R758321f7037b4ab6" /></Relationships>
</file>

<file path=xl/worksheets/_rels/sheet39.xml.rels>&#65279;<?xml version="1.0" encoding="utf-8"?><Relationships xmlns="http://schemas.openxmlformats.org/package/2006/relationships"><Relationship Type="http://schemas.openxmlformats.org/officeDocument/2006/relationships/table" Target="/xl/tables/table39.xml" Id="R139616092b1b4e2c" /></Relationships>
</file>

<file path=xl/worksheets/_rels/sheet40.xml.rels>&#65279;<?xml version="1.0" encoding="utf-8"?><Relationships xmlns="http://schemas.openxmlformats.org/package/2006/relationships"><Relationship Type="http://schemas.openxmlformats.org/officeDocument/2006/relationships/table" Target="/xl/tables/table40.xml" Id="Rebfa834bd4fb4e79" /></Relationships>
</file>

<file path=xl/worksheets/sheet1.xml><?xml version="1.0" encoding="utf-8"?>
<x:worksheet xmlns:x="http://schemas.openxmlformats.org/spreadsheetml/2006/main">
  <x:sheetPr>
    <x:tabColor rgb="FF203A4B"/>
  </x:sheetPr>
  <x:sheetViews>
    <x:sheetView showGridLines="0" workbookViewId="0">
      <x:pane xSplit="2" ySplit="5" topLeftCell="C6" activePane="bottomRight" state="frozen"/>
    </x:sheetView>
  </x:sheetViews>
  <x:sheetFormatPr defaultRowHeight="15"/>
  <x:cols>
    <x:col min="1" max="1" width="38" hidden="0" customWidth="1"/>
    <x:col min="2" max="2" width="15" hidden="0" customWidth="1"/>
    <x:col min="3" max="3" width="18" hidden="0" customWidth="1"/>
    <x:col min="4" max="4" width="20" hidden="0" customWidth="1"/>
    <x:col min="5" max="5" width="15" hidden="0" customWidth="1"/>
    <x:col min="6" max="6" width="19" hidden="0" customWidth="1"/>
    <x:col min="7" max="7" width="16" hidden="0" customWidth="1"/>
    <x:col min="8" max="8" width="19" hidden="0" customWidth="1"/>
    <x:col min="9" max="9" width="18" hidden="0" customWidth="1"/>
  </x:cols>
  <x:sheetData>
    <x:row r="1">
      <x:c r="A1" s="1"/>
      <x:c r="B1" s="1"/>
      <x:c r="C1" s="1"/>
      <x:c r="D1" s="1"/>
      <x:c r="E1" s="1"/>
      <x:c r="F1" s="1"/>
      <x:c r="G1" s="1"/>
      <x:c r="H1" s="1"/>
      <x:c r="I1" s="1"/>
    </x:row>
    <x:row r="2" ht="29" customHeight="1">
      <x:c r="A2" s="2" t="str">
        <x:v>Denetim Özeti</x:v>
      </x:c>
      <x:c r="B2" s="2"/>
      <x:c r="C2" s="2"/>
      <x:c r="D2" s="2"/>
      <x:c r="E2" s="2"/>
      <x:c r="F2" s="2"/>
      <x:c r="G2" s="2"/>
      <x:c r="H2" s="2"/>
      <x:c r="I2" s="2"/>
    </x:row>
    <x:row r="3" ht="8" customHeight="1">
      <x:c r="A3" s="3"/>
      <x:c r="B3" s="3"/>
      <x:c r="C3" s="3"/>
      <x:c r="D3" s="3"/>
      <x:c r="E3" s="3"/>
      <x:c r="F3" s="3"/>
      <x:c r="G3" s="3"/>
      <x:c r="H3" s="3"/>
      <x:c r="I3" s="3"/>
    </x:row>
    <x:row r="4" ht="24" customHeight="1">
      <x:c r="A4" s="4" t="str">
        <x:v>09.09.2026 — Sonuç alanları kurum kanıtı olmadan doldurulmadı.</x:v>
      </x:c>
      <x:c r="B4" s="4"/>
      <x:c r="C4" s="4"/>
      <x:c r="D4" s="4"/>
      <x:c r="E4" s="4"/>
      <x:c r="F4" s="4"/>
      <x:c r="G4" s="4"/>
      <x:c r="H4" s="4"/>
      <x:c r="I4" s="4"/>
    </x:row>
    <x:row r="5" ht="36" customHeight="1">
      <x:c r="A5" s="10" t="str">
        <x:v>Ürün / kontrol alanı</x:v>
      </x:c>
      <x:c r="B5" s="10" t="str">
        <x:v>Tekil soru</x:v>
      </x:c>
      <x:c r="C5" s="10" t="str">
        <x:v>Planlanan kayıt</x:v>
      </x:c>
      <x:c r="D5" s="10" t="str">
        <x:v>Gözden geçirilmiş</x:v>
      </x:c>
      <x:c r="E5" s="10" t="str">
        <x:v>Uygun</x:v>
      </x:c>
      <x:c r="F5" s="10" t="str">
        <x:v>Kısmen uygun</x:v>
      </x:c>
      <x:c r="G5" s="10" t="str">
        <x:v>Uygunsuz</x:v>
      </x:c>
      <x:c r="H5" s="10" t="str">
        <x:v>Kanıt yetersiz</x:v>
      </x:c>
      <x:c r="I5" s="10" t="str">
        <x:v>Uygulanmaz</x:v>
      </x:c>
    </x:row>
    <x:row r="6" ht="35" customHeight="1">
      <x:c r="A6" s="6" t="str">
        <x:v>MSP Genel</x:v>
      </x:c>
      <x:c r="B6" s="6" t="n">
        <x:f>COUNTIF(Controls[Ürün],A6)</x:f>
        <x:v>89</x:v>
      </x:c>
      <x:c r="C6" s="6" t="n">
        <x:f>COUNTIFS(Exec[Urun],A6,Exec[TestID],"&lt;&gt;")</x:f>
        <x:v>89</x:v>
      </x:c>
      <x:c r="D6" s="6" t="n">
        <x:f>SUM(E6:I6)</x:f>
        <x:v>0</x:v>
      </x:c>
      <x:c r="E6" s="6" t="n">
        <x:f>COUNTIFS(Exec[Urun],A6,Exec[GecerliSonuc],"Uygun")</x:f>
        <x:v>0</x:v>
      </x:c>
      <x:c r="F6" s="6" t="n">
        <x:f>COUNTIFS(Exec[Urun],A6,Exec[GecerliSonuc],"Kısmen uygun")</x:f>
        <x:v>0</x:v>
      </x:c>
      <x:c r="G6" s="6" t="n">
        <x:f>COUNTIFS(Exec[Urun],A6,Exec[GecerliSonuc],"Uygunsuz")</x:f>
        <x:v>0</x:v>
      </x:c>
      <x:c r="H6" s="6" t="n">
        <x:f>COUNTIFS(Exec[Urun],A6,Exec[GecerliSonuc],"Kanıt yetersiz")</x:f>
        <x:v>0</x:v>
      </x:c>
      <x:c r="I6" s="6" t="n">
        <x:f>COUNTIFS(Exec[Urun],A6,Exec[GecerliSonuc],"Uygulanmaz")</x:f>
        <x:v>0</x:v>
      </x:c>
    </x:row>
    <x:row r="7" ht="35" customHeight="1">
      <x:c r="A7" s="6" t="str">
        <x:v>VMware ESXi</x:v>
      </x:c>
      <x:c r="B7" s="6" t="n">
        <x:f>COUNTIF(Controls[Ürün],A7)</x:f>
        <x:v>73</x:v>
      </x:c>
      <x:c r="C7" s="6" t="n">
        <x:f>COUNTIFS(Exec[Urun],A7,Exec[TestID],"&lt;&gt;")</x:f>
        <x:v>73</x:v>
      </x:c>
      <x:c r="D7" s="6" t="n">
        <x:f>SUM(E7:I7)</x:f>
        <x:v>0</x:v>
      </x:c>
      <x:c r="E7" s="6" t="n">
        <x:f>COUNTIFS(Exec[Urun],A7,Exec[GecerliSonuc],"Uygun")</x:f>
        <x:v>0</x:v>
      </x:c>
      <x:c r="F7" s="6" t="n">
        <x:f>COUNTIFS(Exec[Urun],A7,Exec[GecerliSonuc],"Kısmen uygun")</x:f>
        <x:v>0</x:v>
      </x:c>
      <x:c r="G7" s="6" t="n">
        <x:f>COUNTIFS(Exec[Urun],A7,Exec[GecerliSonuc],"Uygunsuz")</x:f>
        <x:v>0</x:v>
      </x:c>
      <x:c r="H7" s="6" t="n">
        <x:f>COUNTIFS(Exec[Urun],A7,Exec[GecerliSonuc],"Kanıt yetersiz")</x:f>
        <x:v>0</x:v>
      </x:c>
      <x:c r="I7" s="6" t="n">
        <x:f>COUNTIFS(Exec[Urun],A7,Exec[GecerliSonuc],"Uygulanmaz")</x:f>
        <x:v>0</x:v>
      </x:c>
    </x:row>
    <x:row r="8" ht="35" customHeight="1">
      <x:c r="A8" s="6" t="str">
        <x:v>VMware vCenter</x:v>
      </x:c>
      <x:c r="B8" s="6" t="n">
        <x:f>COUNTIF(Controls[Ürün],A8)</x:f>
        <x:v>6</x:v>
      </x:c>
      <x:c r="C8" s="6" t="n">
        <x:f>COUNTIFS(Exec[Urun],A8,Exec[TestID],"&lt;&gt;")</x:f>
        <x:v>6</x:v>
      </x:c>
      <x:c r="D8" s="6" t="n">
        <x:f>SUM(E8:I8)</x:f>
        <x:v>0</x:v>
      </x:c>
      <x:c r="E8" s="6" t="n">
        <x:f>COUNTIFS(Exec[Urun],A8,Exec[GecerliSonuc],"Uygun")</x:f>
        <x:v>0</x:v>
      </x:c>
      <x:c r="F8" s="6" t="n">
        <x:f>COUNTIFS(Exec[Urun],A8,Exec[GecerliSonuc],"Kısmen uygun")</x:f>
        <x:v>0</x:v>
      </x:c>
      <x:c r="G8" s="6" t="n">
        <x:f>COUNTIFS(Exec[Urun],A8,Exec[GecerliSonuc],"Uygunsuz")</x:f>
        <x:v>0</x:v>
      </x:c>
      <x:c r="H8" s="6" t="n">
        <x:f>COUNTIFS(Exec[Urun],A8,Exec[GecerliSonuc],"Kanıt yetersiz")</x:f>
        <x:v>0</x:v>
      </x:c>
      <x:c r="I8" s="6" t="n">
        <x:f>COUNTIFS(Exec[Urun],A8,Exec[GecerliSonuc],"Uygulanmaz")</x:f>
        <x:v>0</x:v>
      </x:c>
    </x:row>
    <x:row r="9" ht="35" customHeight="1">
      <x:c r="A9" s="6" t="str">
        <x:v>VMware vSAN</x:v>
      </x:c>
      <x:c r="B9" s="6" t="n">
        <x:f>COUNTIF(Controls[Ürün],A9)</x:f>
        <x:v>6</x:v>
      </x:c>
      <x:c r="C9" s="6" t="n">
        <x:f>COUNTIFS(Exec[Urun],A9,Exec[TestID],"&lt;&gt;")</x:f>
        <x:v>6</x:v>
      </x:c>
      <x:c r="D9" s="6" t="n">
        <x:f>SUM(E9:I9)</x:f>
        <x:v>0</x:v>
      </x:c>
      <x:c r="E9" s="6" t="n">
        <x:f>COUNTIFS(Exec[Urun],A9,Exec[GecerliSonuc],"Uygun")</x:f>
        <x:v>0</x:v>
      </x:c>
      <x:c r="F9" s="6" t="n">
        <x:f>COUNTIFS(Exec[Urun],A9,Exec[GecerliSonuc],"Kısmen uygun")</x:f>
        <x:v>0</x:v>
      </x:c>
      <x:c r="G9" s="6" t="n">
        <x:f>COUNTIFS(Exec[Urun],A9,Exec[GecerliSonuc],"Uygunsuz")</x:f>
        <x:v>0</x:v>
      </x:c>
      <x:c r="H9" s="6" t="n">
        <x:f>COUNTIFS(Exec[Urun],A9,Exec[GecerliSonuc],"Kanıt yetersiz")</x:f>
        <x:v>0</x:v>
      </x:c>
      <x:c r="I9" s="6" t="n">
        <x:f>COUNTIFS(Exec[Urun],A9,Exec[GecerliSonuc],"Uygulanmaz")</x:f>
        <x:v>0</x:v>
      </x:c>
    </x:row>
    <x:row r="10" ht="35" customHeight="1">
      <x:c r="A10" s="6" t="str">
        <x:v>VMware NSX</x:v>
      </x:c>
      <x:c r="B10" s="6" t="n">
        <x:f>COUNTIF(Controls[Ürün],A10)</x:f>
        <x:v>7</x:v>
      </x:c>
      <x:c r="C10" s="6" t="n">
        <x:f>COUNTIFS(Exec[Urun],A10,Exec[TestID],"&lt;&gt;")</x:f>
        <x:v>7</x:v>
      </x:c>
      <x:c r="D10" s="6" t="n">
        <x:f>SUM(E10:I10)</x:f>
        <x:v>0</x:v>
      </x:c>
      <x:c r="E10" s="6" t="n">
        <x:f>COUNTIFS(Exec[Urun],A10,Exec[GecerliSonuc],"Uygun")</x:f>
        <x:v>0</x:v>
      </x:c>
      <x:c r="F10" s="6" t="n">
        <x:f>COUNTIFS(Exec[Urun],A10,Exec[GecerliSonuc],"Kısmen uygun")</x:f>
        <x:v>0</x:v>
      </x:c>
      <x:c r="G10" s="6" t="n">
        <x:f>COUNTIFS(Exec[Urun],A10,Exec[GecerliSonuc],"Uygunsuz")</x:f>
        <x:v>0</x:v>
      </x:c>
      <x:c r="H10" s="6" t="n">
        <x:f>COUNTIFS(Exec[Urun],A10,Exec[GecerliSonuc],"Kanıt yetersiz")</x:f>
        <x:v>0</x:v>
      </x:c>
      <x:c r="I10" s="6" t="n">
        <x:f>COUNTIFS(Exec[Urun],A10,Exec[GecerliSonuc],"Uygulanmaz")</x:f>
        <x:v>0</x:v>
      </x:c>
    </x:row>
    <x:row r="11" ht="35" customHeight="1">
      <x:c r="A11" s="6" t="str">
        <x:v>VMware Distributed Switch</x:v>
      </x:c>
      <x:c r="B11" s="6" t="n">
        <x:f>COUNTIF(Controls[Ürün],A11)</x:f>
        <x:v>8</x:v>
      </x:c>
      <x:c r="C11" s="6" t="n">
        <x:f>COUNTIFS(Exec[Urun],A11,Exec[TestID],"&lt;&gt;")</x:f>
        <x:v>8</x:v>
      </x:c>
      <x:c r="D11" s="6" t="n">
        <x:f>SUM(E11:I11)</x:f>
        <x:v>0</x:v>
      </x:c>
      <x:c r="E11" s="6" t="n">
        <x:f>COUNTIFS(Exec[Urun],A11,Exec[GecerliSonuc],"Uygun")</x:f>
        <x:v>0</x:v>
      </x:c>
      <x:c r="F11" s="6" t="n">
        <x:f>COUNTIFS(Exec[Urun],A11,Exec[GecerliSonuc],"Kısmen uygun")</x:f>
        <x:v>0</x:v>
      </x:c>
      <x:c r="G11" s="6" t="n">
        <x:f>COUNTIFS(Exec[Urun],A11,Exec[GecerliSonuc],"Uygunsuz")</x:f>
        <x:v>0</x:v>
      </x:c>
      <x:c r="H11" s="6" t="n">
        <x:f>COUNTIFS(Exec[Urun],A11,Exec[GecerliSonuc],"Kanıt yetersiz")</x:f>
        <x:v>0</x:v>
      </x:c>
      <x:c r="I11" s="6" t="n">
        <x:f>COUNTIFS(Exec[Urun],A11,Exec[GecerliSonuc],"Uygulanmaz")</x:f>
        <x:v>0</x:v>
      </x:c>
    </x:row>
    <x:row r="12" ht="35" customHeight="1">
      <x:c r="A12" s="6" t="str">
        <x:v>VMware vMotion</x:v>
      </x:c>
      <x:c r="B12" s="6" t="n">
        <x:f>COUNTIF(Controls[Ürün],A12)</x:f>
        <x:v>4</x:v>
      </x:c>
      <x:c r="C12" s="6" t="n">
        <x:f>COUNTIFS(Exec[Urun],A12,Exec[TestID],"&lt;&gt;")</x:f>
        <x:v>4</x:v>
      </x:c>
      <x:c r="D12" s="6" t="n">
        <x:f>SUM(E12:I12)</x:f>
        <x:v>0</x:v>
      </x:c>
      <x:c r="E12" s="6" t="n">
        <x:f>COUNTIFS(Exec[Urun],A12,Exec[GecerliSonuc],"Uygun")</x:f>
        <x:v>0</x:v>
      </x:c>
      <x:c r="F12" s="6" t="n">
        <x:f>COUNTIFS(Exec[Urun],A12,Exec[GecerliSonuc],"Kısmen uygun")</x:f>
        <x:v>0</x:v>
      </x:c>
      <x:c r="G12" s="6" t="n">
        <x:f>COUNTIFS(Exec[Urun],A12,Exec[GecerliSonuc],"Uygunsuz")</x:f>
        <x:v>0</x:v>
      </x:c>
      <x:c r="H12" s="6" t="n">
        <x:f>COUNTIFS(Exec[Urun],A12,Exec[GecerliSonuc],"Kanıt yetersiz")</x:f>
        <x:v>0</x:v>
      </x:c>
      <x:c r="I12" s="6" t="n">
        <x:f>COUNTIFS(Exec[Urun],A12,Exec[GecerliSonuc],"Uygulanmaz")</x:f>
        <x:v>0</x:v>
      </x:c>
    </x:row>
    <x:row r="13" ht="35" customHeight="1">
      <x:c r="A13" s="6" t="str">
        <x:v>VMware Cloud Director</x:v>
      </x:c>
      <x:c r="B13" s="6" t="n">
        <x:f>COUNTIF(Controls[Ürün],A13)</x:f>
        <x:v>7</x:v>
      </x:c>
      <x:c r="C13" s="6" t="n">
        <x:f>COUNTIFS(Exec[Urun],A13,Exec[TestID],"&lt;&gt;")</x:f>
        <x:v>7</x:v>
      </x:c>
      <x:c r="D13" s="6" t="n">
        <x:f>SUM(E13:I13)</x:f>
        <x:v>0</x:v>
      </x:c>
      <x:c r="E13" s="6" t="n">
        <x:f>COUNTIFS(Exec[Urun],A13,Exec[GecerliSonuc],"Uygun")</x:f>
        <x:v>0</x:v>
      </x:c>
      <x:c r="F13" s="6" t="n">
        <x:f>COUNTIFS(Exec[Urun],A13,Exec[GecerliSonuc],"Kısmen uygun")</x:f>
        <x:v>0</x:v>
      </x:c>
      <x:c r="G13" s="6" t="n">
        <x:f>COUNTIFS(Exec[Urun],A13,Exec[GecerliSonuc],"Uygunsuz")</x:f>
        <x:v>0</x:v>
      </x:c>
      <x:c r="H13" s="6" t="n">
        <x:f>COUNTIFS(Exec[Urun],A13,Exec[GecerliSonuc],"Kanıt yetersiz")</x:f>
        <x:v>0</x:v>
      </x:c>
      <x:c r="I13" s="6" t="n">
        <x:f>COUNTIFS(Exec[Urun],A13,Exec[GecerliSonuc],"Uygulanmaz")</x:f>
        <x:v>0</x:v>
      </x:c>
    </x:row>
    <x:row r="14" ht="35" customHeight="1">
      <x:c r="A14" s="6" t="str">
        <x:v>Veeam</x:v>
      </x:c>
      <x:c r="B14" s="6" t="n">
        <x:f>COUNTIF(Controls[Ürün],A14)</x:f>
        <x:v>14</x:v>
      </x:c>
      <x:c r="C14" s="6" t="n">
        <x:f>COUNTIFS(Exec[Urun],A14,Exec[TestID],"&lt;&gt;")</x:f>
        <x:v>14</x:v>
      </x:c>
      <x:c r="D14" s="6" t="n">
        <x:f>SUM(E14:I14)</x:f>
        <x:v>0</x:v>
      </x:c>
      <x:c r="E14" s="6" t="n">
        <x:f>COUNTIFS(Exec[Urun],A14,Exec[GecerliSonuc],"Uygun")</x:f>
        <x:v>0</x:v>
      </x:c>
      <x:c r="F14" s="6" t="n">
        <x:f>COUNTIFS(Exec[Urun],A14,Exec[GecerliSonuc],"Kısmen uygun")</x:f>
        <x:v>0</x:v>
      </x:c>
      <x:c r="G14" s="6" t="n">
        <x:f>COUNTIFS(Exec[Urun],A14,Exec[GecerliSonuc],"Uygunsuz")</x:f>
        <x:v>0</x:v>
      </x:c>
      <x:c r="H14" s="6" t="n">
        <x:f>COUNTIFS(Exec[Urun],A14,Exec[GecerliSonuc],"Kanıt yetersiz")</x:f>
        <x:v>0</x:v>
      </x:c>
      <x:c r="I14" s="6" t="n">
        <x:f>COUNTIFS(Exec[Urun],A14,Exec[GecerliSonuc],"Uygulanmaz")</x:f>
        <x:v>0</x:v>
      </x:c>
    </x:row>
    <x:row r="15" ht="35" customHeight="1">
      <x:c r="A15" s="6" t="str">
        <x:v>Carbon Black EDRaaS</x:v>
      </x:c>
      <x:c r="B15" s="6" t="n">
        <x:f>COUNTIF(Controls[Ürün],A15)</x:f>
        <x:v>9</x:v>
      </x:c>
      <x:c r="C15" s="6" t="n">
        <x:f>COUNTIFS(Exec[Urun],A15,Exec[TestID],"&lt;&gt;")</x:f>
        <x:v>9</x:v>
      </x:c>
      <x:c r="D15" s="6" t="n">
        <x:f>SUM(E15:I15)</x:f>
        <x:v>0</x:v>
      </x:c>
      <x:c r="E15" s="6" t="n">
        <x:f>COUNTIFS(Exec[Urun],A15,Exec[GecerliSonuc],"Uygun")</x:f>
        <x:v>0</x:v>
      </x:c>
      <x:c r="F15" s="6" t="n">
        <x:f>COUNTIFS(Exec[Urun],A15,Exec[GecerliSonuc],"Kısmen uygun")</x:f>
        <x:v>0</x:v>
      </x:c>
      <x:c r="G15" s="6" t="n">
        <x:f>COUNTIFS(Exec[Urun],A15,Exec[GecerliSonuc],"Uygunsuz")</x:f>
        <x:v>0</x:v>
      </x:c>
      <x:c r="H15" s="6" t="n">
        <x:f>COUNTIFS(Exec[Urun],A15,Exec[GecerliSonuc],"Kanıt yetersiz")</x:f>
        <x:v>0</x:v>
      </x:c>
      <x:c r="I15" s="6" t="n">
        <x:f>COUNTIFS(Exec[Urun],A15,Exec[GecerliSonuc],"Uygulanmaz")</x:f>
        <x:v>0</x:v>
      </x:c>
    </x:row>
    <x:row r="16" ht="35" customHeight="1">
      <x:c r="A16" s="6" t="str">
        <x:v>FortiGate VDOM</x:v>
      </x:c>
      <x:c r="B16" s="6" t="n">
        <x:f>COUNTIF(Controls[Ürün],A16)</x:f>
        <x:v>44</x:v>
      </x:c>
      <x:c r="C16" s="6" t="n">
        <x:f>COUNTIFS(Exec[Urun],A16,Exec[TestID],"&lt;&gt;")</x:f>
        <x:v>44</x:v>
      </x:c>
      <x:c r="D16" s="6" t="n">
        <x:f>SUM(E16:I16)</x:f>
        <x:v>0</x:v>
      </x:c>
      <x:c r="E16" s="6" t="n">
        <x:f>COUNTIFS(Exec[Urun],A16,Exec[GecerliSonuc],"Uygun")</x:f>
        <x:v>0</x:v>
      </x:c>
      <x:c r="F16" s="6" t="n">
        <x:f>COUNTIFS(Exec[Urun],A16,Exec[GecerliSonuc],"Kısmen uygun")</x:f>
        <x:v>0</x:v>
      </x:c>
      <x:c r="G16" s="6" t="n">
        <x:f>COUNTIFS(Exec[Urun],A16,Exec[GecerliSonuc],"Uygunsuz")</x:f>
        <x:v>0</x:v>
      </x:c>
      <x:c r="H16" s="6" t="n">
        <x:f>COUNTIFS(Exec[Urun],A16,Exec[GecerliSonuc],"Kanıt yetersiz")</x:f>
        <x:v>0</x:v>
      </x:c>
      <x:c r="I16" s="6" t="n">
        <x:f>COUNTIFS(Exec[Urun],A16,Exec[GecerliSonuc],"Uygulanmaz")</x:f>
        <x:v>0</x:v>
      </x:c>
    </x:row>
    <x:row r="17" ht="35" customHeight="1">
      <x:c r="A17" s="6" t="str">
        <x:v>Forti IPS</x:v>
      </x:c>
      <x:c r="B17" s="6" t="n">
        <x:f>COUNTIF(Controls[Ürün],A17)</x:f>
        <x:v>5</x:v>
      </x:c>
      <x:c r="C17" s="6" t="n">
        <x:f>COUNTIFS(Exec[Urun],A17,Exec[TestID],"&lt;&gt;")</x:f>
        <x:v>5</x:v>
      </x:c>
      <x:c r="D17" s="6" t="n">
        <x:f>SUM(E17:I17)</x:f>
        <x:v>0</x:v>
      </x:c>
      <x:c r="E17" s="6" t="n">
        <x:f>COUNTIFS(Exec[Urun],A17,Exec[GecerliSonuc],"Uygun")</x:f>
        <x:v>0</x:v>
      </x:c>
      <x:c r="F17" s="6" t="n">
        <x:f>COUNTIFS(Exec[Urun],A17,Exec[GecerliSonuc],"Kısmen uygun")</x:f>
        <x:v>0</x:v>
      </x:c>
      <x:c r="G17" s="6" t="n">
        <x:f>COUNTIFS(Exec[Urun],A17,Exec[GecerliSonuc],"Uygunsuz")</x:f>
        <x:v>0</x:v>
      </x:c>
      <x:c r="H17" s="6" t="n">
        <x:f>COUNTIFS(Exec[Urun],A17,Exec[GecerliSonuc],"Kanıt yetersiz")</x:f>
        <x:v>0</x:v>
      </x:c>
      <x:c r="I17" s="6" t="n">
        <x:f>COUNTIFS(Exec[Urun],A17,Exec[GecerliSonuc],"Uygulanmaz")</x:f>
        <x:v>0</x:v>
      </x:c>
    </x:row>
    <x:row r="18" ht="35" customHeight="1">
      <x:c r="A18" s="6" t="str">
        <x:v>Splunk SIEM</x:v>
      </x:c>
      <x:c r="B18" s="6" t="n">
        <x:f>COUNTIF(Controls[Ürün],A18)</x:f>
        <x:v>20</x:v>
      </x:c>
      <x:c r="C18" s="6" t="n">
        <x:f>COUNTIFS(Exec[Urun],A18,Exec[TestID],"&lt;&gt;")</x:f>
        <x:v>20</x:v>
      </x:c>
      <x:c r="D18" s="6" t="n">
        <x:f>SUM(E18:I18)</x:f>
        <x:v>0</x:v>
      </x:c>
      <x:c r="E18" s="6" t="n">
        <x:f>COUNTIFS(Exec[Urun],A18,Exec[GecerliSonuc],"Uygun")</x:f>
        <x:v>0</x:v>
      </x:c>
      <x:c r="F18" s="6" t="n">
        <x:f>COUNTIFS(Exec[Urun],A18,Exec[GecerliSonuc],"Kısmen uygun")</x:f>
        <x:v>0</x:v>
      </x:c>
      <x:c r="G18" s="6" t="n">
        <x:f>COUNTIFS(Exec[Urun],A18,Exec[GecerliSonuc],"Uygunsuz")</x:f>
        <x:v>0</x:v>
      </x:c>
      <x:c r="H18" s="6" t="n">
        <x:f>COUNTIFS(Exec[Urun],A18,Exec[GecerliSonuc],"Kanıt yetersiz")</x:f>
        <x:v>0</x:v>
      </x:c>
      <x:c r="I18" s="6" t="n">
        <x:f>COUNTIFS(Exec[Urun],A18,Exec[GecerliSonuc],"Uygulanmaz")</x:f>
        <x:v>0</x:v>
      </x:c>
    </x:row>
    <x:row r="19" ht="35" customHeight="1">
      <x:c r="A19" s="6" t="str">
        <x:v>IronPort Email Security</x:v>
      </x:c>
      <x:c r="B19" s="6" t="n">
        <x:f>COUNTIF(Controls[Ürün],A19)</x:f>
        <x:v>17</x:v>
      </x:c>
      <x:c r="C19" s="6" t="n">
        <x:f>COUNTIFS(Exec[Urun],A19,Exec[TestID],"&lt;&gt;")</x:f>
        <x:v>17</x:v>
      </x:c>
      <x:c r="D19" s="6" t="n">
        <x:f>SUM(E19:I19)</x:f>
        <x:v>0</x:v>
      </x:c>
      <x:c r="E19" s="6" t="n">
        <x:f>COUNTIFS(Exec[Urun],A19,Exec[GecerliSonuc],"Uygun")</x:f>
        <x:v>0</x:v>
      </x:c>
      <x:c r="F19" s="6" t="n">
        <x:f>COUNTIFS(Exec[Urun],A19,Exec[GecerliSonuc],"Kısmen uygun")</x:f>
        <x:v>0</x:v>
      </x:c>
      <x:c r="G19" s="6" t="n">
        <x:f>COUNTIFS(Exec[Urun],A19,Exec[GecerliSonuc],"Uygunsuz")</x:f>
        <x:v>0</x:v>
      </x:c>
      <x:c r="H19" s="6" t="n">
        <x:f>COUNTIFS(Exec[Urun],A19,Exec[GecerliSonuc],"Kanıt yetersiz")</x:f>
        <x:v>0</x:v>
      </x:c>
      <x:c r="I19" s="6" t="n">
        <x:f>COUNTIFS(Exec[Urun],A19,Exec[GecerliSonuc],"Uygulanmaz")</x:f>
        <x:v>0</x:v>
      </x:c>
    </x:row>
    <x:row r="20" ht="35" customHeight="1">
      <x:c r="A20" s="6" t="str">
        <x:v>Kong API Gateway</x:v>
      </x:c>
      <x:c r="B20" s="6" t="n">
        <x:f>COUNTIF(Controls[Ürün],A20)</x:f>
        <x:v>26</x:v>
      </x:c>
      <x:c r="C20" s="6" t="n">
        <x:f>COUNTIFS(Exec[Urun],A20,Exec[TestID],"&lt;&gt;")</x:f>
        <x:v>26</x:v>
      </x:c>
      <x:c r="D20" s="6" t="n">
        <x:f>SUM(E20:I20)</x:f>
        <x:v>0</x:v>
      </x:c>
      <x:c r="E20" s="6" t="n">
        <x:f>COUNTIFS(Exec[Urun],A20,Exec[GecerliSonuc],"Uygun")</x:f>
        <x:v>0</x:v>
      </x:c>
      <x:c r="F20" s="6" t="n">
        <x:f>COUNTIFS(Exec[Urun],A20,Exec[GecerliSonuc],"Kısmen uygun")</x:f>
        <x:v>0</x:v>
      </x:c>
      <x:c r="G20" s="6" t="n">
        <x:f>COUNTIFS(Exec[Urun],A20,Exec[GecerliSonuc],"Uygunsuz")</x:f>
        <x:v>0</x:v>
      </x:c>
      <x:c r="H20" s="6" t="n">
        <x:f>COUNTIFS(Exec[Urun],A20,Exec[GecerliSonuc],"Kanıt yetersiz")</x:f>
        <x:v>0</x:v>
      </x:c>
      <x:c r="I20" s="6" t="n">
        <x:f>COUNTIFS(Exec[Urun],A20,Exec[GecerliSonuc],"Uygulanmaz")</x:f>
        <x:v>0</x:v>
      </x:c>
    </x:row>
    <x:row r="21" ht="35" customHeight="1">
      <x:c r="A21" s="6" t="str">
        <x:v>CyberArk PAM</x:v>
      </x:c>
      <x:c r="B21" s="6" t="n">
        <x:f>COUNTIF(Controls[Ürün],A21)</x:f>
        <x:v>8</x:v>
      </x:c>
      <x:c r="C21" s="6" t="n">
        <x:f>COUNTIFS(Exec[Urun],A21,Exec[TestID],"&lt;&gt;")</x:f>
        <x:v>8</x:v>
      </x:c>
      <x:c r="D21" s="6" t="n">
        <x:f>SUM(E21:I21)</x:f>
        <x:v>0</x:v>
      </x:c>
      <x:c r="E21" s="6" t="n">
        <x:f>COUNTIFS(Exec[Urun],A21,Exec[GecerliSonuc],"Uygun")</x:f>
        <x:v>0</x:v>
      </x:c>
      <x:c r="F21" s="6" t="n">
        <x:f>COUNTIFS(Exec[Urun],A21,Exec[GecerliSonuc],"Kısmen uygun")</x:f>
        <x:v>0</x:v>
      </x:c>
      <x:c r="G21" s="6" t="n">
        <x:f>COUNTIFS(Exec[Urun],A21,Exec[GecerliSonuc],"Uygunsuz")</x:f>
        <x:v>0</x:v>
      </x:c>
      <x:c r="H21" s="6" t="n">
        <x:f>COUNTIFS(Exec[Urun],A21,Exec[GecerliSonuc],"Kanıt yetersiz")</x:f>
        <x:v>0</x:v>
      </x:c>
      <x:c r="I21" s="6" t="n">
        <x:f>COUNTIFS(Exec[Urun],A21,Exec[GecerliSonuc],"Uygulanmaz")</x:f>
        <x:v>0</x:v>
      </x:c>
    </x:row>
    <x:row r="22" ht="35" customHeight="1">
      <x:c r="A22" s="6" t="str">
        <x:v>Forcepoint DLP</x:v>
      </x:c>
      <x:c r="B22" s="6" t="n">
        <x:f>COUNTIF(Controls[Ürün],A22)</x:f>
        <x:v>8</x:v>
      </x:c>
      <x:c r="C22" s="6" t="n">
        <x:f>COUNTIFS(Exec[Urun],A22,Exec[TestID],"&lt;&gt;")</x:f>
        <x:v>8</x:v>
      </x:c>
      <x:c r="D22" s="6" t="n">
        <x:f>SUM(E22:I22)</x:f>
        <x:v>0</x:v>
      </x:c>
      <x:c r="E22" s="6" t="n">
        <x:f>COUNTIFS(Exec[Urun],A22,Exec[GecerliSonuc],"Uygun")</x:f>
        <x:v>0</x:v>
      </x:c>
      <x:c r="F22" s="6" t="n">
        <x:f>COUNTIFS(Exec[Urun],A22,Exec[GecerliSonuc],"Kısmen uygun")</x:f>
        <x:v>0</x:v>
      </x:c>
      <x:c r="G22" s="6" t="n">
        <x:f>COUNTIFS(Exec[Urun],A22,Exec[GecerliSonuc],"Uygunsuz")</x:f>
        <x:v>0</x:v>
      </x:c>
      <x:c r="H22" s="6" t="n">
        <x:f>COUNTIFS(Exec[Urun],A22,Exec[GecerliSonuc],"Kanıt yetersiz")</x:f>
        <x:v>0</x:v>
      </x:c>
      <x:c r="I22" s="6" t="n">
        <x:f>COUNTIFS(Exec[Urun],A22,Exec[GecerliSonuc],"Uygulanmaz")</x:f>
        <x:v>0</x:v>
      </x:c>
    </x:row>
    <x:row r="23" ht="35" customHeight="1">
      <x:c r="A23" s="6" t="str">
        <x:v>Zabbix</x:v>
      </x:c>
      <x:c r="B23" s="6" t="n">
        <x:f>COUNTIF(Controls[Ürün],A23)</x:f>
        <x:v>7</x:v>
      </x:c>
      <x:c r="C23" s="6" t="n">
        <x:f>COUNTIFS(Exec[Urun],A23,Exec[TestID],"&lt;&gt;")</x:f>
        <x:v>7</x:v>
      </x:c>
      <x:c r="D23" s="6" t="n">
        <x:f>SUM(E23:I23)</x:f>
        <x:v>0</x:v>
      </x:c>
      <x:c r="E23" s="6" t="n">
        <x:f>COUNTIFS(Exec[Urun],A23,Exec[GecerliSonuc],"Uygun")</x:f>
        <x:v>0</x:v>
      </x:c>
      <x:c r="F23" s="6" t="n">
        <x:f>COUNTIFS(Exec[Urun],A23,Exec[GecerliSonuc],"Kısmen uygun")</x:f>
        <x:v>0</x:v>
      </x:c>
      <x:c r="G23" s="6" t="n">
        <x:f>COUNTIFS(Exec[Urun],A23,Exec[GecerliSonuc],"Uygunsuz")</x:f>
        <x:v>0</x:v>
      </x:c>
      <x:c r="H23" s="6" t="n">
        <x:f>COUNTIFS(Exec[Urun],A23,Exec[GecerliSonuc],"Kanıt yetersiz")</x:f>
        <x:v>0</x:v>
      </x:c>
      <x:c r="I23" s="6" t="n">
        <x:f>COUNTIFS(Exec[Urun],A23,Exec[GecerliSonuc],"Uygulanmaz")</x:f>
        <x:v>0</x:v>
      </x:c>
    </x:row>
    <x:row r="24" ht="35" customHeight="1">
      <x:c r="A24" s="6" t="str">
        <x:v>Grafana</x:v>
      </x:c>
      <x:c r="B24" s="6" t="n">
        <x:f>COUNTIF(Controls[Ürün],A24)</x:f>
        <x:v>7</x:v>
      </x:c>
      <x:c r="C24" s="6" t="n">
        <x:f>COUNTIFS(Exec[Urun],A24,Exec[TestID],"&lt;&gt;")</x:f>
        <x:v>7</x:v>
      </x:c>
      <x:c r="D24" s="6" t="n">
        <x:f>SUM(E24:I24)</x:f>
        <x:v>0</x:v>
      </x:c>
      <x:c r="E24" s="6" t="n">
        <x:f>COUNTIFS(Exec[Urun],A24,Exec[GecerliSonuc],"Uygun")</x:f>
        <x:v>0</x:v>
      </x:c>
      <x:c r="F24" s="6" t="n">
        <x:f>COUNTIFS(Exec[Urun],A24,Exec[GecerliSonuc],"Kısmen uygun")</x:f>
        <x:v>0</x:v>
      </x:c>
      <x:c r="G24" s="6" t="n">
        <x:f>COUNTIFS(Exec[Urun],A24,Exec[GecerliSonuc],"Uygunsuz")</x:f>
        <x:v>0</x:v>
      </x:c>
      <x:c r="H24" s="6" t="n">
        <x:f>COUNTIFS(Exec[Urun],A24,Exec[GecerliSonuc],"Kanıt yetersiz")</x:f>
        <x:v>0</x:v>
      </x:c>
      <x:c r="I24" s="6" t="n">
        <x:f>COUNTIFS(Exec[Urun],A24,Exec[GecerliSonuc],"Uygulanmaz")</x:f>
        <x:v>0</x:v>
      </x:c>
    </x:row>
    <x:row r="25" ht="35" customHeight="1">
      <x:c r="A25" s="6" t="str">
        <x:v>ManageEngine Endpoint Central</x:v>
      </x:c>
      <x:c r="B25" s="6" t="n">
        <x:f>COUNTIF(Controls[Ürün],A25)</x:f>
        <x:v>9</x:v>
      </x:c>
      <x:c r="C25" s="6" t="n">
        <x:f>COUNTIFS(Exec[Urun],A25,Exec[TestID],"&lt;&gt;")</x:f>
        <x:v>9</x:v>
      </x:c>
      <x:c r="D25" s="6" t="n">
        <x:f>SUM(E25:I25)</x:f>
        <x:v>0</x:v>
      </x:c>
      <x:c r="E25" s="6" t="n">
        <x:f>COUNTIFS(Exec[Urun],A25,Exec[GecerliSonuc],"Uygun")</x:f>
        <x:v>0</x:v>
      </x:c>
      <x:c r="F25" s="6" t="n">
        <x:f>COUNTIFS(Exec[Urun],A25,Exec[GecerliSonuc],"Kısmen uygun")</x:f>
        <x:v>0</x:v>
      </x:c>
      <x:c r="G25" s="6" t="n">
        <x:f>COUNTIFS(Exec[Urun],A25,Exec[GecerliSonuc],"Uygunsuz")</x:f>
        <x:v>0</x:v>
      </x:c>
      <x:c r="H25" s="6" t="n">
        <x:f>COUNTIFS(Exec[Urun],A25,Exec[GecerliSonuc],"Kanıt yetersiz")</x:f>
        <x:v>0</x:v>
      </x:c>
      <x:c r="I25" s="6" t="n">
        <x:f>COUNTIFS(Exec[Urun],A25,Exec[GecerliSonuc],"Uygulanmaz")</x:f>
        <x:v>0</x:v>
      </x:c>
    </x:row>
    <x:row r="26" ht="35" customHeight="1">
      <x:c r="A26" s="6" t="str">
        <x:v>Trellix Endpoint Security</x:v>
      </x:c>
      <x:c r="B26" s="6" t="n">
        <x:f>COUNTIF(Controls[Ürün],A26)</x:f>
        <x:v>9</x:v>
      </x:c>
      <x:c r="C26" s="6" t="n">
        <x:f>COUNTIFS(Exec[Urun],A26,Exec[TestID],"&lt;&gt;")</x:f>
        <x:v>9</x:v>
      </x:c>
      <x:c r="D26" s="6" t="n">
        <x:f>SUM(E26:I26)</x:f>
        <x:v>0</x:v>
      </x:c>
      <x:c r="E26" s="6" t="n">
        <x:f>COUNTIFS(Exec[Urun],A26,Exec[GecerliSonuc],"Uygun")</x:f>
        <x:v>0</x:v>
      </x:c>
      <x:c r="F26" s="6" t="n">
        <x:f>COUNTIFS(Exec[Urun],A26,Exec[GecerliSonuc],"Kısmen uygun")</x:f>
        <x:v>0</x:v>
      </x:c>
      <x:c r="G26" s="6" t="n">
        <x:f>COUNTIFS(Exec[Urun],A26,Exec[GecerliSonuc],"Uygunsuz")</x:f>
        <x:v>0</x:v>
      </x:c>
      <x:c r="H26" s="6" t="n">
        <x:f>COUNTIFS(Exec[Urun],A26,Exec[GecerliSonuc],"Kanıt yetersiz")</x:f>
        <x:v>0</x:v>
      </x:c>
      <x:c r="I26" s="6" t="n">
        <x:f>COUNTIFS(Exec[Urun],A26,Exec[GecerliSonuc],"Uygulanmaz")</x:f>
        <x:v>0</x:v>
      </x:c>
    </x:row>
    <x:row r="27" ht="35" customHeight="1">
      <x:c r="A27" s="6" t="str">
        <x:v>Citrix NetScaler ADC</x:v>
      </x:c>
      <x:c r="B27" s="6" t="n">
        <x:f>COUNTIF(Controls[Ürün],A27)</x:f>
        <x:v>6</x:v>
      </x:c>
      <x:c r="C27" s="6" t="n">
        <x:f>COUNTIFS(Exec[Urun],A27,Exec[TestID],"&lt;&gt;")</x:f>
        <x:v>6</x:v>
      </x:c>
      <x:c r="D27" s="6" t="n">
        <x:f>SUM(E27:I27)</x:f>
        <x:v>0</x:v>
      </x:c>
      <x:c r="E27" s="6" t="n">
        <x:f>COUNTIFS(Exec[Urun],A27,Exec[GecerliSonuc],"Uygun")</x:f>
        <x:v>0</x:v>
      </x:c>
      <x:c r="F27" s="6" t="n">
        <x:f>COUNTIFS(Exec[Urun],A27,Exec[GecerliSonuc],"Kısmen uygun")</x:f>
        <x:v>0</x:v>
      </x:c>
      <x:c r="G27" s="6" t="n">
        <x:f>COUNTIFS(Exec[Urun],A27,Exec[GecerliSonuc],"Uygunsuz")</x:f>
        <x:v>0</x:v>
      </x:c>
      <x:c r="H27" s="6" t="n">
        <x:f>COUNTIFS(Exec[Urun],A27,Exec[GecerliSonuc],"Kanıt yetersiz")</x:f>
        <x:v>0</x:v>
      </x:c>
      <x:c r="I27" s="6" t="n">
        <x:f>COUNTIFS(Exec[Urun],A27,Exec[GecerliSonuc],"Uygulanmaz")</x:f>
        <x:v>0</x:v>
      </x:c>
    </x:row>
    <x:row r="28" ht="35" customHeight="1">
      <x:c r="A28" s="6" t="str">
        <x:v>Citrix NetScaler WAF</x:v>
      </x:c>
      <x:c r="B28" s="6" t="n">
        <x:f>COUNTIF(Controls[Ürün],A28)</x:f>
        <x:v>8</x:v>
      </x:c>
      <x:c r="C28" s="6" t="n">
        <x:f>COUNTIFS(Exec[Urun],A28,Exec[TestID],"&lt;&gt;")</x:f>
        <x:v>8</x:v>
      </x:c>
      <x:c r="D28" s="6" t="n">
        <x:f>SUM(E28:I28)</x:f>
        <x:v>0</x:v>
      </x:c>
      <x:c r="E28" s="6" t="n">
        <x:f>COUNTIFS(Exec[Urun],A28,Exec[GecerliSonuc],"Uygun")</x:f>
        <x:v>0</x:v>
      </x:c>
      <x:c r="F28" s="6" t="n">
        <x:f>COUNTIFS(Exec[Urun],A28,Exec[GecerliSonuc],"Kısmen uygun")</x:f>
        <x:v>0</x:v>
      </x:c>
      <x:c r="G28" s="6" t="n">
        <x:f>COUNTIFS(Exec[Urun],A28,Exec[GecerliSonuc],"Uygunsuz")</x:f>
        <x:v>0</x:v>
      </x:c>
      <x:c r="H28" s="6" t="n">
        <x:f>COUNTIFS(Exec[Urun],A28,Exec[GecerliSonuc],"Kanıt yetersiz")</x:f>
        <x:v>0</x:v>
      </x:c>
      <x:c r="I28" s="6" t="n">
        <x:f>COUNTIFS(Exec[Urun],A28,Exec[GecerliSonuc],"Uygulanmaz")</x:f>
        <x:v>0</x:v>
      </x:c>
    </x:row>
    <x:row r="29" ht="35" customHeight="1">
      <x:c r="A29" s="6" t="str">
        <x:v>Exchange 2019</x:v>
      </x:c>
      <x:c r="B29" s="6" t="n">
        <x:f>COUNTIF(Controls[Ürün],A29)</x:f>
        <x:v>23</x:v>
      </x:c>
      <x:c r="C29" s="6" t="n">
        <x:f>COUNTIFS(Exec[Urun],A29,Exec[TestID],"&lt;&gt;")</x:f>
        <x:v>23</x:v>
      </x:c>
      <x:c r="D29" s="6" t="n">
        <x:f>SUM(E29:I29)</x:f>
        <x:v>0</x:v>
      </x:c>
      <x:c r="E29" s="6" t="n">
        <x:f>COUNTIFS(Exec[Urun],A29,Exec[GecerliSonuc],"Uygun")</x:f>
        <x:v>0</x:v>
      </x:c>
      <x:c r="F29" s="6" t="n">
        <x:f>COUNTIFS(Exec[Urun],A29,Exec[GecerliSonuc],"Kısmen uygun")</x:f>
        <x:v>0</x:v>
      </x:c>
      <x:c r="G29" s="6" t="n">
        <x:f>COUNTIFS(Exec[Urun],A29,Exec[GecerliSonuc],"Uygunsuz")</x:f>
        <x:v>0</x:v>
      </x:c>
      <x:c r="H29" s="6" t="n">
        <x:f>COUNTIFS(Exec[Urun],A29,Exec[GecerliSonuc],"Kanıt yetersiz")</x:f>
        <x:v>0</x:v>
      </x:c>
      <x:c r="I29" s="6" t="n">
        <x:f>COUNTIFS(Exec[Urun],A29,Exec[GecerliSonuc],"Uygulanmaz")</x:f>
        <x:v>0</x:v>
      </x:c>
    </x:row>
    <x:row r="30" ht="35" customHeight="1">
      <x:c r="A30" s="6" t="str">
        <x:v>Active Directory GPO</x:v>
      </x:c>
      <x:c r="B30" s="6" t="n">
        <x:f>COUNTIF(Controls[Ürün],A30)</x:f>
        <x:v>10</x:v>
      </x:c>
      <x:c r="C30" s="6" t="n">
        <x:f>COUNTIFS(Exec[Urun],A30,Exec[TestID],"&lt;&gt;")</x:f>
        <x:v>10</x:v>
      </x:c>
      <x:c r="D30" s="6" t="n">
        <x:f>SUM(E30:I30)</x:f>
        <x:v>0</x:v>
      </x:c>
      <x:c r="E30" s="6" t="n">
        <x:f>COUNTIFS(Exec[Urun],A30,Exec[GecerliSonuc],"Uygun")</x:f>
        <x:v>0</x:v>
      </x:c>
      <x:c r="F30" s="6" t="n">
        <x:f>COUNTIFS(Exec[Urun],A30,Exec[GecerliSonuc],"Kısmen uygun")</x:f>
        <x:v>0</x:v>
      </x:c>
      <x:c r="G30" s="6" t="n">
        <x:f>COUNTIFS(Exec[Urun],A30,Exec[GecerliSonuc],"Uygunsuz")</x:f>
        <x:v>0</x:v>
      </x:c>
      <x:c r="H30" s="6" t="n">
        <x:f>COUNTIFS(Exec[Urun],A30,Exec[GecerliSonuc],"Kanıt yetersiz")</x:f>
        <x:v>0</x:v>
      </x:c>
      <x:c r="I30" s="6" t="n">
        <x:f>COUNTIFS(Exec[Urun],A30,Exec[GecerliSonuc],"Uygulanmaz")</x:f>
        <x:v>0</x:v>
      </x:c>
    </x:row>
    <x:row r="32" ht="32" customHeight="1">
      <x:c r="A32" s="16" t="str">
        <x:v>TOPLAM</x:v>
      </x:c>
      <x:c r="B32" s="16" t="n">
        <x:f>SUM(B6:B30)</x:f>
        <x:v>430</x:v>
      </x:c>
      <x:c r="C32" s="16" t="n">
        <x:f>SUM(C6:C30)</x:f>
        <x:v>430</x:v>
      </x:c>
      <x:c r="D32" s="16" t="n">
        <x:f>SUM(D6:D30)</x:f>
        <x:v>0</x:v>
      </x:c>
      <x:c r="E32" s="16" t="n">
        <x:f>SUM(E6:E30)</x:f>
        <x:v>0</x:v>
      </x:c>
      <x:c r="F32" s="16" t="n">
        <x:f>SUM(F6:F30)</x:f>
        <x:v>0</x:v>
      </x:c>
      <x:c r="G32" s="16" t="n">
        <x:f>SUM(G6:G30)</x:f>
        <x:v>0</x:v>
      </x:c>
      <x:c r="H32" s="16" t="n">
        <x:f>SUM(H6:H30)</x:f>
        <x:v>0</x:v>
      </x:c>
      <x:c r="I32" s="16" t="n">
        <x:f>SUM(I6:I30)</x:f>
        <x:v>0</x:v>
      </x:c>
    </x:row>
    <x:row r="34" ht="23" customHeight="1">
      <x:c r="A34" s="17" t="str">
        <x:v>430 tekil soru; 343 CIS madde kaydı; 727 eski soru izi.</x:v>
      </x:c>
      <x:c r="B34" s="17"/>
      <x:c r="C34" s="17"/>
      <x:c r="D34" s="17"/>
      <x:c r="E34" s="17"/>
      <x:c r="F34" s="17"/>
      <x:c r="G34" s="17"/>
      <x:c r="H34" s="17"/>
      <x:c r="I34" s="17"/>
    </x:row>
    <x:row r="35" ht="23" customHeight="1">
      <x:c r="A35" s="17" t="str">
        <x:v>Güncel BDDK ve ISO Annex A doğrulama sınırları Açık Konularda.</x:v>
      </x:c>
      <x:c r="B35" s="17"/>
      <x:c r="C35" s="17"/>
      <x:c r="D35" s="17"/>
      <x:c r="E35" s="17"/>
      <x:c r="F35" s="17"/>
      <x:c r="G35" s="17"/>
      <x:c r="H35" s="17"/>
      <x:c r="I35" s="17"/>
    </x:row>
    <x:row r="36" ht="23" customHeight="1">
      <x:c r="A36" s="17" t="str">
        <x:v>Test sayıları uygunluk yüzdesi veya tüm kurum için güvence oranı değildir.</x:v>
      </x:c>
      <x:c r="B36" s="17"/>
      <x:c r="C36" s="17"/>
      <x:c r="D36" s="17"/>
      <x:c r="E36" s="17"/>
      <x:c r="F36" s="17"/>
      <x:c r="G36" s="17"/>
      <x:c r="H36" s="17"/>
      <x:c r="I36" s="17"/>
    </x:row>
  </x:sheetData>
  <x:pageMargins left="0.7" right="0.7" top="0.75" bottom="0.75" header="0.3" footer="0.3"/>
  <x:tableParts count="1">
    <x:tablePart xmlns:r="http://schemas.openxmlformats.org/officeDocument/2006/relationships" r:id="R544f299a0eec47d1"/>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 hidden="0" customWidth="1"/>
    <x:col min="2" max="2" width="36" hidden="0" customWidth="1"/>
    <x:col min="3" max="3" width="47" hidden="0" customWidth="1"/>
    <x:col min="4" max="4" width="28" hidden="0" customWidth="1"/>
    <x:col min="5" max="5" width="48" hidden="0" customWidth="1"/>
    <x:col min="6" max="6" width="49" hidden="0" customWidth="1"/>
    <x:col min="7" max="7" width="44" hidden="0" customWidth="1"/>
    <x:col min="8" max="8" width="48" hidden="0" customWidth="1"/>
    <x:col min="9" max="9" width="46" hidden="0" customWidth="1"/>
    <x:col min="10" max="10" width="28" hidden="0" customWidth="1"/>
    <x:col min="11" max="11" width="54" hidden="0" customWidth="1"/>
    <x:col min="12" max="12" width="24" hidden="0" customWidth="1"/>
    <x:col min="13" max="13" width="65" hidden="0" customWidth="1"/>
    <x:col min="14" max="14" width="28" hidden="0" customWidth="1"/>
    <x:col min="15" max="15" width="21" hidden="0" customWidth="1"/>
    <x:col min="16" max="16" width="25" hidden="0" customWidth="1"/>
  </x:cols>
  <x:sheetData>
    <x:row r="1">
      <x:c r="A1" s="1"/>
      <x:c r="B1" s="1"/>
      <x:c r="C1" s="1"/>
      <x:c r="D1" s="1"/>
      <x:c r="E1" s="1"/>
      <x:c r="F1" s="1"/>
      <x:c r="G1" s="1"/>
      <x:c r="H1" s="1"/>
      <x:c r="I1" s="1"/>
      <x:c r="J1" s="1"/>
      <x:c r="K1" s="1"/>
      <x:c r="L1" s="1"/>
      <x:c r="M1" s="1"/>
      <x:c r="N1" s="1"/>
      <x:c r="O1" s="1"/>
      <x:c r="P1" s="1"/>
    </x:row>
    <x:row r="2" ht="29" customHeight="1">
      <x:c r="A2" s="2" t="str">
        <x:v>Kapsam</x:v>
      </x:c>
      <x:c r="B2" s="2"/>
      <x:c r="C2" s="2"/>
      <x:c r="D2" s="2"/>
      <x:c r="E2" s="2"/>
      <x:c r="F2" s="2"/>
      <x:c r="G2" s="2"/>
      <x:c r="H2" s="2"/>
      <x:c r="I2" s="2"/>
      <x:c r="J2" s="2"/>
      <x:c r="K2" s="2"/>
      <x:c r="L2" s="2"/>
      <x:c r="M2" s="2"/>
      <x:c r="N2" s="2"/>
      <x:c r="O2" s="2"/>
      <x:c r="P2" s="2"/>
    </x:row>
    <x:row r="3" ht="8" customHeight="1">
      <x:c r="A3" s="3"/>
      <x:c r="B3" s="3"/>
      <x:c r="C3" s="3"/>
      <x:c r="D3" s="3"/>
      <x:c r="E3" s="3"/>
      <x:c r="F3" s="3"/>
      <x:c r="G3" s="3"/>
      <x:c r="H3" s="3"/>
      <x:c r="I3" s="3"/>
      <x:c r="J3" s="3"/>
      <x:c r="K3" s="3"/>
      <x:c r="L3" s="3"/>
      <x:c r="M3" s="3"/>
      <x:c r="N3" s="3"/>
      <x:c r="O3" s="3"/>
      <x:c r="P3" s="3"/>
    </x:row>
    <x:row r="4" ht="24" customHeight="1">
      <x:c r="A4" s="4" t="str">
        <x:v>Her farklı sürüm/dağıtım için ayrı kapsam kaydı açın. Sarı alanlar giriş, gri alanlar formüldür.</x:v>
      </x:c>
      <x:c r="B4" s="4"/>
      <x:c r="C4" s="4"/>
      <x:c r="D4" s="4"/>
      <x:c r="E4" s="4"/>
      <x:c r="F4" s="4"/>
      <x:c r="G4" s="4"/>
      <x:c r="H4" s="4"/>
      <x:c r="I4" s="4"/>
      <x:c r="J4" s="4"/>
      <x:c r="K4" s="4"/>
      <x:c r="L4" s="4"/>
      <x:c r="M4" s="4"/>
      <x:c r="N4" s="4"/>
      <x:c r="O4" s="4"/>
      <x:c r="P4" s="4"/>
    </x:row>
    <x:row r="5" ht="36" customHeight="1">
      <x:c r="A5" s="10" t="str">
        <x:v>KapsamID</x:v>
      </x:c>
      <x:c r="B5" s="10" t="str">
        <x:v>Ürün</x:v>
      </x:c>
      <x:c r="C5" s="10" t="str">
        <x:v>Dağıtım / rol / modül</x:v>
      </x:c>
      <x:c r="D5" s="10" t="str">
        <x:v>Kurulu sürüm / build</x:v>
      </x:c>
      <x:c r="E5" s="10" t="str">
        <x:v>Lisans / donanım desteği</x:v>
      </x:c>
      <x:c r="F5" s="10" t="str">
        <x:v>Müşteri / hizmet sınırı</x:v>
      </x:c>
      <x:c r="G5" s="10" t="str">
        <x:v>Veri sınıfı / konum</x:v>
      </x:c>
      <x:c r="H5" s="10" t="str">
        <x:v>Varlık listesi / evren</x:v>
      </x:c>
      <x:c r="I5" s="10" t="str">
        <x:v>Kaynak sürümü / profil</x:v>
      </x:c>
      <x:c r="J5" s="10" t="str">
        <x:v>Sorumlu</x:v>
      </x:c>
      <x:c r="K5" s="10" t="str">
        <x:v>Dayanak kanıt / sözleşme</x:v>
      </x:c>
      <x:c r="L5" s="10" t="str">
        <x:v>Kapsam kararı</x:v>
      </x:c>
      <x:c r="M5" s="10" t="str">
        <x:v>Gerekçe / dışarıda kalan</x:v>
      </x:c>
      <x:c r="N5" s="10" t="str">
        <x:v>Onaylayan</x:v>
      </x:c>
      <x:c r="O5" s="10" t="str">
        <x:v>Onay tarihi</x:v>
      </x:c>
      <x:c r="P5" s="10" t="str">
        <x:v>OnayliKapsamID</x:v>
      </x:c>
    </x:row>
    <x:row r="6" ht="35" customHeight="1">
      <x:c r="A6" s="6" t="str">
        <x:v>K-001</x:v>
      </x:c>
      <x:c r="B6" s="6" t="str">
        <x:v>MSP Genel</x:v>
      </x:c>
      <x:c r="C6" s="12" t="str"/>
      <x:c r="D6" s="12" t="str"/>
      <x:c r="E6" s="12" t="str"/>
      <x:c r="F6" s="12" t="str"/>
      <x:c r="G6" s="12" t="str"/>
      <x:c r="H6" s="12" t="str"/>
      <x:c r="I6" s="12" t="str"/>
      <x:c r="J6" s="12" t="str"/>
      <x:c r="K6" s="12" t="str"/>
      <x:c r="L6" s="12" t="str">
        <x:v>Belirlenecek</x:v>
      </x:c>
      <x:c r="M6" s="12" t="str"/>
      <x:c r="N6" s="12" t="str"/>
      <x:c r="O6" s="13" t="str"/>
      <x:c r="P6" s="14" t="str">
        <x:f>IF(AND(COUNTIF(Scope[KapsamID],A6)=1,B6&lt;&gt;"",C6&lt;&gt;"",D6&lt;&gt;"",E6&lt;&gt;"",F6&lt;&gt;"",G6&lt;&gt;"",H6&lt;&gt;"",I6&lt;&gt;"",J6&lt;&gt;"",K6&lt;&gt;"",OR(L6="Dahil",L6="Hariç"),M6&lt;&gt;"",N6&lt;&gt;"",ISNUMBER(O6),O6&gt;0),A6,"Kapsam eksik")</x:f>
        <x:v>Kapsam eksik</x:v>
      </x:c>
    </x:row>
    <x:row r="7" ht="35" customHeight="1">
      <x:c r="A7" s="6" t="str">
        <x:v>K-002</x:v>
      </x:c>
      <x:c r="B7" s="6" t="str">
        <x:v>VMware ESXi</x:v>
      </x:c>
      <x:c r="C7" s="12" t="str"/>
      <x:c r="D7" s="12" t="str"/>
      <x:c r="E7" s="12" t="str"/>
      <x:c r="F7" s="12" t="str"/>
      <x:c r="G7" s="12" t="str"/>
      <x:c r="H7" s="12" t="str"/>
      <x:c r="I7" s="12" t="str"/>
      <x:c r="J7" s="12" t="str"/>
      <x:c r="K7" s="12" t="str"/>
      <x:c r="L7" s="12" t="str">
        <x:v>Belirlenecek</x:v>
      </x:c>
      <x:c r="M7" s="12" t="str"/>
      <x:c r="N7" s="12" t="str"/>
      <x:c r="O7" s="13" t="str"/>
      <x:c r="P7" s="14" t="str">
        <x:f>IF(AND(COUNTIF(Scope[KapsamID],A7)=1,B7&lt;&gt;"",C7&lt;&gt;"",D7&lt;&gt;"",E7&lt;&gt;"",F7&lt;&gt;"",G7&lt;&gt;"",H7&lt;&gt;"",I7&lt;&gt;"",J7&lt;&gt;"",K7&lt;&gt;"",OR(L7="Dahil",L7="Hariç"),M7&lt;&gt;"",N7&lt;&gt;"",ISNUMBER(O7),O7&gt;0),A7,"Kapsam eksik")</x:f>
        <x:v>Kapsam eksik</x:v>
      </x:c>
    </x:row>
    <x:row r="8" ht="35" customHeight="1">
      <x:c r="A8" s="6" t="str">
        <x:v>K-003</x:v>
      </x:c>
      <x:c r="B8" s="6" t="str">
        <x:v>VMware vCenter</x:v>
      </x:c>
      <x:c r="C8" s="12" t="str"/>
      <x:c r="D8" s="12" t="str"/>
      <x:c r="E8" s="12" t="str"/>
      <x:c r="F8" s="12" t="str"/>
      <x:c r="G8" s="12" t="str"/>
      <x:c r="H8" s="12" t="str"/>
      <x:c r="I8" s="12" t="str"/>
      <x:c r="J8" s="12" t="str"/>
      <x:c r="K8" s="12" t="str"/>
      <x:c r="L8" s="12" t="str">
        <x:v>Belirlenecek</x:v>
      </x:c>
      <x:c r="M8" s="12" t="str"/>
      <x:c r="N8" s="12" t="str"/>
      <x:c r="O8" s="13" t="str"/>
      <x:c r="P8" s="14" t="str">
        <x:f>IF(AND(COUNTIF(Scope[KapsamID],A8)=1,B8&lt;&gt;"",C8&lt;&gt;"",D8&lt;&gt;"",E8&lt;&gt;"",F8&lt;&gt;"",G8&lt;&gt;"",H8&lt;&gt;"",I8&lt;&gt;"",J8&lt;&gt;"",K8&lt;&gt;"",OR(L8="Dahil",L8="Hariç"),M8&lt;&gt;"",N8&lt;&gt;"",ISNUMBER(O8),O8&gt;0),A8,"Kapsam eksik")</x:f>
        <x:v>Kapsam eksik</x:v>
      </x:c>
    </x:row>
    <x:row r="9" ht="35" customHeight="1">
      <x:c r="A9" s="6" t="str">
        <x:v>K-004</x:v>
      </x:c>
      <x:c r="B9" s="6" t="str">
        <x:v>VMware vSAN</x:v>
      </x:c>
      <x:c r="C9" s="12" t="str"/>
      <x:c r="D9" s="12" t="str"/>
      <x:c r="E9" s="12" t="str"/>
      <x:c r="F9" s="12" t="str"/>
      <x:c r="G9" s="12" t="str"/>
      <x:c r="H9" s="12" t="str"/>
      <x:c r="I9" s="12" t="str"/>
      <x:c r="J9" s="12" t="str"/>
      <x:c r="K9" s="12" t="str"/>
      <x:c r="L9" s="12" t="str">
        <x:v>Belirlenecek</x:v>
      </x:c>
      <x:c r="M9" s="12" t="str"/>
      <x:c r="N9" s="12" t="str"/>
      <x:c r="O9" s="13" t="str"/>
      <x:c r="P9" s="14" t="str">
        <x:f>IF(AND(COUNTIF(Scope[KapsamID],A9)=1,B9&lt;&gt;"",C9&lt;&gt;"",D9&lt;&gt;"",E9&lt;&gt;"",F9&lt;&gt;"",G9&lt;&gt;"",H9&lt;&gt;"",I9&lt;&gt;"",J9&lt;&gt;"",K9&lt;&gt;"",OR(L9="Dahil",L9="Hariç"),M9&lt;&gt;"",N9&lt;&gt;"",ISNUMBER(O9),O9&gt;0),A9,"Kapsam eksik")</x:f>
        <x:v>Kapsam eksik</x:v>
      </x:c>
    </x:row>
    <x:row r="10" ht="35" customHeight="1">
      <x:c r="A10" s="6" t="str">
        <x:v>K-005</x:v>
      </x:c>
      <x:c r="B10" s="6" t="str">
        <x:v>VMware NSX</x:v>
      </x:c>
      <x:c r="C10" s="12" t="str"/>
      <x:c r="D10" s="12" t="str"/>
      <x:c r="E10" s="12" t="str"/>
      <x:c r="F10" s="12" t="str"/>
      <x:c r="G10" s="12" t="str"/>
      <x:c r="H10" s="12" t="str"/>
      <x:c r="I10" s="12" t="str"/>
      <x:c r="J10" s="12" t="str"/>
      <x:c r="K10" s="12" t="str"/>
      <x:c r="L10" s="12" t="str">
        <x:v>Belirlenecek</x:v>
      </x:c>
      <x:c r="M10" s="12" t="str"/>
      <x:c r="N10" s="12" t="str"/>
      <x:c r="O10" s="13" t="str"/>
      <x:c r="P10" s="14" t="str">
        <x:f>IF(AND(COUNTIF(Scope[KapsamID],A10)=1,B10&lt;&gt;"",C10&lt;&gt;"",D10&lt;&gt;"",E10&lt;&gt;"",F10&lt;&gt;"",G10&lt;&gt;"",H10&lt;&gt;"",I10&lt;&gt;"",J10&lt;&gt;"",K10&lt;&gt;"",OR(L10="Dahil",L10="Hariç"),M10&lt;&gt;"",N10&lt;&gt;"",ISNUMBER(O10),O10&gt;0),A10,"Kapsam eksik")</x:f>
        <x:v>Kapsam eksik</x:v>
      </x:c>
    </x:row>
    <x:row r="11" ht="35" customHeight="1">
      <x:c r="A11" s="6" t="str">
        <x:v>K-006</x:v>
      </x:c>
      <x:c r="B11" s="6" t="str">
        <x:v>VMware Distributed Switch</x:v>
      </x:c>
      <x:c r="C11" s="12" t="str"/>
      <x:c r="D11" s="12" t="str"/>
      <x:c r="E11" s="12" t="str"/>
      <x:c r="F11" s="12" t="str"/>
      <x:c r="G11" s="12" t="str"/>
      <x:c r="H11" s="12" t="str"/>
      <x:c r="I11" s="12" t="str"/>
      <x:c r="J11" s="12" t="str"/>
      <x:c r="K11" s="12" t="str"/>
      <x:c r="L11" s="12" t="str">
        <x:v>Belirlenecek</x:v>
      </x:c>
      <x:c r="M11" s="12" t="str"/>
      <x:c r="N11" s="12" t="str"/>
      <x:c r="O11" s="13" t="str"/>
      <x:c r="P11" s="14" t="str">
        <x:f>IF(AND(COUNTIF(Scope[KapsamID],A11)=1,B11&lt;&gt;"",C11&lt;&gt;"",D11&lt;&gt;"",E11&lt;&gt;"",F11&lt;&gt;"",G11&lt;&gt;"",H11&lt;&gt;"",I11&lt;&gt;"",J11&lt;&gt;"",K11&lt;&gt;"",OR(L11="Dahil",L11="Hariç"),M11&lt;&gt;"",N11&lt;&gt;"",ISNUMBER(O11),O11&gt;0),A11,"Kapsam eksik")</x:f>
        <x:v>Kapsam eksik</x:v>
      </x:c>
    </x:row>
    <x:row r="12" ht="35" customHeight="1">
      <x:c r="A12" s="6" t="str">
        <x:v>K-007</x:v>
      </x:c>
      <x:c r="B12" s="6" t="str">
        <x:v>VMware vMotion</x:v>
      </x:c>
      <x:c r="C12" s="12" t="str"/>
      <x:c r="D12" s="12" t="str"/>
      <x:c r="E12" s="12" t="str"/>
      <x:c r="F12" s="12" t="str"/>
      <x:c r="G12" s="12" t="str"/>
      <x:c r="H12" s="12" t="str"/>
      <x:c r="I12" s="12" t="str"/>
      <x:c r="J12" s="12" t="str"/>
      <x:c r="K12" s="12" t="str"/>
      <x:c r="L12" s="12" t="str">
        <x:v>Belirlenecek</x:v>
      </x:c>
      <x:c r="M12" s="12" t="str"/>
      <x:c r="N12" s="12" t="str"/>
      <x:c r="O12" s="13" t="str"/>
      <x:c r="P12" s="14" t="str">
        <x:f>IF(AND(COUNTIF(Scope[KapsamID],A12)=1,B12&lt;&gt;"",C12&lt;&gt;"",D12&lt;&gt;"",E12&lt;&gt;"",F12&lt;&gt;"",G12&lt;&gt;"",H12&lt;&gt;"",I12&lt;&gt;"",J12&lt;&gt;"",K12&lt;&gt;"",OR(L12="Dahil",L12="Hariç"),M12&lt;&gt;"",N12&lt;&gt;"",ISNUMBER(O12),O12&gt;0),A12,"Kapsam eksik")</x:f>
        <x:v>Kapsam eksik</x:v>
      </x:c>
    </x:row>
    <x:row r="13" ht="35" customHeight="1">
      <x:c r="A13" s="6" t="str">
        <x:v>K-008</x:v>
      </x:c>
      <x:c r="B13" s="6" t="str">
        <x:v>VMware Cloud Director</x:v>
      </x:c>
      <x:c r="C13" s="12" t="str"/>
      <x:c r="D13" s="12" t="str"/>
      <x:c r="E13" s="12" t="str"/>
      <x:c r="F13" s="12" t="str"/>
      <x:c r="G13" s="12" t="str"/>
      <x:c r="H13" s="12" t="str"/>
      <x:c r="I13" s="12" t="str"/>
      <x:c r="J13" s="12" t="str"/>
      <x:c r="K13" s="12" t="str"/>
      <x:c r="L13" s="12" t="str">
        <x:v>Belirlenecek</x:v>
      </x:c>
      <x:c r="M13" s="12" t="str"/>
      <x:c r="N13" s="12" t="str"/>
      <x:c r="O13" s="13" t="str"/>
      <x:c r="P13" s="14" t="str">
        <x:f>IF(AND(COUNTIF(Scope[KapsamID],A13)=1,B13&lt;&gt;"",C13&lt;&gt;"",D13&lt;&gt;"",E13&lt;&gt;"",F13&lt;&gt;"",G13&lt;&gt;"",H13&lt;&gt;"",I13&lt;&gt;"",J13&lt;&gt;"",K13&lt;&gt;"",OR(L13="Dahil",L13="Hariç"),M13&lt;&gt;"",N13&lt;&gt;"",ISNUMBER(O13),O13&gt;0),A13,"Kapsam eksik")</x:f>
        <x:v>Kapsam eksik</x:v>
      </x:c>
    </x:row>
    <x:row r="14" ht="35" customHeight="1">
      <x:c r="A14" s="6" t="str">
        <x:v>K-009</x:v>
      </x:c>
      <x:c r="B14" s="6" t="str">
        <x:v>Veeam</x:v>
      </x:c>
      <x:c r="C14" s="12" t="str"/>
      <x:c r="D14" s="12" t="str"/>
      <x:c r="E14" s="12" t="str"/>
      <x:c r="F14" s="12" t="str"/>
      <x:c r="G14" s="12" t="str"/>
      <x:c r="H14" s="12" t="str"/>
      <x:c r="I14" s="12" t="str"/>
      <x:c r="J14" s="12" t="str"/>
      <x:c r="K14" s="12" t="str"/>
      <x:c r="L14" s="12" t="str">
        <x:v>Belirlenecek</x:v>
      </x:c>
      <x:c r="M14" s="12" t="str"/>
      <x:c r="N14" s="12" t="str"/>
      <x:c r="O14" s="13" t="str"/>
      <x:c r="P14" s="14" t="str">
        <x:f>IF(AND(COUNTIF(Scope[KapsamID],A14)=1,B14&lt;&gt;"",C14&lt;&gt;"",D14&lt;&gt;"",E14&lt;&gt;"",F14&lt;&gt;"",G14&lt;&gt;"",H14&lt;&gt;"",I14&lt;&gt;"",J14&lt;&gt;"",K14&lt;&gt;"",OR(L14="Dahil",L14="Hariç"),M14&lt;&gt;"",N14&lt;&gt;"",ISNUMBER(O14),O14&gt;0),A14,"Kapsam eksik")</x:f>
        <x:v>Kapsam eksik</x:v>
      </x:c>
    </x:row>
    <x:row r="15" ht="35" customHeight="1">
      <x:c r="A15" s="6" t="str">
        <x:v>K-010</x:v>
      </x:c>
      <x:c r="B15" s="6" t="str">
        <x:v>Carbon Black EDRaaS</x:v>
      </x:c>
      <x:c r="C15" s="12" t="str"/>
      <x:c r="D15" s="12" t="str"/>
      <x:c r="E15" s="12" t="str"/>
      <x:c r="F15" s="12" t="str"/>
      <x:c r="G15" s="12" t="str"/>
      <x:c r="H15" s="12" t="str"/>
      <x:c r="I15" s="12" t="str"/>
      <x:c r="J15" s="12" t="str"/>
      <x:c r="K15" s="12" t="str"/>
      <x:c r="L15" s="12" t="str">
        <x:v>Belirlenecek</x:v>
      </x:c>
      <x:c r="M15" s="12" t="str"/>
      <x:c r="N15" s="12" t="str"/>
      <x:c r="O15" s="13" t="str"/>
      <x:c r="P15" s="14" t="str">
        <x:f>IF(AND(COUNTIF(Scope[KapsamID],A15)=1,B15&lt;&gt;"",C15&lt;&gt;"",D15&lt;&gt;"",E15&lt;&gt;"",F15&lt;&gt;"",G15&lt;&gt;"",H15&lt;&gt;"",I15&lt;&gt;"",J15&lt;&gt;"",K15&lt;&gt;"",OR(L15="Dahil",L15="Hariç"),M15&lt;&gt;"",N15&lt;&gt;"",ISNUMBER(O15),O15&gt;0),A15,"Kapsam eksik")</x:f>
        <x:v>Kapsam eksik</x:v>
      </x:c>
    </x:row>
    <x:row r="16" ht="35" customHeight="1">
      <x:c r="A16" s="6" t="str">
        <x:v>K-011</x:v>
      </x:c>
      <x:c r="B16" s="6" t="str">
        <x:v>FortiGate VDOM</x:v>
      </x:c>
      <x:c r="C16" s="12" t="str"/>
      <x:c r="D16" s="12" t="str"/>
      <x:c r="E16" s="12" t="str"/>
      <x:c r="F16" s="12" t="str"/>
      <x:c r="G16" s="12" t="str"/>
      <x:c r="H16" s="12" t="str"/>
      <x:c r="I16" s="12" t="str"/>
      <x:c r="J16" s="12" t="str"/>
      <x:c r="K16" s="12" t="str"/>
      <x:c r="L16" s="12" t="str">
        <x:v>Belirlenecek</x:v>
      </x:c>
      <x:c r="M16" s="12" t="str"/>
      <x:c r="N16" s="12" t="str"/>
      <x:c r="O16" s="13" t="str"/>
      <x:c r="P16" s="14" t="str">
        <x:f>IF(AND(COUNTIF(Scope[KapsamID],A16)=1,B16&lt;&gt;"",C16&lt;&gt;"",D16&lt;&gt;"",E16&lt;&gt;"",F16&lt;&gt;"",G16&lt;&gt;"",H16&lt;&gt;"",I16&lt;&gt;"",J16&lt;&gt;"",K16&lt;&gt;"",OR(L16="Dahil",L16="Hariç"),M16&lt;&gt;"",N16&lt;&gt;"",ISNUMBER(O16),O16&gt;0),A16,"Kapsam eksik")</x:f>
        <x:v>Kapsam eksik</x:v>
      </x:c>
    </x:row>
    <x:row r="17" ht="35" customHeight="1">
      <x:c r="A17" s="6" t="str">
        <x:v>K-012</x:v>
      </x:c>
      <x:c r="B17" s="6" t="str">
        <x:v>Forti IPS</x:v>
      </x:c>
      <x:c r="C17" s="12" t="str"/>
      <x:c r="D17" s="12" t="str"/>
      <x:c r="E17" s="12" t="str"/>
      <x:c r="F17" s="12" t="str"/>
      <x:c r="G17" s="12" t="str"/>
      <x:c r="H17" s="12" t="str"/>
      <x:c r="I17" s="12" t="str"/>
      <x:c r="J17" s="12" t="str"/>
      <x:c r="K17" s="12" t="str"/>
      <x:c r="L17" s="12" t="str">
        <x:v>Belirlenecek</x:v>
      </x:c>
      <x:c r="M17" s="12" t="str"/>
      <x:c r="N17" s="12" t="str"/>
      <x:c r="O17" s="13" t="str"/>
      <x:c r="P17" s="14" t="str">
        <x:f>IF(AND(COUNTIF(Scope[KapsamID],A17)=1,B17&lt;&gt;"",C17&lt;&gt;"",D17&lt;&gt;"",E17&lt;&gt;"",F17&lt;&gt;"",G17&lt;&gt;"",H17&lt;&gt;"",I17&lt;&gt;"",J17&lt;&gt;"",K17&lt;&gt;"",OR(L17="Dahil",L17="Hariç"),M17&lt;&gt;"",N17&lt;&gt;"",ISNUMBER(O17),O17&gt;0),A17,"Kapsam eksik")</x:f>
        <x:v>Kapsam eksik</x:v>
      </x:c>
    </x:row>
    <x:row r="18" ht="35" customHeight="1">
      <x:c r="A18" s="6" t="str">
        <x:v>K-013</x:v>
      </x:c>
      <x:c r="B18" s="6" t="str">
        <x:v>Splunk SIEM</x:v>
      </x:c>
      <x:c r="C18" s="12" t="str"/>
      <x:c r="D18" s="12" t="str"/>
      <x:c r="E18" s="12" t="str"/>
      <x:c r="F18" s="12" t="str"/>
      <x:c r="G18" s="12" t="str"/>
      <x:c r="H18" s="12" t="str"/>
      <x:c r="I18" s="12" t="str"/>
      <x:c r="J18" s="12" t="str"/>
      <x:c r="K18" s="12" t="str"/>
      <x:c r="L18" s="12" t="str">
        <x:v>Belirlenecek</x:v>
      </x:c>
      <x:c r="M18" s="12" t="str"/>
      <x:c r="N18" s="12" t="str"/>
      <x:c r="O18" s="13" t="str"/>
      <x:c r="P18" s="14" t="str">
        <x:f>IF(AND(COUNTIF(Scope[KapsamID],A18)=1,B18&lt;&gt;"",C18&lt;&gt;"",D18&lt;&gt;"",E18&lt;&gt;"",F18&lt;&gt;"",G18&lt;&gt;"",H18&lt;&gt;"",I18&lt;&gt;"",J18&lt;&gt;"",K18&lt;&gt;"",OR(L18="Dahil",L18="Hariç"),M18&lt;&gt;"",N18&lt;&gt;"",ISNUMBER(O18),O18&gt;0),A18,"Kapsam eksik")</x:f>
        <x:v>Kapsam eksik</x:v>
      </x:c>
    </x:row>
    <x:row r="19" ht="35" customHeight="1">
      <x:c r="A19" s="6" t="str">
        <x:v>K-014</x:v>
      </x:c>
      <x:c r="B19" s="6" t="str">
        <x:v>IronPort Email Security</x:v>
      </x:c>
      <x:c r="C19" s="12" t="str"/>
      <x:c r="D19" s="12" t="str"/>
      <x:c r="E19" s="12" t="str"/>
      <x:c r="F19" s="12" t="str"/>
      <x:c r="G19" s="12" t="str"/>
      <x:c r="H19" s="12" t="str"/>
      <x:c r="I19" s="12" t="str"/>
      <x:c r="J19" s="12" t="str"/>
      <x:c r="K19" s="12" t="str"/>
      <x:c r="L19" s="12" t="str">
        <x:v>Belirlenecek</x:v>
      </x:c>
      <x:c r="M19" s="12" t="str"/>
      <x:c r="N19" s="12" t="str"/>
      <x:c r="O19" s="13" t="str"/>
      <x:c r="P19" s="14" t="str">
        <x:f>IF(AND(COUNTIF(Scope[KapsamID],A19)=1,B19&lt;&gt;"",C19&lt;&gt;"",D19&lt;&gt;"",E19&lt;&gt;"",F19&lt;&gt;"",G19&lt;&gt;"",H19&lt;&gt;"",I19&lt;&gt;"",J19&lt;&gt;"",K19&lt;&gt;"",OR(L19="Dahil",L19="Hariç"),M19&lt;&gt;"",N19&lt;&gt;"",ISNUMBER(O19),O19&gt;0),A19,"Kapsam eksik")</x:f>
        <x:v>Kapsam eksik</x:v>
      </x:c>
    </x:row>
    <x:row r="20" ht="35" customHeight="1">
      <x:c r="A20" s="6" t="str">
        <x:v>K-015</x:v>
      </x:c>
      <x:c r="B20" s="6" t="str">
        <x:v>Kong API Gateway</x:v>
      </x:c>
      <x:c r="C20" s="12" t="str"/>
      <x:c r="D20" s="12" t="str"/>
      <x:c r="E20" s="12" t="str"/>
      <x:c r="F20" s="12" t="str"/>
      <x:c r="G20" s="12" t="str"/>
      <x:c r="H20" s="12" t="str"/>
      <x:c r="I20" s="12" t="str"/>
      <x:c r="J20" s="12" t="str"/>
      <x:c r="K20" s="12" t="str"/>
      <x:c r="L20" s="12" t="str">
        <x:v>Belirlenecek</x:v>
      </x:c>
      <x:c r="M20" s="12" t="str"/>
      <x:c r="N20" s="12" t="str"/>
      <x:c r="O20" s="13" t="str"/>
      <x:c r="P20" s="14" t="str">
        <x:f>IF(AND(COUNTIF(Scope[KapsamID],A20)=1,B20&lt;&gt;"",C20&lt;&gt;"",D20&lt;&gt;"",E20&lt;&gt;"",F20&lt;&gt;"",G20&lt;&gt;"",H20&lt;&gt;"",I20&lt;&gt;"",J20&lt;&gt;"",K20&lt;&gt;"",OR(L20="Dahil",L20="Hariç"),M20&lt;&gt;"",N20&lt;&gt;"",ISNUMBER(O20),O20&gt;0),A20,"Kapsam eksik")</x:f>
        <x:v>Kapsam eksik</x:v>
      </x:c>
    </x:row>
    <x:row r="21" ht="35" customHeight="1">
      <x:c r="A21" s="6" t="str">
        <x:v>K-016</x:v>
      </x:c>
      <x:c r="B21" s="6" t="str">
        <x:v>CyberArk PAM</x:v>
      </x:c>
      <x:c r="C21" s="12" t="str"/>
      <x:c r="D21" s="12" t="str"/>
      <x:c r="E21" s="12" t="str"/>
      <x:c r="F21" s="12" t="str"/>
      <x:c r="G21" s="12" t="str"/>
      <x:c r="H21" s="12" t="str"/>
      <x:c r="I21" s="12" t="str"/>
      <x:c r="J21" s="12" t="str"/>
      <x:c r="K21" s="12" t="str"/>
      <x:c r="L21" s="12" t="str">
        <x:v>Belirlenecek</x:v>
      </x:c>
      <x:c r="M21" s="12" t="str"/>
      <x:c r="N21" s="12" t="str"/>
      <x:c r="O21" s="13" t="str"/>
      <x:c r="P21" s="14" t="str">
        <x:f>IF(AND(COUNTIF(Scope[KapsamID],A21)=1,B21&lt;&gt;"",C21&lt;&gt;"",D21&lt;&gt;"",E21&lt;&gt;"",F21&lt;&gt;"",G21&lt;&gt;"",H21&lt;&gt;"",I21&lt;&gt;"",J21&lt;&gt;"",K21&lt;&gt;"",OR(L21="Dahil",L21="Hariç"),M21&lt;&gt;"",N21&lt;&gt;"",ISNUMBER(O21),O21&gt;0),A21,"Kapsam eksik")</x:f>
        <x:v>Kapsam eksik</x:v>
      </x:c>
    </x:row>
    <x:row r="22" ht="35" customHeight="1">
      <x:c r="A22" s="6" t="str">
        <x:v>K-017</x:v>
      </x:c>
      <x:c r="B22" s="6" t="str">
        <x:v>Forcepoint DLP</x:v>
      </x:c>
      <x:c r="C22" s="12" t="str"/>
      <x:c r="D22" s="12" t="str"/>
      <x:c r="E22" s="12" t="str"/>
      <x:c r="F22" s="12" t="str"/>
      <x:c r="G22" s="12" t="str"/>
      <x:c r="H22" s="12" t="str"/>
      <x:c r="I22" s="12" t="str"/>
      <x:c r="J22" s="12" t="str"/>
      <x:c r="K22" s="12" t="str"/>
      <x:c r="L22" s="12" t="str">
        <x:v>Belirlenecek</x:v>
      </x:c>
      <x:c r="M22" s="12" t="str"/>
      <x:c r="N22" s="12" t="str"/>
      <x:c r="O22" s="13" t="str"/>
      <x:c r="P22" s="14" t="str">
        <x:f>IF(AND(COUNTIF(Scope[KapsamID],A22)=1,B22&lt;&gt;"",C22&lt;&gt;"",D22&lt;&gt;"",E22&lt;&gt;"",F22&lt;&gt;"",G22&lt;&gt;"",H22&lt;&gt;"",I22&lt;&gt;"",J22&lt;&gt;"",K22&lt;&gt;"",OR(L22="Dahil",L22="Hariç"),M22&lt;&gt;"",N22&lt;&gt;"",ISNUMBER(O22),O22&gt;0),A22,"Kapsam eksik")</x:f>
        <x:v>Kapsam eksik</x:v>
      </x:c>
    </x:row>
    <x:row r="23" ht="35" customHeight="1">
      <x:c r="A23" s="6" t="str">
        <x:v>K-018</x:v>
      </x:c>
      <x:c r="B23" s="6" t="str">
        <x:v>Zabbix</x:v>
      </x:c>
      <x:c r="C23" s="12" t="str"/>
      <x:c r="D23" s="12" t="str"/>
      <x:c r="E23" s="12" t="str"/>
      <x:c r="F23" s="12" t="str"/>
      <x:c r="G23" s="12" t="str"/>
      <x:c r="H23" s="12" t="str"/>
      <x:c r="I23" s="12" t="str"/>
      <x:c r="J23" s="12" t="str"/>
      <x:c r="K23" s="12" t="str"/>
      <x:c r="L23" s="12" t="str">
        <x:v>Belirlenecek</x:v>
      </x:c>
      <x:c r="M23" s="12" t="str"/>
      <x:c r="N23" s="12" t="str"/>
      <x:c r="O23" s="13" t="str"/>
      <x:c r="P23" s="14" t="str">
        <x:f>IF(AND(COUNTIF(Scope[KapsamID],A23)=1,B23&lt;&gt;"",C23&lt;&gt;"",D23&lt;&gt;"",E23&lt;&gt;"",F23&lt;&gt;"",G23&lt;&gt;"",H23&lt;&gt;"",I23&lt;&gt;"",J23&lt;&gt;"",K23&lt;&gt;"",OR(L23="Dahil",L23="Hariç"),M23&lt;&gt;"",N23&lt;&gt;"",ISNUMBER(O23),O23&gt;0),A23,"Kapsam eksik")</x:f>
        <x:v>Kapsam eksik</x:v>
      </x:c>
    </x:row>
    <x:row r="24" ht="35" customHeight="1">
      <x:c r="A24" s="6" t="str">
        <x:v>K-019</x:v>
      </x:c>
      <x:c r="B24" s="6" t="str">
        <x:v>Grafana</x:v>
      </x:c>
      <x:c r="C24" s="12" t="str"/>
      <x:c r="D24" s="12" t="str"/>
      <x:c r="E24" s="12" t="str"/>
      <x:c r="F24" s="12" t="str"/>
      <x:c r="G24" s="12" t="str"/>
      <x:c r="H24" s="12" t="str"/>
      <x:c r="I24" s="12" t="str"/>
      <x:c r="J24" s="12" t="str"/>
      <x:c r="K24" s="12" t="str"/>
      <x:c r="L24" s="12" t="str">
        <x:v>Belirlenecek</x:v>
      </x:c>
      <x:c r="M24" s="12" t="str"/>
      <x:c r="N24" s="12" t="str"/>
      <x:c r="O24" s="13" t="str"/>
      <x:c r="P24" s="14" t="str">
        <x:f>IF(AND(COUNTIF(Scope[KapsamID],A24)=1,B24&lt;&gt;"",C24&lt;&gt;"",D24&lt;&gt;"",E24&lt;&gt;"",F24&lt;&gt;"",G24&lt;&gt;"",H24&lt;&gt;"",I24&lt;&gt;"",J24&lt;&gt;"",K24&lt;&gt;"",OR(L24="Dahil",L24="Hariç"),M24&lt;&gt;"",N24&lt;&gt;"",ISNUMBER(O24),O24&gt;0),A24,"Kapsam eksik")</x:f>
        <x:v>Kapsam eksik</x:v>
      </x:c>
    </x:row>
    <x:row r="25" ht="35" customHeight="1">
      <x:c r="A25" s="6" t="str">
        <x:v>K-020</x:v>
      </x:c>
      <x:c r="B25" s="6" t="str">
        <x:v>ManageEngine Endpoint Central</x:v>
      </x:c>
      <x:c r="C25" s="12" t="str"/>
      <x:c r="D25" s="12" t="str"/>
      <x:c r="E25" s="12" t="str"/>
      <x:c r="F25" s="12" t="str"/>
      <x:c r="G25" s="12" t="str"/>
      <x:c r="H25" s="12" t="str"/>
      <x:c r="I25" s="12" t="str"/>
      <x:c r="J25" s="12" t="str"/>
      <x:c r="K25" s="12" t="str"/>
      <x:c r="L25" s="12" t="str">
        <x:v>Belirlenecek</x:v>
      </x:c>
      <x:c r="M25" s="12" t="str"/>
      <x:c r="N25" s="12" t="str"/>
      <x:c r="O25" s="13" t="str"/>
      <x:c r="P25" s="14" t="str">
        <x:f>IF(AND(COUNTIF(Scope[KapsamID],A25)=1,B25&lt;&gt;"",C25&lt;&gt;"",D25&lt;&gt;"",E25&lt;&gt;"",F25&lt;&gt;"",G25&lt;&gt;"",H25&lt;&gt;"",I25&lt;&gt;"",J25&lt;&gt;"",K25&lt;&gt;"",OR(L25="Dahil",L25="Hariç"),M25&lt;&gt;"",N25&lt;&gt;"",ISNUMBER(O25),O25&gt;0),A25,"Kapsam eksik")</x:f>
        <x:v>Kapsam eksik</x:v>
      </x:c>
    </x:row>
    <x:row r="26" ht="35" customHeight="1">
      <x:c r="A26" s="6" t="str">
        <x:v>K-021</x:v>
      </x:c>
      <x:c r="B26" s="6" t="str">
        <x:v>Trellix Endpoint Security</x:v>
      </x:c>
      <x:c r="C26" s="12" t="str"/>
      <x:c r="D26" s="12" t="str"/>
      <x:c r="E26" s="12" t="str"/>
      <x:c r="F26" s="12" t="str"/>
      <x:c r="G26" s="12" t="str"/>
      <x:c r="H26" s="12" t="str"/>
      <x:c r="I26" s="12" t="str"/>
      <x:c r="J26" s="12" t="str"/>
      <x:c r="K26" s="12" t="str"/>
      <x:c r="L26" s="12" t="str">
        <x:v>Belirlenecek</x:v>
      </x:c>
      <x:c r="M26" s="12" t="str"/>
      <x:c r="N26" s="12" t="str"/>
      <x:c r="O26" s="13" t="str"/>
      <x:c r="P26" s="14" t="str">
        <x:f>IF(AND(COUNTIF(Scope[KapsamID],A26)=1,B26&lt;&gt;"",C26&lt;&gt;"",D26&lt;&gt;"",E26&lt;&gt;"",F26&lt;&gt;"",G26&lt;&gt;"",H26&lt;&gt;"",I26&lt;&gt;"",J26&lt;&gt;"",K26&lt;&gt;"",OR(L26="Dahil",L26="Hariç"),M26&lt;&gt;"",N26&lt;&gt;"",ISNUMBER(O26),O26&gt;0),A26,"Kapsam eksik")</x:f>
        <x:v>Kapsam eksik</x:v>
      </x:c>
    </x:row>
    <x:row r="27" ht="35" customHeight="1">
      <x:c r="A27" s="6" t="str">
        <x:v>K-022</x:v>
      </x:c>
      <x:c r="B27" s="6" t="str">
        <x:v>Citrix NetScaler ADC</x:v>
      </x:c>
      <x:c r="C27" s="12" t="str"/>
      <x:c r="D27" s="12" t="str"/>
      <x:c r="E27" s="12" t="str"/>
      <x:c r="F27" s="12" t="str"/>
      <x:c r="G27" s="12" t="str"/>
      <x:c r="H27" s="12" t="str"/>
      <x:c r="I27" s="12" t="str"/>
      <x:c r="J27" s="12" t="str"/>
      <x:c r="K27" s="12" t="str"/>
      <x:c r="L27" s="12" t="str">
        <x:v>Belirlenecek</x:v>
      </x:c>
      <x:c r="M27" s="12" t="str"/>
      <x:c r="N27" s="12" t="str"/>
      <x:c r="O27" s="13" t="str"/>
      <x:c r="P27" s="14" t="str">
        <x:f>IF(AND(COUNTIF(Scope[KapsamID],A27)=1,B27&lt;&gt;"",C27&lt;&gt;"",D27&lt;&gt;"",E27&lt;&gt;"",F27&lt;&gt;"",G27&lt;&gt;"",H27&lt;&gt;"",I27&lt;&gt;"",J27&lt;&gt;"",K27&lt;&gt;"",OR(L27="Dahil",L27="Hariç"),M27&lt;&gt;"",N27&lt;&gt;"",ISNUMBER(O27),O27&gt;0),A27,"Kapsam eksik")</x:f>
        <x:v>Kapsam eksik</x:v>
      </x:c>
    </x:row>
    <x:row r="28" ht="35" customHeight="1">
      <x:c r="A28" s="6" t="str">
        <x:v>K-023</x:v>
      </x:c>
      <x:c r="B28" s="6" t="str">
        <x:v>Citrix NetScaler WAF</x:v>
      </x:c>
      <x:c r="C28" s="12" t="str"/>
      <x:c r="D28" s="12" t="str"/>
      <x:c r="E28" s="12" t="str"/>
      <x:c r="F28" s="12" t="str"/>
      <x:c r="G28" s="12" t="str"/>
      <x:c r="H28" s="12" t="str"/>
      <x:c r="I28" s="12" t="str"/>
      <x:c r="J28" s="12" t="str"/>
      <x:c r="K28" s="12" t="str"/>
      <x:c r="L28" s="12" t="str">
        <x:v>Belirlenecek</x:v>
      </x:c>
      <x:c r="M28" s="12" t="str"/>
      <x:c r="N28" s="12" t="str"/>
      <x:c r="O28" s="13" t="str"/>
      <x:c r="P28" s="14" t="str">
        <x:f>IF(AND(COUNTIF(Scope[KapsamID],A28)=1,B28&lt;&gt;"",C28&lt;&gt;"",D28&lt;&gt;"",E28&lt;&gt;"",F28&lt;&gt;"",G28&lt;&gt;"",H28&lt;&gt;"",I28&lt;&gt;"",J28&lt;&gt;"",K28&lt;&gt;"",OR(L28="Dahil",L28="Hariç"),M28&lt;&gt;"",N28&lt;&gt;"",ISNUMBER(O28),O28&gt;0),A28,"Kapsam eksik")</x:f>
        <x:v>Kapsam eksik</x:v>
      </x:c>
    </x:row>
    <x:row r="29" ht="35" customHeight="1">
      <x:c r="A29" s="6" t="str">
        <x:v>K-024</x:v>
      </x:c>
      <x:c r="B29" s="6" t="str">
        <x:v>Exchange 2019</x:v>
      </x:c>
      <x:c r="C29" s="12" t="str"/>
      <x:c r="D29" s="12" t="str"/>
      <x:c r="E29" s="12" t="str"/>
      <x:c r="F29" s="12" t="str"/>
      <x:c r="G29" s="12" t="str"/>
      <x:c r="H29" s="12" t="str"/>
      <x:c r="I29" s="12" t="str"/>
      <x:c r="J29" s="12" t="str"/>
      <x:c r="K29" s="12" t="str"/>
      <x:c r="L29" s="12" t="str">
        <x:v>Belirlenecek</x:v>
      </x:c>
      <x:c r="M29" s="12" t="str"/>
      <x:c r="N29" s="12" t="str"/>
      <x:c r="O29" s="13" t="str"/>
      <x:c r="P29" s="14" t="str">
        <x:f>IF(AND(COUNTIF(Scope[KapsamID],A29)=1,B29&lt;&gt;"",C29&lt;&gt;"",D29&lt;&gt;"",E29&lt;&gt;"",F29&lt;&gt;"",G29&lt;&gt;"",H29&lt;&gt;"",I29&lt;&gt;"",J29&lt;&gt;"",K29&lt;&gt;"",OR(L29="Dahil",L29="Hariç"),M29&lt;&gt;"",N29&lt;&gt;"",ISNUMBER(O29),O29&gt;0),A29,"Kapsam eksik")</x:f>
        <x:v>Kapsam eksik</x:v>
      </x:c>
    </x:row>
    <x:row r="30" ht="35" customHeight="1">
      <x:c r="A30" s="6" t="str">
        <x:v>K-025</x:v>
      </x:c>
      <x:c r="B30" s="6" t="str">
        <x:v>Active Directory GPO</x:v>
      </x:c>
      <x:c r="C30" s="12" t="str"/>
      <x:c r="D30" s="12" t="str"/>
      <x:c r="E30" s="12" t="str"/>
      <x:c r="F30" s="12" t="str"/>
      <x:c r="G30" s="12" t="str"/>
      <x:c r="H30" s="12" t="str"/>
      <x:c r="I30" s="12" t="str"/>
      <x:c r="J30" s="12" t="str"/>
      <x:c r="K30" s="12" t="str"/>
      <x:c r="L30" s="12" t="str">
        <x:v>Belirlenecek</x:v>
      </x:c>
      <x:c r="M30" s="12" t="str"/>
      <x:c r="N30" s="12" t="str"/>
      <x:c r="O30" s="13" t="str"/>
      <x:c r="P30" s="14" t="str">
        <x:f>IF(AND(COUNTIF(Scope[KapsamID],A30)=1,B30&lt;&gt;"",C30&lt;&gt;"",D30&lt;&gt;"",E30&lt;&gt;"",F30&lt;&gt;"",G30&lt;&gt;"",H30&lt;&gt;"",I30&lt;&gt;"",J30&lt;&gt;"",K30&lt;&gt;"",OR(L30="Dahil",L30="Hariç"),M30&lt;&gt;"",N30&lt;&gt;"",ISNUMBER(O30),O30&gt;0),A30,"Kapsam eksik")</x:f>
        <x:v>Kapsam eksik</x:v>
      </x:c>
    </x:row>
  </x:sheetData>
  <x:conditionalFormatting sqref="P6:P30">
    <x:cfRule type="containsText" dxfId="0" priority="1" operator="containsText" text="eksik"/>
  </x:conditionalFormatting>
  <x:dataValidations count="1">
    <x:dataValidation type="list" errorStyle="stop" showErrorMessage="1" errorTitle="Geçersiz seçim" error="Listede tanımlı bir değer seçin." sqref="L6:L30">
      <x:formula1>"Belirlenecek,Dahil,Hariç"</x:formula1>
    </x:dataValidation>
  </x:dataValidations>
  <x:pageMargins left="0.7" right="0.7" top="0.75" bottom="0.75" header="0.3" footer="0.3"/>
  <x:tableParts count="1">
    <x:tablePart xmlns:r="http://schemas.openxmlformats.org/officeDocument/2006/relationships" r:id="R0525e50921944240"/>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20" hidden="0" customWidth="1"/>
    <x:col min="3" max="3" width="37" hidden="0" customWidth="1"/>
    <x:col min="4" max="4" width="19" hidden="0" customWidth="1"/>
    <x:col min="5" max="5" width="61" hidden="0" customWidth="1"/>
    <x:col min="6" max="6" width="35" hidden="0" customWidth="1"/>
    <x:col min="7" max="7" width="67" hidden="0" customWidth="1"/>
    <x:col min="8" max="8" width="25" hidden="0" customWidth="1"/>
    <x:col min="9" max="9" width="70" hidden="0" customWidth="1"/>
    <x:col min="10" max="10" width="20" hidden="0" customWidth="1"/>
    <x:col min="11" max="11" width="64" hidden="0" customWidth="1"/>
    <x:col min="12" max="12" width="21" hidden="0" customWidth="1"/>
    <x:col min="13" max="13" width="80" hidden="0" customWidth="1"/>
    <x:col min="14" max="14" width="24" hidden="0" customWidth="1"/>
    <x:col min="15" max="15" width="24" hidden="0" customWidth="1"/>
    <x:col min="16" max="16" width="25" hidden="0" customWidth="1"/>
    <x:col min="17" max="17" width="28" hidden="0" customWidth="1"/>
    <x:col min="18" max="18" width="28" hidden="0" customWidth="1"/>
    <x:col min="19" max="19" width="21" hidden="0" customWidth="1"/>
    <x:col min="20" max="20" width="20" hidden="0" customWidth="1"/>
    <x:col min="21" max="21" width="72" hidden="0" customWidth="1"/>
    <x:col min="22" max="22" width="37" hidden="0" customWidth="1"/>
    <x:col min="23" max="23" width="28" hidden="0" customWidth="1"/>
  </x:cols>
  <x:sheetData>
    <x:row r="1">
      <x:c r="A1" s="1"/>
      <x:c r="B1" s="1"/>
      <x:c r="C1" s="1"/>
      <x:c r="D1" s="1"/>
      <x:c r="E1" s="1"/>
      <x:c r="F1" s="1"/>
      <x:c r="G1" s="1"/>
      <x:c r="H1" s="1"/>
      <x:c r="I1" s="1"/>
      <x:c r="J1" s="1"/>
      <x:c r="K1" s="1"/>
      <x:c r="L1" s="1"/>
      <x:c r="M1" s="1"/>
      <x:c r="N1" s="1"/>
      <x:c r="O1" s="1"/>
      <x:c r="P1" s="1"/>
      <x:c r="Q1" s="1"/>
      <x:c r="R1" s="1"/>
      <x:c r="S1" s="1"/>
      <x:c r="T1" s="1"/>
      <x:c r="U1" s="1"/>
      <x:c r="V1" s="1"/>
      <x:c r="W1" s="1"/>
    </x:row>
    <x:row r="2" ht="29" customHeight="1">
      <x:c r="A2" s="2" t="str">
        <x:v>Uygulama</x:v>
      </x:c>
      <x:c r="B2" s="2"/>
      <x:c r="C2" s="2"/>
      <x:c r="D2" s="2"/>
      <x:c r="E2" s="2"/>
      <x:c r="F2" s="2"/>
      <x:c r="G2" s="2"/>
      <x:c r="H2" s="2"/>
      <x:c r="I2" s="2"/>
      <x:c r="J2" s="2"/>
      <x:c r="K2" s="2"/>
      <x:c r="L2" s="2"/>
      <x:c r="M2" s="2"/>
      <x:c r="N2" s="2"/>
      <x:c r="O2" s="2"/>
      <x:c r="P2" s="2"/>
      <x:c r="Q2" s="2"/>
      <x:c r="R2" s="2"/>
      <x:c r="S2" s="2"/>
      <x:c r="T2" s="2"/>
      <x:c r="U2" s="2"/>
      <x:c r="V2" s="2"/>
      <x:c r="W2" s="2"/>
    </x:row>
    <x:row r="3" ht="8" customHeight="1">
      <x:c r="A3" s="3"/>
      <x:c r="B3" s="3"/>
      <x:c r="C3" s="3"/>
      <x:c r="D3" s="3"/>
      <x:c r="E3" s="3"/>
      <x:c r="F3" s="3"/>
      <x:c r="G3" s="3"/>
      <x:c r="H3" s="3"/>
      <x:c r="I3" s="3"/>
      <x:c r="J3" s="3"/>
      <x:c r="K3" s="3"/>
      <x:c r="L3" s="3"/>
      <x:c r="M3" s="3"/>
      <x:c r="N3" s="3"/>
      <x:c r="O3" s="3"/>
      <x:c r="P3" s="3"/>
      <x:c r="Q3" s="3"/>
      <x:c r="R3" s="3"/>
      <x:c r="S3" s="3"/>
      <x:c r="T3" s="3"/>
      <x:c r="U3" s="3"/>
      <x:c r="V3" s="3"/>
      <x:c r="W3" s="3"/>
    </x:row>
    <x:row r="4" ht="24" customHeight="1">
      <x:c r="A4" s="4" t="str">
        <x:v>Her alt madde için fiili değer ve kanıt konumu yazın. Uygunluk yüzdesi ve otomatik risk indirimi hesaplanmaz.</x:v>
      </x:c>
      <x:c r="B4" s="4"/>
      <x:c r="C4" s="4"/>
      <x:c r="D4" s="4"/>
      <x:c r="E4" s="4"/>
      <x:c r="F4" s="4"/>
      <x:c r="G4" s="4"/>
      <x:c r="H4" s="4"/>
      <x:c r="I4" s="4"/>
      <x:c r="J4" s="4"/>
      <x:c r="K4" s="4"/>
      <x:c r="L4" s="4"/>
      <x:c r="M4" s="4"/>
      <x:c r="N4" s="4"/>
      <x:c r="O4" s="4"/>
      <x:c r="P4" s="4"/>
      <x:c r="Q4" s="4"/>
      <x:c r="R4" s="4"/>
      <x:c r="S4" s="4"/>
      <x:c r="T4" s="4"/>
      <x:c r="U4" s="4"/>
      <x:c r="V4" s="4"/>
      <x:c r="W4" s="4"/>
    </x:row>
    <x:row r="5" ht="36" customHeight="1">
      <x:c r="A5" s="10" t="str">
        <x:v>TestID</x:v>
      </x:c>
      <x:c r="B5" s="10" t="str">
        <x:v>KontrolID</x:v>
      </x:c>
      <x:c r="C5" s="10" t="str">
        <x:v>Urun</x:v>
      </x:c>
      <x:c r="D5" s="10" t="str">
        <x:v>KapsamID</x:v>
      </x:c>
      <x:c r="E5" s="10" t="str">
        <x:v>Hedef / tenant / örneklem</x:v>
      </x:c>
      <x:c r="F5" s="10" t="str">
        <x:v>Kurulu sürüm / rol</x:v>
      </x:c>
      <x:c r="G5" s="10" t="str">
        <x:v>Kaynak / profil / alt madde</x:v>
      </x:c>
      <x:c r="H5" s="10" t="str">
        <x:v>Uygulanabilirlik</x:v>
      </x:c>
      <x:c r="I5" s="10" t="str">
        <x:v>Kapsam / örneklem gerekçesi</x:v>
      </x:c>
      <x:c r="J5" s="10" t="str">
        <x:v>KanitID</x:v>
      </x:c>
      <x:c r="K5" s="10" t="str">
        <x:v>Kanıtta tam konum</x:v>
      </x:c>
      <x:c r="L5" s="10" t="str">
        <x:v>Test tarihi</x:v>
      </x:c>
      <x:c r="M5" s="10" t="str">
        <x:v>Alt koşullar ve fiili sonuç</x:v>
      </x:c>
      <x:c r="N5" s="10" t="str">
        <x:v>Tasarım sonucu</x:v>
      </x:c>
      <x:c r="O5" s="10" t="str">
        <x:v>İşleyiş sonucu</x:v>
      </x:c>
      <x:c r="P5" s="10" t="str">
        <x:v>Denetçi sonucu</x:v>
      </x:c>
      <x:c r="Q5" s="10" t="str">
        <x:v>Denetçi</x:v>
      </x:c>
      <x:c r="R5" s="10" t="str">
        <x:v>Gözden geçiren</x:v>
      </x:c>
      <x:c r="S5" s="10" t="str">
        <x:v>İnceleme tarihi</x:v>
      </x:c>
      <x:c r="T5" s="10" t="str">
        <x:v>BulguID</x:v>
      </x:c>
      <x:c r="U5" s="10" t="str">
        <x:v>Sapma / açıklama</x:v>
      </x:c>
      <x:c r="V5" s="10" t="str">
        <x:v>Kayıt denetimi</x:v>
      </x:c>
      <x:c r="W5" s="10" t="str">
        <x:v>GecerliSonuc</x:v>
      </x:c>
    </x:row>
    <x:row r="6" ht="35" customHeight="1">
      <x:c r="A6" s="12" t="str">
        <x:v>U-0001</x:v>
      </x:c>
      <x:c r="B6" s="12" t="str">
        <x:v>GNL-01-01</x:v>
      </x:c>
      <x:c r="C6" s="12" t="str">
        <x:v>MSP Genel</x:v>
      </x:c>
      <x:c r="D6" s="12" t="str"/>
      <x:c r="E6" s="12" t="str"/>
      <x:c r="F6" s="12" t="str"/>
      <x:c r="G6" s="12" t="str"/>
      <x:c r="H6" s="12" t="str">
        <x:v>Belirlenecek</x:v>
      </x:c>
      <x:c r="I6" s="12" t="str"/>
      <x:c r="J6" s="12" t="str"/>
      <x:c r="K6" s="12" t="str"/>
      <x:c r="L6" s="13" t="str"/>
      <x:c r="M6" s="12" t="str"/>
      <x:c r="N6" s="12" t="str">
        <x:v>İncelenmedi</x:v>
      </x:c>
      <x:c r="O6" s="12" t="str">
        <x:v>İncelenmedi</x:v>
      </x:c>
      <x:c r="P6" s="12" t="str">
        <x:v>İncelenmedi</x:v>
      </x:c>
      <x:c r="Q6" s="12" t="str"/>
      <x:c r="R6" s="12" t="str"/>
      <x:c r="S6" s="13" t="str"/>
      <x:c r="T6" s="12" t="str"/>
      <x:c r="U6" s="12" t="str"/>
      <x:c r="V6" s="14" t="str">
        <x:f>IF(A6="","",IF(NOT(AND(COUNTIF(Exec[TestID],A6)=1,COUNTIF(Controls[ID],B6)=1,COUNTIFS(Scope[KapsamID],D6,Scope[OnayliKapsamID],D6,Scope[Ürün],C6)=1,OR(COUNTIFS(Controls[ID],B6,Controls[Ürün],C6)=1,COUNTIFS(Controls[ID],B6,Controls[Ürün],"MSP Genel")=1),E6&lt;&gt;"",F6&lt;&gt;"",G6&lt;&gt;"",I6&lt;&gt;"",Q6&lt;&gt;"")),"Kimlik / kapsam eksik",IF(NOT(OR(H6="Uygulanır",H6="Uygulanmaz")),"Uygulanabilirlik eksik",IF(AND(H6="Uygulanır",P6="Kanıt yetersiz",U6&lt;&gt;""),IF(AND(R6&lt;&gt;"",R6&lt;&gt;Q6,ISNUMBER(S6),S6&gt;0,S6&gt;=L6),"İnceleme tamam","Gözden geçirme eksik"),IF(NOT(AND(J6&lt;&gt;"",COUNTIFS(Evidence[KanitID],J6,Evidence[Kabul edilen ID],J6)=1,K6&lt;&gt;"",ISNUMBER(L6),L6&gt;0,M6&lt;&gt;"")),"Kanıt / test eksik",IF(NOT(AND(R6&lt;&gt;"",R6&lt;&gt;Q6,ISNUMBER(S6),S6&gt;0,S6&gt;=L6)),"Gözden geçirme eksik",IF(H6="Uygulanmaz","İnceleme tamam",IF(AND(OR(P6="Uygun",P6="Kısmen uygun",P6="Uygunsuz"),OR(N6="Uygun",N6="Kısmen uygun",N6="Uygunsuz"),OR(O6="Uygun",O6="Kısmen uygun",O6="Uygunsuz"),OR(P6&lt;&gt;"Uygun",AND(N6="Uygun",O6="Uygun")),OR(P6="Uygun",AND(T6&lt;&gt;"",COUNTIF(Findings[KayitliBulguID],T6)=1))),"İnceleme tamam","Sonuç / bulgu eksik"))))))))</x:f>
        <x:v>Kimlik / kapsam eksik</x:v>
      </x:c>
      <x:c r="W6" s="14" t="str">
        <x:f>IF(A6="","",IF(V6&lt;&gt;"İnceleme tamam","İncelenmedi",IF(H6="Uygulanmaz","Uygulanmaz",P6)))</x:f>
        <x:v>İncelenmedi</x:v>
      </x:c>
    </x:row>
    <x:row r="7" ht="35" customHeight="1">
      <x:c r="A7" s="12" t="str">
        <x:v>U-0002</x:v>
      </x:c>
      <x:c r="B7" s="12" t="str">
        <x:v>GNL-01-02</x:v>
      </x:c>
      <x:c r="C7" s="12" t="str">
        <x:v>MSP Genel</x:v>
      </x:c>
      <x:c r="D7" s="12" t="str"/>
      <x:c r="E7" s="12" t="str"/>
      <x:c r="F7" s="12" t="str"/>
      <x:c r="G7" s="12" t="str"/>
      <x:c r="H7" s="12" t="str">
        <x:v>Belirlenecek</x:v>
      </x:c>
      <x:c r="I7" s="12" t="str"/>
      <x:c r="J7" s="12" t="str"/>
      <x:c r="K7" s="12" t="str"/>
      <x:c r="L7" s="13" t="str"/>
      <x:c r="M7" s="12" t="str"/>
      <x:c r="N7" s="12" t="str">
        <x:v>İncelenmedi</x:v>
      </x:c>
      <x:c r="O7" s="12" t="str">
        <x:v>İncelenmedi</x:v>
      </x:c>
      <x:c r="P7" s="12" t="str">
        <x:v>İncelenmedi</x:v>
      </x:c>
      <x:c r="Q7" s="12" t="str"/>
      <x:c r="R7" s="12" t="str"/>
      <x:c r="S7" s="13" t="str"/>
      <x:c r="T7" s="12" t="str"/>
      <x:c r="U7" s="12" t="str"/>
      <x:c r="V7" s="14" t="str">
        <x:f>IF(A7="","",IF(NOT(AND(COUNTIF(Exec[TestID],A7)=1,COUNTIF(Controls[ID],B7)=1,COUNTIFS(Scope[KapsamID],D7,Scope[OnayliKapsamID],D7,Scope[Ürün],C7)=1,OR(COUNTIFS(Controls[ID],B7,Controls[Ürün],C7)=1,COUNTIFS(Controls[ID],B7,Controls[Ürün],"MSP Genel")=1),E7&lt;&gt;"",F7&lt;&gt;"",G7&lt;&gt;"",I7&lt;&gt;"",Q7&lt;&gt;"")),"Kimlik / kapsam eksik",IF(NOT(OR(H7="Uygulanır",H7="Uygulanmaz")),"Uygulanabilirlik eksik",IF(AND(H7="Uygulanır",P7="Kanıt yetersiz",U7&lt;&gt;""),IF(AND(R7&lt;&gt;"",R7&lt;&gt;Q7,ISNUMBER(S7),S7&gt;0,S7&gt;=L7),"İnceleme tamam","Gözden geçirme eksik"),IF(NOT(AND(J7&lt;&gt;"",COUNTIFS(Evidence[KanitID],J7,Evidence[Kabul edilen ID],J7)=1,K7&lt;&gt;"",ISNUMBER(L7),L7&gt;0,M7&lt;&gt;"")),"Kanıt / test eksik",IF(NOT(AND(R7&lt;&gt;"",R7&lt;&gt;Q7,ISNUMBER(S7),S7&gt;0,S7&gt;=L7)),"Gözden geçirme eksik",IF(H7="Uygulanmaz","İnceleme tamam",IF(AND(OR(P7="Uygun",P7="Kısmen uygun",P7="Uygunsuz"),OR(N7="Uygun",N7="Kısmen uygun",N7="Uygunsuz"),OR(O7="Uygun",O7="Kısmen uygun",O7="Uygunsuz"),OR(P7&lt;&gt;"Uygun",AND(N7="Uygun",O7="Uygun")),OR(P7="Uygun",AND(T7&lt;&gt;"",COUNTIF(Findings[KayitliBulguID],T7)=1))),"İnceleme tamam","Sonuç / bulgu eksik"))))))))</x:f>
        <x:v>Kimlik / kapsam eksik</x:v>
      </x:c>
      <x:c r="W7" s="14" t="str">
        <x:f>IF(A7="","",IF(V7&lt;&gt;"İnceleme tamam","İncelenmedi",IF(H7="Uygulanmaz","Uygulanmaz",P7)))</x:f>
        <x:v>İncelenmedi</x:v>
      </x:c>
    </x:row>
    <x:row r="8" ht="35" customHeight="1">
      <x:c r="A8" s="12" t="str">
        <x:v>U-0003</x:v>
      </x:c>
      <x:c r="B8" s="12" t="str">
        <x:v>GNL-01-03</x:v>
      </x:c>
      <x:c r="C8" s="12" t="str">
        <x:v>MSP Genel</x:v>
      </x:c>
      <x:c r="D8" s="12" t="str"/>
      <x:c r="E8" s="12" t="str"/>
      <x:c r="F8" s="12" t="str"/>
      <x:c r="G8" s="12" t="str"/>
      <x:c r="H8" s="12" t="str">
        <x:v>Belirlenecek</x:v>
      </x:c>
      <x:c r="I8" s="12" t="str"/>
      <x:c r="J8" s="12" t="str"/>
      <x:c r="K8" s="12" t="str"/>
      <x:c r="L8" s="13" t="str"/>
      <x:c r="M8" s="12" t="str"/>
      <x:c r="N8" s="12" t="str">
        <x:v>İncelenmedi</x:v>
      </x:c>
      <x:c r="O8" s="12" t="str">
        <x:v>İncelenmedi</x:v>
      </x:c>
      <x:c r="P8" s="12" t="str">
        <x:v>İncelenmedi</x:v>
      </x:c>
      <x:c r="Q8" s="12" t="str"/>
      <x:c r="R8" s="12" t="str"/>
      <x:c r="S8" s="13" t="str"/>
      <x:c r="T8" s="12" t="str"/>
      <x:c r="U8" s="12" t="str"/>
      <x:c r="V8" s="14" t="str">
        <x:f>IF(A8="","",IF(NOT(AND(COUNTIF(Exec[TestID],A8)=1,COUNTIF(Controls[ID],B8)=1,COUNTIFS(Scope[KapsamID],D8,Scope[OnayliKapsamID],D8,Scope[Ürün],C8)=1,OR(COUNTIFS(Controls[ID],B8,Controls[Ürün],C8)=1,COUNTIFS(Controls[ID],B8,Controls[Ürün],"MSP Genel")=1),E8&lt;&gt;"",F8&lt;&gt;"",G8&lt;&gt;"",I8&lt;&gt;"",Q8&lt;&gt;"")),"Kimlik / kapsam eksik",IF(NOT(OR(H8="Uygulanır",H8="Uygulanmaz")),"Uygulanabilirlik eksik",IF(AND(H8="Uygulanır",P8="Kanıt yetersiz",U8&lt;&gt;""),IF(AND(R8&lt;&gt;"",R8&lt;&gt;Q8,ISNUMBER(S8),S8&gt;0,S8&gt;=L8),"İnceleme tamam","Gözden geçirme eksik"),IF(NOT(AND(J8&lt;&gt;"",COUNTIFS(Evidence[KanitID],J8,Evidence[Kabul edilen ID],J8)=1,K8&lt;&gt;"",ISNUMBER(L8),L8&gt;0,M8&lt;&gt;"")),"Kanıt / test eksik",IF(NOT(AND(R8&lt;&gt;"",R8&lt;&gt;Q8,ISNUMBER(S8),S8&gt;0,S8&gt;=L8)),"Gözden geçirme eksik",IF(H8="Uygulanmaz","İnceleme tamam",IF(AND(OR(P8="Uygun",P8="Kısmen uygun",P8="Uygunsuz"),OR(N8="Uygun",N8="Kısmen uygun",N8="Uygunsuz"),OR(O8="Uygun",O8="Kısmen uygun",O8="Uygunsuz"),OR(P8&lt;&gt;"Uygun",AND(N8="Uygun",O8="Uygun")),OR(P8="Uygun",AND(T8&lt;&gt;"",COUNTIF(Findings[KayitliBulguID],T8)=1))),"İnceleme tamam","Sonuç / bulgu eksik"))))))))</x:f>
        <x:v>Kimlik / kapsam eksik</x:v>
      </x:c>
      <x:c r="W8" s="14" t="str">
        <x:f>IF(A8="","",IF(V8&lt;&gt;"İnceleme tamam","İncelenmedi",IF(H8="Uygulanmaz","Uygulanmaz",P8)))</x:f>
        <x:v>İncelenmedi</x:v>
      </x:c>
    </x:row>
    <x:row r="9" ht="35" customHeight="1">
      <x:c r="A9" s="12" t="str">
        <x:v>U-0004</x:v>
      </x:c>
      <x:c r="B9" s="12" t="str">
        <x:v>GNL-01-04</x:v>
      </x:c>
      <x:c r="C9" s="12" t="str">
        <x:v>MSP Genel</x:v>
      </x:c>
      <x:c r="D9" s="12" t="str"/>
      <x:c r="E9" s="12" t="str"/>
      <x:c r="F9" s="12" t="str"/>
      <x:c r="G9" s="12" t="str"/>
      <x:c r="H9" s="12" t="str">
        <x:v>Belirlenecek</x:v>
      </x:c>
      <x:c r="I9" s="12" t="str"/>
      <x:c r="J9" s="12" t="str"/>
      <x:c r="K9" s="12" t="str"/>
      <x:c r="L9" s="13" t="str"/>
      <x:c r="M9" s="12" t="str"/>
      <x:c r="N9" s="12" t="str">
        <x:v>İncelenmedi</x:v>
      </x:c>
      <x:c r="O9" s="12" t="str">
        <x:v>İncelenmedi</x:v>
      </x:c>
      <x:c r="P9" s="12" t="str">
        <x:v>İncelenmedi</x:v>
      </x:c>
      <x:c r="Q9" s="12" t="str"/>
      <x:c r="R9" s="12" t="str"/>
      <x:c r="S9" s="13" t="str"/>
      <x:c r="T9" s="12" t="str"/>
      <x:c r="U9" s="12" t="str"/>
      <x:c r="V9" s="14" t="str">
        <x:f>IF(A9="","",IF(NOT(AND(COUNTIF(Exec[TestID],A9)=1,COUNTIF(Controls[ID],B9)=1,COUNTIFS(Scope[KapsamID],D9,Scope[OnayliKapsamID],D9,Scope[Ürün],C9)=1,OR(COUNTIFS(Controls[ID],B9,Controls[Ürün],C9)=1,COUNTIFS(Controls[ID],B9,Controls[Ürün],"MSP Genel")=1),E9&lt;&gt;"",F9&lt;&gt;"",G9&lt;&gt;"",I9&lt;&gt;"",Q9&lt;&gt;"")),"Kimlik / kapsam eksik",IF(NOT(OR(H9="Uygulanır",H9="Uygulanmaz")),"Uygulanabilirlik eksik",IF(AND(H9="Uygulanır",P9="Kanıt yetersiz",U9&lt;&gt;""),IF(AND(R9&lt;&gt;"",R9&lt;&gt;Q9,ISNUMBER(S9),S9&gt;0,S9&gt;=L9),"İnceleme tamam","Gözden geçirme eksik"),IF(NOT(AND(J9&lt;&gt;"",COUNTIFS(Evidence[KanitID],J9,Evidence[Kabul edilen ID],J9)=1,K9&lt;&gt;"",ISNUMBER(L9),L9&gt;0,M9&lt;&gt;"")),"Kanıt / test eksik",IF(NOT(AND(R9&lt;&gt;"",R9&lt;&gt;Q9,ISNUMBER(S9),S9&gt;0,S9&gt;=L9)),"Gözden geçirme eksik",IF(H9="Uygulanmaz","İnceleme tamam",IF(AND(OR(P9="Uygun",P9="Kısmen uygun",P9="Uygunsuz"),OR(N9="Uygun",N9="Kısmen uygun",N9="Uygunsuz"),OR(O9="Uygun",O9="Kısmen uygun",O9="Uygunsuz"),OR(P9&lt;&gt;"Uygun",AND(N9="Uygun",O9="Uygun")),OR(P9="Uygun",AND(T9&lt;&gt;"",COUNTIF(Findings[KayitliBulguID],T9)=1))),"İnceleme tamam","Sonuç / bulgu eksik"))))))))</x:f>
        <x:v>Kimlik / kapsam eksik</x:v>
      </x:c>
      <x:c r="W9" s="14" t="str">
        <x:f>IF(A9="","",IF(V9&lt;&gt;"İnceleme tamam","İncelenmedi",IF(H9="Uygulanmaz","Uygulanmaz",P9)))</x:f>
        <x:v>İncelenmedi</x:v>
      </x:c>
    </x:row>
    <x:row r="10" ht="35" customHeight="1">
      <x:c r="A10" s="12" t="str">
        <x:v>U-0005</x:v>
      </x:c>
      <x:c r="B10" s="12" t="str">
        <x:v>GNL-01-05</x:v>
      </x:c>
      <x:c r="C10" s="12" t="str">
        <x:v>MSP Genel</x:v>
      </x:c>
      <x:c r="D10" s="12" t="str"/>
      <x:c r="E10" s="12" t="str"/>
      <x:c r="F10" s="12" t="str"/>
      <x:c r="G10" s="12" t="str"/>
      <x:c r="H10" s="12" t="str">
        <x:v>Belirlenecek</x:v>
      </x:c>
      <x:c r="I10" s="12" t="str"/>
      <x:c r="J10" s="12" t="str"/>
      <x:c r="K10" s="12" t="str"/>
      <x:c r="L10" s="13" t="str"/>
      <x:c r="M10" s="12" t="str"/>
      <x:c r="N10" s="12" t="str">
        <x:v>İncelenmedi</x:v>
      </x:c>
      <x:c r="O10" s="12" t="str">
        <x:v>İncelenmedi</x:v>
      </x:c>
      <x:c r="P10" s="12" t="str">
        <x:v>İncelenmedi</x:v>
      </x:c>
      <x:c r="Q10" s="12" t="str"/>
      <x:c r="R10" s="12" t="str"/>
      <x:c r="S10" s="13" t="str"/>
      <x:c r="T10" s="12" t="str"/>
      <x:c r="U10" s="12" t="str"/>
      <x:c r="V10" s="14" t="str">
        <x:f>IF(A10="","",IF(NOT(AND(COUNTIF(Exec[TestID],A10)=1,COUNTIF(Controls[ID],B10)=1,COUNTIFS(Scope[KapsamID],D10,Scope[OnayliKapsamID],D10,Scope[Ürün],C10)=1,OR(COUNTIFS(Controls[ID],B10,Controls[Ürün],C10)=1,COUNTIFS(Controls[ID],B10,Controls[Ürün],"MSP Genel")=1),E10&lt;&gt;"",F10&lt;&gt;"",G10&lt;&gt;"",I10&lt;&gt;"",Q10&lt;&gt;"")),"Kimlik / kapsam eksik",IF(NOT(OR(H10="Uygulanır",H10="Uygulanmaz")),"Uygulanabilirlik eksik",IF(AND(H10="Uygulanır",P10="Kanıt yetersiz",U10&lt;&gt;""),IF(AND(R10&lt;&gt;"",R10&lt;&gt;Q10,ISNUMBER(S10),S10&gt;0,S10&gt;=L10),"İnceleme tamam","Gözden geçirme eksik"),IF(NOT(AND(J10&lt;&gt;"",COUNTIFS(Evidence[KanitID],J10,Evidence[Kabul edilen ID],J10)=1,K10&lt;&gt;"",ISNUMBER(L10),L10&gt;0,M10&lt;&gt;"")),"Kanıt / test eksik",IF(NOT(AND(R10&lt;&gt;"",R10&lt;&gt;Q10,ISNUMBER(S10),S10&gt;0,S10&gt;=L10)),"Gözden geçirme eksik",IF(H10="Uygulanmaz","İnceleme tamam",IF(AND(OR(P10="Uygun",P10="Kısmen uygun",P10="Uygunsuz"),OR(N10="Uygun",N10="Kısmen uygun",N10="Uygunsuz"),OR(O10="Uygun",O10="Kısmen uygun",O10="Uygunsuz"),OR(P10&lt;&gt;"Uygun",AND(N10="Uygun",O10="Uygun")),OR(P10="Uygun",AND(T10&lt;&gt;"",COUNTIF(Findings[KayitliBulguID],T10)=1))),"İnceleme tamam","Sonuç / bulgu eksik"))))))))</x:f>
        <x:v>Kimlik / kapsam eksik</x:v>
      </x:c>
      <x:c r="W10" s="14" t="str">
        <x:f>IF(A10="","",IF(V10&lt;&gt;"İnceleme tamam","İncelenmedi",IF(H10="Uygulanmaz","Uygulanmaz",P10)))</x:f>
        <x:v>İncelenmedi</x:v>
      </x:c>
    </x:row>
    <x:row r="11" ht="35" customHeight="1">
      <x:c r="A11" s="12" t="str">
        <x:v>U-0006</x:v>
      </x:c>
      <x:c r="B11" s="12" t="str">
        <x:v>GNL-01-06</x:v>
      </x:c>
      <x:c r="C11" s="12" t="str">
        <x:v>MSP Genel</x:v>
      </x:c>
      <x:c r="D11" s="12" t="str"/>
      <x:c r="E11" s="12" t="str"/>
      <x:c r="F11" s="12" t="str"/>
      <x:c r="G11" s="12" t="str"/>
      <x:c r="H11" s="12" t="str">
        <x:v>Belirlenecek</x:v>
      </x:c>
      <x:c r="I11" s="12" t="str"/>
      <x:c r="J11" s="12" t="str"/>
      <x:c r="K11" s="12" t="str"/>
      <x:c r="L11" s="13" t="str"/>
      <x:c r="M11" s="12" t="str"/>
      <x:c r="N11" s="12" t="str">
        <x:v>İncelenmedi</x:v>
      </x:c>
      <x:c r="O11" s="12" t="str">
        <x:v>İncelenmedi</x:v>
      </x:c>
      <x:c r="P11" s="12" t="str">
        <x:v>İncelenmedi</x:v>
      </x:c>
      <x:c r="Q11" s="12" t="str"/>
      <x:c r="R11" s="12" t="str"/>
      <x:c r="S11" s="13" t="str"/>
      <x:c r="T11" s="12" t="str"/>
      <x:c r="U11" s="12" t="str"/>
      <x:c r="V11" s="14" t="str">
        <x:f>IF(A11="","",IF(NOT(AND(COUNTIF(Exec[TestID],A11)=1,COUNTIF(Controls[ID],B11)=1,COUNTIFS(Scope[KapsamID],D11,Scope[OnayliKapsamID],D11,Scope[Ürün],C11)=1,OR(COUNTIFS(Controls[ID],B11,Controls[Ürün],C11)=1,COUNTIFS(Controls[ID],B11,Controls[Ürün],"MSP Genel")=1),E11&lt;&gt;"",F11&lt;&gt;"",G11&lt;&gt;"",I11&lt;&gt;"",Q11&lt;&gt;"")),"Kimlik / kapsam eksik",IF(NOT(OR(H11="Uygulanır",H11="Uygulanmaz")),"Uygulanabilirlik eksik",IF(AND(H11="Uygulanır",P11="Kanıt yetersiz",U11&lt;&gt;""),IF(AND(R11&lt;&gt;"",R11&lt;&gt;Q11,ISNUMBER(S11),S11&gt;0,S11&gt;=L11),"İnceleme tamam","Gözden geçirme eksik"),IF(NOT(AND(J11&lt;&gt;"",COUNTIFS(Evidence[KanitID],J11,Evidence[Kabul edilen ID],J11)=1,K11&lt;&gt;"",ISNUMBER(L11),L11&gt;0,M11&lt;&gt;"")),"Kanıt / test eksik",IF(NOT(AND(R11&lt;&gt;"",R11&lt;&gt;Q11,ISNUMBER(S11),S11&gt;0,S11&gt;=L11)),"Gözden geçirme eksik",IF(H11="Uygulanmaz","İnceleme tamam",IF(AND(OR(P11="Uygun",P11="Kısmen uygun",P11="Uygunsuz"),OR(N11="Uygun",N11="Kısmen uygun",N11="Uygunsuz"),OR(O11="Uygun",O11="Kısmen uygun",O11="Uygunsuz"),OR(P11&lt;&gt;"Uygun",AND(N11="Uygun",O11="Uygun")),OR(P11="Uygun",AND(T11&lt;&gt;"",COUNTIF(Findings[KayitliBulguID],T11)=1))),"İnceleme tamam","Sonuç / bulgu eksik"))))))))</x:f>
        <x:v>Kimlik / kapsam eksik</x:v>
      </x:c>
      <x:c r="W11" s="14" t="str">
        <x:f>IF(A11="","",IF(V11&lt;&gt;"İnceleme tamam","İncelenmedi",IF(H11="Uygulanmaz","Uygulanmaz",P11)))</x:f>
        <x:v>İncelenmedi</x:v>
      </x:c>
    </x:row>
    <x:row r="12" ht="35" customHeight="1">
      <x:c r="A12" s="12" t="str">
        <x:v>U-0007</x:v>
      </x:c>
      <x:c r="B12" s="12" t="str">
        <x:v>GNL-02-01</x:v>
      </x:c>
      <x:c r="C12" s="12" t="str">
        <x:v>MSP Genel</x:v>
      </x:c>
      <x:c r="D12" s="12" t="str"/>
      <x:c r="E12" s="12" t="str"/>
      <x:c r="F12" s="12" t="str"/>
      <x:c r="G12" s="12" t="str"/>
      <x:c r="H12" s="12" t="str">
        <x:v>Belirlenecek</x:v>
      </x:c>
      <x:c r="I12" s="12" t="str"/>
      <x:c r="J12" s="12" t="str"/>
      <x:c r="K12" s="12" t="str"/>
      <x:c r="L12" s="13" t="str"/>
      <x:c r="M12" s="12" t="str"/>
      <x:c r="N12" s="12" t="str">
        <x:v>İncelenmedi</x:v>
      </x:c>
      <x:c r="O12" s="12" t="str">
        <x:v>İncelenmedi</x:v>
      </x:c>
      <x:c r="P12" s="12" t="str">
        <x:v>İncelenmedi</x:v>
      </x:c>
      <x:c r="Q12" s="12" t="str"/>
      <x:c r="R12" s="12" t="str"/>
      <x:c r="S12" s="13" t="str"/>
      <x:c r="T12" s="12" t="str"/>
      <x:c r="U12" s="12" t="str"/>
      <x:c r="V12" s="14" t="str">
        <x:f>IF(A12="","",IF(NOT(AND(COUNTIF(Exec[TestID],A12)=1,COUNTIF(Controls[ID],B12)=1,COUNTIFS(Scope[KapsamID],D12,Scope[OnayliKapsamID],D12,Scope[Ürün],C12)=1,OR(COUNTIFS(Controls[ID],B12,Controls[Ürün],C12)=1,COUNTIFS(Controls[ID],B12,Controls[Ürün],"MSP Genel")=1),E12&lt;&gt;"",F12&lt;&gt;"",G12&lt;&gt;"",I12&lt;&gt;"",Q12&lt;&gt;"")),"Kimlik / kapsam eksik",IF(NOT(OR(H12="Uygulanır",H12="Uygulanmaz")),"Uygulanabilirlik eksik",IF(AND(H12="Uygulanır",P12="Kanıt yetersiz",U12&lt;&gt;""),IF(AND(R12&lt;&gt;"",R12&lt;&gt;Q12,ISNUMBER(S12),S12&gt;0,S12&gt;=L12),"İnceleme tamam","Gözden geçirme eksik"),IF(NOT(AND(J12&lt;&gt;"",COUNTIFS(Evidence[KanitID],J12,Evidence[Kabul edilen ID],J12)=1,K12&lt;&gt;"",ISNUMBER(L12),L12&gt;0,M12&lt;&gt;"")),"Kanıt / test eksik",IF(NOT(AND(R12&lt;&gt;"",R12&lt;&gt;Q12,ISNUMBER(S12),S12&gt;0,S12&gt;=L12)),"Gözden geçirme eksik",IF(H12="Uygulanmaz","İnceleme tamam",IF(AND(OR(P12="Uygun",P12="Kısmen uygun",P12="Uygunsuz"),OR(N12="Uygun",N12="Kısmen uygun",N12="Uygunsuz"),OR(O12="Uygun",O12="Kısmen uygun",O12="Uygunsuz"),OR(P12&lt;&gt;"Uygun",AND(N12="Uygun",O12="Uygun")),OR(P12="Uygun",AND(T12&lt;&gt;"",COUNTIF(Findings[KayitliBulguID],T12)=1))),"İnceleme tamam","Sonuç / bulgu eksik"))))))))</x:f>
        <x:v>Kimlik / kapsam eksik</x:v>
      </x:c>
      <x:c r="W12" s="14" t="str">
        <x:f>IF(A12="","",IF(V12&lt;&gt;"İnceleme tamam","İncelenmedi",IF(H12="Uygulanmaz","Uygulanmaz",P12)))</x:f>
        <x:v>İncelenmedi</x:v>
      </x:c>
    </x:row>
    <x:row r="13" ht="35" customHeight="1">
      <x:c r="A13" s="12" t="str">
        <x:v>U-0008</x:v>
      </x:c>
      <x:c r="B13" s="12" t="str">
        <x:v>GNL-02-02</x:v>
      </x:c>
      <x:c r="C13" s="12" t="str">
        <x:v>MSP Genel</x:v>
      </x:c>
      <x:c r="D13" s="12" t="str"/>
      <x:c r="E13" s="12" t="str"/>
      <x:c r="F13" s="12" t="str"/>
      <x:c r="G13" s="12" t="str"/>
      <x:c r="H13" s="12" t="str">
        <x:v>Belirlenecek</x:v>
      </x:c>
      <x:c r="I13" s="12" t="str"/>
      <x:c r="J13" s="12" t="str"/>
      <x:c r="K13" s="12" t="str"/>
      <x:c r="L13" s="13" t="str"/>
      <x:c r="M13" s="12" t="str"/>
      <x:c r="N13" s="12" t="str">
        <x:v>İncelenmedi</x:v>
      </x:c>
      <x:c r="O13" s="12" t="str">
        <x:v>İncelenmedi</x:v>
      </x:c>
      <x:c r="P13" s="12" t="str">
        <x:v>İncelenmedi</x:v>
      </x:c>
      <x:c r="Q13" s="12" t="str"/>
      <x:c r="R13" s="12" t="str"/>
      <x:c r="S13" s="13" t="str"/>
      <x:c r="T13" s="12" t="str"/>
      <x:c r="U13" s="12" t="str"/>
      <x:c r="V13" s="14" t="str">
        <x:f>IF(A13="","",IF(NOT(AND(COUNTIF(Exec[TestID],A13)=1,COUNTIF(Controls[ID],B13)=1,COUNTIFS(Scope[KapsamID],D13,Scope[OnayliKapsamID],D13,Scope[Ürün],C13)=1,OR(COUNTIFS(Controls[ID],B13,Controls[Ürün],C13)=1,COUNTIFS(Controls[ID],B13,Controls[Ürün],"MSP Genel")=1),E13&lt;&gt;"",F13&lt;&gt;"",G13&lt;&gt;"",I13&lt;&gt;"",Q13&lt;&gt;"")),"Kimlik / kapsam eksik",IF(NOT(OR(H13="Uygulanır",H13="Uygulanmaz")),"Uygulanabilirlik eksik",IF(AND(H13="Uygulanır",P13="Kanıt yetersiz",U13&lt;&gt;""),IF(AND(R13&lt;&gt;"",R13&lt;&gt;Q13,ISNUMBER(S13),S13&gt;0,S13&gt;=L13),"İnceleme tamam","Gözden geçirme eksik"),IF(NOT(AND(J13&lt;&gt;"",COUNTIFS(Evidence[KanitID],J13,Evidence[Kabul edilen ID],J13)=1,K13&lt;&gt;"",ISNUMBER(L13),L13&gt;0,M13&lt;&gt;"")),"Kanıt / test eksik",IF(NOT(AND(R13&lt;&gt;"",R13&lt;&gt;Q13,ISNUMBER(S13),S13&gt;0,S13&gt;=L13)),"Gözden geçirme eksik",IF(H13="Uygulanmaz","İnceleme tamam",IF(AND(OR(P13="Uygun",P13="Kısmen uygun",P13="Uygunsuz"),OR(N13="Uygun",N13="Kısmen uygun",N13="Uygunsuz"),OR(O13="Uygun",O13="Kısmen uygun",O13="Uygunsuz"),OR(P13&lt;&gt;"Uygun",AND(N13="Uygun",O13="Uygun")),OR(P13="Uygun",AND(T13&lt;&gt;"",COUNTIF(Findings[KayitliBulguID],T13)=1))),"İnceleme tamam","Sonuç / bulgu eksik"))))))))</x:f>
        <x:v>Kimlik / kapsam eksik</x:v>
      </x:c>
      <x:c r="W13" s="14" t="str">
        <x:f>IF(A13="","",IF(V13&lt;&gt;"İnceleme tamam","İncelenmedi",IF(H13="Uygulanmaz","Uygulanmaz",P13)))</x:f>
        <x:v>İncelenmedi</x:v>
      </x:c>
    </x:row>
    <x:row r="14" ht="35" customHeight="1">
      <x:c r="A14" s="12" t="str">
        <x:v>U-0009</x:v>
      </x:c>
      <x:c r="B14" s="12" t="str">
        <x:v>GNL-02-03</x:v>
      </x:c>
      <x:c r="C14" s="12" t="str">
        <x:v>MSP Genel</x:v>
      </x:c>
      <x:c r="D14" s="12" t="str"/>
      <x:c r="E14" s="12" t="str"/>
      <x:c r="F14" s="12" t="str"/>
      <x:c r="G14" s="12" t="str"/>
      <x:c r="H14" s="12" t="str">
        <x:v>Belirlenecek</x:v>
      </x:c>
      <x:c r="I14" s="12" t="str"/>
      <x:c r="J14" s="12" t="str"/>
      <x:c r="K14" s="12" t="str"/>
      <x:c r="L14" s="13" t="str"/>
      <x:c r="M14" s="12" t="str"/>
      <x:c r="N14" s="12" t="str">
        <x:v>İncelenmedi</x:v>
      </x:c>
      <x:c r="O14" s="12" t="str">
        <x:v>İncelenmedi</x:v>
      </x:c>
      <x:c r="P14" s="12" t="str">
        <x:v>İncelenmedi</x:v>
      </x:c>
      <x:c r="Q14" s="12" t="str"/>
      <x:c r="R14" s="12" t="str"/>
      <x:c r="S14" s="13" t="str"/>
      <x:c r="T14" s="12" t="str"/>
      <x:c r="U14" s="12" t="str"/>
      <x:c r="V14" s="14" t="str">
        <x:f>IF(A14="","",IF(NOT(AND(COUNTIF(Exec[TestID],A14)=1,COUNTIF(Controls[ID],B14)=1,COUNTIFS(Scope[KapsamID],D14,Scope[OnayliKapsamID],D14,Scope[Ürün],C14)=1,OR(COUNTIFS(Controls[ID],B14,Controls[Ürün],C14)=1,COUNTIFS(Controls[ID],B14,Controls[Ürün],"MSP Genel")=1),E14&lt;&gt;"",F14&lt;&gt;"",G14&lt;&gt;"",I14&lt;&gt;"",Q14&lt;&gt;"")),"Kimlik / kapsam eksik",IF(NOT(OR(H14="Uygulanır",H14="Uygulanmaz")),"Uygulanabilirlik eksik",IF(AND(H14="Uygulanır",P14="Kanıt yetersiz",U14&lt;&gt;""),IF(AND(R14&lt;&gt;"",R14&lt;&gt;Q14,ISNUMBER(S14),S14&gt;0,S14&gt;=L14),"İnceleme tamam","Gözden geçirme eksik"),IF(NOT(AND(J14&lt;&gt;"",COUNTIFS(Evidence[KanitID],J14,Evidence[Kabul edilen ID],J14)=1,K14&lt;&gt;"",ISNUMBER(L14),L14&gt;0,M14&lt;&gt;"")),"Kanıt / test eksik",IF(NOT(AND(R14&lt;&gt;"",R14&lt;&gt;Q14,ISNUMBER(S14),S14&gt;0,S14&gt;=L14)),"Gözden geçirme eksik",IF(H14="Uygulanmaz","İnceleme tamam",IF(AND(OR(P14="Uygun",P14="Kısmen uygun",P14="Uygunsuz"),OR(N14="Uygun",N14="Kısmen uygun",N14="Uygunsuz"),OR(O14="Uygun",O14="Kısmen uygun",O14="Uygunsuz"),OR(P14&lt;&gt;"Uygun",AND(N14="Uygun",O14="Uygun")),OR(P14="Uygun",AND(T14&lt;&gt;"",COUNTIF(Findings[KayitliBulguID],T14)=1))),"İnceleme tamam","Sonuç / bulgu eksik"))))))))</x:f>
        <x:v>Kimlik / kapsam eksik</x:v>
      </x:c>
      <x:c r="W14" s="14" t="str">
        <x:f>IF(A14="","",IF(V14&lt;&gt;"İnceleme tamam","İncelenmedi",IF(H14="Uygulanmaz","Uygulanmaz",P14)))</x:f>
        <x:v>İncelenmedi</x:v>
      </x:c>
    </x:row>
    <x:row r="15" ht="35" customHeight="1">
      <x:c r="A15" s="12" t="str">
        <x:v>U-0010</x:v>
      </x:c>
      <x:c r="B15" s="12" t="str">
        <x:v>GNL-02-04</x:v>
      </x:c>
      <x:c r="C15" s="12" t="str">
        <x:v>MSP Genel</x:v>
      </x:c>
      <x:c r="D15" s="12" t="str"/>
      <x:c r="E15" s="12" t="str"/>
      <x:c r="F15" s="12" t="str"/>
      <x:c r="G15" s="12" t="str"/>
      <x:c r="H15" s="12" t="str">
        <x:v>Belirlenecek</x:v>
      </x:c>
      <x:c r="I15" s="12" t="str"/>
      <x:c r="J15" s="12" t="str"/>
      <x:c r="K15" s="12" t="str"/>
      <x:c r="L15" s="13" t="str"/>
      <x:c r="M15" s="12" t="str"/>
      <x:c r="N15" s="12" t="str">
        <x:v>İncelenmedi</x:v>
      </x:c>
      <x:c r="O15" s="12" t="str">
        <x:v>İncelenmedi</x:v>
      </x:c>
      <x:c r="P15" s="12" t="str">
        <x:v>İncelenmedi</x:v>
      </x:c>
      <x:c r="Q15" s="12" t="str"/>
      <x:c r="R15" s="12" t="str"/>
      <x:c r="S15" s="13" t="str"/>
      <x:c r="T15" s="12" t="str"/>
      <x:c r="U15" s="12" t="str"/>
      <x:c r="V15" s="14" t="str">
        <x:f>IF(A15="","",IF(NOT(AND(COUNTIF(Exec[TestID],A15)=1,COUNTIF(Controls[ID],B15)=1,COUNTIFS(Scope[KapsamID],D15,Scope[OnayliKapsamID],D15,Scope[Ürün],C15)=1,OR(COUNTIFS(Controls[ID],B15,Controls[Ürün],C15)=1,COUNTIFS(Controls[ID],B15,Controls[Ürün],"MSP Genel")=1),E15&lt;&gt;"",F15&lt;&gt;"",G15&lt;&gt;"",I15&lt;&gt;"",Q15&lt;&gt;"")),"Kimlik / kapsam eksik",IF(NOT(OR(H15="Uygulanır",H15="Uygulanmaz")),"Uygulanabilirlik eksik",IF(AND(H15="Uygulanır",P15="Kanıt yetersiz",U15&lt;&gt;""),IF(AND(R15&lt;&gt;"",R15&lt;&gt;Q15,ISNUMBER(S15),S15&gt;0,S15&gt;=L15),"İnceleme tamam","Gözden geçirme eksik"),IF(NOT(AND(J15&lt;&gt;"",COUNTIFS(Evidence[KanitID],J15,Evidence[Kabul edilen ID],J15)=1,K15&lt;&gt;"",ISNUMBER(L15),L15&gt;0,M15&lt;&gt;"")),"Kanıt / test eksik",IF(NOT(AND(R15&lt;&gt;"",R15&lt;&gt;Q15,ISNUMBER(S15),S15&gt;0,S15&gt;=L15)),"Gözden geçirme eksik",IF(H15="Uygulanmaz","İnceleme tamam",IF(AND(OR(P15="Uygun",P15="Kısmen uygun",P15="Uygunsuz"),OR(N15="Uygun",N15="Kısmen uygun",N15="Uygunsuz"),OR(O15="Uygun",O15="Kısmen uygun",O15="Uygunsuz"),OR(P15&lt;&gt;"Uygun",AND(N15="Uygun",O15="Uygun")),OR(P15="Uygun",AND(T15&lt;&gt;"",COUNTIF(Findings[KayitliBulguID],T15)=1))),"İnceleme tamam","Sonuç / bulgu eksik"))))))))</x:f>
        <x:v>Kimlik / kapsam eksik</x:v>
      </x:c>
      <x:c r="W15" s="14" t="str">
        <x:f>IF(A15="","",IF(V15&lt;&gt;"İnceleme tamam","İncelenmedi",IF(H15="Uygulanmaz","Uygulanmaz",P15)))</x:f>
        <x:v>İncelenmedi</x:v>
      </x:c>
    </x:row>
    <x:row r="16" ht="35" customHeight="1">
      <x:c r="A16" s="12" t="str">
        <x:v>U-0011</x:v>
      </x:c>
      <x:c r="B16" s="12" t="str">
        <x:v>GNL-03-01</x:v>
      </x:c>
      <x:c r="C16" s="12" t="str">
        <x:v>MSP Genel</x:v>
      </x:c>
      <x:c r="D16" s="12" t="str"/>
      <x:c r="E16" s="12" t="str"/>
      <x:c r="F16" s="12" t="str"/>
      <x:c r="G16" s="12" t="str"/>
      <x:c r="H16" s="12" t="str">
        <x:v>Belirlenecek</x:v>
      </x:c>
      <x:c r="I16" s="12" t="str"/>
      <x:c r="J16" s="12" t="str"/>
      <x:c r="K16" s="12" t="str"/>
      <x:c r="L16" s="13" t="str"/>
      <x:c r="M16" s="12" t="str"/>
      <x:c r="N16" s="12" t="str">
        <x:v>İncelenmedi</x:v>
      </x:c>
      <x:c r="O16" s="12" t="str">
        <x:v>İncelenmedi</x:v>
      </x:c>
      <x:c r="P16" s="12" t="str">
        <x:v>İncelenmedi</x:v>
      </x:c>
      <x:c r="Q16" s="12" t="str"/>
      <x:c r="R16" s="12" t="str"/>
      <x:c r="S16" s="13" t="str"/>
      <x:c r="T16" s="12" t="str"/>
      <x:c r="U16" s="12" t="str"/>
      <x:c r="V16" s="14" t="str">
        <x:f>IF(A16="","",IF(NOT(AND(COUNTIF(Exec[TestID],A16)=1,COUNTIF(Controls[ID],B16)=1,COUNTIFS(Scope[KapsamID],D16,Scope[OnayliKapsamID],D16,Scope[Ürün],C16)=1,OR(COUNTIFS(Controls[ID],B16,Controls[Ürün],C16)=1,COUNTIFS(Controls[ID],B16,Controls[Ürün],"MSP Genel")=1),E16&lt;&gt;"",F16&lt;&gt;"",G16&lt;&gt;"",I16&lt;&gt;"",Q16&lt;&gt;"")),"Kimlik / kapsam eksik",IF(NOT(OR(H16="Uygulanır",H16="Uygulanmaz")),"Uygulanabilirlik eksik",IF(AND(H16="Uygulanır",P16="Kanıt yetersiz",U16&lt;&gt;""),IF(AND(R16&lt;&gt;"",R16&lt;&gt;Q16,ISNUMBER(S16),S16&gt;0,S16&gt;=L16),"İnceleme tamam","Gözden geçirme eksik"),IF(NOT(AND(J16&lt;&gt;"",COUNTIFS(Evidence[KanitID],J16,Evidence[Kabul edilen ID],J16)=1,K16&lt;&gt;"",ISNUMBER(L16),L16&gt;0,M16&lt;&gt;"")),"Kanıt / test eksik",IF(NOT(AND(R16&lt;&gt;"",R16&lt;&gt;Q16,ISNUMBER(S16),S16&gt;0,S16&gt;=L16)),"Gözden geçirme eksik",IF(H16="Uygulanmaz","İnceleme tamam",IF(AND(OR(P16="Uygun",P16="Kısmen uygun",P16="Uygunsuz"),OR(N16="Uygun",N16="Kısmen uygun",N16="Uygunsuz"),OR(O16="Uygun",O16="Kısmen uygun",O16="Uygunsuz"),OR(P16&lt;&gt;"Uygun",AND(N16="Uygun",O16="Uygun")),OR(P16="Uygun",AND(T16&lt;&gt;"",COUNTIF(Findings[KayitliBulguID],T16)=1))),"İnceleme tamam","Sonuç / bulgu eksik"))))))))</x:f>
        <x:v>Kimlik / kapsam eksik</x:v>
      </x:c>
      <x:c r="W16" s="14" t="str">
        <x:f>IF(A16="","",IF(V16&lt;&gt;"İnceleme tamam","İncelenmedi",IF(H16="Uygulanmaz","Uygulanmaz",P16)))</x:f>
        <x:v>İncelenmedi</x:v>
      </x:c>
    </x:row>
    <x:row r="17" ht="35" customHeight="1">
      <x:c r="A17" s="12" t="str">
        <x:v>U-0012</x:v>
      </x:c>
      <x:c r="B17" s="12" t="str">
        <x:v>GNL-03-02</x:v>
      </x:c>
      <x:c r="C17" s="12" t="str">
        <x:v>MSP Genel</x:v>
      </x:c>
      <x:c r="D17" s="12" t="str"/>
      <x:c r="E17" s="12" t="str"/>
      <x:c r="F17" s="12" t="str"/>
      <x:c r="G17" s="12" t="str"/>
      <x:c r="H17" s="12" t="str">
        <x:v>Belirlenecek</x:v>
      </x:c>
      <x:c r="I17" s="12" t="str"/>
      <x:c r="J17" s="12" t="str"/>
      <x:c r="K17" s="12" t="str"/>
      <x:c r="L17" s="13" t="str"/>
      <x:c r="M17" s="12" t="str"/>
      <x:c r="N17" s="12" t="str">
        <x:v>İncelenmedi</x:v>
      </x:c>
      <x:c r="O17" s="12" t="str">
        <x:v>İncelenmedi</x:v>
      </x:c>
      <x:c r="P17" s="12" t="str">
        <x:v>İncelenmedi</x:v>
      </x:c>
      <x:c r="Q17" s="12" t="str"/>
      <x:c r="R17" s="12" t="str"/>
      <x:c r="S17" s="13" t="str"/>
      <x:c r="T17" s="12" t="str"/>
      <x:c r="U17" s="12" t="str"/>
      <x:c r="V17" s="14" t="str">
        <x:f>IF(A17="","",IF(NOT(AND(COUNTIF(Exec[TestID],A17)=1,COUNTIF(Controls[ID],B17)=1,COUNTIFS(Scope[KapsamID],D17,Scope[OnayliKapsamID],D17,Scope[Ürün],C17)=1,OR(COUNTIFS(Controls[ID],B17,Controls[Ürün],C17)=1,COUNTIFS(Controls[ID],B17,Controls[Ürün],"MSP Genel")=1),E17&lt;&gt;"",F17&lt;&gt;"",G17&lt;&gt;"",I17&lt;&gt;"",Q17&lt;&gt;"")),"Kimlik / kapsam eksik",IF(NOT(OR(H17="Uygulanır",H17="Uygulanmaz")),"Uygulanabilirlik eksik",IF(AND(H17="Uygulanır",P17="Kanıt yetersiz",U17&lt;&gt;""),IF(AND(R17&lt;&gt;"",R17&lt;&gt;Q17,ISNUMBER(S17),S17&gt;0,S17&gt;=L17),"İnceleme tamam","Gözden geçirme eksik"),IF(NOT(AND(J17&lt;&gt;"",COUNTIFS(Evidence[KanitID],J17,Evidence[Kabul edilen ID],J17)=1,K17&lt;&gt;"",ISNUMBER(L17),L17&gt;0,M17&lt;&gt;"")),"Kanıt / test eksik",IF(NOT(AND(R17&lt;&gt;"",R17&lt;&gt;Q17,ISNUMBER(S17),S17&gt;0,S17&gt;=L17)),"Gözden geçirme eksik",IF(H17="Uygulanmaz","İnceleme tamam",IF(AND(OR(P17="Uygun",P17="Kısmen uygun",P17="Uygunsuz"),OR(N17="Uygun",N17="Kısmen uygun",N17="Uygunsuz"),OR(O17="Uygun",O17="Kısmen uygun",O17="Uygunsuz"),OR(P17&lt;&gt;"Uygun",AND(N17="Uygun",O17="Uygun")),OR(P17="Uygun",AND(T17&lt;&gt;"",COUNTIF(Findings[KayitliBulguID],T17)=1))),"İnceleme tamam","Sonuç / bulgu eksik"))))))))</x:f>
        <x:v>Kimlik / kapsam eksik</x:v>
      </x:c>
      <x:c r="W17" s="14" t="str">
        <x:f>IF(A17="","",IF(V17&lt;&gt;"İnceleme tamam","İncelenmedi",IF(H17="Uygulanmaz","Uygulanmaz",P17)))</x:f>
        <x:v>İncelenmedi</x:v>
      </x:c>
    </x:row>
    <x:row r="18" ht="35" customHeight="1">
      <x:c r="A18" s="12" t="str">
        <x:v>U-0013</x:v>
      </x:c>
      <x:c r="B18" s="12" t="str">
        <x:v>GNL-03-04</x:v>
      </x:c>
      <x:c r="C18" s="12" t="str">
        <x:v>MSP Genel</x:v>
      </x:c>
      <x:c r="D18" s="12" t="str"/>
      <x:c r="E18" s="12" t="str"/>
      <x:c r="F18" s="12" t="str"/>
      <x:c r="G18" s="12" t="str"/>
      <x:c r="H18" s="12" t="str">
        <x:v>Belirlenecek</x:v>
      </x:c>
      <x:c r="I18" s="12" t="str"/>
      <x:c r="J18" s="12" t="str"/>
      <x:c r="K18" s="12" t="str"/>
      <x:c r="L18" s="13" t="str"/>
      <x:c r="M18" s="12" t="str"/>
      <x:c r="N18" s="12" t="str">
        <x:v>İncelenmedi</x:v>
      </x:c>
      <x:c r="O18" s="12" t="str">
        <x:v>İncelenmedi</x:v>
      </x:c>
      <x:c r="P18" s="12" t="str">
        <x:v>İncelenmedi</x:v>
      </x:c>
      <x:c r="Q18" s="12" t="str"/>
      <x:c r="R18" s="12" t="str"/>
      <x:c r="S18" s="13" t="str"/>
      <x:c r="T18" s="12" t="str"/>
      <x:c r="U18" s="12" t="str"/>
      <x:c r="V18" s="14" t="str">
        <x:f>IF(A18="","",IF(NOT(AND(COUNTIF(Exec[TestID],A18)=1,COUNTIF(Controls[ID],B18)=1,COUNTIFS(Scope[KapsamID],D18,Scope[OnayliKapsamID],D18,Scope[Ürün],C18)=1,OR(COUNTIFS(Controls[ID],B18,Controls[Ürün],C18)=1,COUNTIFS(Controls[ID],B18,Controls[Ürün],"MSP Genel")=1),E18&lt;&gt;"",F18&lt;&gt;"",G18&lt;&gt;"",I18&lt;&gt;"",Q18&lt;&gt;"")),"Kimlik / kapsam eksik",IF(NOT(OR(H18="Uygulanır",H18="Uygulanmaz")),"Uygulanabilirlik eksik",IF(AND(H18="Uygulanır",P18="Kanıt yetersiz",U18&lt;&gt;""),IF(AND(R18&lt;&gt;"",R18&lt;&gt;Q18,ISNUMBER(S18),S18&gt;0,S18&gt;=L18),"İnceleme tamam","Gözden geçirme eksik"),IF(NOT(AND(J18&lt;&gt;"",COUNTIFS(Evidence[KanitID],J18,Evidence[Kabul edilen ID],J18)=1,K18&lt;&gt;"",ISNUMBER(L18),L18&gt;0,M18&lt;&gt;"")),"Kanıt / test eksik",IF(NOT(AND(R18&lt;&gt;"",R18&lt;&gt;Q18,ISNUMBER(S18),S18&gt;0,S18&gt;=L18)),"Gözden geçirme eksik",IF(H18="Uygulanmaz","İnceleme tamam",IF(AND(OR(P18="Uygun",P18="Kısmen uygun",P18="Uygunsuz"),OR(N18="Uygun",N18="Kısmen uygun",N18="Uygunsuz"),OR(O18="Uygun",O18="Kısmen uygun",O18="Uygunsuz"),OR(P18&lt;&gt;"Uygun",AND(N18="Uygun",O18="Uygun")),OR(P18="Uygun",AND(T18&lt;&gt;"",COUNTIF(Findings[KayitliBulguID],T18)=1))),"İnceleme tamam","Sonuç / bulgu eksik"))))))))</x:f>
        <x:v>Kimlik / kapsam eksik</x:v>
      </x:c>
      <x:c r="W18" s="14" t="str">
        <x:f>IF(A18="","",IF(V18&lt;&gt;"İnceleme tamam","İncelenmedi",IF(H18="Uygulanmaz","Uygulanmaz",P18)))</x:f>
        <x:v>İncelenmedi</x:v>
      </x:c>
    </x:row>
    <x:row r="19" ht="35" customHeight="1">
      <x:c r="A19" s="12" t="str">
        <x:v>U-0014</x:v>
      </x:c>
      <x:c r="B19" s="12" t="str">
        <x:v>GNL-04-01</x:v>
      </x:c>
      <x:c r="C19" s="12" t="str">
        <x:v>MSP Genel</x:v>
      </x:c>
      <x:c r="D19" s="12" t="str"/>
      <x:c r="E19" s="12" t="str"/>
      <x:c r="F19" s="12" t="str"/>
      <x:c r="G19" s="12" t="str"/>
      <x:c r="H19" s="12" t="str">
        <x:v>Belirlenecek</x:v>
      </x:c>
      <x:c r="I19" s="12" t="str"/>
      <x:c r="J19" s="12" t="str"/>
      <x:c r="K19" s="12" t="str"/>
      <x:c r="L19" s="13" t="str"/>
      <x:c r="M19" s="12" t="str"/>
      <x:c r="N19" s="12" t="str">
        <x:v>İncelenmedi</x:v>
      </x:c>
      <x:c r="O19" s="12" t="str">
        <x:v>İncelenmedi</x:v>
      </x:c>
      <x:c r="P19" s="12" t="str">
        <x:v>İncelenmedi</x:v>
      </x:c>
      <x:c r="Q19" s="12" t="str"/>
      <x:c r="R19" s="12" t="str"/>
      <x:c r="S19" s="13" t="str"/>
      <x:c r="T19" s="12" t="str"/>
      <x:c r="U19" s="12" t="str"/>
      <x:c r="V19" s="14" t="str">
        <x:f>IF(A19="","",IF(NOT(AND(COUNTIF(Exec[TestID],A19)=1,COUNTIF(Controls[ID],B19)=1,COUNTIFS(Scope[KapsamID],D19,Scope[OnayliKapsamID],D19,Scope[Ürün],C19)=1,OR(COUNTIFS(Controls[ID],B19,Controls[Ürün],C19)=1,COUNTIFS(Controls[ID],B19,Controls[Ürün],"MSP Genel")=1),E19&lt;&gt;"",F19&lt;&gt;"",G19&lt;&gt;"",I19&lt;&gt;"",Q19&lt;&gt;"")),"Kimlik / kapsam eksik",IF(NOT(OR(H19="Uygulanır",H19="Uygulanmaz")),"Uygulanabilirlik eksik",IF(AND(H19="Uygulanır",P19="Kanıt yetersiz",U19&lt;&gt;""),IF(AND(R19&lt;&gt;"",R19&lt;&gt;Q19,ISNUMBER(S19),S19&gt;0,S19&gt;=L19),"İnceleme tamam","Gözden geçirme eksik"),IF(NOT(AND(J19&lt;&gt;"",COUNTIFS(Evidence[KanitID],J19,Evidence[Kabul edilen ID],J19)=1,K19&lt;&gt;"",ISNUMBER(L19),L19&gt;0,M19&lt;&gt;"")),"Kanıt / test eksik",IF(NOT(AND(R19&lt;&gt;"",R19&lt;&gt;Q19,ISNUMBER(S19),S19&gt;0,S19&gt;=L19)),"Gözden geçirme eksik",IF(H19="Uygulanmaz","İnceleme tamam",IF(AND(OR(P19="Uygun",P19="Kısmen uygun",P19="Uygunsuz"),OR(N19="Uygun",N19="Kısmen uygun",N19="Uygunsuz"),OR(O19="Uygun",O19="Kısmen uygun",O19="Uygunsuz"),OR(P19&lt;&gt;"Uygun",AND(N19="Uygun",O19="Uygun")),OR(P19="Uygun",AND(T19&lt;&gt;"",COUNTIF(Findings[KayitliBulguID],T19)=1))),"İnceleme tamam","Sonuç / bulgu eksik"))))))))</x:f>
        <x:v>Kimlik / kapsam eksik</x:v>
      </x:c>
      <x:c r="W19" s="14" t="str">
        <x:f>IF(A19="","",IF(V19&lt;&gt;"İnceleme tamam","İncelenmedi",IF(H19="Uygulanmaz","Uygulanmaz",P19)))</x:f>
        <x:v>İncelenmedi</x:v>
      </x:c>
    </x:row>
    <x:row r="20" ht="35" customHeight="1">
      <x:c r="A20" s="12" t="str">
        <x:v>U-0015</x:v>
      </x:c>
      <x:c r="B20" s="12" t="str">
        <x:v>GNL-04-02</x:v>
      </x:c>
      <x:c r="C20" s="12" t="str">
        <x:v>MSP Genel</x:v>
      </x:c>
      <x:c r="D20" s="12" t="str"/>
      <x:c r="E20" s="12" t="str"/>
      <x:c r="F20" s="12" t="str"/>
      <x:c r="G20" s="12" t="str"/>
      <x:c r="H20" s="12" t="str">
        <x:v>Belirlenecek</x:v>
      </x:c>
      <x:c r="I20" s="12" t="str"/>
      <x:c r="J20" s="12" t="str"/>
      <x:c r="K20" s="12" t="str"/>
      <x:c r="L20" s="13" t="str"/>
      <x:c r="M20" s="12" t="str"/>
      <x:c r="N20" s="12" t="str">
        <x:v>İncelenmedi</x:v>
      </x:c>
      <x:c r="O20" s="12" t="str">
        <x:v>İncelenmedi</x:v>
      </x:c>
      <x:c r="P20" s="12" t="str">
        <x:v>İncelenmedi</x:v>
      </x:c>
      <x:c r="Q20" s="12" t="str"/>
      <x:c r="R20" s="12" t="str"/>
      <x:c r="S20" s="13" t="str"/>
      <x:c r="T20" s="12" t="str"/>
      <x:c r="U20" s="12" t="str"/>
      <x:c r="V20" s="14" t="str">
        <x:f>IF(A20="","",IF(NOT(AND(COUNTIF(Exec[TestID],A20)=1,COUNTIF(Controls[ID],B20)=1,COUNTIFS(Scope[KapsamID],D20,Scope[OnayliKapsamID],D20,Scope[Ürün],C20)=1,OR(COUNTIFS(Controls[ID],B20,Controls[Ürün],C20)=1,COUNTIFS(Controls[ID],B20,Controls[Ürün],"MSP Genel")=1),E20&lt;&gt;"",F20&lt;&gt;"",G20&lt;&gt;"",I20&lt;&gt;"",Q20&lt;&gt;"")),"Kimlik / kapsam eksik",IF(NOT(OR(H20="Uygulanır",H20="Uygulanmaz")),"Uygulanabilirlik eksik",IF(AND(H20="Uygulanır",P20="Kanıt yetersiz",U20&lt;&gt;""),IF(AND(R20&lt;&gt;"",R20&lt;&gt;Q20,ISNUMBER(S20),S20&gt;0,S20&gt;=L20),"İnceleme tamam","Gözden geçirme eksik"),IF(NOT(AND(J20&lt;&gt;"",COUNTIFS(Evidence[KanitID],J20,Evidence[Kabul edilen ID],J20)=1,K20&lt;&gt;"",ISNUMBER(L20),L20&gt;0,M20&lt;&gt;"")),"Kanıt / test eksik",IF(NOT(AND(R20&lt;&gt;"",R20&lt;&gt;Q20,ISNUMBER(S20),S20&gt;0,S20&gt;=L20)),"Gözden geçirme eksik",IF(H20="Uygulanmaz","İnceleme tamam",IF(AND(OR(P20="Uygun",P20="Kısmen uygun",P20="Uygunsuz"),OR(N20="Uygun",N20="Kısmen uygun",N20="Uygunsuz"),OR(O20="Uygun",O20="Kısmen uygun",O20="Uygunsuz"),OR(P20&lt;&gt;"Uygun",AND(N20="Uygun",O20="Uygun")),OR(P20="Uygun",AND(T20&lt;&gt;"",COUNTIF(Findings[KayitliBulguID],T20)=1))),"İnceleme tamam","Sonuç / bulgu eksik"))))))))</x:f>
        <x:v>Kimlik / kapsam eksik</x:v>
      </x:c>
      <x:c r="W20" s="14" t="str">
        <x:f>IF(A20="","",IF(V20&lt;&gt;"İnceleme tamam","İncelenmedi",IF(H20="Uygulanmaz","Uygulanmaz",P20)))</x:f>
        <x:v>İncelenmedi</x:v>
      </x:c>
    </x:row>
    <x:row r="21" ht="35" customHeight="1">
      <x:c r="A21" s="12" t="str">
        <x:v>U-0016</x:v>
      </x:c>
      <x:c r="B21" s="12" t="str">
        <x:v>GNL-04-03</x:v>
      </x:c>
      <x:c r="C21" s="12" t="str">
        <x:v>MSP Genel</x:v>
      </x:c>
      <x:c r="D21" s="12" t="str"/>
      <x:c r="E21" s="12" t="str"/>
      <x:c r="F21" s="12" t="str"/>
      <x:c r="G21" s="12" t="str"/>
      <x:c r="H21" s="12" t="str">
        <x:v>Belirlenecek</x:v>
      </x:c>
      <x:c r="I21" s="12" t="str"/>
      <x:c r="J21" s="12" t="str"/>
      <x:c r="K21" s="12" t="str"/>
      <x:c r="L21" s="13" t="str"/>
      <x:c r="M21" s="12" t="str"/>
      <x:c r="N21" s="12" t="str">
        <x:v>İncelenmedi</x:v>
      </x:c>
      <x:c r="O21" s="12" t="str">
        <x:v>İncelenmedi</x:v>
      </x:c>
      <x:c r="P21" s="12" t="str">
        <x:v>İncelenmedi</x:v>
      </x:c>
      <x:c r="Q21" s="12" t="str"/>
      <x:c r="R21" s="12" t="str"/>
      <x:c r="S21" s="13" t="str"/>
      <x:c r="T21" s="12" t="str"/>
      <x:c r="U21" s="12" t="str"/>
      <x:c r="V21" s="14" t="str">
        <x:f>IF(A21="","",IF(NOT(AND(COUNTIF(Exec[TestID],A21)=1,COUNTIF(Controls[ID],B21)=1,COUNTIFS(Scope[KapsamID],D21,Scope[OnayliKapsamID],D21,Scope[Ürün],C21)=1,OR(COUNTIFS(Controls[ID],B21,Controls[Ürün],C21)=1,COUNTIFS(Controls[ID],B21,Controls[Ürün],"MSP Genel")=1),E21&lt;&gt;"",F21&lt;&gt;"",G21&lt;&gt;"",I21&lt;&gt;"",Q21&lt;&gt;"")),"Kimlik / kapsam eksik",IF(NOT(OR(H21="Uygulanır",H21="Uygulanmaz")),"Uygulanabilirlik eksik",IF(AND(H21="Uygulanır",P21="Kanıt yetersiz",U21&lt;&gt;""),IF(AND(R21&lt;&gt;"",R21&lt;&gt;Q21,ISNUMBER(S21),S21&gt;0,S21&gt;=L21),"İnceleme tamam","Gözden geçirme eksik"),IF(NOT(AND(J21&lt;&gt;"",COUNTIFS(Evidence[KanitID],J21,Evidence[Kabul edilen ID],J21)=1,K21&lt;&gt;"",ISNUMBER(L21),L21&gt;0,M21&lt;&gt;"")),"Kanıt / test eksik",IF(NOT(AND(R21&lt;&gt;"",R21&lt;&gt;Q21,ISNUMBER(S21),S21&gt;0,S21&gt;=L21)),"Gözden geçirme eksik",IF(H21="Uygulanmaz","İnceleme tamam",IF(AND(OR(P21="Uygun",P21="Kısmen uygun",P21="Uygunsuz"),OR(N21="Uygun",N21="Kısmen uygun",N21="Uygunsuz"),OR(O21="Uygun",O21="Kısmen uygun",O21="Uygunsuz"),OR(P21&lt;&gt;"Uygun",AND(N21="Uygun",O21="Uygun")),OR(P21="Uygun",AND(T21&lt;&gt;"",COUNTIF(Findings[KayitliBulguID],T21)=1))),"İnceleme tamam","Sonuç / bulgu eksik"))))))))</x:f>
        <x:v>Kimlik / kapsam eksik</x:v>
      </x:c>
      <x:c r="W21" s="14" t="str">
        <x:f>IF(A21="","",IF(V21&lt;&gt;"İnceleme tamam","İncelenmedi",IF(H21="Uygulanmaz","Uygulanmaz",P21)))</x:f>
        <x:v>İncelenmedi</x:v>
      </x:c>
    </x:row>
    <x:row r="22" ht="35" customHeight="1">
      <x:c r="A22" s="12" t="str">
        <x:v>U-0017</x:v>
      </x:c>
      <x:c r="B22" s="12" t="str">
        <x:v>GNL-04-04</x:v>
      </x:c>
      <x:c r="C22" s="12" t="str">
        <x:v>MSP Genel</x:v>
      </x:c>
      <x:c r="D22" s="12" t="str"/>
      <x:c r="E22" s="12" t="str"/>
      <x:c r="F22" s="12" t="str"/>
      <x:c r="G22" s="12" t="str"/>
      <x:c r="H22" s="12" t="str">
        <x:v>Belirlenecek</x:v>
      </x:c>
      <x:c r="I22" s="12" t="str"/>
      <x:c r="J22" s="12" t="str"/>
      <x:c r="K22" s="12" t="str"/>
      <x:c r="L22" s="13" t="str"/>
      <x:c r="M22" s="12" t="str"/>
      <x:c r="N22" s="12" t="str">
        <x:v>İncelenmedi</x:v>
      </x:c>
      <x:c r="O22" s="12" t="str">
        <x:v>İncelenmedi</x:v>
      </x:c>
      <x:c r="P22" s="12" t="str">
        <x:v>İncelenmedi</x:v>
      </x:c>
      <x:c r="Q22" s="12" t="str"/>
      <x:c r="R22" s="12" t="str"/>
      <x:c r="S22" s="13" t="str"/>
      <x:c r="T22" s="12" t="str"/>
      <x:c r="U22" s="12" t="str"/>
      <x:c r="V22" s="14" t="str">
        <x:f>IF(A22="","",IF(NOT(AND(COUNTIF(Exec[TestID],A22)=1,COUNTIF(Controls[ID],B22)=1,COUNTIFS(Scope[KapsamID],D22,Scope[OnayliKapsamID],D22,Scope[Ürün],C22)=1,OR(COUNTIFS(Controls[ID],B22,Controls[Ürün],C22)=1,COUNTIFS(Controls[ID],B22,Controls[Ürün],"MSP Genel")=1),E22&lt;&gt;"",F22&lt;&gt;"",G22&lt;&gt;"",I22&lt;&gt;"",Q22&lt;&gt;"")),"Kimlik / kapsam eksik",IF(NOT(OR(H22="Uygulanır",H22="Uygulanmaz")),"Uygulanabilirlik eksik",IF(AND(H22="Uygulanır",P22="Kanıt yetersiz",U22&lt;&gt;""),IF(AND(R22&lt;&gt;"",R22&lt;&gt;Q22,ISNUMBER(S22),S22&gt;0,S22&gt;=L22),"İnceleme tamam","Gözden geçirme eksik"),IF(NOT(AND(J22&lt;&gt;"",COUNTIFS(Evidence[KanitID],J22,Evidence[Kabul edilen ID],J22)=1,K22&lt;&gt;"",ISNUMBER(L22),L22&gt;0,M22&lt;&gt;"")),"Kanıt / test eksik",IF(NOT(AND(R22&lt;&gt;"",R22&lt;&gt;Q22,ISNUMBER(S22),S22&gt;0,S22&gt;=L22)),"Gözden geçirme eksik",IF(H22="Uygulanmaz","İnceleme tamam",IF(AND(OR(P22="Uygun",P22="Kısmen uygun",P22="Uygunsuz"),OR(N22="Uygun",N22="Kısmen uygun",N22="Uygunsuz"),OR(O22="Uygun",O22="Kısmen uygun",O22="Uygunsuz"),OR(P22&lt;&gt;"Uygun",AND(N22="Uygun",O22="Uygun")),OR(P22="Uygun",AND(T22&lt;&gt;"",COUNTIF(Findings[KayitliBulguID],T22)=1))),"İnceleme tamam","Sonuç / bulgu eksik"))))))))</x:f>
        <x:v>Kimlik / kapsam eksik</x:v>
      </x:c>
      <x:c r="W22" s="14" t="str">
        <x:f>IF(A22="","",IF(V22&lt;&gt;"İnceleme tamam","İncelenmedi",IF(H22="Uygulanmaz","Uygulanmaz",P22)))</x:f>
        <x:v>İncelenmedi</x:v>
      </x:c>
    </x:row>
    <x:row r="23" ht="35" customHeight="1">
      <x:c r="A23" s="12" t="str">
        <x:v>U-0018</x:v>
      </x:c>
      <x:c r="B23" s="12" t="str">
        <x:v>GNL-04-05</x:v>
      </x:c>
      <x:c r="C23" s="12" t="str">
        <x:v>MSP Genel</x:v>
      </x:c>
      <x:c r="D23" s="12" t="str"/>
      <x:c r="E23" s="12" t="str"/>
      <x:c r="F23" s="12" t="str"/>
      <x:c r="G23" s="12" t="str"/>
      <x:c r="H23" s="12" t="str">
        <x:v>Belirlenecek</x:v>
      </x:c>
      <x:c r="I23" s="12" t="str"/>
      <x:c r="J23" s="12" t="str"/>
      <x:c r="K23" s="12" t="str"/>
      <x:c r="L23" s="13" t="str"/>
      <x:c r="M23" s="12" t="str"/>
      <x:c r="N23" s="12" t="str">
        <x:v>İncelenmedi</x:v>
      </x:c>
      <x:c r="O23" s="12" t="str">
        <x:v>İncelenmedi</x:v>
      </x:c>
      <x:c r="P23" s="12" t="str">
        <x:v>İncelenmedi</x:v>
      </x:c>
      <x:c r="Q23" s="12" t="str"/>
      <x:c r="R23" s="12" t="str"/>
      <x:c r="S23" s="13" t="str"/>
      <x:c r="T23" s="12" t="str"/>
      <x:c r="U23" s="12" t="str"/>
      <x:c r="V23" s="14" t="str">
        <x:f>IF(A23="","",IF(NOT(AND(COUNTIF(Exec[TestID],A23)=1,COUNTIF(Controls[ID],B23)=1,COUNTIFS(Scope[KapsamID],D23,Scope[OnayliKapsamID],D23,Scope[Ürün],C23)=1,OR(COUNTIFS(Controls[ID],B23,Controls[Ürün],C23)=1,COUNTIFS(Controls[ID],B23,Controls[Ürün],"MSP Genel")=1),E23&lt;&gt;"",F23&lt;&gt;"",G23&lt;&gt;"",I23&lt;&gt;"",Q23&lt;&gt;"")),"Kimlik / kapsam eksik",IF(NOT(OR(H23="Uygulanır",H23="Uygulanmaz")),"Uygulanabilirlik eksik",IF(AND(H23="Uygulanır",P23="Kanıt yetersiz",U23&lt;&gt;""),IF(AND(R23&lt;&gt;"",R23&lt;&gt;Q23,ISNUMBER(S23),S23&gt;0,S23&gt;=L23),"İnceleme tamam","Gözden geçirme eksik"),IF(NOT(AND(J23&lt;&gt;"",COUNTIFS(Evidence[KanitID],J23,Evidence[Kabul edilen ID],J23)=1,K23&lt;&gt;"",ISNUMBER(L23),L23&gt;0,M23&lt;&gt;"")),"Kanıt / test eksik",IF(NOT(AND(R23&lt;&gt;"",R23&lt;&gt;Q23,ISNUMBER(S23),S23&gt;0,S23&gt;=L23)),"Gözden geçirme eksik",IF(H23="Uygulanmaz","İnceleme tamam",IF(AND(OR(P23="Uygun",P23="Kısmen uygun",P23="Uygunsuz"),OR(N23="Uygun",N23="Kısmen uygun",N23="Uygunsuz"),OR(O23="Uygun",O23="Kısmen uygun",O23="Uygunsuz"),OR(P23&lt;&gt;"Uygun",AND(N23="Uygun",O23="Uygun")),OR(P23="Uygun",AND(T23&lt;&gt;"",COUNTIF(Findings[KayitliBulguID],T23)=1))),"İnceleme tamam","Sonuç / bulgu eksik"))))))))</x:f>
        <x:v>Kimlik / kapsam eksik</x:v>
      </x:c>
      <x:c r="W23" s="14" t="str">
        <x:f>IF(A23="","",IF(V23&lt;&gt;"İnceleme tamam","İncelenmedi",IF(H23="Uygulanmaz","Uygulanmaz",P23)))</x:f>
        <x:v>İncelenmedi</x:v>
      </x:c>
    </x:row>
    <x:row r="24" ht="35" customHeight="1">
      <x:c r="A24" s="12" t="str">
        <x:v>U-0019</x:v>
      </x:c>
      <x:c r="B24" s="12" t="str">
        <x:v>GNL-05-01</x:v>
      </x:c>
      <x:c r="C24" s="12" t="str">
        <x:v>MSP Genel</x:v>
      </x:c>
      <x:c r="D24" s="12" t="str"/>
      <x:c r="E24" s="12" t="str"/>
      <x:c r="F24" s="12" t="str"/>
      <x:c r="G24" s="12" t="str"/>
      <x:c r="H24" s="12" t="str">
        <x:v>Belirlenecek</x:v>
      </x:c>
      <x:c r="I24" s="12" t="str"/>
      <x:c r="J24" s="12" t="str"/>
      <x:c r="K24" s="12" t="str"/>
      <x:c r="L24" s="13" t="str"/>
      <x:c r="M24" s="12" t="str"/>
      <x:c r="N24" s="12" t="str">
        <x:v>İncelenmedi</x:v>
      </x:c>
      <x:c r="O24" s="12" t="str">
        <x:v>İncelenmedi</x:v>
      </x:c>
      <x:c r="P24" s="12" t="str">
        <x:v>İncelenmedi</x:v>
      </x:c>
      <x:c r="Q24" s="12" t="str"/>
      <x:c r="R24" s="12" t="str"/>
      <x:c r="S24" s="13" t="str"/>
      <x:c r="T24" s="12" t="str"/>
      <x:c r="U24" s="12" t="str"/>
      <x:c r="V24" s="14" t="str">
        <x:f>IF(A24="","",IF(NOT(AND(COUNTIF(Exec[TestID],A24)=1,COUNTIF(Controls[ID],B24)=1,COUNTIFS(Scope[KapsamID],D24,Scope[OnayliKapsamID],D24,Scope[Ürün],C24)=1,OR(COUNTIFS(Controls[ID],B24,Controls[Ürün],C24)=1,COUNTIFS(Controls[ID],B24,Controls[Ürün],"MSP Genel")=1),E24&lt;&gt;"",F24&lt;&gt;"",G24&lt;&gt;"",I24&lt;&gt;"",Q24&lt;&gt;"")),"Kimlik / kapsam eksik",IF(NOT(OR(H24="Uygulanır",H24="Uygulanmaz")),"Uygulanabilirlik eksik",IF(AND(H24="Uygulanır",P24="Kanıt yetersiz",U24&lt;&gt;""),IF(AND(R24&lt;&gt;"",R24&lt;&gt;Q24,ISNUMBER(S24),S24&gt;0,S24&gt;=L24),"İnceleme tamam","Gözden geçirme eksik"),IF(NOT(AND(J24&lt;&gt;"",COUNTIFS(Evidence[KanitID],J24,Evidence[Kabul edilen ID],J24)=1,K24&lt;&gt;"",ISNUMBER(L24),L24&gt;0,M24&lt;&gt;"")),"Kanıt / test eksik",IF(NOT(AND(R24&lt;&gt;"",R24&lt;&gt;Q24,ISNUMBER(S24),S24&gt;0,S24&gt;=L24)),"Gözden geçirme eksik",IF(H24="Uygulanmaz","İnceleme tamam",IF(AND(OR(P24="Uygun",P24="Kısmen uygun",P24="Uygunsuz"),OR(N24="Uygun",N24="Kısmen uygun",N24="Uygunsuz"),OR(O24="Uygun",O24="Kısmen uygun",O24="Uygunsuz"),OR(P24&lt;&gt;"Uygun",AND(N24="Uygun",O24="Uygun")),OR(P24="Uygun",AND(T24&lt;&gt;"",COUNTIF(Findings[KayitliBulguID],T24)=1))),"İnceleme tamam","Sonuç / bulgu eksik"))))))))</x:f>
        <x:v>Kimlik / kapsam eksik</x:v>
      </x:c>
      <x:c r="W24" s="14" t="str">
        <x:f>IF(A24="","",IF(V24&lt;&gt;"İnceleme tamam","İncelenmedi",IF(H24="Uygulanmaz","Uygulanmaz",P24)))</x:f>
        <x:v>İncelenmedi</x:v>
      </x:c>
    </x:row>
    <x:row r="25" ht="35" customHeight="1">
      <x:c r="A25" s="12" t="str">
        <x:v>U-0020</x:v>
      </x:c>
      <x:c r="B25" s="12" t="str">
        <x:v>GNL-05-02</x:v>
      </x:c>
      <x:c r="C25" s="12" t="str">
        <x:v>MSP Genel</x:v>
      </x:c>
      <x:c r="D25" s="12" t="str"/>
      <x:c r="E25" s="12" t="str"/>
      <x:c r="F25" s="12" t="str"/>
      <x:c r="G25" s="12" t="str"/>
      <x:c r="H25" s="12" t="str">
        <x:v>Belirlenecek</x:v>
      </x:c>
      <x:c r="I25" s="12" t="str"/>
      <x:c r="J25" s="12" t="str"/>
      <x:c r="K25" s="12" t="str"/>
      <x:c r="L25" s="13" t="str"/>
      <x:c r="M25" s="12" t="str"/>
      <x:c r="N25" s="12" t="str">
        <x:v>İncelenmedi</x:v>
      </x:c>
      <x:c r="O25" s="12" t="str">
        <x:v>İncelenmedi</x:v>
      </x:c>
      <x:c r="P25" s="12" t="str">
        <x:v>İncelenmedi</x:v>
      </x:c>
      <x:c r="Q25" s="12" t="str"/>
      <x:c r="R25" s="12" t="str"/>
      <x:c r="S25" s="13" t="str"/>
      <x:c r="T25" s="12" t="str"/>
      <x:c r="U25" s="12" t="str"/>
      <x:c r="V25" s="14" t="str">
        <x:f>IF(A25="","",IF(NOT(AND(COUNTIF(Exec[TestID],A25)=1,COUNTIF(Controls[ID],B25)=1,COUNTIFS(Scope[KapsamID],D25,Scope[OnayliKapsamID],D25,Scope[Ürün],C25)=1,OR(COUNTIFS(Controls[ID],B25,Controls[Ürün],C25)=1,COUNTIFS(Controls[ID],B25,Controls[Ürün],"MSP Genel")=1),E25&lt;&gt;"",F25&lt;&gt;"",G25&lt;&gt;"",I25&lt;&gt;"",Q25&lt;&gt;"")),"Kimlik / kapsam eksik",IF(NOT(OR(H25="Uygulanır",H25="Uygulanmaz")),"Uygulanabilirlik eksik",IF(AND(H25="Uygulanır",P25="Kanıt yetersiz",U25&lt;&gt;""),IF(AND(R25&lt;&gt;"",R25&lt;&gt;Q25,ISNUMBER(S25),S25&gt;0,S25&gt;=L25),"İnceleme tamam","Gözden geçirme eksik"),IF(NOT(AND(J25&lt;&gt;"",COUNTIFS(Evidence[KanitID],J25,Evidence[Kabul edilen ID],J25)=1,K25&lt;&gt;"",ISNUMBER(L25),L25&gt;0,M25&lt;&gt;"")),"Kanıt / test eksik",IF(NOT(AND(R25&lt;&gt;"",R25&lt;&gt;Q25,ISNUMBER(S25),S25&gt;0,S25&gt;=L25)),"Gözden geçirme eksik",IF(H25="Uygulanmaz","İnceleme tamam",IF(AND(OR(P25="Uygun",P25="Kısmen uygun",P25="Uygunsuz"),OR(N25="Uygun",N25="Kısmen uygun",N25="Uygunsuz"),OR(O25="Uygun",O25="Kısmen uygun",O25="Uygunsuz"),OR(P25&lt;&gt;"Uygun",AND(N25="Uygun",O25="Uygun")),OR(P25="Uygun",AND(T25&lt;&gt;"",COUNTIF(Findings[KayitliBulguID],T25)=1))),"İnceleme tamam","Sonuç / bulgu eksik"))))))))</x:f>
        <x:v>Kimlik / kapsam eksik</x:v>
      </x:c>
      <x:c r="W25" s="14" t="str">
        <x:f>IF(A25="","",IF(V25&lt;&gt;"İnceleme tamam","İncelenmedi",IF(H25="Uygulanmaz","Uygulanmaz",P25)))</x:f>
        <x:v>İncelenmedi</x:v>
      </x:c>
    </x:row>
    <x:row r="26" ht="35" customHeight="1">
      <x:c r="A26" s="12" t="str">
        <x:v>U-0021</x:v>
      </x:c>
      <x:c r="B26" s="12" t="str">
        <x:v>GNL-05-03</x:v>
      </x:c>
      <x:c r="C26" s="12" t="str">
        <x:v>MSP Genel</x:v>
      </x:c>
      <x:c r="D26" s="12" t="str"/>
      <x:c r="E26" s="12" t="str"/>
      <x:c r="F26" s="12" t="str"/>
      <x:c r="G26" s="12" t="str"/>
      <x:c r="H26" s="12" t="str">
        <x:v>Belirlenecek</x:v>
      </x:c>
      <x:c r="I26" s="12" t="str"/>
      <x:c r="J26" s="12" t="str"/>
      <x:c r="K26" s="12" t="str"/>
      <x:c r="L26" s="13" t="str"/>
      <x:c r="M26" s="12" t="str"/>
      <x:c r="N26" s="12" t="str">
        <x:v>İncelenmedi</x:v>
      </x:c>
      <x:c r="O26" s="12" t="str">
        <x:v>İncelenmedi</x:v>
      </x:c>
      <x:c r="P26" s="12" t="str">
        <x:v>İncelenmedi</x:v>
      </x:c>
      <x:c r="Q26" s="12" t="str"/>
      <x:c r="R26" s="12" t="str"/>
      <x:c r="S26" s="13" t="str"/>
      <x:c r="T26" s="12" t="str"/>
      <x:c r="U26" s="12" t="str"/>
      <x:c r="V26" s="14" t="str">
        <x:f>IF(A26="","",IF(NOT(AND(COUNTIF(Exec[TestID],A26)=1,COUNTIF(Controls[ID],B26)=1,COUNTIFS(Scope[KapsamID],D26,Scope[OnayliKapsamID],D26,Scope[Ürün],C26)=1,OR(COUNTIFS(Controls[ID],B26,Controls[Ürün],C26)=1,COUNTIFS(Controls[ID],B26,Controls[Ürün],"MSP Genel")=1),E26&lt;&gt;"",F26&lt;&gt;"",G26&lt;&gt;"",I26&lt;&gt;"",Q26&lt;&gt;"")),"Kimlik / kapsam eksik",IF(NOT(OR(H26="Uygulanır",H26="Uygulanmaz")),"Uygulanabilirlik eksik",IF(AND(H26="Uygulanır",P26="Kanıt yetersiz",U26&lt;&gt;""),IF(AND(R26&lt;&gt;"",R26&lt;&gt;Q26,ISNUMBER(S26),S26&gt;0,S26&gt;=L26),"İnceleme tamam","Gözden geçirme eksik"),IF(NOT(AND(J26&lt;&gt;"",COUNTIFS(Evidence[KanitID],J26,Evidence[Kabul edilen ID],J26)=1,K26&lt;&gt;"",ISNUMBER(L26),L26&gt;0,M26&lt;&gt;"")),"Kanıt / test eksik",IF(NOT(AND(R26&lt;&gt;"",R26&lt;&gt;Q26,ISNUMBER(S26),S26&gt;0,S26&gt;=L26)),"Gözden geçirme eksik",IF(H26="Uygulanmaz","İnceleme tamam",IF(AND(OR(P26="Uygun",P26="Kısmen uygun",P26="Uygunsuz"),OR(N26="Uygun",N26="Kısmen uygun",N26="Uygunsuz"),OR(O26="Uygun",O26="Kısmen uygun",O26="Uygunsuz"),OR(P26&lt;&gt;"Uygun",AND(N26="Uygun",O26="Uygun")),OR(P26="Uygun",AND(T26&lt;&gt;"",COUNTIF(Findings[KayitliBulguID],T26)=1))),"İnceleme tamam","Sonuç / bulgu eksik"))))))))</x:f>
        <x:v>Kimlik / kapsam eksik</x:v>
      </x:c>
      <x:c r="W26" s="14" t="str">
        <x:f>IF(A26="","",IF(V26&lt;&gt;"İnceleme tamam","İncelenmedi",IF(H26="Uygulanmaz","Uygulanmaz",P26)))</x:f>
        <x:v>İncelenmedi</x:v>
      </x:c>
    </x:row>
    <x:row r="27" ht="35" customHeight="1">
      <x:c r="A27" s="12" t="str">
        <x:v>U-0022</x:v>
      </x:c>
      <x:c r="B27" s="12" t="str">
        <x:v>GNL-05-04</x:v>
      </x:c>
      <x:c r="C27" s="12" t="str">
        <x:v>MSP Genel</x:v>
      </x:c>
      <x:c r="D27" s="12" t="str"/>
      <x:c r="E27" s="12" t="str"/>
      <x:c r="F27" s="12" t="str"/>
      <x:c r="G27" s="12" t="str"/>
      <x:c r="H27" s="12" t="str">
        <x:v>Belirlenecek</x:v>
      </x:c>
      <x:c r="I27" s="12" t="str"/>
      <x:c r="J27" s="12" t="str"/>
      <x:c r="K27" s="12" t="str"/>
      <x:c r="L27" s="13" t="str"/>
      <x:c r="M27" s="12" t="str"/>
      <x:c r="N27" s="12" t="str">
        <x:v>İncelenmedi</x:v>
      </x:c>
      <x:c r="O27" s="12" t="str">
        <x:v>İncelenmedi</x:v>
      </x:c>
      <x:c r="P27" s="12" t="str">
        <x:v>İncelenmedi</x:v>
      </x:c>
      <x:c r="Q27" s="12" t="str"/>
      <x:c r="R27" s="12" t="str"/>
      <x:c r="S27" s="13" t="str"/>
      <x:c r="T27" s="12" t="str"/>
      <x:c r="U27" s="12" t="str"/>
      <x:c r="V27" s="14" t="str">
        <x:f>IF(A27="","",IF(NOT(AND(COUNTIF(Exec[TestID],A27)=1,COUNTIF(Controls[ID],B27)=1,COUNTIFS(Scope[KapsamID],D27,Scope[OnayliKapsamID],D27,Scope[Ürün],C27)=1,OR(COUNTIFS(Controls[ID],B27,Controls[Ürün],C27)=1,COUNTIFS(Controls[ID],B27,Controls[Ürün],"MSP Genel")=1),E27&lt;&gt;"",F27&lt;&gt;"",G27&lt;&gt;"",I27&lt;&gt;"",Q27&lt;&gt;"")),"Kimlik / kapsam eksik",IF(NOT(OR(H27="Uygulanır",H27="Uygulanmaz")),"Uygulanabilirlik eksik",IF(AND(H27="Uygulanır",P27="Kanıt yetersiz",U27&lt;&gt;""),IF(AND(R27&lt;&gt;"",R27&lt;&gt;Q27,ISNUMBER(S27),S27&gt;0,S27&gt;=L27),"İnceleme tamam","Gözden geçirme eksik"),IF(NOT(AND(J27&lt;&gt;"",COUNTIFS(Evidence[KanitID],J27,Evidence[Kabul edilen ID],J27)=1,K27&lt;&gt;"",ISNUMBER(L27),L27&gt;0,M27&lt;&gt;"")),"Kanıt / test eksik",IF(NOT(AND(R27&lt;&gt;"",R27&lt;&gt;Q27,ISNUMBER(S27),S27&gt;0,S27&gt;=L27)),"Gözden geçirme eksik",IF(H27="Uygulanmaz","İnceleme tamam",IF(AND(OR(P27="Uygun",P27="Kısmen uygun",P27="Uygunsuz"),OR(N27="Uygun",N27="Kısmen uygun",N27="Uygunsuz"),OR(O27="Uygun",O27="Kısmen uygun",O27="Uygunsuz"),OR(P27&lt;&gt;"Uygun",AND(N27="Uygun",O27="Uygun")),OR(P27="Uygun",AND(T27&lt;&gt;"",COUNTIF(Findings[KayitliBulguID],T27)=1))),"İnceleme tamam","Sonuç / bulgu eksik"))))))))</x:f>
        <x:v>Kimlik / kapsam eksik</x:v>
      </x:c>
      <x:c r="W27" s="14" t="str">
        <x:f>IF(A27="","",IF(V27&lt;&gt;"İnceleme tamam","İncelenmedi",IF(H27="Uygulanmaz","Uygulanmaz",P27)))</x:f>
        <x:v>İncelenmedi</x:v>
      </x:c>
    </x:row>
    <x:row r="28" ht="35" customHeight="1">
      <x:c r="A28" s="12" t="str">
        <x:v>U-0023</x:v>
      </x:c>
      <x:c r="B28" s="12" t="str">
        <x:v>GNL-06-01</x:v>
      </x:c>
      <x:c r="C28" s="12" t="str">
        <x:v>MSP Genel</x:v>
      </x:c>
      <x:c r="D28" s="12" t="str"/>
      <x:c r="E28" s="12" t="str"/>
      <x:c r="F28" s="12" t="str"/>
      <x:c r="G28" s="12" t="str"/>
      <x:c r="H28" s="12" t="str">
        <x:v>Belirlenecek</x:v>
      </x:c>
      <x:c r="I28" s="12" t="str"/>
      <x:c r="J28" s="12" t="str"/>
      <x:c r="K28" s="12" t="str"/>
      <x:c r="L28" s="13" t="str"/>
      <x:c r="M28" s="12" t="str"/>
      <x:c r="N28" s="12" t="str">
        <x:v>İncelenmedi</x:v>
      </x:c>
      <x:c r="O28" s="12" t="str">
        <x:v>İncelenmedi</x:v>
      </x:c>
      <x:c r="P28" s="12" t="str">
        <x:v>İncelenmedi</x:v>
      </x:c>
      <x:c r="Q28" s="12" t="str"/>
      <x:c r="R28" s="12" t="str"/>
      <x:c r="S28" s="13" t="str"/>
      <x:c r="T28" s="12" t="str"/>
      <x:c r="U28" s="12" t="str"/>
      <x:c r="V28" s="14" t="str">
        <x:f>IF(A28="","",IF(NOT(AND(COUNTIF(Exec[TestID],A28)=1,COUNTIF(Controls[ID],B28)=1,COUNTIFS(Scope[KapsamID],D28,Scope[OnayliKapsamID],D28,Scope[Ürün],C28)=1,OR(COUNTIFS(Controls[ID],B28,Controls[Ürün],C28)=1,COUNTIFS(Controls[ID],B28,Controls[Ürün],"MSP Genel")=1),E28&lt;&gt;"",F28&lt;&gt;"",G28&lt;&gt;"",I28&lt;&gt;"",Q28&lt;&gt;"")),"Kimlik / kapsam eksik",IF(NOT(OR(H28="Uygulanır",H28="Uygulanmaz")),"Uygulanabilirlik eksik",IF(AND(H28="Uygulanır",P28="Kanıt yetersiz",U28&lt;&gt;""),IF(AND(R28&lt;&gt;"",R28&lt;&gt;Q28,ISNUMBER(S28),S28&gt;0,S28&gt;=L28),"İnceleme tamam","Gözden geçirme eksik"),IF(NOT(AND(J28&lt;&gt;"",COUNTIFS(Evidence[KanitID],J28,Evidence[Kabul edilen ID],J28)=1,K28&lt;&gt;"",ISNUMBER(L28),L28&gt;0,M28&lt;&gt;"")),"Kanıt / test eksik",IF(NOT(AND(R28&lt;&gt;"",R28&lt;&gt;Q28,ISNUMBER(S28),S28&gt;0,S28&gt;=L28)),"Gözden geçirme eksik",IF(H28="Uygulanmaz","İnceleme tamam",IF(AND(OR(P28="Uygun",P28="Kısmen uygun",P28="Uygunsuz"),OR(N28="Uygun",N28="Kısmen uygun",N28="Uygunsuz"),OR(O28="Uygun",O28="Kısmen uygun",O28="Uygunsuz"),OR(P28&lt;&gt;"Uygun",AND(N28="Uygun",O28="Uygun")),OR(P28="Uygun",AND(T28&lt;&gt;"",COUNTIF(Findings[KayitliBulguID],T28)=1))),"İnceleme tamam","Sonuç / bulgu eksik"))))))))</x:f>
        <x:v>Kimlik / kapsam eksik</x:v>
      </x:c>
      <x:c r="W28" s="14" t="str">
        <x:f>IF(A28="","",IF(V28&lt;&gt;"İnceleme tamam","İncelenmedi",IF(H28="Uygulanmaz","Uygulanmaz",P28)))</x:f>
        <x:v>İncelenmedi</x:v>
      </x:c>
    </x:row>
    <x:row r="29" ht="35" customHeight="1">
      <x:c r="A29" s="12" t="str">
        <x:v>U-0024</x:v>
      </x:c>
      <x:c r="B29" s="12" t="str">
        <x:v>GNL-06-02</x:v>
      </x:c>
      <x:c r="C29" s="12" t="str">
        <x:v>MSP Genel</x:v>
      </x:c>
      <x:c r="D29" s="12" t="str"/>
      <x:c r="E29" s="12" t="str"/>
      <x:c r="F29" s="12" t="str"/>
      <x:c r="G29" s="12" t="str"/>
      <x:c r="H29" s="12" t="str">
        <x:v>Belirlenecek</x:v>
      </x:c>
      <x:c r="I29" s="12" t="str"/>
      <x:c r="J29" s="12" t="str"/>
      <x:c r="K29" s="12" t="str"/>
      <x:c r="L29" s="13" t="str"/>
      <x:c r="M29" s="12" t="str"/>
      <x:c r="N29" s="12" t="str">
        <x:v>İncelenmedi</x:v>
      </x:c>
      <x:c r="O29" s="12" t="str">
        <x:v>İncelenmedi</x:v>
      </x:c>
      <x:c r="P29" s="12" t="str">
        <x:v>İncelenmedi</x:v>
      </x:c>
      <x:c r="Q29" s="12" t="str"/>
      <x:c r="R29" s="12" t="str"/>
      <x:c r="S29" s="13" t="str"/>
      <x:c r="T29" s="12" t="str"/>
      <x:c r="U29" s="12" t="str"/>
      <x:c r="V29" s="14" t="str">
        <x:f>IF(A29="","",IF(NOT(AND(COUNTIF(Exec[TestID],A29)=1,COUNTIF(Controls[ID],B29)=1,COUNTIFS(Scope[KapsamID],D29,Scope[OnayliKapsamID],D29,Scope[Ürün],C29)=1,OR(COUNTIFS(Controls[ID],B29,Controls[Ürün],C29)=1,COUNTIFS(Controls[ID],B29,Controls[Ürün],"MSP Genel")=1),E29&lt;&gt;"",F29&lt;&gt;"",G29&lt;&gt;"",I29&lt;&gt;"",Q29&lt;&gt;"")),"Kimlik / kapsam eksik",IF(NOT(OR(H29="Uygulanır",H29="Uygulanmaz")),"Uygulanabilirlik eksik",IF(AND(H29="Uygulanır",P29="Kanıt yetersiz",U29&lt;&gt;""),IF(AND(R29&lt;&gt;"",R29&lt;&gt;Q29,ISNUMBER(S29),S29&gt;0,S29&gt;=L29),"İnceleme tamam","Gözden geçirme eksik"),IF(NOT(AND(J29&lt;&gt;"",COUNTIFS(Evidence[KanitID],J29,Evidence[Kabul edilen ID],J29)=1,K29&lt;&gt;"",ISNUMBER(L29),L29&gt;0,M29&lt;&gt;"")),"Kanıt / test eksik",IF(NOT(AND(R29&lt;&gt;"",R29&lt;&gt;Q29,ISNUMBER(S29),S29&gt;0,S29&gt;=L29)),"Gözden geçirme eksik",IF(H29="Uygulanmaz","İnceleme tamam",IF(AND(OR(P29="Uygun",P29="Kısmen uygun",P29="Uygunsuz"),OR(N29="Uygun",N29="Kısmen uygun",N29="Uygunsuz"),OR(O29="Uygun",O29="Kısmen uygun",O29="Uygunsuz"),OR(P29&lt;&gt;"Uygun",AND(N29="Uygun",O29="Uygun")),OR(P29="Uygun",AND(T29&lt;&gt;"",COUNTIF(Findings[KayitliBulguID],T29)=1))),"İnceleme tamam","Sonuç / bulgu eksik"))))))))</x:f>
        <x:v>Kimlik / kapsam eksik</x:v>
      </x:c>
      <x:c r="W29" s="14" t="str">
        <x:f>IF(A29="","",IF(V29&lt;&gt;"İnceleme tamam","İncelenmedi",IF(H29="Uygulanmaz","Uygulanmaz",P29)))</x:f>
        <x:v>İncelenmedi</x:v>
      </x:c>
    </x:row>
    <x:row r="30" ht="35" customHeight="1">
      <x:c r="A30" s="12" t="str">
        <x:v>U-0025</x:v>
      </x:c>
      <x:c r="B30" s="12" t="str">
        <x:v>GNL-06-03</x:v>
      </x:c>
      <x:c r="C30" s="12" t="str">
        <x:v>MSP Genel</x:v>
      </x:c>
      <x:c r="D30" s="12" t="str"/>
      <x:c r="E30" s="12" t="str"/>
      <x:c r="F30" s="12" t="str"/>
      <x:c r="G30" s="12" t="str"/>
      <x:c r="H30" s="12" t="str">
        <x:v>Belirlenecek</x:v>
      </x:c>
      <x:c r="I30" s="12" t="str"/>
      <x:c r="J30" s="12" t="str"/>
      <x:c r="K30" s="12" t="str"/>
      <x:c r="L30" s="13" t="str"/>
      <x:c r="M30" s="12" t="str"/>
      <x:c r="N30" s="12" t="str">
        <x:v>İncelenmedi</x:v>
      </x:c>
      <x:c r="O30" s="12" t="str">
        <x:v>İncelenmedi</x:v>
      </x:c>
      <x:c r="P30" s="12" t="str">
        <x:v>İncelenmedi</x:v>
      </x:c>
      <x:c r="Q30" s="12" t="str"/>
      <x:c r="R30" s="12" t="str"/>
      <x:c r="S30" s="13" t="str"/>
      <x:c r="T30" s="12" t="str"/>
      <x:c r="U30" s="12" t="str"/>
      <x:c r="V30" s="14" t="str">
        <x:f>IF(A30="","",IF(NOT(AND(COUNTIF(Exec[TestID],A30)=1,COUNTIF(Controls[ID],B30)=1,COUNTIFS(Scope[KapsamID],D30,Scope[OnayliKapsamID],D30,Scope[Ürün],C30)=1,OR(COUNTIFS(Controls[ID],B30,Controls[Ürün],C30)=1,COUNTIFS(Controls[ID],B30,Controls[Ürün],"MSP Genel")=1),E30&lt;&gt;"",F30&lt;&gt;"",G30&lt;&gt;"",I30&lt;&gt;"",Q30&lt;&gt;"")),"Kimlik / kapsam eksik",IF(NOT(OR(H30="Uygulanır",H30="Uygulanmaz")),"Uygulanabilirlik eksik",IF(AND(H30="Uygulanır",P30="Kanıt yetersiz",U30&lt;&gt;""),IF(AND(R30&lt;&gt;"",R30&lt;&gt;Q30,ISNUMBER(S30),S30&gt;0,S30&gt;=L30),"İnceleme tamam","Gözden geçirme eksik"),IF(NOT(AND(J30&lt;&gt;"",COUNTIFS(Evidence[KanitID],J30,Evidence[Kabul edilen ID],J30)=1,K30&lt;&gt;"",ISNUMBER(L30),L30&gt;0,M30&lt;&gt;"")),"Kanıt / test eksik",IF(NOT(AND(R30&lt;&gt;"",R30&lt;&gt;Q30,ISNUMBER(S30),S30&gt;0,S30&gt;=L30)),"Gözden geçirme eksik",IF(H30="Uygulanmaz","İnceleme tamam",IF(AND(OR(P30="Uygun",P30="Kısmen uygun",P30="Uygunsuz"),OR(N30="Uygun",N30="Kısmen uygun",N30="Uygunsuz"),OR(O30="Uygun",O30="Kısmen uygun",O30="Uygunsuz"),OR(P30&lt;&gt;"Uygun",AND(N30="Uygun",O30="Uygun")),OR(P30="Uygun",AND(T30&lt;&gt;"",COUNTIF(Findings[KayitliBulguID],T30)=1))),"İnceleme tamam","Sonuç / bulgu eksik"))))))))</x:f>
        <x:v>Kimlik / kapsam eksik</x:v>
      </x:c>
      <x:c r="W30" s="14" t="str">
        <x:f>IF(A30="","",IF(V30&lt;&gt;"İnceleme tamam","İncelenmedi",IF(H30="Uygulanmaz","Uygulanmaz",P30)))</x:f>
        <x:v>İncelenmedi</x:v>
      </x:c>
    </x:row>
    <x:row r="31" ht="35" customHeight="1">
      <x:c r="A31" s="12" t="str">
        <x:v>U-0026</x:v>
      </x:c>
      <x:c r="B31" s="12" t="str">
        <x:v>GNL-07-01</x:v>
      </x:c>
      <x:c r="C31" s="12" t="str">
        <x:v>MSP Genel</x:v>
      </x:c>
      <x:c r="D31" s="12" t="str"/>
      <x:c r="E31" s="12" t="str"/>
      <x:c r="F31" s="12" t="str"/>
      <x:c r="G31" s="12" t="str"/>
      <x:c r="H31" s="12" t="str">
        <x:v>Belirlenecek</x:v>
      </x:c>
      <x:c r="I31" s="12" t="str"/>
      <x:c r="J31" s="12" t="str"/>
      <x:c r="K31" s="12" t="str"/>
      <x:c r="L31" s="13" t="str"/>
      <x:c r="M31" s="12" t="str"/>
      <x:c r="N31" s="12" t="str">
        <x:v>İncelenmedi</x:v>
      </x:c>
      <x:c r="O31" s="12" t="str">
        <x:v>İncelenmedi</x:v>
      </x:c>
      <x:c r="P31" s="12" t="str">
        <x:v>İncelenmedi</x:v>
      </x:c>
      <x:c r="Q31" s="12" t="str"/>
      <x:c r="R31" s="12" t="str"/>
      <x:c r="S31" s="13" t="str"/>
      <x:c r="T31" s="12" t="str"/>
      <x:c r="U31" s="12" t="str"/>
      <x:c r="V31" s="14" t="str">
        <x:f>IF(A31="","",IF(NOT(AND(COUNTIF(Exec[TestID],A31)=1,COUNTIF(Controls[ID],B31)=1,COUNTIFS(Scope[KapsamID],D31,Scope[OnayliKapsamID],D31,Scope[Ürün],C31)=1,OR(COUNTIFS(Controls[ID],B31,Controls[Ürün],C31)=1,COUNTIFS(Controls[ID],B31,Controls[Ürün],"MSP Genel")=1),E31&lt;&gt;"",F31&lt;&gt;"",G31&lt;&gt;"",I31&lt;&gt;"",Q31&lt;&gt;"")),"Kimlik / kapsam eksik",IF(NOT(OR(H31="Uygulanır",H31="Uygulanmaz")),"Uygulanabilirlik eksik",IF(AND(H31="Uygulanır",P31="Kanıt yetersiz",U31&lt;&gt;""),IF(AND(R31&lt;&gt;"",R31&lt;&gt;Q31,ISNUMBER(S31),S31&gt;0,S31&gt;=L31),"İnceleme tamam","Gözden geçirme eksik"),IF(NOT(AND(J31&lt;&gt;"",COUNTIFS(Evidence[KanitID],J31,Evidence[Kabul edilen ID],J31)=1,K31&lt;&gt;"",ISNUMBER(L31),L31&gt;0,M31&lt;&gt;"")),"Kanıt / test eksik",IF(NOT(AND(R31&lt;&gt;"",R31&lt;&gt;Q31,ISNUMBER(S31),S31&gt;0,S31&gt;=L31)),"Gözden geçirme eksik",IF(H31="Uygulanmaz","İnceleme tamam",IF(AND(OR(P31="Uygun",P31="Kısmen uygun",P31="Uygunsuz"),OR(N31="Uygun",N31="Kısmen uygun",N31="Uygunsuz"),OR(O31="Uygun",O31="Kısmen uygun",O31="Uygunsuz"),OR(P31&lt;&gt;"Uygun",AND(N31="Uygun",O31="Uygun")),OR(P31="Uygun",AND(T31&lt;&gt;"",COUNTIF(Findings[KayitliBulguID],T31)=1))),"İnceleme tamam","Sonuç / bulgu eksik"))))))))</x:f>
        <x:v>Kimlik / kapsam eksik</x:v>
      </x:c>
      <x:c r="W31" s="14" t="str">
        <x:f>IF(A31="","",IF(V31&lt;&gt;"İnceleme tamam","İncelenmedi",IF(H31="Uygulanmaz","Uygulanmaz",P31)))</x:f>
        <x:v>İncelenmedi</x:v>
      </x:c>
    </x:row>
    <x:row r="32" ht="35" customHeight="1">
      <x:c r="A32" s="12" t="str">
        <x:v>U-0027</x:v>
      </x:c>
      <x:c r="B32" s="12" t="str">
        <x:v>GNL-07-02</x:v>
      </x:c>
      <x:c r="C32" s="12" t="str">
        <x:v>MSP Genel</x:v>
      </x:c>
      <x:c r="D32" s="12" t="str"/>
      <x:c r="E32" s="12" t="str"/>
      <x:c r="F32" s="12" t="str"/>
      <x:c r="G32" s="12" t="str"/>
      <x:c r="H32" s="12" t="str">
        <x:v>Belirlenecek</x:v>
      </x:c>
      <x:c r="I32" s="12" t="str"/>
      <x:c r="J32" s="12" t="str"/>
      <x:c r="K32" s="12" t="str"/>
      <x:c r="L32" s="13" t="str"/>
      <x:c r="M32" s="12" t="str"/>
      <x:c r="N32" s="12" t="str">
        <x:v>İncelenmedi</x:v>
      </x:c>
      <x:c r="O32" s="12" t="str">
        <x:v>İncelenmedi</x:v>
      </x:c>
      <x:c r="P32" s="12" t="str">
        <x:v>İncelenmedi</x:v>
      </x:c>
      <x:c r="Q32" s="12" t="str"/>
      <x:c r="R32" s="12" t="str"/>
      <x:c r="S32" s="13" t="str"/>
      <x:c r="T32" s="12" t="str"/>
      <x:c r="U32" s="12" t="str"/>
      <x:c r="V32" s="14" t="str">
        <x:f>IF(A32="","",IF(NOT(AND(COUNTIF(Exec[TestID],A32)=1,COUNTIF(Controls[ID],B32)=1,COUNTIFS(Scope[KapsamID],D32,Scope[OnayliKapsamID],D32,Scope[Ürün],C32)=1,OR(COUNTIFS(Controls[ID],B32,Controls[Ürün],C32)=1,COUNTIFS(Controls[ID],B32,Controls[Ürün],"MSP Genel")=1),E32&lt;&gt;"",F32&lt;&gt;"",G32&lt;&gt;"",I32&lt;&gt;"",Q32&lt;&gt;"")),"Kimlik / kapsam eksik",IF(NOT(OR(H32="Uygulanır",H32="Uygulanmaz")),"Uygulanabilirlik eksik",IF(AND(H32="Uygulanır",P32="Kanıt yetersiz",U32&lt;&gt;""),IF(AND(R32&lt;&gt;"",R32&lt;&gt;Q32,ISNUMBER(S32),S32&gt;0,S32&gt;=L32),"İnceleme tamam","Gözden geçirme eksik"),IF(NOT(AND(J32&lt;&gt;"",COUNTIFS(Evidence[KanitID],J32,Evidence[Kabul edilen ID],J32)=1,K32&lt;&gt;"",ISNUMBER(L32),L32&gt;0,M32&lt;&gt;"")),"Kanıt / test eksik",IF(NOT(AND(R32&lt;&gt;"",R32&lt;&gt;Q32,ISNUMBER(S32),S32&gt;0,S32&gt;=L32)),"Gözden geçirme eksik",IF(H32="Uygulanmaz","İnceleme tamam",IF(AND(OR(P32="Uygun",P32="Kısmen uygun",P32="Uygunsuz"),OR(N32="Uygun",N32="Kısmen uygun",N32="Uygunsuz"),OR(O32="Uygun",O32="Kısmen uygun",O32="Uygunsuz"),OR(P32&lt;&gt;"Uygun",AND(N32="Uygun",O32="Uygun")),OR(P32="Uygun",AND(T32&lt;&gt;"",COUNTIF(Findings[KayitliBulguID],T32)=1))),"İnceleme tamam","Sonuç / bulgu eksik"))))))))</x:f>
        <x:v>Kimlik / kapsam eksik</x:v>
      </x:c>
      <x:c r="W32" s="14" t="str">
        <x:f>IF(A32="","",IF(V32&lt;&gt;"İnceleme tamam","İncelenmedi",IF(H32="Uygulanmaz","Uygulanmaz",P32)))</x:f>
        <x:v>İncelenmedi</x:v>
      </x:c>
    </x:row>
    <x:row r="33" ht="35" customHeight="1">
      <x:c r="A33" s="12" t="str">
        <x:v>U-0028</x:v>
      </x:c>
      <x:c r="B33" s="12" t="str">
        <x:v>GNL-07-03</x:v>
      </x:c>
      <x:c r="C33" s="12" t="str">
        <x:v>MSP Genel</x:v>
      </x:c>
      <x:c r="D33" s="12" t="str"/>
      <x:c r="E33" s="12" t="str"/>
      <x:c r="F33" s="12" t="str"/>
      <x:c r="G33" s="12" t="str"/>
      <x:c r="H33" s="12" t="str">
        <x:v>Belirlenecek</x:v>
      </x:c>
      <x:c r="I33" s="12" t="str"/>
      <x:c r="J33" s="12" t="str"/>
      <x:c r="K33" s="12" t="str"/>
      <x:c r="L33" s="13" t="str"/>
      <x:c r="M33" s="12" t="str"/>
      <x:c r="N33" s="12" t="str">
        <x:v>İncelenmedi</x:v>
      </x:c>
      <x:c r="O33" s="12" t="str">
        <x:v>İncelenmedi</x:v>
      </x:c>
      <x:c r="P33" s="12" t="str">
        <x:v>İncelenmedi</x:v>
      </x:c>
      <x:c r="Q33" s="12" t="str"/>
      <x:c r="R33" s="12" t="str"/>
      <x:c r="S33" s="13" t="str"/>
      <x:c r="T33" s="12" t="str"/>
      <x:c r="U33" s="12" t="str"/>
      <x:c r="V33" s="14" t="str">
        <x:f>IF(A33="","",IF(NOT(AND(COUNTIF(Exec[TestID],A33)=1,COUNTIF(Controls[ID],B33)=1,COUNTIFS(Scope[KapsamID],D33,Scope[OnayliKapsamID],D33,Scope[Ürün],C33)=1,OR(COUNTIFS(Controls[ID],B33,Controls[Ürün],C33)=1,COUNTIFS(Controls[ID],B33,Controls[Ürün],"MSP Genel")=1),E33&lt;&gt;"",F33&lt;&gt;"",G33&lt;&gt;"",I33&lt;&gt;"",Q33&lt;&gt;"")),"Kimlik / kapsam eksik",IF(NOT(OR(H33="Uygulanır",H33="Uygulanmaz")),"Uygulanabilirlik eksik",IF(AND(H33="Uygulanır",P33="Kanıt yetersiz",U33&lt;&gt;""),IF(AND(R33&lt;&gt;"",R33&lt;&gt;Q33,ISNUMBER(S33),S33&gt;0,S33&gt;=L33),"İnceleme tamam","Gözden geçirme eksik"),IF(NOT(AND(J33&lt;&gt;"",COUNTIFS(Evidence[KanitID],J33,Evidence[Kabul edilen ID],J33)=1,K33&lt;&gt;"",ISNUMBER(L33),L33&gt;0,M33&lt;&gt;"")),"Kanıt / test eksik",IF(NOT(AND(R33&lt;&gt;"",R33&lt;&gt;Q33,ISNUMBER(S33),S33&gt;0,S33&gt;=L33)),"Gözden geçirme eksik",IF(H33="Uygulanmaz","İnceleme tamam",IF(AND(OR(P33="Uygun",P33="Kısmen uygun",P33="Uygunsuz"),OR(N33="Uygun",N33="Kısmen uygun",N33="Uygunsuz"),OR(O33="Uygun",O33="Kısmen uygun",O33="Uygunsuz"),OR(P33&lt;&gt;"Uygun",AND(N33="Uygun",O33="Uygun")),OR(P33="Uygun",AND(T33&lt;&gt;"",COUNTIF(Findings[KayitliBulguID],T33)=1))),"İnceleme tamam","Sonuç / bulgu eksik"))))))))</x:f>
        <x:v>Kimlik / kapsam eksik</x:v>
      </x:c>
      <x:c r="W33" s="14" t="str">
        <x:f>IF(A33="","",IF(V33&lt;&gt;"İnceleme tamam","İncelenmedi",IF(H33="Uygulanmaz","Uygulanmaz",P33)))</x:f>
        <x:v>İncelenmedi</x:v>
      </x:c>
    </x:row>
    <x:row r="34" ht="35" customHeight="1">
      <x:c r="A34" s="12" t="str">
        <x:v>U-0029</x:v>
      </x:c>
      <x:c r="B34" s="12" t="str">
        <x:v>GNL-08-01</x:v>
      </x:c>
      <x:c r="C34" s="12" t="str">
        <x:v>MSP Genel</x:v>
      </x:c>
      <x:c r="D34" s="12" t="str"/>
      <x:c r="E34" s="12" t="str"/>
      <x:c r="F34" s="12" t="str"/>
      <x:c r="G34" s="12" t="str"/>
      <x:c r="H34" s="12" t="str">
        <x:v>Belirlenecek</x:v>
      </x:c>
      <x:c r="I34" s="12" t="str"/>
      <x:c r="J34" s="12" t="str"/>
      <x:c r="K34" s="12" t="str"/>
      <x:c r="L34" s="13" t="str"/>
      <x:c r="M34" s="12" t="str"/>
      <x:c r="N34" s="12" t="str">
        <x:v>İncelenmedi</x:v>
      </x:c>
      <x:c r="O34" s="12" t="str">
        <x:v>İncelenmedi</x:v>
      </x:c>
      <x:c r="P34" s="12" t="str">
        <x:v>İncelenmedi</x:v>
      </x:c>
      <x:c r="Q34" s="12" t="str"/>
      <x:c r="R34" s="12" t="str"/>
      <x:c r="S34" s="13" t="str"/>
      <x:c r="T34" s="12" t="str"/>
      <x:c r="U34" s="12" t="str"/>
      <x:c r="V34" s="14" t="str">
        <x:f>IF(A34="","",IF(NOT(AND(COUNTIF(Exec[TestID],A34)=1,COUNTIF(Controls[ID],B34)=1,COUNTIFS(Scope[KapsamID],D34,Scope[OnayliKapsamID],D34,Scope[Ürün],C34)=1,OR(COUNTIFS(Controls[ID],B34,Controls[Ürün],C34)=1,COUNTIFS(Controls[ID],B34,Controls[Ürün],"MSP Genel")=1),E34&lt;&gt;"",F34&lt;&gt;"",G34&lt;&gt;"",I34&lt;&gt;"",Q34&lt;&gt;"")),"Kimlik / kapsam eksik",IF(NOT(OR(H34="Uygulanır",H34="Uygulanmaz")),"Uygulanabilirlik eksik",IF(AND(H34="Uygulanır",P34="Kanıt yetersiz",U34&lt;&gt;""),IF(AND(R34&lt;&gt;"",R34&lt;&gt;Q34,ISNUMBER(S34),S34&gt;0,S34&gt;=L34),"İnceleme tamam","Gözden geçirme eksik"),IF(NOT(AND(J34&lt;&gt;"",COUNTIFS(Evidence[KanitID],J34,Evidence[Kabul edilen ID],J34)=1,K34&lt;&gt;"",ISNUMBER(L34),L34&gt;0,M34&lt;&gt;"")),"Kanıt / test eksik",IF(NOT(AND(R34&lt;&gt;"",R34&lt;&gt;Q34,ISNUMBER(S34),S34&gt;0,S34&gt;=L34)),"Gözden geçirme eksik",IF(H34="Uygulanmaz","İnceleme tamam",IF(AND(OR(P34="Uygun",P34="Kısmen uygun",P34="Uygunsuz"),OR(N34="Uygun",N34="Kısmen uygun",N34="Uygunsuz"),OR(O34="Uygun",O34="Kısmen uygun",O34="Uygunsuz"),OR(P34&lt;&gt;"Uygun",AND(N34="Uygun",O34="Uygun")),OR(P34="Uygun",AND(T34&lt;&gt;"",COUNTIF(Findings[KayitliBulguID],T34)=1))),"İnceleme tamam","Sonuç / bulgu eksik"))))))))</x:f>
        <x:v>Kimlik / kapsam eksik</x:v>
      </x:c>
      <x:c r="W34" s="14" t="str">
        <x:f>IF(A34="","",IF(V34&lt;&gt;"İnceleme tamam","İncelenmedi",IF(H34="Uygulanmaz","Uygulanmaz",P34)))</x:f>
        <x:v>İncelenmedi</x:v>
      </x:c>
    </x:row>
    <x:row r="35" ht="35" customHeight="1">
      <x:c r="A35" s="12" t="str">
        <x:v>U-0030</x:v>
      </x:c>
      <x:c r="B35" s="12" t="str">
        <x:v>GNL-08-02</x:v>
      </x:c>
      <x:c r="C35" s="12" t="str">
        <x:v>MSP Genel</x:v>
      </x:c>
      <x:c r="D35" s="12" t="str"/>
      <x:c r="E35" s="12" t="str"/>
      <x:c r="F35" s="12" t="str"/>
      <x:c r="G35" s="12" t="str"/>
      <x:c r="H35" s="12" t="str">
        <x:v>Belirlenecek</x:v>
      </x:c>
      <x:c r="I35" s="12" t="str"/>
      <x:c r="J35" s="12" t="str"/>
      <x:c r="K35" s="12" t="str"/>
      <x:c r="L35" s="13" t="str"/>
      <x:c r="M35" s="12" t="str"/>
      <x:c r="N35" s="12" t="str">
        <x:v>İncelenmedi</x:v>
      </x:c>
      <x:c r="O35" s="12" t="str">
        <x:v>İncelenmedi</x:v>
      </x:c>
      <x:c r="P35" s="12" t="str">
        <x:v>İncelenmedi</x:v>
      </x:c>
      <x:c r="Q35" s="12" t="str"/>
      <x:c r="R35" s="12" t="str"/>
      <x:c r="S35" s="13" t="str"/>
      <x:c r="T35" s="12" t="str"/>
      <x:c r="U35" s="12" t="str"/>
      <x:c r="V35" s="14" t="str">
        <x:f>IF(A35="","",IF(NOT(AND(COUNTIF(Exec[TestID],A35)=1,COUNTIF(Controls[ID],B35)=1,COUNTIFS(Scope[KapsamID],D35,Scope[OnayliKapsamID],D35,Scope[Ürün],C35)=1,OR(COUNTIFS(Controls[ID],B35,Controls[Ürün],C35)=1,COUNTIFS(Controls[ID],B35,Controls[Ürün],"MSP Genel")=1),E35&lt;&gt;"",F35&lt;&gt;"",G35&lt;&gt;"",I35&lt;&gt;"",Q35&lt;&gt;"")),"Kimlik / kapsam eksik",IF(NOT(OR(H35="Uygulanır",H35="Uygulanmaz")),"Uygulanabilirlik eksik",IF(AND(H35="Uygulanır",P35="Kanıt yetersiz",U35&lt;&gt;""),IF(AND(R35&lt;&gt;"",R35&lt;&gt;Q35,ISNUMBER(S35),S35&gt;0,S35&gt;=L35),"İnceleme tamam","Gözden geçirme eksik"),IF(NOT(AND(J35&lt;&gt;"",COUNTIFS(Evidence[KanitID],J35,Evidence[Kabul edilen ID],J35)=1,K35&lt;&gt;"",ISNUMBER(L35),L35&gt;0,M35&lt;&gt;"")),"Kanıt / test eksik",IF(NOT(AND(R35&lt;&gt;"",R35&lt;&gt;Q35,ISNUMBER(S35),S35&gt;0,S35&gt;=L35)),"Gözden geçirme eksik",IF(H35="Uygulanmaz","İnceleme tamam",IF(AND(OR(P35="Uygun",P35="Kısmen uygun",P35="Uygunsuz"),OR(N35="Uygun",N35="Kısmen uygun",N35="Uygunsuz"),OR(O35="Uygun",O35="Kısmen uygun",O35="Uygunsuz"),OR(P35&lt;&gt;"Uygun",AND(N35="Uygun",O35="Uygun")),OR(P35="Uygun",AND(T35&lt;&gt;"",COUNTIF(Findings[KayitliBulguID],T35)=1))),"İnceleme tamam","Sonuç / bulgu eksik"))))))))</x:f>
        <x:v>Kimlik / kapsam eksik</x:v>
      </x:c>
      <x:c r="W35" s="14" t="str">
        <x:f>IF(A35="","",IF(V35&lt;&gt;"İnceleme tamam","İncelenmedi",IF(H35="Uygulanmaz","Uygulanmaz",P35)))</x:f>
        <x:v>İncelenmedi</x:v>
      </x:c>
    </x:row>
    <x:row r="36" ht="35" customHeight="1">
      <x:c r="A36" s="12" t="str">
        <x:v>U-0031</x:v>
      </x:c>
      <x:c r="B36" s="12" t="str">
        <x:v>GNL-08-03</x:v>
      </x:c>
      <x:c r="C36" s="12" t="str">
        <x:v>MSP Genel</x:v>
      </x:c>
      <x:c r="D36" s="12" t="str"/>
      <x:c r="E36" s="12" t="str"/>
      <x:c r="F36" s="12" t="str"/>
      <x:c r="G36" s="12" t="str"/>
      <x:c r="H36" s="12" t="str">
        <x:v>Belirlenecek</x:v>
      </x:c>
      <x:c r="I36" s="12" t="str"/>
      <x:c r="J36" s="12" t="str"/>
      <x:c r="K36" s="12" t="str"/>
      <x:c r="L36" s="13" t="str"/>
      <x:c r="M36" s="12" t="str"/>
      <x:c r="N36" s="12" t="str">
        <x:v>İncelenmedi</x:v>
      </x:c>
      <x:c r="O36" s="12" t="str">
        <x:v>İncelenmedi</x:v>
      </x:c>
      <x:c r="P36" s="12" t="str">
        <x:v>İncelenmedi</x:v>
      </x:c>
      <x:c r="Q36" s="12" t="str"/>
      <x:c r="R36" s="12" t="str"/>
      <x:c r="S36" s="13" t="str"/>
      <x:c r="T36" s="12" t="str"/>
      <x:c r="U36" s="12" t="str"/>
      <x:c r="V36" s="14" t="str">
        <x:f>IF(A36="","",IF(NOT(AND(COUNTIF(Exec[TestID],A36)=1,COUNTIF(Controls[ID],B36)=1,COUNTIFS(Scope[KapsamID],D36,Scope[OnayliKapsamID],D36,Scope[Ürün],C36)=1,OR(COUNTIFS(Controls[ID],B36,Controls[Ürün],C36)=1,COUNTIFS(Controls[ID],B36,Controls[Ürün],"MSP Genel")=1),E36&lt;&gt;"",F36&lt;&gt;"",G36&lt;&gt;"",I36&lt;&gt;"",Q36&lt;&gt;"")),"Kimlik / kapsam eksik",IF(NOT(OR(H36="Uygulanır",H36="Uygulanmaz")),"Uygulanabilirlik eksik",IF(AND(H36="Uygulanır",P36="Kanıt yetersiz",U36&lt;&gt;""),IF(AND(R36&lt;&gt;"",R36&lt;&gt;Q36,ISNUMBER(S36),S36&gt;0,S36&gt;=L36),"İnceleme tamam","Gözden geçirme eksik"),IF(NOT(AND(J36&lt;&gt;"",COUNTIFS(Evidence[KanitID],J36,Evidence[Kabul edilen ID],J36)=1,K36&lt;&gt;"",ISNUMBER(L36),L36&gt;0,M36&lt;&gt;"")),"Kanıt / test eksik",IF(NOT(AND(R36&lt;&gt;"",R36&lt;&gt;Q36,ISNUMBER(S36),S36&gt;0,S36&gt;=L36)),"Gözden geçirme eksik",IF(H36="Uygulanmaz","İnceleme tamam",IF(AND(OR(P36="Uygun",P36="Kısmen uygun",P36="Uygunsuz"),OR(N36="Uygun",N36="Kısmen uygun",N36="Uygunsuz"),OR(O36="Uygun",O36="Kısmen uygun",O36="Uygunsuz"),OR(P36&lt;&gt;"Uygun",AND(N36="Uygun",O36="Uygun")),OR(P36="Uygun",AND(T36&lt;&gt;"",COUNTIF(Findings[KayitliBulguID],T36)=1))),"İnceleme tamam","Sonuç / bulgu eksik"))))))))</x:f>
        <x:v>Kimlik / kapsam eksik</x:v>
      </x:c>
      <x:c r="W36" s="14" t="str">
        <x:f>IF(A36="","",IF(V36&lt;&gt;"İnceleme tamam","İncelenmedi",IF(H36="Uygulanmaz","Uygulanmaz",P36)))</x:f>
        <x:v>İncelenmedi</x:v>
      </x:c>
    </x:row>
    <x:row r="37" ht="35" customHeight="1">
      <x:c r="A37" s="12" t="str">
        <x:v>U-0032</x:v>
      </x:c>
      <x:c r="B37" s="12" t="str">
        <x:v>GNL-08-04</x:v>
      </x:c>
      <x:c r="C37" s="12" t="str">
        <x:v>MSP Genel</x:v>
      </x:c>
      <x:c r="D37" s="12" t="str"/>
      <x:c r="E37" s="12" t="str"/>
      <x:c r="F37" s="12" t="str"/>
      <x:c r="G37" s="12" t="str"/>
      <x:c r="H37" s="12" t="str">
        <x:v>Belirlenecek</x:v>
      </x:c>
      <x:c r="I37" s="12" t="str"/>
      <x:c r="J37" s="12" t="str"/>
      <x:c r="K37" s="12" t="str"/>
      <x:c r="L37" s="13" t="str"/>
      <x:c r="M37" s="12" t="str"/>
      <x:c r="N37" s="12" t="str">
        <x:v>İncelenmedi</x:v>
      </x:c>
      <x:c r="O37" s="12" t="str">
        <x:v>İncelenmedi</x:v>
      </x:c>
      <x:c r="P37" s="12" t="str">
        <x:v>İncelenmedi</x:v>
      </x:c>
      <x:c r="Q37" s="12" t="str"/>
      <x:c r="R37" s="12" t="str"/>
      <x:c r="S37" s="13" t="str"/>
      <x:c r="T37" s="12" t="str"/>
      <x:c r="U37" s="12" t="str"/>
      <x:c r="V37" s="14" t="str">
        <x:f>IF(A37="","",IF(NOT(AND(COUNTIF(Exec[TestID],A37)=1,COUNTIF(Controls[ID],B37)=1,COUNTIFS(Scope[KapsamID],D37,Scope[OnayliKapsamID],D37,Scope[Ürün],C37)=1,OR(COUNTIFS(Controls[ID],B37,Controls[Ürün],C37)=1,COUNTIFS(Controls[ID],B37,Controls[Ürün],"MSP Genel")=1),E37&lt;&gt;"",F37&lt;&gt;"",G37&lt;&gt;"",I37&lt;&gt;"",Q37&lt;&gt;"")),"Kimlik / kapsam eksik",IF(NOT(OR(H37="Uygulanır",H37="Uygulanmaz")),"Uygulanabilirlik eksik",IF(AND(H37="Uygulanır",P37="Kanıt yetersiz",U37&lt;&gt;""),IF(AND(R37&lt;&gt;"",R37&lt;&gt;Q37,ISNUMBER(S37),S37&gt;0,S37&gt;=L37),"İnceleme tamam","Gözden geçirme eksik"),IF(NOT(AND(J37&lt;&gt;"",COUNTIFS(Evidence[KanitID],J37,Evidence[Kabul edilen ID],J37)=1,K37&lt;&gt;"",ISNUMBER(L37),L37&gt;0,M37&lt;&gt;"")),"Kanıt / test eksik",IF(NOT(AND(R37&lt;&gt;"",R37&lt;&gt;Q37,ISNUMBER(S37),S37&gt;0,S37&gt;=L37)),"Gözden geçirme eksik",IF(H37="Uygulanmaz","İnceleme tamam",IF(AND(OR(P37="Uygun",P37="Kısmen uygun",P37="Uygunsuz"),OR(N37="Uygun",N37="Kısmen uygun",N37="Uygunsuz"),OR(O37="Uygun",O37="Kısmen uygun",O37="Uygunsuz"),OR(P37&lt;&gt;"Uygun",AND(N37="Uygun",O37="Uygun")),OR(P37="Uygun",AND(T37&lt;&gt;"",COUNTIF(Findings[KayitliBulguID],T37)=1))),"İnceleme tamam","Sonuç / bulgu eksik"))))))))</x:f>
        <x:v>Kimlik / kapsam eksik</x:v>
      </x:c>
      <x:c r="W37" s="14" t="str">
        <x:f>IF(A37="","",IF(V37&lt;&gt;"İnceleme tamam","İncelenmedi",IF(H37="Uygulanmaz","Uygulanmaz",P37)))</x:f>
        <x:v>İncelenmedi</x:v>
      </x:c>
    </x:row>
    <x:row r="38" ht="35" customHeight="1">
      <x:c r="A38" s="12" t="str">
        <x:v>U-0033</x:v>
      </x:c>
      <x:c r="B38" s="12" t="str">
        <x:v>GNL-09-01</x:v>
      </x:c>
      <x:c r="C38" s="12" t="str">
        <x:v>MSP Genel</x:v>
      </x:c>
      <x:c r="D38" s="12" t="str"/>
      <x:c r="E38" s="12" t="str"/>
      <x:c r="F38" s="12" t="str"/>
      <x:c r="G38" s="12" t="str"/>
      <x:c r="H38" s="12" t="str">
        <x:v>Belirlenecek</x:v>
      </x:c>
      <x:c r="I38" s="12" t="str"/>
      <x:c r="J38" s="12" t="str"/>
      <x:c r="K38" s="12" t="str"/>
      <x:c r="L38" s="13" t="str"/>
      <x:c r="M38" s="12" t="str"/>
      <x:c r="N38" s="12" t="str">
        <x:v>İncelenmedi</x:v>
      </x:c>
      <x:c r="O38" s="12" t="str">
        <x:v>İncelenmedi</x:v>
      </x:c>
      <x:c r="P38" s="12" t="str">
        <x:v>İncelenmedi</x:v>
      </x:c>
      <x:c r="Q38" s="12" t="str"/>
      <x:c r="R38" s="12" t="str"/>
      <x:c r="S38" s="13" t="str"/>
      <x:c r="T38" s="12" t="str"/>
      <x:c r="U38" s="12" t="str"/>
      <x:c r="V38" s="14" t="str">
        <x:f>IF(A38="","",IF(NOT(AND(COUNTIF(Exec[TestID],A38)=1,COUNTIF(Controls[ID],B38)=1,COUNTIFS(Scope[KapsamID],D38,Scope[OnayliKapsamID],D38,Scope[Ürün],C38)=1,OR(COUNTIFS(Controls[ID],B38,Controls[Ürün],C38)=1,COUNTIFS(Controls[ID],B38,Controls[Ürün],"MSP Genel")=1),E38&lt;&gt;"",F38&lt;&gt;"",G38&lt;&gt;"",I38&lt;&gt;"",Q38&lt;&gt;"")),"Kimlik / kapsam eksik",IF(NOT(OR(H38="Uygulanır",H38="Uygulanmaz")),"Uygulanabilirlik eksik",IF(AND(H38="Uygulanır",P38="Kanıt yetersiz",U38&lt;&gt;""),IF(AND(R38&lt;&gt;"",R38&lt;&gt;Q38,ISNUMBER(S38),S38&gt;0,S38&gt;=L38),"İnceleme tamam","Gözden geçirme eksik"),IF(NOT(AND(J38&lt;&gt;"",COUNTIFS(Evidence[KanitID],J38,Evidence[Kabul edilen ID],J38)=1,K38&lt;&gt;"",ISNUMBER(L38),L38&gt;0,M38&lt;&gt;"")),"Kanıt / test eksik",IF(NOT(AND(R38&lt;&gt;"",R38&lt;&gt;Q38,ISNUMBER(S38),S38&gt;0,S38&gt;=L38)),"Gözden geçirme eksik",IF(H38="Uygulanmaz","İnceleme tamam",IF(AND(OR(P38="Uygun",P38="Kısmen uygun",P38="Uygunsuz"),OR(N38="Uygun",N38="Kısmen uygun",N38="Uygunsuz"),OR(O38="Uygun",O38="Kısmen uygun",O38="Uygunsuz"),OR(P38&lt;&gt;"Uygun",AND(N38="Uygun",O38="Uygun")),OR(P38="Uygun",AND(T38&lt;&gt;"",COUNTIF(Findings[KayitliBulguID],T38)=1))),"İnceleme tamam","Sonuç / bulgu eksik"))))))))</x:f>
        <x:v>Kimlik / kapsam eksik</x:v>
      </x:c>
      <x:c r="W38" s="14" t="str">
        <x:f>IF(A38="","",IF(V38&lt;&gt;"İnceleme tamam","İncelenmedi",IF(H38="Uygulanmaz","Uygulanmaz",P38)))</x:f>
        <x:v>İncelenmedi</x:v>
      </x:c>
    </x:row>
    <x:row r="39" ht="35" customHeight="1">
      <x:c r="A39" s="12" t="str">
        <x:v>U-0034</x:v>
      </x:c>
      <x:c r="B39" s="12" t="str">
        <x:v>GNL-09-02</x:v>
      </x:c>
      <x:c r="C39" s="12" t="str">
        <x:v>MSP Genel</x:v>
      </x:c>
      <x:c r="D39" s="12" t="str"/>
      <x:c r="E39" s="12" t="str"/>
      <x:c r="F39" s="12" t="str"/>
      <x:c r="G39" s="12" t="str"/>
      <x:c r="H39" s="12" t="str">
        <x:v>Belirlenecek</x:v>
      </x:c>
      <x:c r="I39" s="12" t="str"/>
      <x:c r="J39" s="12" t="str"/>
      <x:c r="K39" s="12" t="str"/>
      <x:c r="L39" s="13" t="str"/>
      <x:c r="M39" s="12" t="str"/>
      <x:c r="N39" s="12" t="str">
        <x:v>İncelenmedi</x:v>
      </x:c>
      <x:c r="O39" s="12" t="str">
        <x:v>İncelenmedi</x:v>
      </x:c>
      <x:c r="P39" s="12" t="str">
        <x:v>İncelenmedi</x:v>
      </x:c>
      <x:c r="Q39" s="12" t="str"/>
      <x:c r="R39" s="12" t="str"/>
      <x:c r="S39" s="13" t="str"/>
      <x:c r="T39" s="12" t="str"/>
      <x:c r="U39" s="12" t="str"/>
      <x:c r="V39" s="14" t="str">
        <x:f>IF(A39="","",IF(NOT(AND(COUNTIF(Exec[TestID],A39)=1,COUNTIF(Controls[ID],B39)=1,COUNTIFS(Scope[KapsamID],D39,Scope[OnayliKapsamID],D39,Scope[Ürün],C39)=1,OR(COUNTIFS(Controls[ID],B39,Controls[Ürün],C39)=1,COUNTIFS(Controls[ID],B39,Controls[Ürün],"MSP Genel")=1),E39&lt;&gt;"",F39&lt;&gt;"",G39&lt;&gt;"",I39&lt;&gt;"",Q39&lt;&gt;"")),"Kimlik / kapsam eksik",IF(NOT(OR(H39="Uygulanır",H39="Uygulanmaz")),"Uygulanabilirlik eksik",IF(AND(H39="Uygulanır",P39="Kanıt yetersiz",U39&lt;&gt;""),IF(AND(R39&lt;&gt;"",R39&lt;&gt;Q39,ISNUMBER(S39),S39&gt;0,S39&gt;=L39),"İnceleme tamam","Gözden geçirme eksik"),IF(NOT(AND(J39&lt;&gt;"",COUNTIFS(Evidence[KanitID],J39,Evidence[Kabul edilen ID],J39)=1,K39&lt;&gt;"",ISNUMBER(L39),L39&gt;0,M39&lt;&gt;"")),"Kanıt / test eksik",IF(NOT(AND(R39&lt;&gt;"",R39&lt;&gt;Q39,ISNUMBER(S39),S39&gt;0,S39&gt;=L39)),"Gözden geçirme eksik",IF(H39="Uygulanmaz","İnceleme tamam",IF(AND(OR(P39="Uygun",P39="Kısmen uygun",P39="Uygunsuz"),OR(N39="Uygun",N39="Kısmen uygun",N39="Uygunsuz"),OR(O39="Uygun",O39="Kısmen uygun",O39="Uygunsuz"),OR(P39&lt;&gt;"Uygun",AND(N39="Uygun",O39="Uygun")),OR(P39="Uygun",AND(T39&lt;&gt;"",COUNTIF(Findings[KayitliBulguID],T39)=1))),"İnceleme tamam","Sonuç / bulgu eksik"))))))))</x:f>
        <x:v>Kimlik / kapsam eksik</x:v>
      </x:c>
      <x:c r="W39" s="14" t="str">
        <x:f>IF(A39="","",IF(V39&lt;&gt;"İnceleme tamam","İncelenmedi",IF(H39="Uygulanmaz","Uygulanmaz",P39)))</x:f>
        <x:v>İncelenmedi</x:v>
      </x:c>
    </x:row>
    <x:row r="40" ht="35" customHeight="1">
      <x:c r="A40" s="12" t="str">
        <x:v>U-0035</x:v>
      </x:c>
      <x:c r="B40" s="12" t="str">
        <x:v>GNL-09-03</x:v>
      </x:c>
      <x:c r="C40" s="12" t="str">
        <x:v>MSP Genel</x:v>
      </x:c>
      <x:c r="D40" s="12" t="str"/>
      <x:c r="E40" s="12" t="str"/>
      <x:c r="F40" s="12" t="str"/>
      <x:c r="G40" s="12" t="str"/>
      <x:c r="H40" s="12" t="str">
        <x:v>Belirlenecek</x:v>
      </x:c>
      <x:c r="I40" s="12" t="str"/>
      <x:c r="J40" s="12" t="str"/>
      <x:c r="K40" s="12" t="str"/>
      <x:c r="L40" s="13" t="str"/>
      <x:c r="M40" s="12" t="str"/>
      <x:c r="N40" s="12" t="str">
        <x:v>İncelenmedi</x:v>
      </x:c>
      <x:c r="O40" s="12" t="str">
        <x:v>İncelenmedi</x:v>
      </x:c>
      <x:c r="P40" s="12" t="str">
        <x:v>İncelenmedi</x:v>
      </x:c>
      <x:c r="Q40" s="12" t="str"/>
      <x:c r="R40" s="12" t="str"/>
      <x:c r="S40" s="13" t="str"/>
      <x:c r="T40" s="12" t="str"/>
      <x:c r="U40" s="12" t="str"/>
      <x:c r="V40" s="14" t="str">
        <x:f>IF(A40="","",IF(NOT(AND(COUNTIF(Exec[TestID],A40)=1,COUNTIF(Controls[ID],B40)=1,COUNTIFS(Scope[KapsamID],D40,Scope[OnayliKapsamID],D40,Scope[Ürün],C40)=1,OR(COUNTIFS(Controls[ID],B40,Controls[Ürün],C40)=1,COUNTIFS(Controls[ID],B40,Controls[Ürün],"MSP Genel")=1),E40&lt;&gt;"",F40&lt;&gt;"",G40&lt;&gt;"",I40&lt;&gt;"",Q40&lt;&gt;"")),"Kimlik / kapsam eksik",IF(NOT(OR(H40="Uygulanır",H40="Uygulanmaz")),"Uygulanabilirlik eksik",IF(AND(H40="Uygulanır",P40="Kanıt yetersiz",U40&lt;&gt;""),IF(AND(R40&lt;&gt;"",R40&lt;&gt;Q40,ISNUMBER(S40),S40&gt;0,S40&gt;=L40),"İnceleme tamam","Gözden geçirme eksik"),IF(NOT(AND(J40&lt;&gt;"",COUNTIFS(Evidence[KanitID],J40,Evidence[Kabul edilen ID],J40)=1,K40&lt;&gt;"",ISNUMBER(L40),L40&gt;0,M40&lt;&gt;"")),"Kanıt / test eksik",IF(NOT(AND(R40&lt;&gt;"",R40&lt;&gt;Q40,ISNUMBER(S40),S40&gt;0,S40&gt;=L40)),"Gözden geçirme eksik",IF(H40="Uygulanmaz","İnceleme tamam",IF(AND(OR(P40="Uygun",P40="Kısmen uygun",P40="Uygunsuz"),OR(N40="Uygun",N40="Kısmen uygun",N40="Uygunsuz"),OR(O40="Uygun",O40="Kısmen uygun",O40="Uygunsuz"),OR(P40&lt;&gt;"Uygun",AND(N40="Uygun",O40="Uygun")),OR(P40="Uygun",AND(T40&lt;&gt;"",COUNTIF(Findings[KayitliBulguID],T40)=1))),"İnceleme tamam","Sonuç / bulgu eksik"))))))))</x:f>
        <x:v>Kimlik / kapsam eksik</x:v>
      </x:c>
      <x:c r="W40" s="14" t="str">
        <x:f>IF(A40="","",IF(V40&lt;&gt;"İnceleme tamam","İncelenmedi",IF(H40="Uygulanmaz","Uygulanmaz",P40)))</x:f>
        <x:v>İncelenmedi</x:v>
      </x:c>
    </x:row>
    <x:row r="41" ht="35" customHeight="1">
      <x:c r="A41" s="12" t="str">
        <x:v>U-0036</x:v>
      </x:c>
      <x:c r="B41" s="12" t="str">
        <x:v>GNL-09-04</x:v>
      </x:c>
      <x:c r="C41" s="12" t="str">
        <x:v>MSP Genel</x:v>
      </x:c>
      <x:c r="D41" s="12" t="str"/>
      <x:c r="E41" s="12" t="str"/>
      <x:c r="F41" s="12" t="str"/>
      <x:c r="G41" s="12" t="str"/>
      <x:c r="H41" s="12" t="str">
        <x:v>Belirlenecek</x:v>
      </x:c>
      <x:c r="I41" s="12" t="str"/>
      <x:c r="J41" s="12" t="str"/>
      <x:c r="K41" s="12" t="str"/>
      <x:c r="L41" s="13" t="str"/>
      <x:c r="M41" s="12" t="str"/>
      <x:c r="N41" s="12" t="str">
        <x:v>İncelenmedi</x:v>
      </x:c>
      <x:c r="O41" s="12" t="str">
        <x:v>İncelenmedi</x:v>
      </x:c>
      <x:c r="P41" s="12" t="str">
        <x:v>İncelenmedi</x:v>
      </x:c>
      <x:c r="Q41" s="12" t="str"/>
      <x:c r="R41" s="12" t="str"/>
      <x:c r="S41" s="13" t="str"/>
      <x:c r="T41" s="12" t="str"/>
      <x:c r="U41" s="12" t="str"/>
      <x:c r="V41" s="14" t="str">
        <x:f>IF(A41="","",IF(NOT(AND(COUNTIF(Exec[TestID],A41)=1,COUNTIF(Controls[ID],B41)=1,COUNTIFS(Scope[KapsamID],D41,Scope[OnayliKapsamID],D41,Scope[Ürün],C41)=1,OR(COUNTIFS(Controls[ID],B41,Controls[Ürün],C41)=1,COUNTIFS(Controls[ID],B41,Controls[Ürün],"MSP Genel")=1),E41&lt;&gt;"",F41&lt;&gt;"",G41&lt;&gt;"",I41&lt;&gt;"",Q41&lt;&gt;"")),"Kimlik / kapsam eksik",IF(NOT(OR(H41="Uygulanır",H41="Uygulanmaz")),"Uygulanabilirlik eksik",IF(AND(H41="Uygulanır",P41="Kanıt yetersiz",U41&lt;&gt;""),IF(AND(R41&lt;&gt;"",R41&lt;&gt;Q41,ISNUMBER(S41),S41&gt;0,S41&gt;=L41),"İnceleme tamam","Gözden geçirme eksik"),IF(NOT(AND(J41&lt;&gt;"",COUNTIFS(Evidence[KanitID],J41,Evidence[Kabul edilen ID],J41)=1,K41&lt;&gt;"",ISNUMBER(L41),L41&gt;0,M41&lt;&gt;"")),"Kanıt / test eksik",IF(NOT(AND(R41&lt;&gt;"",R41&lt;&gt;Q41,ISNUMBER(S41),S41&gt;0,S41&gt;=L41)),"Gözden geçirme eksik",IF(H41="Uygulanmaz","İnceleme tamam",IF(AND(OR(P41="Uygun",P41="Kısmen uygun",P41="Uygunsuz"),OR(N41="Uygun",N41="Kısmen uygun",N41="Uygunsuz"),OR(O41="Uygun",O41="Kısmen uygun",O41="Uygunsuz"),OR(P41&lt;&gt;"Uygun",AND(N41="Uygun",O41="Uygun")),OR(P41="Uygun",AND(T41&lt;&gt;"",COUNTIF(Findings[KayitliBulguID],T41)=1))),"İnceleme tamam","Sonuç / bulgu eksik"))))))))</x:f>
        <x:v>Kimlik / kapsam eksik</x:v>
      </x:c>
      <x:c r="W41" s="14" t="str">
        <x:f>IF(A41="","",IF(V41&lt;&gt;"İnceleme tamam","İncelenmedi",IF(H41="Uygulanmaz","Uygulanmaz",P41)))</x:f>
        <x:v>İncelenmedi</x:v>
      </x:c>
    </x:row>
    <x:row r="42" ht="35" customHeight="1">
      <x:c r="A42" s="12" t="str">
        <x:v>U-0037</x:v>
      </x:c>
      <x:c r="B42" s="12" t="str">
        <x:v>GNL-09-05</x:v>
      </x:c>
      <x:c r="C42" s="12" t="str">
        <x:v>MSP Genel</x:v>
      </x:c>
      <x:c r="D42" s="12" t="str"/>
      <x:c r="E42" s="12" t="str"/>
      <x:c r="F42" s="12" t="str"/>
      <x:c r="G42" s="12" t="str"/>
      <x:c r="H42" s="12" t="str">
        <x:v>Belirlenecek</x:v>
      </x:c>
      <x:c r="I42" s="12" t="str"/>
      <x:c r="J42" s="12" t="str"/>
      <x:c r="K42" s="12" t="str"/>
      <x:c r="L42" s="13" t="str"/>
      <x:c r="M42" s="12" t="str"/>
      <x:c r="N42" s="12" t="str">
        <x:v>İncelenmedi</x:v>
      </x:c>
      <x:c r="O42" s="12" t="str">
        <x:v>İncelenmedi</x:v>
      </x:c>
      <x:c r="P42" s="12" t="str">
        <x:v>İncelenmedi</x:v>
      </x:c>
      <x:c r="Q42" s="12" t="str"/>
      <x:c r="R42" s="12" t="str"/>
      <x:c r="S42" s="13" t="str"/>
      <x:c r="T42" s="12" t="str"/>
      <x:c r="U42" s="12" t="str"/>
      <x:c r="V42" s="14" t="str">
        <x:f>IF(A42="","",IF(NOT(AND(COUNTIF(Exec[TestID],A42)=1,COUNTIF(Controls[ID],B42)=1,COUNTIFS(Scope[KapsamID],D42,Scope[OnayliKapsamID],D42,Scope[Ürün],C42)=1,OR(COUNTIFS(Controls[ID],B42,Controls[Ürün],C42)=1,COUNTIFS(Controls[ID],B42,Controls[Ürün],"MSP Genel")=1),E42&lt;&gt;"",F42&lt;&gt;"",G42&lt;&gt;"",I42&lt;&gt;"",Q42&lt;&gt;"")),"Kimlik / kapsam eksik",IF(NOT(OR(H42="Uygulanır",H42="Uygulanmaz")),"Uygulanabilirlik eksik",IF(AND(H42="Uygulanır",P42="Kanıt yetersiz",U42&lt;&gt;""),IF(AND(R42&lt;&gt;"",R42&lt;&gt;Q42,ISNUMBER(S42),S42&gt;0,S42&gt;=L42),"İnceleme tamam","Gözden geçirme eksik"),IF(NOT(AND(J42&lt;&gt;"",COUNTIFS(Evidence[KanitID],J42,Evidence[Kabul edilen ID],J42)=1,K42&lt;&gt;"",ISNUMBER(L42),L42&gt;0,M42&lt;&gt;"")),"Kanıt / test eksik",IF(NOT(AND(R42&lt;&gt;"",R42&lt;&gt;Q42,ISNUMBER(S42),S42&gt;0,S42&gt;=L42)),"Gözden geçirme eksik",IF(H42="Uygulanmaz","İnceleme tamam",IF(AND(OR(P42="Uygun",P42="Kısmen uygun",P42="Uygunsuz"),OR(N42="Uygun",N42="Kısmen uygun",N42="Uygunsuz"),OR(O42="Uygun",O42="Kısmen uygun",O42="Uygunsuz"),OR(P42&lt;&gt;"Uygun",AND(N42="Uygun",O42="Uygun")),OR(P42="Uygun",AND(T42&lt;&gt;"",COUNTIF(Findings[KayitliBulguID],T42)=1))),"İnceleme tamam","Sonuç / bulgu eksik"))))))))</x:f>
        <x:v>Kimlik / kapsam eksik</x:v>
      </x:c>
      <x:c r="W42" s="14" t="str">
        <x:f>IF(A42="","",IF(V42&lt;&gt;"İnceleme tamam","İncelenmedi",IF(H42="Uygulanmaz","Uygulanmaz",P42)))</x:f>
        <x:v>İncelenmedi</x:v>
      </x:c>
    </x:row>
    <x:row r="43" ht="35" customHeight="1">
      <x:c r="A43" s="12" t="str">
        <x:v>U-0038</x:v>
      </x:c>
      <x:c r="B43" s="12" t="str">
        <x:v>GNL-10-01</x:v>
      </x:c>
      <x:c r="C43" s="12" t="str">
        <x:v>MSP Genel</x:v>
      </x:c>
      <x:c r="D43" s="12" t="str"/>
      <x:c r="E43" s="12" t="str"/>
      <x:c r="F43" s="12" t="str"/>
      <x:c r="G43" s="12" t="str"/>
      <x:c r="H43" s="12" t="str">
        <x:v>Belirlenecek</x:v>
      </x:c>
      <x:c r="I43" s="12" t="str"/>
      <x:c r="J43" s="12" t="str"/>
      <x:c r="K43" s="12" t="str"/>
      <x:c r="L43" s="13" t="str"/>
      <x:c r="M43" s="12" t="str"/>
      <x:c r="N43" s="12" t="str">
        <x:v>İncelenmedi</x:v>
      </x:c>
      <x:c r="O43" s="12" t="str">
        <x:v>İncelenmedi</x:v>
      </x:c>
      <x:c r="P43" s="12" t="str">
        <x:v>İncelenmedi</x:v>
      </x:c>
      <x:c r="Q43" s="12" t="str"/>
      <x:c r="R43" s="12" t="str"/>
      <x:c r="S43" s="13" t="str"/>
      <x:c r="T43" s="12" t="str"/>
      <x:c r="U43" s="12" t="str"/>
      <x:c r="V43" s="14" t="str">
        <x:f>IF(A43="","",IF(NOT(AND(COUNTIF(Exec[TestID],A43)=1,COUNTIF(Controls[ID],B43)=1,COUNTIFS(Scope[KapsamID],D43,Scope[OnayliKapsamID],D43,Scope[Ürün],C43)=1,OR(COUNTIFS(Controls[ID],B43,Controls[Ürün],C43)=1,COUNTIFS(Controls[ID],B43,Controls[Ürün],"MSP Genel")=1),E43&lt;&gt;"",F43&lt;&gt;"",G43&lt;&gt;"",I43&lt;&gt;"",Q43&lt;&gt;"")),"Kimlik / kapsam eksik",IF(NOT(OR(H43="Uygulanır",H43="Uygulanmaz")),"Uygulanabilirlik eksik",IF(AND(H43="Uygulanır",P43="Kanıt yetersiz",U43&lt;&gt;""),IF(AND(R43&lt;&gt;"",R43&lt;&gt;Q43,ISNUMBER(S43),S43&gt;0,S43&gt;=L43),"İnceleme tamam","Gözden geçirme eksik"),IF(NOT(AND(J43&lt;&gt;"",COUNTIFS(Evidence[KanitID],J43,Evidence[Kabul edilen ID],J43)=1,K43&lt;&gt;"",ISNUMBER(L43),L43&gt;0,M43&lt;&gt;"")),"Kanıt / test eksik",IF(NOT(AND(R43&lt;&gt;"",R43&lt;&gt;Q43,ISNUMBER(S43),S43&gt;0,S43&gt;=L43)),"Gözden geçirme eksik",IF(H43="Uygulanmaz","İnceleme tamam",IF(AND(OR(P43="Uygun",P43="Kısmen uygun",P43="Uygunsuz"),OR(N43="Uygun",N43="Kısmen uygun",N43="Uygunsuz"),OR(O43="Uygun",O43="Kısmen uygun",O43="Uygunsuz"),OR(P43&lt;&gt;"Uygun",AND(N43="Uygun",O43="Uygun")),OR(P43="Uygun",AND(T43&lt;&gt;"",COUNTIF(Findings[KayitliBulguID],T43)=1))),"İnceleme tamam","Sonuç / bulgu eksik"))))))))</x:f>
        <x:v>Kimlik / kapsam eksik</x:v>
      </x:c>
      <x:c r="W43" s="14" t="str">
        <x:f>IF(A43="","",IF(V43&lt;&gt;"İnceleme tamam","İncelenmedi",IF(H43="Uygulanmaz","Uygulanmaz",P43)))</x:f>
        <x:v>İncelenmedi</x:v>
      </x:c>
    </x:row>
    <x:row r="44" ht="35" customHeight="1">
      <x:c r="A44" s="12" t="str">
        <x:v>U-0039</x:v>
      </x:c>
      <x:c r="B44" s="12" t="str">
        <x:v>GNL-11-01</x:v>
      </x:c>
      <x:c r="C44" s="12" t="str">
        <x:v>MSP Genel</x:v>
      </x:c>
      <x:c r="D44" s="12" t="str"/>
      <x:c r="E44" s="12" t="str"/>
      <x:c r="F44" s="12" t="str"/>
      <x:c r="G44" s="12" t="str"/>
      <x:c r="H44" s="12" t="str">
        <x:v>Belirlenecek</x:v>
      </x:c>
      <x:c r="I44" s="12" t="str"/>
      <x:c r="J44" s="12" t="str"/>
      <x:c r="K44" s="12" t="str"/>
      <x:c r="L44" s="13" t="str"/>
      <x:c r="M44" s="12" t="str"/>
      <x:c r="N44" s="12" t="str">
        <x:v>İncelenmedi</x:v>
      </x:c>
      <x:c r="O44" s="12" t="str">
        <x:v>İncelenmedi</x:v>
      </x:c>
      <x:c r="P44" s="12" t="str">
        <x:v>İncelenmedi</x:v>
      </x:c>
      <x:c r="Q44" s="12" t="str"/>
      <x:c r="R44" s="12" t="str"/>
      <x:c r="S44" s="13" t="str"/>
      <x:c r="T44" s="12" t="str"/>
      <x:c r="U44" s="12" t="str"/>
      <x:c r="V44" s="14" t="str">
        <x:f>IF(A44="","",IF(NOT(AND(COUNTIF(Exec[TestID],A44)=1,COUNTIF(Controls[ID],B44)=1,COUNTIFS(Scope[KapsamID],D44,Scope[OnayliKapsamID],D44,Scope[Ürün],C44)=1,OR(COUNTIFS(Controls[ID],B44,Controls[Ürün],C44)=1,COUNTIFS(Controls[ID],B44,Controls[Ürün],"MSP Genel")=1),E44&lt;&gt;"",F44&lt;&gt;"",G44&lt;&gt;"",I44&lt;&gt;"",Q44&lt;&gt;"")),"Kimlik / kapsam eksik",IF(NOT(OR(H44="Uygulanır",H44="Uygulanmaz")),"Uygulanabilirlik eksik",IF(AND(H44="Uygulanır",P44="Kanıt yetersiz",U44&lt;&gt;""),IF(AND(R44&lt;&gt;"",R44&lt;&gt;Q44,ISNUMBER(S44),S44&gt;0,S44&gt;=L44),"İnceleme tamam","Gözden geçirme eksik"),IF(NOT(AND(J44&lt;&gt;"",COUNTIFS(Evidence[KanitID],J44,Evidence[Kabul edilen ID],J44)=1,K44&lt;&gt;"",ISNUMBER(L44),L44&gt;0,M44&lt;&gt;"")),"Kanıt / test eksik",IF(NOT(AND(R44&lt;&gt;"",R44&lt;&gt;Q44,ISNUMBER(S44),S44&gt;0,S44&gt;=L44)),"Gözden geçirme eksik",IF(H44="Uygulanmaz","İnceleme tamam",IF(AND(OR(P44="Uygun",P44="Kısmen uygun",P44="Uygunsuz"),OR(N44="Uygun",N44="Kısmen uygun",N44="Uygunsuz"),OR(O44="Uygun",O44="Kısmen uygun",O44="Uygunsuz"),OR(P44&lt;&gt;"Uygun",AND(N44="Uygun",O44="Uygun")),OR(P44="Uygun",AND(T44&lt;&gt;"",COUNTIF(Findings[KayitliBulguID],T44)=1))),"İnceleme tamam","Sonuç / bulgu eksik"))))))))</x:f>
        <x:v>Kimlik / kapsam eksik</x:v>
      </x:c>
      <x:c r="W44" s="14" t="str">
        <x:f>IF(A44="","",IF(V44&lt;&gt;"İnceleme tamam","İncelenmedi",IF(H44="Uygulanmaz","Uygulanmaz",P44)))</x:f>
        <x:v>İncelenmedi</x:v>
      </x:c>
    </x:row>
    <x:row r="45" ht="35" customHeight="1">
      <x:c r="A45" s="12" t="str">
        <x:v>U-0040</x:v>
      </x:c>
      <x:c r="B45" s="12" t="str">
        <x:v>GNL-11-02</x:v>
      </x:c>
      <x:c r="C45" s="12" t="str">
        <x:v>MSP Genel</x:v>
      </x:c>
      <x:c r="D45" s="12" t="str"/>
      <x:c r="E45" s="12" t="str"/>
      <x:c r="F45" s="12" t="str"/>
      <x:c r="G45" s="12" t="str"/>
      <x:c r="H45" s="12" t="str">
        <x:v>Belirlenecek</x:v>
      </x:c>
      <x:c r="I45" s="12" t="str"/>
      <x:c r="J45" s="12" t="str"/>
      <x:c r="K45" s="12" t="str"/>
      <x:c r="L45" s="13" t="str"/>
      <x:c r="M45" s="12" t="str"/>
      <x:c r="N45" s="12" t="str">
        <x:v>İncelenmedi</x:v>
      </x:c>
      <x:c r="O45" s="12" t="str">
        <x:v>İncelenmedi</x:v>
      </x:c>
      <x:c r="P45" s="12" t="str">
        <x:v>İncelenmedi</x:v>
      </x:c>
      <x:c r="Q45" s="12" t="str"/>
      <x:c r="R45" s="12" t="str"/>
      <x:c r="S45" s="13" t="str"/>
      <x:c r="T45" s="12" t="str"/>
      <x:c r="U45" s="12" t="str"/>
      <x:c r="V45" s="14" t="str">
        <x:f>IF(A45="","",IF(NOT(AND(COUNTIF(Exec[TestID],A45)=1,COUNTIF(Controls[ID],B45)=1,COUNTIFS(Scope[KapsamID],D45,Scope[OnayliKapsamID],D45,Scope[Ürün],C45)=1,OR(COUNTIFS(Controls[ID],B45,Controls[Ürün],C45)=1,COUNTIFS(Controls[ID],B45,Controls[Ürün],"MSP Genel")=1),E45&lt;&gt;"",F45&lt;&gt;"",G45&lt;&gt;"",I45&lt;&gt;"",Q45&lt;&gt;"")),"Kimlik / kapsam eksik",IF(NOT(OR(H45="Uygulanır",H45="Uygulanmaz")),"Uygulanabilirlik eksik",IF(AND(H45="Uygulanır",P45="Kanıt yetersiz",U45&lt;&gt;""),IF(AND(R45&lt;&gt;"",R45&lt;&gt;Q45,ISNUMBER(S45),S45&gt;0,S45&gt;=L45),"İnceleme tamam","Gözden geçirme eksik"),IF(NOT(AND(J45&lt;&gt;"",COUNTIFS(Evidence[KanitID],J45,Evidence[Kabul edilen ID],J45)=1,K45&lt;&gt;"",ISNUMBER(L45),L45&gt;0,M45&lt;&gt;"")),"Kanıt / test eksik",IF(NOT(AND(R45&lt;&gt;"",R45&lt;&gt;Q45,ISNUMBER(S45),S45&gt;0,S45&gt;=L45)),"Gözden geçirme eksik",IF(H45="Uygulanmaz","İnceleme tamam",IF(AND(OR(P45="Uygun",P45="Kısmen uygun",P45="Uygunsuz"),OR(N45="Uygun",N45="Kısmen uygun",N45="Uygunsuz"),OR(O45="Uygun",O45="Kısmen uygun",O45="Uygunsuz"),OR(P45&lt;&gt;"Uygun",AND(N45="Uygun",O45="Uygun")),OR(P45="Uygun",AND(T45&lt;&gt;"",COUNTIF(Findings[KayitliBulguID],T45)=1))),"İnceleme tamam","Sonuç / bulgu eksik"))))))))</x:f>
        <x:v>Kimlik / kapsam eksik</x:v>
      </x:c>
      <x:c r="W45" s="14" t="str">
        <x:f>IF(A45="","",IF(V45&lt;&gt;"İnceleme tamam","İncelenmedi",IF(H45="Uygulanmaz","Uygulanmaz",P45)))</x:f>
        <x:v>İncelenmedi</x:v>
      </x:c>
    </x:row>
    <x:row r="46" ht="35" customHeight="1">
      <x:c r="A46" s="12" t="str">
        <x:v>U-0041</x:v>
      </x:c>
      <x:c r="B46" s="12" t="str">
        <x:v>GNL-11-03</x:v>
      </x:c>
      <x:c r="C46" s="12" t="str">
        <x:v>MSP Genel</x:v>
      </x:c>
      <x:c r="D46" s="12" t="str"/>
      <x:c r="E46" s="12" t="str"/>
      <x:c r="F46" s="12" t="str"/>
      <x:c r="G46" s="12" t="str"/>
      <x:c r="H46" s="12" t="str">
        <x:v>Belirlenecek</x:v>
      </x:c>
      <x:c r="I46" s="12" t="str"/>
      <x:c r="J46" s="12" t="str"/>
      <x:c r="K46" s="12" t="str"/>
      <x:c r="L46" s="13" t="str"/>
      <x:c r="M46" s="12" t="str"/>
      <x:c r="N46" s="12" t="str">
        <x:v>İncelenmedi</x:v>
      </x:c>
      <x:c r="O46" s="12" t="str">
        <x:v>İncelenmedi</x:v>
      </x:c>
      <x:c r="P46" s="12" t="str">
        <x:v>İncelenmedi</x:v>
      </x:c>
      <x:c r="Q46" s="12" t="str"/>
      <x:c r="R46" s="12" t="str"/>
      <x:c r="S46" s="13" t="str"/>
      <x:c r="T46" s="12" t="str"/>
      <x:c r="U46" s="12" t="str"/>
      <x:c r="V46" s="14" t="str">
        <x:f>IF(A46="","",IF(NOT(AND(COUNTIF(Exec[TestID],A46)=1,COUNTIF(Controls[ID],B46)=1,COUNTIFS(Scope[KapsamID],D46,Scope[OnayliKapsamID],D46,Scope[Ürün],C46)=1,OR(COUNTIFS(Controls[ID],B46,Controls[Ürün],C46)=1,COUNTIFS(Controls[ID],B46,Controls[Ürün],"MSP Genel")=1),E46&lt;&gt;"",F46&lt;&gt;"",G46&lt;&gt;"",I46&lt;&gt;"",Q46&lt;&gt;"")),"Kimlik / kapsam eksik",IF(NOT(OR(H46="Uygulanır",H46="Uygulanmaz")),"Uygulanabilirlik eksik",IF(AND(H46="Uygulanır",P46="Kanıt yetersiz",U46&lt;&gt;""),IF(AND(R46&lt;&gt;"",R46&lt;&gt;Q46,ISNUMBER(S46),S46&gt;0,S46&gt;=L46),"İnceleme tamam","Gözden geçirme eksik"),IF(NOT(AND(J46&lt;&gt;"",COUNTIFS(Evidence[KanitID],J46,Evidence[Kabul edilen ID],J46)=1,K46&lt;&gt;"",ISNUMBER(L46),L46&gt;0,M46&lt;&gt;"")),"Kanıt / test eksik",IF(NOT(AND(R46&lt;&gt;"",R46&lt;&gt;Q46,ISNUMBER(S46),S46&gt;0,S46&gt;=L46)),"Gözden geçirme eksik",IF(H46="Uygulanmaz","İnceleme tamam",IF(AND(OR(P46="Uygun",P46="Kısmen uygun",P46="Uygunsuz"),OR(N46="Uygun",N46="Kısmen uygun",N46="Uygunsuz"),OR(O46="Uygun",O46="Kısmen uygun",O46="Uygunsuz"),OR(P46&lt;&gt;"Uygun",AND(N46="Uygun",O46="Uygun")),OR(P46="Uygun",AND(T46&lt;&gt;"",COUNTIF(Findings[KayitliBulguID],T46)=1))),"İnceleme tamam","Sonuç / bulgu eksik"))))))))</x:f>
        <x:v>Kimlik / kapsam eksik</x:v>
      </x:c>
      <x:c r="W46" s="14" t="str">
        <x:f>IF(A46="","",IF(V46&lt;&gt;"İnceleme tamam","İncelenmedi",IF(H46="Uygulanmaz","Uygulanmaz",P46)))</x:f>
        <x:v>İncelenmedi</x:v>
      </x:c>
    </x:row>
    <x:row r="47" ht="35" customHeight="1">
      <x:c r="A47" s="12" t="str">
        <x:v>U-0042</x:v>
      </x:c>
      <x:c r="B47" s="12" t="str">
        <x:v>GNL-12-01</x:v>
      </x:c>
      <x:c r="C47" s="12" t="str">
        <x:v>MSP Genel</x:v>
      </x:c>
      <x:c r="D47" s="12" t="str"/>
      <x:c r="E47" s="12" t="str"/>
      <x:c r="F47" s="12" t="str"/>
      <x:c r="G47" s="12" t="str"/>
      <x:c r="H47" s="12" t="str">
        <x:v>Belirlenecek</x:v>
      </x:c>
      <x:c r="I47" s="12" t="str"/>
      <x:c r="J47" s="12" t="str"/>
      <x:c r="K47" s="12" t="str"/>
      <x:c r="L47" s="13" t="str"/>
      <x:c r="M47" s="12" t="str"/>
      <x:c r="N47" s="12" t="str">
        <x:v>İncelenmedi</x:v>
      </x:c>
      <x:c r="O47" s="12" t="str">
        <x:v>İncelenmedi</x:v>
      </x:c>
      <x:c r="P47" s="12" t="str">
        <x:v>İncelenmedi</x:v>
      </x:c>
      <x:c r="Q47" s="12" t="str"/>
      <x:c r="R47" s="12" t="str"/>
      <x:c r="S47" s="13" t="str"/>
      <x:c r="T47" s="12" t="str"/>
      <x:c r="U47" s="12" t="str"/>
      <x:c r="V47" s="14" t="str">
        <x:f>IF(A47="","",IF(NOT(AND(COUNTIF(Exec[TestID],A47)=1,COUNTIF(Controls[ID],B47)=1,COUNTIFS(Scope[KapsamID],D47,Scope[OnayliKapsamID],D47,Scope[Ürün],C47)=1,OR(COUNTIFS(Controls[ID],B47,Controls[Ürün],C47)=1,COUNTIFS(Controls[ID],B47,Controls[Ürün],"MSP Genel")=1),E47&lt;&gt;"",F47&lt;&gt;"",G47&lt;&gt;"",I47&lt;&gt;"",Q47&lt;&gt;"")),"Kimlik / kapsam eksik",IF(NOT(OR(H47="Uygulanır",H47="Uygulanmaz")),"Uygulanabilirlik eksik",IF(AND(H47="Uygulanır",P47="Kanıt yetersiz",U47&lt;&gt;""),IF(AND(R47&lt;&gt;"",R47&lt;&gt;Q47,ISNUMBER(S47),S47&gt;0,S47&gt;=L47),"İnceleme tamam","Gözden geçirme eksik"),IF(NOT(AND(J47&lt;&gt;"",COUNTIFS(Evidence[KanitID],J47,Evidence[Kabul edilen ID],J47)=1,K47&lt;&gt;"",ISNUMBER(L47),L47&gt;0,M47&lt;&gt;"")),"Kanıt / test eksik",IF(NOT(AND(R47&lt;&gt;"",R47&lt;&gt;Q47,ISNUMBER(S47),S47&gt;0,S47&gt;=L47)),"Gözden geçirme eksik",IF(H47="Uygulanmaz","İnceleme tamam",IF(AND(OR(P47="Uygun",P47="Kısmen uygun",P47="Uygunsuz"),OR(N47="Uygun",N47="Kısmen uygun",N47="Uygunsuz"),OR(O47="Uygun",O47="Kısmen uygun",O47="Uygunsuz"),OR(P47&lt;&gt;"Uygun",AND(N47="Uygun",O47="Uygun")),OR(P47="Uygun",AND(T47&lt;&gt;"",COUNTIF(Findings[KayitliBulguID],T47)=1))),"İnceleme tamam","Sonuç / bulgu eksik"))))))))</x:f>
        <x:v>Kimlik / kapsam eksik</x:v>
      </x:c>
      <x:c r="W47" s="14" t="str">
        <x:f>IF(A47="","",IF(V47&lt;&gt;"İnceleme tamam","İncelenmedi",IF(H47="Uygulanmaz","Uygulanmaz",P47)))</x:f>
        <x:v>İncelenmedi</x:v>
      </x:c>
    </x:row>
    <x:row r="48" ht="35" customHeight="1">
      <x:c r="A48" s="12" t="str">
        <x:v>U-0043</x:v>
      </x:c>
      <x:c r="B48" s="12" t="str">
        <x:v>GNL-13-01</x:v>
      </x:c>
      <x:c r="C48" s="12" t="str">
        <x:v>MSP Genel</x:v>
      </x:c>
      <x:c r="D48" s="12" t="str"/>
      <x:c r="E48" s="12" t="str"/>
      <x:c r="F48" s="12" t="str"/>
      <x:c r="G48" s="12" t="str"/>
      <x:c r="H48" s="12" t="str">
        <x:v>Belirlenecek</x:v>
      </x:c>
      <x:c r="I48" s="12" t="str"/>
      <x:c r="J48" s="12" t="str"/>
      <x:c r="K48" s="12" t="str"/>
      <x:c r="L48" s="13" t="str"/>
      <x:c r="M48" s="12" t="str"/>
      <x:c r="N48" s="12" t="str">
        <x:v>İncelenmedi</x:v>
      </x:c>
      <x:c r="O48" s="12" t="str">
        <x:v>İncelenmedi</x:v>
      </x:c>
      <x:c r="P48" s="12" t="str">
        <x:v>İncelenmedi</x:v>
      </x:c>
      <x:c r="Q48" s="12" t="str"/>
      <x:c r="R48" s="12" t="str"/>
      <x:c r="S48" s="13" t="str"/>
      <x:c r="T48" s="12" t="str"/>
      <x:c r="U48" s="12" t="str"/>
      <x:c r="V48" s="14" t="str">
        <x:f>IF(A48="","",IF(NOT(AND(COUNTIF(Exec[TestID],A48)=1,COUNTIF(Controls[ID],B48)=1,COUNTIFS(Scope[KapsamID],D48,Scope[OnayliKapsamID],D48,Scope[Ürün],C48)=1,OR(COUNTIFS(Controls[ID],B48,Controls[Ürün],C48)=1,COUNTIFS(Controls[ID],B48,Controls[Ürün],"MSP Genel")=1),E48&lt;&gt;"",F48&lt;&gt;"",G48&lt;&gt;"",I48&lt;&gt;"",Q48&lt;&gt;"")),"Kimlik / kapsam eksik",IF(NOT(OR(H48="Uygulanır",H48="Uygulanmaz")),"Uygulanabilirlik eksik",IF(AND(H48="Uygulanır",P48="Kanıt yetersiz",U48&lt;&gt;""),IF(AND(R48&lt;&gt;"",R48&lt;&gt;Q48,ISNUMBER(S48),S48&gt;0,S48&gt;=L48),"İnceleme tamam","Gözden geçirme eksik"),IF(NOT(AND(J48&lt;&gt;"",COUNTIFS(Evidence[KanitID],J48,Evidence[Kabul edilen ID],J48)=1,K48&lt;&gt;"",ISNUMBER(L48),L48&gt;0,M48&lt;&gt;"")),"Kanıt / test eksik",IF(NOT(AND(R48&lt;&gt;"",R48&lt;&gt;Q48,ISNUMBER(S48),S48&gt;0,S48&gt;=L48)),"Gözden geçirme eksik",IF(H48="Uygulanmaz","İnceleme tamam",IF(AND(OR(P48="Uygun",P48="Kısmen uygun",P48="Uygunsuz"),OR(N48="Uygun",N48="Kısmen uygun",N48="Uygunsuz"),OR(O48="Uygun",O48="Kısmen uygun",O48="Uygunsuz"),OR(P48&lt;&gt;"Uygun",AND(N48="Uygun",O48="Uygun")),OR(P48="Uygun",AND(T48&lt;&gt;"",COUNTIF(Findings[KayitliBulguID],T48)=1))),"İnceleme tamam","Sonuç / bulgu eksik"))))))))</x:f>
        <x:v>Kimlik / kapsam eksik</x:v>
      </x:c>
      <x:c r="W48" s="14" t="str">
        <x:f>IF(A48="","",IF(V48&lt;&gt;"İnceleme tamam","İncelenmedi",IF(H48="Uygulanmaz","Uygulanmaz",P48)))</x:f>
        <x:v>İncelenmedi</x:v>
      </x:c>
    </x:row>
    <x:row r="49" ht="35" customHeight="1">
      <x:c r="A49" s="12" t="str">
        <x:v>U-0044</x:v>
      </x:c>
      <x:c r="B49" s="12" t="str">
        <x:v>GNL-13-02</x:v>
      </x:c>
      <x:c r="C49" s="12" t="str">
        <x:v>MSP Genel</x:v>
      </x:c>
      <x:c r="D49" s="12" t="str"/>
      <x:c r="E49" s="12" t="str"/>
      <x:c r="F49" s="12" t="str"/>
      <x:c r="G49" s="12" t="str"/>
      <x:c r="H49" s="12" t="str">
        <x:v>Belirlenecek</x:v>
      </x:c>
      <x:c r="I49" s="12" t="str"/>
      <x:c r="J49" s="12" t="str"/>
      <x:c r="K49" s="12" t="str"/>
      <x:c r="L49" s="13" t="str"/>
      <x:c r="M49" s="12" t="str"/>
      <x:c r="N49" s="12" t="str">
        <x:v>İncelenmedi</x:v>
      </x:c>
      <x:c r="O49" s="12" t="str">
        <x:v>İncelenmedi</x:v>
      </x:c>
      <x:c r="P49" s="12" t="str">
        <x:v>İncelenmedi</x:v>
      </x:c>
      <x:c r="Q49" s="12" t="str"/>
      <x:c r="R49" s="12" t="str"/>
      <x:c r="S49" s="13" t="str"/>
      <x:c r="T49" s="12" t="str"/>
      <x:c r="U49" s="12" t="str"/>
      <x:c r="V49" s="14" t="str">
        <x:f>IF(A49="","",IF(NOT(AND(COUNTIF(Exec[TestID],A49)=1,COUNTIF(Controls[ID],B49)=1,COUNTIFS(Scope[KapsamID],D49,Scope[OnayliKapsamID],D49,Scope[Ürün],C49)=1,OR(COUNTIFS(Controls[ID],B49,Controls[Ürün],C49)=1,COUNTIFS(Controls[ID],B49,Controls[Ürün],"MSP Genel")=1),E49&lt;&gt;"",F49&lt;&gt;"",G49&lt;&gt;"",I49&lt;&gt;"",Q49&lt;&gt;"")),"Kimlik / kapsam eksik",IF(NOT(OR(H49="Uygulanır",H49="Uygulanmaz")),"Uygulanabilirlik eksik",IF(AND(H49="Uygulanır",P49="Kanıt yetersiz",U49&lt;&gt;""),IF(AND(R49&lt;&gt;"",R49&lt;&gt;Q49,ISNUMBER(S49),S49&gt;0,S49&gt;=L49),"İnceleme tamam","Gözden geçirme eksik"),IF(NOT(AND(J49&lt;&gt;"",COUNTIFS(Evidence[KanitID],J49,Evidence[Kabul edilen ID],J49)=1,K49&lt;&gt;"",ISNUMBER(L49),L49&gt;0,M49&lt;&gt;"")),"Kanıt / test eksik",IF(NOT(AND(R49&lt;&gt;"",R49&lt;&gt;Q49,ISNUMBER(S49),S49&gt;0,S49&gt;=L49)),"Gözden geçirme eksik",IF(H49="Uygulanmaz","İnceleme tamam",IF(AND(OR(P49="Uygun",P49="Kısmen uygun",P49="Uygunsuz"),OR(N49="Uygun",N49="Kısmen uygun",N49="Uygunsuz"),OR(O49="Uygun",O49="Kısmen uygun",O49="Uygunsuz"),OR(P49&lt;&gt;"Uygun",AND(N49="Uygun",O49="Uygun")),OR(P49="Uygun",AND(T49&lt;&gt;"",COUNTIF(Findings[KayitliBulguID],T49)=1))),"İnceleme tamam","Sonuç / bulgu eksik"))))))))</x:f>
        <x:v>Kimlik / kapsam eksik</x:v>
      </x:c>
      <x:c r="W49" s="14" t="str">
        <x:f>IF(A49="","",IF(V49&lt;&gt;"İnceleme tamam","İncelenmedi",IF(H49="Uygulanmaz","Uygulanmaz",P49)))</x:f>
        <x:v>İncelenmedi</x:v>
      </x:c>
    </x:row>
    <x:row r="50" ht="35" customHeight="1">
      <x:c r="A50" s="12" t="str">
        <x:v>U-0045</x:v>
      </x:c>
      <x:c r="B50" s="12" t="str">
        <x:v>GNL-13-03</x:v>
      </x:c>
      <x:c r="C50" s="12" t="str">
        <x:v>MSP Genel</x:v>
      </x:c>
      <x:c r="D50" s="12" t="str"/>
      <x:c r="E50" s="12" t="str"/>
      <x:c r="F50" s="12" t="str"/>
      <x:c r="G50" s="12" t="str"/>
      <x:c r="H50" s="12" t="str">
        <x:v>Belirlenecek</x:v>
      </x:c>
      <x:c r="I50" s="12" t="str"/>
      <x:c r="J50" s="12" t="str"/>
      <x:c r="K50" s="12" t="str"/>
      <x:c r="L50" s="13" t="str"/>
      <x:c r="M50" s="12" t="str"/>
      <x:c r="N50" s="12" t="str">
        <x:v>İncelenmedi</x:v>
      </x:c>
      <x:c r="O50" s="12" t="str">
        <x:v>İncelenmedi</x:v>
      </x:c>
      <x:c r="P50" s="12" t="str">
        <x:v>İncelenmedi</x:v>
      </x:c>
      <x:c r="Q50" s="12" t="str"/>
      <x:c r="R50" s="12" t="str"/>
      <x:c r="S50" s="13" t="str"/>
      <x:c r="T50" s="12" t="str"/>
      <x:c r="U50" s="12" t="str"/>
      <x:c r="V50" s="14" t="str">
        <x:f>IF(A50="","",IF(NOT(AND(COUNTIF(Exec[TestID],A50)=1,COUNTIF(Controls[ID],B50)=1,COUNTIFS(Scope[KapsamID],D50,Scope[OnayliKapsamID],D50,Scope[Ürün],C50)=1,OR(COUNTIFS(Controls[ID],B50,Controls[Ürün],C50)=1,COUNTIFS(Controls[ID],B50,Controls[Ürün],"MSP Genel")=1),E50&lt;&gt;"",F50&lt;&gt;"",G50&lt;&gt;"",I50&lt;&gt;"",Q50&lt;&gt;"")),"Kimlik / kapsam eksik",IF(NOT(OR(H50="Uygulanır",H50="Uygulanmaz")),"Uygulanabilirlik eksik",IF(AND(H50="Uygulanır",P50="Kanıt yetersiz",U50&lt;&gt;""),IF(AND(R50&lt;&gt;"",R50&lt;&gt;Q50,ISNUMBER(S50),S50&gt;0,S50&gt;=L50),"İnceleme tamam","Gözden geçirme eksik"),IF(NOT(AND(J50&lt;&gt;"",COUNTIFS(Evidence[KanitID],J50,Evidence[Kabul edilen ID],J50)=1,K50&lt;&gt;"",ISNUMBER(L50),L50&gt;0,M50&lt;&gt;"")),"Kanıt / test eksik",IF(NOT(AND(R50&lt;&gt;"",R50&lt;&gt;Q50,ISNUMBER(S50),S50&gt;0,S50&gt;=L50)),"Gözden geçirme eksik",IF(H50="Uygulanmaz","İnceleme tamam",IF(AND(OR(P50="Uygun",P50="Kısmen uygun",P50="Uygunsuz"),OR(N50="Uygun",N50="Kısmen uygun",N50="Uygunsuz"),OR(O50="Uygun",O50="Kısmen uygun",O50="Uygunsuz"),OR(P50&lt;&gt;"Uygun",AND(N50="Uygun",O50="Uygun")),OR(P50="Uygun",AND(T50&lt;&gt;"",COUNTIF(Findings[KayitliBulguID],T50)=1))),"İnceleme tamam","Sonuç / bulgu eksik"))))))))</x:f>
        <x:v>Kimlik / kapsam eksik</x:v>
      </x:c>
      <x:c r="W50" s="14" t="str">
        <x:f>IF(A50="","",IF(V50&lt;&gt;"İnceleme tamam","İncelenmedi",IF(H50="Uygulanmaz","Uygulanmaz",P50)))</x:f>
        <x:v>İncelenmedi</x:v>
      </x:c>
    </x:row>
    <x:row r="51" ht="35" customHeight="1">
      <x:c r="A51" s="12" t="str">
        <x:v>U-0046</x:v>
      </x:c>
      <x:c r="B51" s="12" t="str">
        <x:v>GNL-14-01</x:v>
      </x:c>
      <x:c r="C51" s="12" t="str">
        <x:v>MSP Genel</x:v>
      </x:c>
      <x:c r="D51" s="12" t="str"/>
      <x:c r="E51" s="12" t="str"/>
      <x:c r="F51" s="12" t="str"/>
      <x:c r="G51" s="12" t="str"/>
      <x:c r="H51" s="12" t="str">
        <x:v>Belirlenecek</x:v>
      </x:c>
      <x:c r="I51" s="12" t="str"/>
      <x:c r="J51" s="12" t="str"/>
      <x:c r="K51" s="12" t="str"/>
      <x:c r="L51" s="13" t="str"/>
      <x:c r="M51" s="12" t="str"/>
      <x:c r="N51" s="12" t="str">
        <x:v>İncelenmedi</x:v>
      </x:c>
      <x:c r="O51" s="12" t="str">
        <x:v>İncelenmedi</x:v>
      </x:c>
      <x:c r="P51" s="12" t="str">
        <x:v>İncelenmedi</x:v>
      </x:c>
      <x:c r="Q51" s="12" t="str"/>
      <x:c r="R51" s="12" t="str"/>
      <x:c r="S51" s="13" t="str"/>
      <x:c r="T51" s="12" t="str"/>
      <x:c r="U51" s="12" t="str"/>
      <x:c r="V51" s="14" t="str">
        <x:f>IF(A51="","",IF(NOT(AND(COUNTIF(Exec[TestID],A51)=1,COUNTIF(Controls[ID],B51)=1,COUNTIFS(Scope[KapsamID],D51,Scope[OnayliKapsamID],D51,Scope[Ürün],C51)=1,OR(COUNTIFS(Controls[ID],B51,Controls[Ürün],C51)=1,COUNTIFS(Controls[ID],B51,Controls[Ürün],"MSP Genel")=1),E51&lt;&gt;"",F51&lt;&gt;"",G51&lt;&gt;"",I51&lt;&gt;"",Q51&lt;&gt;"")),"Kimlik / kapsam eksik",IF(NOT(OR(H51="Uygulanır",H51="Uygulanmaz")),"Uygulanabilirlik eksik",IF(AND(H51="Uygulanır",P51="Kanıt yetersiz",U51&lt;&gt;""),IF(AND(R51&lt;&gt;"",R51&lt;&gt;Q51,ISNUMBER(S51),S51&gt;0,S51&gt;=L51),"İnceleme tamam","Gözden geçirme eksik"),IF(NOT(AND(J51&lt;&gt;"",COUNTIFS(Evidence[KanitID],J51,Evidence[Kabul edilen ID],J51)=1,K51&lt;&gt;"",ISNUMBER(L51),L51&gt;0,M51&lt;&gt;"")),"Kanıt / test eksik",IF(NOT(AND(R51&lt;&gt;"",R51&lt;&gt;Q51,ISNUMBER(S51),S51&gt;0,S51&gt;=L51)),"Gözden geçirme eksik",IF(H51="Uygulanmaz","İnceleme tamam",IF(AND(OR(P51="Uygun",P51="Kısmen uygun",P51="Uygunsuz"),OR(N51="Uygun",N51="Kısmen uygun",N51="Uygunsuz"),OR(O51="Uygun",O51="Kısmen uygun",O51="Uygunsuz"),OR(P51&lt;&gt;"Uygun",AND(N51="Uygun",O51="Uygun")),OR(P51="Uygun",AND(T51&lt;&gt;"",COUNTIF(Findings[KayitliBulguID],T51)=1))),"İnceleme tamam","Sonuç / bulgu eksik"))))))))</x:f>
        <x:v>Kimlik / kapsam eksik</x:v>
      </x:c>
      <x:c r="W51" s="14" t="str">
        <x:f>IF(A51="","",IF(V51&lt;&gt;"İnceleme tamam","İncelenmedi",IF(H51="Uygulanmaz","Uygulanmaz",P51)))</x:f>
        <x:v>İncelenmedi</x:v>
      </x:c>
    </x:row>
    <x:row r="52" ht="35" customHeight="1">
      <x:c r="A52" s="12" t="str">
        <x:v>U-0047</x:v>
      </x:c>
      <x:c r="B52" s="12" t="str">
        <x:v>GNL-14-02</x:v>
      </x:c>
      <x:c r="C52" s="12" t="str">
        <x:v>MSP Genel</x:v>
      </x:c>
      <x:c r="D52" s="12" t="str"/>
      <x:c r="E52" s="12" t="str"/>
      <x:c r="F52" s="12" t="str"/>
      <x:c r="G52" s="12" t="str"/>
      <x:c r="H52" s="12" t="str">
        <x:v>Belirlenecek</x:v>
      </x:c>
      <x:c r="I52" s="12" t="str"/>
      <x:c r="J52" s="12" t="str"/>
      <x:c r="K52" s="12" t="str"/>
      <x:c r="L52" s="13" t="str"/>
      <x:c r="M52" s="12" t="str"/>
      <x:c r="N52" s="12" t="str">
        <x:v>İncelenmedi</x:v>
      </x:c>
      <x:c r="O52" s="12" t="str">
        <x:v>İncelenmedi</x:v>
      </x:c>
      <x:c r="P52" s="12" t="str">
        <x:v>İncelenmedi</x:v>
      </x:c>
      <x:c r="Q52" s="12" t="str"/>
      <x:c r="R52" s="12" t="str"/>
      <x:c r="S52" s="13" t="str"/>
      <x:c r="T52" s="12" t="str"/>
      <x:c r="U52" s="12" t="str"/>
      <x:c r="V52" s="14" t="str">
        <x:f>IF(A52="","",IF(NOT(AND(COUNTIF(Exec[TestID],A52)=1,COUNTIF(Controls[ID],B52)=1,COUNTIFS(Scope[KapsamID],D52,Scope[OnayliKapsamID],D52,Scope[Ürün],C52)=1,OR(COUNTIFS(Controls[ID],B52,Controls[Ürün],C52)=1,COUNTIFS(Controls[ID],B52,Controls[Ürün],"MSP Genel")=1),E52&lt;&gt;"",F52&lt;&gt;"",G52&lt;&gt;"",I52&lt;&gt;"",Q52&lt;&gt;"")),"Kimlik / kapsam eksik",IF(NOT(OR(H52="Uygulanır",H52="Uygulanmaz")),"Uygulanabilirlik eksik",IF(AND(H52="Uygulanır",P52="Kanıt yetersiz",U52&lt;&gt;""),IF(AND(R52&lt;&gt;"",R52&lt;&gt;Q52,ISNUMBER(S52),S52&gt;0,S52&gt;=L52),"İnceleme tamam","Gözden geçirme eksik"),IF(NOT(AND(J52&lt;&gt;"",COUNTIFS(Evidence[KanitID],J52,Evidence[Kabul edilen ID],J52)=1,K52&lt;&gt;"",ISNUMBER(L52),L52&gt;0,M52&lt;&gt;"")),"Kanıt / test eksik",IF(NOT(AND(R52&lt;&gt;"",R52&lt;&gt;Q52,ISNUMBER(S52),S52&gt;0,S52&gt;=L52)),"Gözden geçirme eksik",IF(H52="Uygulanmaz","İnceleme tamam",IF(AND(OR(P52="Uygun",P52="Kısmen uygun",P52="Uygunsuz"),OR(N52="Uygun",N52="Kısmen uygun",N52="Uygunsuz"),OR(O52="Uygun",O52="Kısmen uygun",O52="Uygunsuz"),OR(P52&lt;&gt;"Uygun",AND(N52="Uygun",O52="Uygun")),OR(P52="Uygun",AND(T52&lt;&gt;"",COUNTIF(Findings[KayitliBulguID],T52)=1))),"İnceleme tamam","Sonuç / bulgu eksik"))))))))</x:f>
        <x:v>Kimlik / kapsam eksik</x:v>
      </x:c>
      <x:c r="W52" s="14" t="str">
        <x:f>IF(A52="","",IF(V52&lt;&gt;"İnceleme tamam","İncelenmedi",IF(H52="Uygulanmaz","Uygulanmaz",P52)))</x:f>
        <x:v>İncelenmedi</x:v>
      </x:c>
    </x:row>
    <x:row r="53" ht="35" customHeight="1">
      <x:c r="A53" s="12" t="str">
        <x:v>U-0048</x:v>
      </x:c>
      <x:c r="B53" s="12" t="str">
        <x:v>GNL-15-01</x:v>
      </x:c>
      <x:c r="C53" s="12" t="str">
        <x:v>MSP Genel</x:v>
      </x:c>
      <x:c r="D53" s="12" t="str"/>
      <x:c r="E53" s="12" t="str"/>
      <x:c r="F53" s="12" t="str"/>
      <x:c r="G53" s="12" t="str"/>
      <x:c r="H53" s="12" t="str">
        <x:v>Belirlenecek</x:v>
      </x:c>
      <x:c r="I53" s="12" t="str"/>
      <x:c r="J53" s="12" t="str"/>
      <x:c r="K53" s="12" t="str"/>
      <x:c r="L53" s="13" t="str"/>
      <x:c r="M53" s="12" t="str"/>
      <x:c r="N53" s="12" t="str">
        <x:v>İncelenmedi</x:v>
      </x:c>
      <x:c r="O53" s="12" t="str">
        <x:v>İncelenmedi</x:v>
      </x:c>
      <x:c r="P53" s="12" t="str">
        <x:v>İncelenmedi</x:v>
      </x:c>
      <x:c r="Q53" s="12" t="str"/>
      <x:c r="R53" s="12" t="str"/>
      <x:c r="S53" s="13" t="str"/>
      <x:c r="T53" s="12" t="str"/>
      <x:c r="U53" s="12" t="str"/>
      <x:c r="V53" s="14" t="str">
        <x:f>IF(A53="","",IF(NOT(AND(COUNTIF(Exec[TestID],A53)=1,COUNTIF(Controls[ID],B53)=1,COUNTIFS(Scope[KapsamID],D53,Scope[OnayliKapsamID],D53,Scope[Ürün],C53)=1,OR(COUNTIFS(Controls[ID],B53,Controls[Ürün],C53)=1,COUNTIFS(Controls[ID],B53,Controls[Ürün],"MSP Genel")=1),E53&lt;&gt;"",F53&lt;&gt;"",G53&lt;&gt;"",I53&lt;&gt;"",Q53&lt;&gt;"")),"Kimlik / kapsam eksik",IF(NOT(OR(H53="Uygulanır",H53="Uygulanmaz")),"Uygulanabilirlik eksik",IF(AND(H53="Uygulanır",P53="Kanıt yetersiz",U53&lt;&gt;""),IF(AND(R53&lt;&gt;"",R53&lt;&gt;Q53,ISNUMBER(S53),S53&gt;0,S53&gt;=L53),"İnceleme tamam","Gözden geçirme eksik"),IF(NOT(AND(J53&lt;&gt;"",COUNTIFS(Evidence[KanitID],J53,Evidence[Kabul edilen ID],J53)=1,K53&lt;&gt;"",ISNUMBER(L53),L53&gt;0,M53&lt;&gt;"")),"Kanıt / test eksik",IF(NOT(AND(R53&lt;&gt;"",R53&lt;&gt;Q53,ISNUMBER(S53),S53&gt;0,S53&gt;=L53)),"Gözden geçirme eksik",IF(H53="Uygulanmaz","İnceleme tamam",IF(AND(OR(P53="Uygun",P53="Kısmen uygun",P53="Uygunsuz"),OR(N53="Uygun",N53="Kısmen uygun",N53="Uygunsuz"),OR(O53="Uygun",O53="Kısmen uygun",O53="Uygunsuz"),OR(P53&lt;&gt;"Uygun",AND(N53="Uygun",O53="Uygun")),OR(P53="Uygun",AND(T53&lt;&gt;"",COUNTIF(Findings[KayitliBulguID],T53)=1))),"İnceleme tamam","Sonuç / bulgu eksik"))))))))</x:f>
        <x:v>Kimlik / kapsam eksik</x:v>
      </x:c>
      <x:c r="W53" s="14" t="str">
        <x:f>IF(A53="","",IF(V53&lt;&gt;"İnceleme tamam","İncelenmedi",IF(H53="Uygulanmaz","Uygulanmaz",P53)))</x:f>
        <x:v>İncelenmedi</x:v>
      </x:c>
    </x:row>
    <x:row r="54" ht="35" customHeight="1">
      <x:c r="A54" s="12" t="str">
        <x:v>U-0049</x:v>
      </x:c>
      <x:c r="B54" s="12" t="str">
        <x:v>GNL-15-02</x:v>
      </x:c>
      <x:c r="C54" s="12" t="str">
        <x:v>MSP Genel</x:v>
      </x:c>
      <x:c r="D54" s="12" t="str"/>
      <x:c r="E54" s="12" t="str"/>
      <x:c r="F54" s="12" t="str"/>
      <x:c r="G54" s="12" t="str"/>
      <x:c r="H54" s="12" t="str">
        <x:v>Belirlenecek</x:v>
      </x:c>
      <x:c r="I54" s="12" t="str"/>
      <x:c r="J54" s="12" t="str"/>
      <x:c r="K54" s="12" t="str"/>
      <x:c r="L54" s="13" t="str"/>
      <x:c r="M54" s="12" t="str"/>
      <x:c r="N54" s="12" t="str">
        <x:v>İncelenmedi</x:v>
      </x:c>
      <x:c r="O54" s="12" t="str">
        <x:v>İncelenmedi</x:v>
      </x:c>
      <x:c r="P54" s="12" t="str">
        <x:v>İncelenmedi</x:v>
      </x:c>
      <x:c r="Q54" s="12" t="str"/>
      <x:c r="R54" s="12" t="str"/>
      <x:c r="S54" s="13" t="str"/>
      <x:c r="T54" s="12" t="str"/>
      <x:c r="U54" s="12" t="str"/>
      <x:c r="V54" s="14" t="str">
        <x:f>IF(A54="","",IF(NOT(AND(COUNTIF(Exec[TestID],A54)=1,COUNTIF(Controls[ID],B54)=1,COUNTIFS(Scope[KapsamID],D54,Scope[OnayliKapsamID],D54,Scope[Ürün],C54)=1,OR(COUNTIFS(Controls[ID],B54,Controls[Ürün],C54)=1,COUNTIFS(Controls[ID],B54,Controls[Ürün],"MSP Genel")=1),E54&lt;&gt;"",F54&lt;&gt;"",G54&lt;&gt;"",I54&lt;&gt;"",Q54&lt;&gt;"")),"Kimlik / kapsam eksik",IF(NOT(OR(H54="Uygulanır",H54="Uygulanmaz")),"Uygulanabilirlik eksik",IF(AND(H54="Uygulanır",P54="Kanıt yetersiz",U54&lt;&gt;""),IF(AND(R54&lt;&gt;"",R54&lt;&gt;Q54,ISNUMBER(S54),S54&gt;0,S54&gt;=L54),"İnceleme tamam","Gözden geçirme eksik"),IF(NOT(AND(J54&lt;&gt;"",COUNTIFS(Evidence[KanitID],J54,Evidence[Kabul edilen ID],J54)=1,K54&lt;&gt;"",ISNUMBER(L54),L54&gt;0,M54&lt;&gt;"")),"Kanıt / test eksik",IF(NOT(AND(R54&lt;&gt;"",R54&lt;&gt;Q54,ISNUMBER(S54),S54&gt;0,S54&gt;=L54)),"Gözden geçirme eksik",IF(H54="Uygulanmaz","İnceleme tamam",IF(AND(OR(P54="Uygun",P54="Kısmen uygun",P54="Uygunsuz"),OR(N54="Uygun",N54="Kısmen uygun",N54="Uygunsuz"),OR(O54="Uygun",O54="Kısmen uygun",O54="Uygunsuz"),OR(P54&lt;&gt;"Uygun",AND(N54="Uygun",O54="Uygun")),OR(P54="Uygun",AND(T54&lt;&gt;"",COUNTIF(Findings[KayitliBulguID],T54)=1))),"İnceleme tamam","Sonuç / bulgu eksik"))))))))</x:f>
        <x:v>Kimlik / kapsam eksik</x:v>
      </x:c>
      <x:c r="W54" s="14" t="str">
        <x:f>IF(A54="","",IF(V54&lt;&gt;"İnceleme tamam","İncelenmedi",IF(H54="Uygulanmaz","Uygulanmaz",P54)))</x:f>
        <x:v>İncelenmedi</x:v>
      </x:c>
    </x:row>
    <x:row r="55" ht="35" customHeight="1">
      <x:c r="A55" s="12" t="str">
        <x:v>U-0050</x:v>
      </x:c>
      <x:c r="B55" s="12" t="str">
        <x:v>GNL-15-03</x:v>
      </x:c>
      <x:c r="C55" s="12" t="str">
        <x:v>MSP Genel</x:v>
      </x:c>
      <x:c r="D55" s="12" t="str"/>
      <x:c r="E55" s="12" t="str"/>
      <x:c r="F55" s="12" t="str"/>
      <x:c r="G55" s="12" t="str"/>
      <x:c r="H55" s="12" t="str">
        <x:v>Belirlenecek</x:v>
      </x:c>
      <x:c r="I55" s="12" t="str"/>
      <x:c r="J55" s="12" t="str"/>
      <x:c r="K55" s="12" t="str"/>
      <x:c r="L55" s="13" t="str"/>
      <x:c r="M55" s="12" t="str"/>
      <x:c r="N55" s="12" t="str">
        <x:v>İncelenmedi</x:v>
      </x:c>
      <x:c r="O55" s="12" t="str">
        <x:v>İncelenmedi</x:v>
      </x:c>
      <x:c r="P55" s="12" t="str">
        <x:v>İncelenmedi</x:v>
      </x:c>
      <x:c r="Q55" s="12" t="str"/>
      <x:c r="R55" s="12" t="str"/>
      <x:c r="S55" s="13" t="str"/>
      <x:c r="T55" s="12" t="str"/>
      <x:c r="U55" s="12" t="str"/>
      <x:c r="V55" s="14" t="str">
        <x:f>IF(A55="","",IF(NOT(AND(COUNTIF(Exec[TestID],A55)=1,COUNTIF(Controls[ID],B55)=1,COUNTIFS(Scope[KapsamID],D55,Scope[OnayliKapsamID],D55,Scope[Ürün],C55)=1,OR(COUNTIFS(Controls[ID],B55,Controls[Ürün],C55)=1,COUNTIFS(Controls[ID],B55,Controls[Ürün],"MSP Genel")=1),E55&lt;&gt;"",F55&lt;&gt;"",G55&lt;&gt;"",I55&lt;&gt;"",Q55&lt;&gt;"")),"Kimlik / kapsam eksik",IF(NOT(OR(H55="Uygulanır",H55="Uygulanmaz")),"Uygulanabilirlik eksik",IF(AND(H55="Uygulanır",P55="Kanıt yetersiz",U55&lt;&gt;""),IF(AND(R55&lt;&gt;"",R55&lt;&gt;Q55,ISNUMBER(S55),S55&gt;0,S55&gt;=L55),"İnceleme tamam","Gözden geçirme eksik"),IF(NOT(AND(J55&lt;&gt;"",COUNTIFS(Evidence[KanitID],J55,Evidence[Kabul edilen ID],J55)=1,K55&lt;&gt;"",ISNUMBER(L55),L55&gt;0,M55&lt;&gt;"")),"Kanıt / test eksik",IF(NOT(AND(R55&lt;&gt;"",R55&lt;&gt;Q55,ISNUMBER(S55),S55&gt;0,S55&gt;=L55)),"Gözden geçirme eksik",IF(H55="Uygulanmaz","İnceleme tamam",IF(AND(OR(P55="Uygun",P55="Kısmen uygun",P55="Uygunsuz"),OR(N55="Uygun",N55="Kısmen uygun",N55="Uygunsuz"),OR(O55="Uygun",O55="Kısmen uygun",O55="Uygunsuz"),OR(P55&lt;&gt;"Uygun",AND(N55="Uygun",O55="Uygun")),OR(P55="Uygun",AND(T55&lt;&gt;"",COUNTIF(Findings[KayitliBulguID],T55)=1))),"İnceleme tamam","Sonuç / bulgu eksik"))))))))</x:f>
        <x:v>Kimlik / kapsam eksik</x:v>
      </x:c>
      <x:c r="W55" s="14" t="str">
        <x:f>IF(A55="","",IF(V55&lt;&gt;"İnceleme tamam","İncelenmedi",IF(H55="Uygulanmaz","Uygulanmaz",P55)))</x:f>
        <x:v>İncelenmedi</x:v>
      </x:c>
    </x:row>
    <x:row r="56" ht="35" customHeight="1">
      <x:c r="A56" s="12" t="str">
        <x:v>U-0051</x:v>
      </x:c>
      <x:c r="B56" s="12" t="str">
        <x:v>GNL-16-01</x:v>
      </x:c>
      <x:c r="C56" s="12" t="str">
        <x:v>MSP Genel</x:v>
      </x:c>
      <x:c r="D56" s="12" t="str"/>
      <x:c r="E56" s="12" t="str"/>
      <x:c r="F56" s="12" t="str"/>
      <x:c r="G56" s="12" t="str"/>
      <x:c r="H56" s="12" t="str">
        <x:v>Belirlenecek</x:v>
      </x:c>
      <x:c r="I56" s="12" t="str"/>
      <x:c r="J56" s="12" t="str"/>
      <x:c r="K56" s="12" t="str"/>
      <x:c r="L56" s="13" t="str"/>
      <x:c r="M56" s="12" t="str"/>
      <x:c r="N56" s="12" t="str">
        <x:v>İncelenmedi</x:v>
      </x:c>
      <x:c r="O56" s="12" t="str">
        <x:v>İncelenmedi</x:v>
      </x:c>
      <x:c r="P56" s="12" t="str">
        <x:v>İncelenmedi</x:v>
      </x:c>
      <x:c r="Q56" s="12" t="str"/>
      <x:c r="R56" s="12" t="str"/>
      <x:c r="S56" s="13" t="str"/>
      <x:c r="T56" s="12" t="str"/>
      <x:c r="U56" s="12" t="str"/>
      <x:c r="V56" s="14" t="str">
        <x:f>IF(A56="","",IF(NOT(AND(COUNTIF(Exec[TestID],A56)=1,COUNTIF(Controls[ID],B56)=1,COUNTIFS(Scope[KapsamID],D56,Scope[OnayliKapsamID],D56,Scope[Ürün],C56)=1,OR(COUNTIFS(Controls[ID],B56,Controls[Ürün],C56)=1,COUNTIFS(Controls[ID],B56,Controls[Ürün],"MSP Genel")=1),E56&lt;&gt;"",F56&lt;&gt;"",G56&lt;&gt;"",I56&lt;&gt;"",Q56&lt;&gt;"")),"Kimlik / kapsam eksik",IF(NOT(OR(H56="Uygulanır",H56="Uygulanmaz")),"Uygulanabilirlik eksik",IF(AND(H56="Uygulanır",P56="Kanıt yetersiz",U56&lt;&gt;""),IF(AND(R56&lt;&gt;"",R56&lt;&gt;Q56,ISNUMBER(S56),S56&gt;0,S56&gt;=L56),"İnceleme tamam","Gözden geçirme eksik"),IF(NOT(AND(J56&lt;&gt;"",COUNTIFS(Evidence[KanitID],J56,Evidence[Kabul edilen ID],J56)=1,K56&lt;&gt;"",ISNUMBER(L56),L56&gt;0,M56&lt;&gt;"")),"Kanıt / test eksik",IF(NOT(AND(R56&lt;&gt;"",R56&lt;&gt;Q56,ISNUMBER(S56),S56&gt;0,S56&gt;=L56)),"Gözden geçirme eksik",IF(H56="Uygulanmaz","İnceleme tamam",IF(AND(OR(P56="Uygun",P56="Kısmen uygun",P56="Uygunsuz"),OR(N56="Uygun",N56="Kısmen uygun",N56="Uygunsuz"),OR(O56="Uygun",O56="Kısmen uygun",O56="Uygunsuz"),OR(P56&lt;&gt;"Uygun",AND(N56="Uygun",O56="Uygun")),OR(P56="Uygun",AND(T56&lt;&gt;"",COUNTIF(Findings[KayitliBulguID],T56)=1))),"İnceleme tamam","Sonuç / bulgu eksik"))))))))</x:f>
        <x:v>Kimlik / kapsam eksik</x:v>
      </x:c>
      <x:c r="W56" s="14" t="str">
        <x:f>IF(A56="","",IF(V56&lt;&gt;"İnceleme tamam","İncelenmedi",IF(H56="Uygulanmaz","Uygulanmaz",P56)))</x:f>
        <x:v>İncelenmedi</x:v>
      </x:c>
    </x:row>
    <x:row r="57" ht="35" customHeight="1">
      <x:c r="A57" s="12" t="str">
        <x:v>U-0052</x:v>
      </x:c>
      <x:c r="B57" s="12" t="str">
        <x:v>GNL-16-02</x:v>
      </x:c>
      <x:c r="C57" s="12" t="str">
        <x:v>MSP Genel</x:v>
      </x:c>
      <x:c r="D57" s="12" t="str"/>
      <x:c r="E57" s="12" t="str"/>
      <x:c r="F57" s="12" t="str"/>
      <x:c r="G57" s="12" t="str"/>
      <x:c r="H57" s="12" t="str">
        <x:v>Belirlenecek</x:v>
      </x:c>
      <x:c r="I57" s="12" t="str"/>
      <x:c r="J57" s="12" t="str"/>
      <x:c r="K57" s="12" t="str"/>
      <x:c r="L57" s="13" t="str"/>
      <x:c r="M57" s="12" t="str"/>
      <x:c r="N57" s="12" t="str">
        <x:v>İncelenmedi</x:v>
      </x:c>
      <x:c r="O57" s="12" t="str">
        <x:v>İncelenmedi</x:v>
      </x:c>
      <x:c r="P57" s="12" t="str">
        <x:v>İncelenmedi</x:v>
      </x:c>
      <x:c r="Q57" s="12" t="str"/>
      <x:c r="R57" s="12" t="str"/>
      <x:c r="S57" s="13" t="str"/>
      <x:c r="T57" s="12" t="str"/>
      <x:c r="U57" s="12" t="str"/>
      <x:c r="V57" s="14" t="str">
        <x:f>IF(A57="","",IF(NOT(AND(COUNTIF(Exec[TestID],A57)=1,COUNTIF(Controls[ID],B57)=1,COUNTIFS(Scope[KapsamID],D57,Scope[OnayliKapsamID],D57,Scope[Ürün],C57)=1,OR(COUNTIFS(Controls[ID],B57,Controls[Ürün],C57)=1,COUNTIFS(Controls[ID],B57,Controls[Ürün],"MSP Genel")=1),E57&lt;&gt;"",F57&lt;&gt;"",G57&lt;&gt;"",I57&lt;&gt;"",Q57&lt;&gt;"")),"Kimlik / kapsam eksik",IF(NOT(OR(H57="Uygulanır",H57="Uygulanmaz")),"Uygulanabilirlik eksik",IF(AND(H57="Uygulanır",P57="Kanıt yetersiz",U57&lt;&gt;""),IF(AND(R57&lt;&gt;"",R57&lt;&gt;Q57,ISNUMBER(S57),S57&gt;0,S57&gt;=L57),"İnceleme tamam","Gözden geçirme eksik"),IF(NOT(AND(J57&lt;&gt;"",COUNTIFS(Evidence[KanitID],J57,Evidence[Kabul edilen ID],J57)=1,K57&lt;&gt;"",ISNUMBER(L57),L57&gt;0,M57&lt;&gt;"")),"Kanıt / test eksik",IF(NOT(AND(R57&lt;&gt;"",R57&lt;&gt;Q57,ISNUMBER(S57),S57&gt;0,S57&gt;=L57)),"Gözden geçirme eksik",IF(H57="Uygulanmaz","İnceleme tamam",IF(AND(OR(P57="Uygun",P57="Kısmen uygun",P57="Uygunsuz"),OR(N57="Uygun",N57="Kısmen uygun",N57="Uygunsuz"),OR(O57="Uygun",O57="Kısmen uygun",O57="Uygunsuz"),OR(P57&lt;&gt;"Uygun",AND(N57="Uygun",O57="Uygun")),OR(P57="Uygun",AND(T57&lt;&gt;"",COUNTIF(Findings[KayitliBulguID],T57)=1))),"İnceleme tamam","Sonuç / bulgu eksik"))))))))</x:f>
        <x:v>Kimlik / kapsam eksik</x:v>
      </x:c>
      <x:c r="W57" s="14" t="str">
        <x:f>IF(A57="","",IF(V57&lt;&gt;"İnceleme tamam","İncelenmedi",IF(H57="Uygulanmaz","Uygulanmaz",P57)))</x:f>
        <x:v>İncelenmedi</x:v>
      </x:c>
    </x:row>
    <x:row r="58" ht="35" customHeight="1">
      <x:c r="A58" s="12" t="str">
        <x:v>U-0053</x:v>
      </x:c>
      <x:c r="B58" s="12" t="str">
        <x:v>GNL-16-03</x:v>
      </x:c>
      <x:c r="C58" s="12" t="str">
        <x:v>MSP Genel</x:v>
      </x:c>
      <x:c r="D58" s="12" t="str"/>
      <x:c r="E58" s="12" t="str"/>
      <x:c r="F58" s="12" t="str"/>
      <x:c r="G58" s="12" t="str"/>
      <x:c r="H58" s="12" t="str">
        <x:v>Belirlenecek</x:v>
      </x:c>
      <x:c r="I58" s="12" t="str"/>
      <x:c r="J58" s="12" t="str"/>
      <x:c r="K58" s="12" t="str"/>
      <x:c r="L58" s="13" t="str"/>
      <x:c r="M58" s="12" t="str"/>
      <x:c r="N58" s="12" t="str">
        <x:v>İncelenmedi</x:v>
      </x:c>
      <x:c r="O58" s="12" t="str">
        <x:v>İncelenmedi</x:v>
      </x:c>
      <x:c r="P58" s="12" t="str">
        <x:v>İncelenmedi</x:v>
      </x:c>
      <x:c r="Q58" s="12" t="str"/>
      <x:c r="R58" s="12" t="str"/>
      <x:c r="S58" s="13" t="str"/>
      <x:c r="T58" s="12" t="str"/>
      <x:c r="U58" s="12" t="str"/>
      <x:c r="V58" s="14" t="str">
        <x:f>IF(A58="","",IF(NOT(AND(COUNTIF(Exec[TestID],A58)=1,COUNTIF(Controls[ID],B58)=1,COUNTIFS(Scope[KapsamID],D58,Scope[OnayliKapsamID],D58,Scope[Ürün],C58)=1,OR(COUNTIFS(Controls[ID],B58,Controls[Ürün],C58)=1,COUNTIFS(Controls[ID],B58,Controls[Ürün],"MSP Genel")=1),E58&lt;&gt;"",F58&lt;&gt;"",G58&lt;&gt;"",I58&lt;&gt;"",Q58&lt;&gt;"")),"Kimlik / kapsam eksik",IF(NOT(OR(H58="Uygulanır",H58="Uygulanmaz")),"Uygulanabilirlik eksik",IF(AND(H58="Uygulanır",P58="Kanıt yetersiz",U58&lt;&gt;""),IF(AND(R58&lt;&gt;"",R58&lt;&gt;Q58,ISNUMBER(S58),S58&gt;0,S58&gt;=L58),"İnceleme tamam","Gözden geçirme eksik"),IF(NOT(AND(J58&lt;&gt;"",COUNTIFS(Evidence[KanitID],J58,Evidence[Kabul edilen ID],J58)=1,K58&lt;&gt;"",ISNUMBER(L58),L58&gt;0,M58&lt;&gt;"")),"Kanıt / test eksik",IF(NOT(AND(R58&lt;&gt;"",R58&lt;&gt;Q58,ISNUMBER(S58),S58&gt;0,S58&gt;=L58)),"Gözden geçirme eksik",IF(H58="Uygulanmaz","İnceleme tamam",IF(AND(OR(P58="Uygun",P58="Kısmen uygun",P58="Uygunsuz"),OR(N58="Uygun",N58="Kısmen uygun",N58="Uygunsuz"),OR(O58="Uygun",O58="Kısmen uygun",O58="Uygunsuz"),OR(P58&lt;&gt;"Uygun",AND(N58="Uygun",O58="Uygun")),OR(P58="Uygun",AND(T58&lt;&gt;"",COUNTIF(Findings[KayitliBulguID],T58)=1))),"İnceleme tamam","Sonuç / bulgu eksik"))))))))</x:f>
        <x:v>Kimlik / kapsam eksik</x:v>
      </x:c>
      <x:c r="W58" s="14" t="str">
        <x:f>IF(A58="","",IF(V58&lt;&gt;"İnceleme tamam","İncelenmedi",IF(H58="Uygulanmaz","Uygulanmaz",P58)))</x:f>
        <x:v>İncelenmedi</x:v>
      </x:c>
    </x:row>
    <x:row r="59" ht="35" customHeight="1">
      <x:c r="A59" s="12" t="str">
        <x:v>U-0054</x:v>
      </x:c>
      <x:c r="B59" s="12" t="str">
        <x:v>GNL-17-01</x:v>
      </x:c>
      <x:c r="C59" s="12" t="str">
        <x:v>MSP Genel</x:v>
      </x:c>
      <x:c r="D59" s="12" t="str"/>
      <x:c r="E59" s="12" t="str"/>
      <x:c r="F59" s="12" t="str"/>
      <x:c r="G59" s="12" t="str"/>
      <x:c r="H59" s="12" t="str">
        <x:v>Belirlenecek</x:v>
      </x:c>
      <x:c r="I59" s="12" t="str"/>
      <x:c r="J59" s="12" t="str"/>
      <x:c r="K59" s="12" t="str"/>
      <x:c r="L59" s="13" t="str"/>
      <x:c r="M59" s="12" t="str"/>
      <x:c r="N59" s="12" t="str">
        <x:v>İncelenmedi</x:v>
      </x:c>
      <x:c r="O59" s="12" t="str">
        <x:v>İncelenmedi</x:v>
      </x:c>
      <x:c r="P59" s="12" t="str">
        <x:v>İncelenmedi</x:v>
      </x:c>
      <x:c r="Q59" s="12" t="str"/>
      <x:c r="R59" s="12" t="str"/>
      <x:c r="S59" s="13" t="str"/>
      <x:c r="T59" s="12" t="str"/>
      <x:c r="U59" s="12" t="str"/>
      <x:c r="V59" s="14" t="str">
        <x:f>IF(A59="","",IF(NOT(AND(COUNTIF(Exec[TestID],A59)=1,COUNTIF(Controls[ID],B59)=1,COUNTIFS(Scope[KapsamID],D59,Scope[OnayliKapsamID],D59,Scope[Ürün],C59)=1,OR(COUNTIFS(Controls[ID],B59,Controls[Ürün],C59)=1,COUNTIFS(Controls[ID],B59,Controls[Ürün],"MSP Genel")=1),E59&lt;&gt;"",F59&lt;&gt;"",G59&lt;&gt;"",I59&lt;&gt;"",Q59&lt;&gt;"")),"Kimlik / kapsam eksik",IF(NOT(OR(H59="Uygulanır",H59="Uygulanmaz")),"Uygulanabilirlik eksik",IF(AND(H59="Uygulanır",P59="Kanıt yetersiz",U59&lt;&gt;""),IF(AND(R59&lt;&gt;"",R59&lt;&gt;Q59,ISNUMBER(S59),S59&gt;0,S59&gt;=L59),"İnceleme tamam","Gözden geçirme eksik"),IF(NOT(AND(J59&lt;&gt;"",COUNTIFS(Evidence[KanitID],J59,Evidence[Kabul edilen ID],J59)=1,K59&lt;&gt;"",ISNUMBER(L59),L59&gt;0,M59&lt;&gt;"")),"Kanıt / test eksik",IF(NOT(AND(R59&lt;&gt;"",R59&lt;&gt;Q59,ISNUMBER(S59),S59&gt;0,S59&gt;=L59)),"Gözden geçirme eksik",IF(H59="Uygulanmaz","İnceleme tamam",IF(AND(OR(P59="Uygun",P59="Kısmen uygun",P59="Uygunsuz"),OR(N59="Uygun",N59="Kısmen uygun",N59="Uygunsuz"),OR(O59="Uygun",O59="Kısmen uygun",O59="Uygunsuz"),OR(P59&lt;&gt;"Uygun",AND(N59="Uygun",O59="Uygun")),OR(P59="Uygun",AND(T59&lt;&gt;"",COUNTIF(Findings[KayitliBulguID],T59)=1))),"İnceleme tamam","Sonuç / bulgu eksik"))))))))</x:f>
        <x:v>Kimlik / kapsam eksik</x:v>
      </x:c>
      <x:c r="W59" s="14" t="str">
        <x:f>IF(A59="","",IF(V59&lt;&gt;"İnceleme tamam","İncelenmedi",IF(H59="Uygulanmaz","Uygulanmaz",P59)))</x:f>
        <x:v>İncelenmedi</x:v>
      </x:c>
    </x:row>
    <x:row r="60" ht="35" customHeight="1">
      <x:c r="A60" s="12" t="str">
        <x:v>U-0055</x:v>
      </x:c>
      <x:c r="B60" s="12" t="str">
        <x:v>GNL-17-03</x:v>
      </x:c>
      <x:c r="C60" s="12" t="str">
        <x:v>MSP Genel</x:v>
      </x:c>
      <x:c r="D60" s="12" t="str"/>
      <x:c r="E60" s="12" t="str"/>
      <x:c r="F60" s="12" t="str"/>
      <x:c r="G60" s="12" t="str"/>
      <x:c r="H60" s="12" t="str">
        <x:v>Belirlenecek</x:v>
      </x:c>
      <x:c r="I60" s="12" t="str"/>
      <x:c r="J60" s="12" t="str"/>
      <x:c r="K60" s="12" t="str"/>
      <x:c r="L60" s="13" t="str"/>
      <x:c r="M60" s="12" t="str"/>
      <x:c r="N60" s="12" t="str">
        <x:v>İncelenmedi</x:v>
      </x:c>
      <x:c r="O60" s="12" t="str">
        <x:v>İncelenmedi</x:v>
      </x:c>
      <x:c r="P60" s="12" t="str">
        <x:v>İncelenmedi</x:v>
      </x:c>
      <x:c r="Q60" s="12" t="str"/>
      <x:c r="R60" s="12" t="str"/>
      <x:c r="S60" s="13" t="str"/>
      <x:c r="T60" s="12" t="str"/>
      <x:c r="U60" s="12" t="str"/>
      <x:c r="V60" s="14" t="str">
        <x:f>IF(A60="","",IF(NOT(AND(COUNTIF(Exec[TestID],A60)=1,COUNTIF(Controls[ID],B60)=1,COUNTIFS(Scope[KapsamID],D60,Scope[OnayliKapsamID],D60,Scope[Ürün],C60)=1,OR(COUNTIFS(Controls[ID],B60,Controls[Ürün],C60)=1,COUNTIFS(Controls[ID],B60,Controls[Ürün],"MSP Genel")=1),E60&lt;&gt;"",F60&lt;&gt;"",G60&lt;&gt;"",I60&lt;&gt;"",Q60&lt;&gt;"")),"Kimlik / kapsam eksik",IF(NOT(OR(H60="Uygulanır",H60="Uygulanmaz")),"Uygulanabilirlik eksik",IF(AND(H60="Uygulanır",P60="Kanıt yetersiz",U60&lt;&gt;""),IF(AND(R60&lt;&gt;"",R60&lt;&gt;Q60,ISNUMBER(S60),S60&gt;0,S60&gt;=L60),"İnceleme tamam","Gözden geçirme eksik"),IF(NOT(AND(J60&lt;&gt;"",COUNTIFS(Evidence[KanitID],J60,Evidence[Kabul edilen ID],J60)=1,K60&lt;&gt;"",ISNUMBER(L60),L60&gt;0,M60&lt;&gt;"")),"Kanıt / test eksik",IF(NOT(AND(R60&lt;&gt;"",R60&lt;&gt;Q60,ISNUMBER(S60),S60&gt;0,S60&gt;=L60)),"Gözden geçirme eksik",IF(H60="Uygulanmaz","İnceleme tamam",IF(AND(OR(P60="Uygun",P60="Kısmen uygun",P60="Uygunsuz"),OR(N60="Uygun",N60="Kısmen uygun",N60="Uygunsuz"),OR(O60="Uygun",O60="Kısmen uygun",O60="Uygunsuz"),OR(P60&lt;&gt;"Uygun",AND(N60="Uygun",O60="Uygun")),OR(P60="Uygun",AND(T60&lt;&gt;"",COUNTIF(Findings[KayitliBulguID],T60)=1))),"İnceleme tamam","Sonuç / bulgu eksik"))))))))</x:f>
        <x:v>Kimlik / kapsam eksik</x:v>
      </x:c>
      <x:c r="W60" s="14" t="str">
        <x:f>IF(A60="","",IF(V60&lt;&gt;"İnceleme tamam","İncelenmedi",IF(H60="Uygulanmaz","Uygulanmaz",P60)))</x:f>
        <x:v>İncelenmedi</x:v>
      </x:c>
    </x:row>
    <x:row r="61" ht="35" customHeight="1">
      <x:c r="A61" s="12" t="str">
        <x:v>U-0056</x:v>
      </x:c>
      <x:c r="B61" s="12" t="str">
        <x:v>GNL-18-01</x:v>
      </x:c>
      <x:c r="C61" s="12" t="str">
        <x:v>MSP Genel</x:v>
      </x:c>
      <x:c r="D61" s="12" t="str"/>
      <x:c r="E61" s="12" t="str"/>
      <x:c r="F61" s="12" t="str"/>
      <x:c r="G61" s="12" t="str"/>
      <x:c r="H61" s="12" t="str">
        <x:v>Belirlenecek</x:v>
      </x:c>
      <x:c r="I61" s="12" t="str"/>
      <x:c r="J61" s="12" t="str"/>
      <x:c r="K61" s="12" t="str"/>
      <x:c r="L61" s="13" t="str"/>
      <x:c r="M61" s="12" t="str"/>
      <x:c r="N61" s="12" t="str">
        <x:v>İncelenmedi</x:v>
      </x:c>
      <x:c r="O61" s="12" t="str">
        <x:v>İncelenmedi</x:v>
      </x:c>
      <x:c r="P61" s="12" t="str">
        <x:v>İncelenmedi</x:v>
      </x:c>
      <x:c r="Q61" s="12" t="str"/>
      <x:c r="R61" s="12" t="str"/>
      <x:c r="S61" s="13" t="str"/>
      <x:c r="T61" s="12" t="str"/>
      <x:c r="U61" s="12" t="str"/>
      <x:c r="V61" s="14" t="str">
        <x:f>IF(A61="","",IF(NOT(AND(COUNTIF(Exec[TestID],A61)=1,COUNTIF(Controls[ID],B61)=1,COUNTIFS(Scope[KapsamID],D61,Scope[OnayliKapsamID],D61,Scope[Ürün],C61)=1,OR(COUNTIFS(Controls[ID],B61,Controls[Ürün],C61)=1,COUNTIFS(Controls[ID],B61,Controls[Ürün],"MSP Genel")=1),E61&lt;&gt;"",F61&lt;&gt;"",G61&lt;&gt;"",I61&lt;&gt;"",Q61&lt;&gt;"")),"Kimlik / kapsam eksik",IF(NOT(OR(H61="Uygulanır",H61="Uygulanmaz")),"Uygulanabilirlik eksik",IF(AND(H61="Uygulanır",P61="Kanıt yetersiz",U61&lt;&gt;""),IF(AND(R61&lt;&gt;"",R61&lt;&gt;Q61,ISNUMBER(S61),S61&gt;0,S61&gt;=L61),"İnceleme tamam","Gözden geçirme eksik"),IF(NOT(AND(J61&lt;&gt;"",COUNTIFS(Evidence[KanitID],J61,Evidence[Kabul edilen ID],J61)=1,K61&lt;&gt;"",ISNUMBER(L61),L61&gt;0,M61&lt;&gt;"")),"Kanıt / test eksik",IF(NOT(AND(R61&lt;&gt;"",R61&lt;&gt;Q61,ISNUMBER(S61),S61&gt;0,S61&gt;=L61)),"Gözden geçirme eksik",IF(H61="Uygulanmaz","İnceleme tamam",IF(AND(OR(P61="Uygun",P61="Kısmen uygun",P61="Uygunsuz"),OR(N61="Uygun",N61="Kısmen uygun",N61="Uygunsuz"),OR(O61="Uygun",O61="Kısmen uygun",O61="Uygunsuz"),OR(P61&lt;&gt;"Uygun",AND(N61="Uygun",O61="Uygun")),OR(P61="Uygun",AND(T61&lt;&gt;"",COUNTIF(Findings[KayitliBulguID],T61)=1))),"İnceleme tamam","Sonuç / bulgu eksik"))))))))</x:f>
        <x:v>Kimlik / kapsam eksik</x:v>
      </x:c>
      <x:c r="W61" s="14" t="str">
        <x:f>IF(A61="","",IF(V61&lt;&gt;"İnceleme tamam","İncelenmedi",IF(H61="Uygulanmaz","Uygulanmaz",P61)))</x:f>
        <x:v>İncelenmedi</x:v>
      </x:c>
    </x:row>
    <x:row r="62" ht="35" customHeight="1">
      <x:c r="A62" s="12" t="str">
        <x:v>U-0057</x:v>
      </x:c>
      <x:c r="B62" s="12" t="str">
        <x:v>GNL-18-02</x:v>
      </x:c>
      <x:c r="C62" s="12" t="str">
        <x:v>MSP Genel</x:v>
      </x:c>
      <x:c r="D62" s="12" t="str"/>
      <x:c r="E62" s="12" t="str"/>
      <x:c r="F62" s="12" t="str"/>
      <x:c r="G62" s="12" t="str"/>
      <x:c r="H62" s="12" t="str">
        <x:v>Belirlenecek</x:v>
      </x:c>
      <x:c r="I62" s="12" t="str"/>
      <x:c r="J62" s="12" t="str"/>
      <x:c r="K62" s="12" t="str"/>
      <x:c r="L62" s="13" t="str"/>
      <x:c r="M62" s="12" t="str"/>
      <x:c r="N62" s="12" t="str">
        <x:v>İncelenmedi</x:v>
      </x:c>
      <x:c r="O62" s="12" t="str">
        <x:v>İncelenmedi</x:v>
      </x:c>
      <x:c r="P62" s="12" t="str">
        <x:v>İncelenmedi</x:v>
      </x:c>
      <x:c r="Q62" s="12" t="str"/>
      <x:c r="R62" s="12" t="str"/>
      <x:c r="S62" s="13" t="str"/>
      <x:c r="T62" s="12" t="str"/>
      <x:c r="U62" s="12" t="str"/>
      <x:c r="V62" s="14" t="str">
        <x:f>IF(A62="","",IF(NOT(AND(COUNTIF(Exec[TestID],A62)=1,COUNTIF(Controls[ID],B62)=1,COUNTIFS(Scope[KapsamID],D62,Scope[OnayliKapsamID],D62,Scope[Ürün],C62)=1,OR(COUNTIFS(Controls[ID],B62,Controls[Ürün],C62)=1,COUNTIFS(Controls[ID],B62,Controls[Ürün],"MSP Genel")=1),E62&lt;&gt;"",F62&lt;&gt;"",G62&lt;&gt;"",I62&lt;&gt;"",Q62&lt;&gt;"")),"Kimlik / kapsam eksik",IF(NOT(OR(H62="Uygulanır",H62="Uygulanmaz")),"Uygulanabilirlik eksik",IF(AND(H62="Uygulanır",P62="Kanıt yetersiz",U62&lt;&gt;""),IF(AND(R62&lt;&gt;"",R62&lt;&gt;Q62,ISNUMBER(S62),S62&gt;0,S62&gt;=L62),"İnceleme tamam","Gözden geçirme eksik"),IF(NOT(AND(J62&lt;&gt;"",COUNTIFS(Evidence[KanitID],J62,Evidence[Kabul edilen ID],J62)=1,K62&lt;&gt;"",ISNUMBER(L62),L62&gt;0,M62&lt;&gt;"")),"Kanıt / test eksik",IF(NOT(AND(R62&lt;&gt;"",R62&lt;&gt;Q62,ISNUMBER(S62),S62&gt;0,S62&gt;=L62)),"Gözden geçirme eksik",IF(H62="Uygulanmaz","İnceleme tamam",IF(AND(OR(P62="Uygun",P62="Kısmen uygun",P62="Uygunsuz"),OR(N62="Uygun",N62="Kısmen uygun",N62="Uygunsuz"),OR(O62="Uygun",O62="Kısmen uygun",O62="Uygunsuz"),OR(P62&lt;&gt;"Uygun",AND(N62="Uygun",O62="Uygun")),OR(P62="Uygun",AND(T62&lt;&gt;"",COUNTIF(Findings[KayitliBulguID],T62)=1))),"İnceleme tamam","Sonuç / bulgu eksik"))))))))</x:f>
        <x:v>Kimlik / kapsam eksik</x:v>
      </x:c>
      <x:c r="W62" s="14" t="str">
        <x:f>IF(A62="","",IF(V62&lt;&gt;"İnceleme tamam","İncelenmedi",IF(H62="Uygulanmaz","Uygulanmaz",P62)))</x:f>
        <x:v>İncelenmedi</x:v>
      </x:c>
    </x:row>
    <x:row r="63" ht="35" customHeight="1">
      <x:c r="A63" s="12" t="str">
        <x:v>U-0058</x:v>
      </x:c>
      <x:c r="B63" s="12" t="str">
        <x:v>GNL-19-01</x:v>
      </x:c>
      <x:c r="C63" s="12" t="str">
        <x:v>MSP Genel</x:v>
      </x:c>
      <x:c r="D63" s="12" t="str"/>
      <x:c r="E63" s="12" t="str"/>
      <x:c r="F63" s="12" t="str"/>
      <x:c r="G63" s="12" t="str"/>
      <x:c r="H63" s="12" t="str">
        <x:v>Belirlenecek</x:v>
      </x:c>
      <x:c r="I63" s="12" t="str"/>
      <x:c r="J63" s="12" t="str"/>
      <x:c r="K63" s="12" t="str"/>
      <x:c r="L63" s="13" t="str"/>
      <x:c r="M63" s="12" t="str"/>
      <x:c r="N63" s="12" t="str">
        <x:v>İncelenmedi</x:v>
      </x:c>
      <x:c r="O63" s="12" t="str">
        <x:v>İncelenmedi</x:v>
      </x:c>
      <x:c r="P63" s="12" t="str">
        <x:v>İncelenmedi</x:v>
      </x:c>
      <x:c r="Q63" s="12" t="str"/>
      <x:c r="R63" s="12" t="str"/>
      <x:c r="S63" s="13" t="str"/>
      <x:c r="T63" s="12" t="str"/>
      <x:c r="U63" s="12" t="str"/>
      <x:c r="V63" s="14" t="str">
        <x:f>IF(A63="","",IF(NOT(AND(COUNTIF(Exec[TestID],A63)=1,COUNTIF(Controls[ID],B63)=1,COUNTIFS(Scope[KapsamID],D63,Scope[OnayliKapsamID],D63,Scope[Ürün],C63)=1,OR(COUNTIFS(Controls[ID],B63,Controls[Ürün],C63)=1,COUNTIFS(Controls[ID],B63,Controls[Ürün],"MSP Genel")=1),E63&lt;&gt;"",F63&lt;&gt;"",G63&lt;&gt;"",I63&lt;&gt;"",Q63&lt;&gt;"")),"Kimlik / kapsam eksik",IF(NOT(OR(H63="Uygulanır",H63="Uygulanmaz")),"Uygulanabilirlik eksik",IF(AND(H63="Uygulanır",P63="Kanıt yetersiz",U63&lt;&gt;""),IF(AND(R63&lt;&gt;"",R63&lt;&gt;Q63,ISNUMBER(S63),S63&gt;0,S63&gt;=L63),"İnceleme tamam","Gözden geçirme eksik"),IF(NOT(AND(J63&lt;&gt;"",COUNTIFS(Evidence[KanitID],J63,Evidence[Kabul edilen ID],J63)=1,K63&lt;&gt;"",ISNUMBER(L63),L63&gt;0,M63&lt;&gt;"")),"Kanıt / test eksik",IF(NOT(AND(R63&lt;&gt;"",R63&lt;&gt;Q63,ISNUMBER(S63),S63&gt;0,S63&gt;=L63)),"Gözden geçirme eksik",IF(H63="Uygulanmaz","İnceleme tamam",IF(AND(OR(P63="Uygun",P63="Kısmen uygun",P63="Uygunsuz"),OR(N63="Uygun",N63="Kısmen uygun",N63="Uygunsuz"),OR(O63="Uygun",O63="Kısmen uygun",O63="Uygunsuz"),OR(P63&lt;&gt;"Uygun",AND(N63="Uygun",O63="Uygun")),OR(P63="Uygun",AND(T63&lt;&gt;"",COUNTIF(Findings[KayitliBulguID],T63)=1))),"İnceleme tamam","Sonuç / bulgu eksik"))))))))</x:f>
        <x:v>Kimlik / kapsam eksik</x:v>
      </x:c>
      <x:c r="W63" s="14" t="str">
        <x:f>IF(A63="","",IF(V63&lt;&gt;"İnceleme tamam","İncelenmedi",IF(H63="Uygulanmaz","Uygulanmaz",P63)))</x:f>
        <x:v>İncelenmedi</x:v>
      </x:c>
    </x:row>
    <x:row r="64" ht="35" customHeight="1">
      <x:c r="A64" s="12" t="str">
        <x:v>U-0059</x:v>
      </x:c>
      <x:c r="B64" s="12" t="str">
        <x:v>GNL-19-02</x:v>
      </x:c>
      <x:c r="C64" s="12" t="str">
        <x:v>MSP Genel</x:v>
      </x:c>
      <x:c r="D64" s="12" t="str"/>
      <x:c r="E64" s="12" t="str"/>
      <x:c r="F64" s="12" t="str"/>
      <x:c r="G64" s="12" t="str"/>
      <x:c r="H64" s="12" t="str">
        <x:v>Belirlenecek</x:v>
      </x:c>
      <x:c r="I64" s="12" t="str"/>
      <x:c r="J64" s="12" t="str"/>
      <x:c r="K64" s="12" t="str"/>
      <x:c r="L64" s="13" t="str"/>
      <x:c r="M64" s="12" t="str"/>
      <x:c r="N64" s="12" t="str">
        <x:v>İncelenmedi</x:v>
      </x:c>
      <x:c r="O64" s="12" t="str">
        <x:v>İncelenmedi</x:v>
      </x:c>
      <x:c r="P64" s="12" t="str">
        <x:v>İncelenmedi</x:v>
      </x:c>
      <x:c r="Q64" s="12" t="str"/>
      <x:c r="R64" s="12" t="str"/>
      <x:c r="S64" s="13" t="str"/>
      <x:c r="T64" s="12" t="str"/>
      <x:c r="U64" s="12" t="str"/>
      <x:c r="V64" s="14" t="str">
        <x:f>IF(A64="","",IF(NOT(AND(COUNTIF(Exec[TestID],A64)=1,COUNTIF(Controls[ID],B64)=1,COUNTIFS(Scope[KapsamID],D64,Scope[OnayliKapsamID],D64,Scope[Ürün],C64)=1,OR(COUNTIFS(Controls[ID],B64,Controls[Ürün],C64)=1,COUNTIFS(Controls[ID],B64,Controls[Ürün],"MSP Genel")=1),E64&lt;&gt;"",F64&lt;&gt;"",G64&lt;&gt;"",I64&lt;&gt;"",Q64&lt;&gt;"")),"Kimlik / kapsam eksik",IF(NOT(OR(H64="Uygulanır",H64="Uygulanmaz")),"Uygulanabilirlik eksik",IF(AND(H64="Uygulanır",P64="Kanıt yetersiz",U64&lt;&gt;""),IF(AND(R64&lt;&gt;"",R64&lt;&gt;Q64,ISNUMBER(S64),S64&gt;0,S64&gt;=L64),"İnceleme tamam","Gözden geçirme eksik"),IF(NOT(AND(J64&lt;&gt;"",COUNTIFS(Evidence[KanitID],J64,Evidence[Kabul edilen ID],J64)=1,K64&lt;&gt;"",ISNUMBER(L64),L64&gt;0,M64&lt;&gt;"")),"Kanıt / test eksik",IF(NOT(AND(R64&lt;&gt;"",R64&lt;&gt;Q64,ISNUMBER(S64),S64&gt;0,S64&gt;=L64)),"Gözden geçirme eksik",IF(H64="Uygulanmaz","İnceleme tamam",IF(AND(OR(P64="Uygun",P64="Kısmen uygun",P64="Uygunsuz"),OR(N64="Uygun",N64="Kısmen uygun",N64="Uygunsuz"),OR(O64="Uygun",O64="Kısmen uygun",O64="Uygunsuz"),OR(P64&lt;&gt;"Uygun",AND(N64="Uygun",O64="Uygun")),OR(P64="Uygun",AND(T64&lt;&gt;"",COUNTIF(Findings[KayitliBulguID],T64)=1))),"İnceleme tamam","Sonuç / bulgu eksik"))))))))</x:f>
        <x:v>Kimlik / kapsam eksik</x:v>
      </x:c>
      <x:c r="W64" s="14" t="str">
        <x:f>IF(A64="","",IF(V64&lt;&gt;"İnceleme tamam","İncelenmedi",IF(H64="Uygulanmaz","Uygulanmaz",P64)))</x:f>
        <x:v>İncelenmedi</x:v>
      </x:c>
    </x:row>
    <x:row r="65" ht="35" customHeight="1">
      <x:c r="A65" s="12" t="str">
        <x:v>U-0060</x:v>
      </x:c>
      <x:c r="B65" s="12" t="str">
        <x:v>GNL-19-03</x:v>
      </x:c>
      <x:c r="C65" s="12" t="str">
        <x:v>MSP Genel</x:v>
      </x:c>
      <x:c r="D65" s="12" t="str"/>
      <x:c r="E65" s="12" t="str"/>
      <x:c r="F65" s="12" t="str"/>
      <x:c r="G65" s="12" t="str"/>
      <x:c r="H65" s="12" t="str">
        <x:v>Belirlenecek</x:v>
      </x:c>
      <x:c r="I65" s="12" t="str"/>
      <x:c r="J65" s="12" t="str"/>
      <x:c r="K65" s="12" t="str"/>
      <x:c r="L65" s="13" t="str"/>
      <x:c r="M65" s="12" t="str"/>
      <x:c r="N65" s="12" t="str">
        <x:v>İncelenmedi</x:v>
      </x:c>
      <x:c r="O65" s="12" t="str">
        <x:v>İncelenmedi</x:v>
      </x:c>
      <x:c r="P65" s="12" t="str">
        <x:v>İncelenmedi</x:v>
      </x:c>
      <x:c r="Q65" s="12" t="str"/>
      <x:c r="R65" s="12" t="str"/>
      <x:c r="S65" s="13" t="str"/>
      <x:c r="T65" s="12" t="str"/>
      <x:c r="U65" s="12" t="str"/>
      <x:c r="V65" s="14" t="str">
        <x:f>IF(A65="","",IF(NOT(AND(COUNTIF(Exec[TestID],A65)=1,COUNTIF(Controls[ID],B65)=1,COUNTIFS(Scope[KapsamID],D65,Scope[OnayliKapsamID],D65,Scope[Ürün],C65)=1,OR(COUNTIFS(Controls[ID],B65,Controls[Ürün],C65)=1,COUNTIFS(Controls[ID],B65,Controls[Ürün],"MSP Genel")=1),E65&lt;&gt;"",F65&lt;&gt;"",G65&lt;&gt;"",I65&lt;&gt;"",Q65&lt;&gt;"")),"Kimlik / kapsam eksik",IF(NOT(OR(H65="Uygulanır",H65="Uygulanmaz")),"Uygulanabilirlik eksik",IF(AND(H65="Uygulanır",P65="Kanıt yetersiz",U65&lt;&gt;""),IF(AND(R65&lt;&gt;"",R65&lt;&gt;Q65,ISNUMBER(S65),S65&gt;0,S65&gt;=L65),"İnceleme tamam","Gözden geçirme eksik"),IF(NOT(AND(J65&lt;&gt;"",COUNTIFS(Evidence[KanitID],J65,Evidence[Kabul edilen ID],J65)=1,K65&lt;&gt;"",ISNUMBER(L65),L65&gt;0,M65&lt;&gt;"")),"Kanıt / test eksik",IF(NOT(AND(R65&lt;&gt;"",R65&lt;&gt;Q65,ISNUMBER(S65),S65&gt;0,S65&gt;=L65)),"Gözden geçirme eksik",IF(H65="Uygulanmaz","İnceleme tamam",IF(AND(OR(P65="Uygun",P65="Kısmen uygun",P65="Uygunsuz"),OR(N65="Uygun",N65="Kısmen uygun",N65="Uygunsuz"),OR(O65="Uygun",O65="Kısmen uygun",O65="Uygunsuz"),OR(P65&lt;&gt;"Uygun",AND(N65="Uygun",O65="Uygun")),OR(P65="Uygun",AND(T65&lt;&gt;"",COUNTIF(Findings[KayitliBulguID],T65)=1))),"İnceleme tamam","Sonuç / bulgu eksik"))))))))</x:f>
        <x:v>Kimlik / kapsam eksik</x:v>
      </x:c>
      <x:c r="W65" s="14" t="str">
        <x:f>IF(A65="","",IF(V65&lt;&gt;"İnceleme tamam","İncelenmedi",IF(H65="Uygulanmaz","Uygulanmaz",P65)))</x:f>
        <x:v>İncelenmedi</x:v>
      </x:c>
    </x:row>
    <x:row r="66" ht="35" customHeight="1">
      <x:c r="A66" s="12" t="str">
        <x:v>U-0061</x:v>
      </x:c>
      <x:c r="B66" s="12" t="str">
        <x:v>GNL-20-01</x:v>
      </x:c>
      <x:c r="C66" s="12" t="str">
        <x:v>MSP Genel</x:v>
      </x:c>
      <x:c r="D66" s="12" t="str"/>
      <x:c r="E66" s="12" t="str"/>
      <x:c r="F66" s="12" t="str"/>
      <x:c r="G66" s="12" t="str"/>
      <x:c r="H66" s="12" t="str">
        <x:v>Belirlenecek</x:v>
      </x:c>
      <x:c r="I66" s="12" t="str"/>
      <x:c r="J66" s="12" t="str"/>
      <x:c r="K66" s="12" t="str"/>
      <x:c r="L66" s="13" t="str"/>
      <x:c r="M66" s="12" t="str"/>
      <x:c r="N66" s="12" t="str">
        <x:v>İncelenmedi</x:v>
      </x:c>
      <x:c r="O66" s="12" t="str">
        <x:v>İncelenmedi</x:v>
      </x:c>
      <x:c r="P66" s="12" t="str">
        <x:v>İncelenmedi</x:v>
      </x:c>
      <x:c r="Q66" s="12" t="str"/>
      <x:c r="R66" s="12" t="str"/>
      <x:c r="S66" s="13" t="str"/>
      <x:c r="T66" s="12" t="str"/>
      <x:c r="U66" s="12" t="str"/>
      <x:c r="V66" s="14" t="str">
        <x:f>IF(A66="","",IF(NOT(AND(COUNTIF(Exec[TestID],A66)=1,COUNTIF(Controls[ID],B66)=1,COUNTIFS(Scope[KapsamID],D66,Scope[OnayliKapsamID],D66,Scope[Ürün],C66)=1,OR(COUNTIFS(Controls[ID],B66,Controls[Ürün],C66)=1,COUNTIFS(Controls[ID],B66,Controls[Ürün],"MSP Genel")=1),E66&lt;&gt;"",F66&lt;&gt;"",G66&lt;&gt;"",I66&lt;&gt;"",Q66&lt;&gt;"")),"Kimlik / kapsam eksik",IF(NOT(OR(H66="Uygulanır",H66="Uygulanmaz")),"Uygulanabilirlik eksik",IF(AND(H66="Uygulanır",P66="Kanıt yetersiz",U66&lt;&gt;""),IF(AND(R66&lt;&gt;"",R66&lt;&gt;Q66,ISNUMBER(S66),S66&gt;0,S66&gt;=L66),"İnceleme tamam","Gözden geçirme eksik"),IF(NOT(AND(J66&lt;&gt;"",COUNTIFS(Evidence[KanitID],J66,Evidence[Kabul edilen ID],J66)=1,K66&lt;&gt;"",ISNUMBER(L66),L66&gt;0,M66&lt;&gt;"")),"Kanıt / test eksik",IF(NOT(AND(R66&lt;&gt;"",R66&lt;&gt;Q66,ISNUMBER(S66),S66&gt;0,S66&gt;=L66)),"Gözden geçirme eksik",IF(H66="Uygulanmaz","İnceleme tamam",IF(AND(OR(P66="Uygun",P66="Kısmen uygun",P66="Uygunsuz"),OR(N66="Uygun",N66="Kısmen uygun",N66="Uygunsuz"),OR(O66="Uygun",O66="Kısmen uygun",O66="Uygunsuz"),OR(P66&lt;&gt;"Uygun",AND(N66="Uygun",O66="Uygun")),OR(P66="Uygun",AND(T66&lt;&gt;"",COUNTIF(Findings[KayitliBulguID],T66)=1))),"İnceleme tamam","Sonuç / bulgu eksik"))))))))</x:f>
        <x:v>Kimlik / kapsam eksik</x:v>
      </x:c>
      <x:c r="W66" s="14" t="str">
        <x:f>IF(A66="","",IF(V66&lt;&gt;"İnceleme tamam","İncelenmedi",IF(H66="Uygulanmaz","Uygulanmaz",P66)))</x:f>
        <x:v>İncelenmedi</x:v>
      </x:c>
    </x:row>
    <x:row r="67" ht="35" customHeight="1">
      <x:c r="A67" s="12" t="str">
        <x:v>U-0062</x:v>
      </x:c>
      <x:c r="B67" s="12" t="str">
        <x:v>GNL-20-04</x:v>
      </x:c>
      <x:c r="C67" s="12" t="str">
        <x:v>MSP Genel</x:v>
      </x:c>
      <x:c r="D67" s="12" t="str"/>
      <x:c r="E67" s="12" t="str"/>
      <x:c r="F67" s="12" t="str"/>
      <x:c r="G67" s="12" t="str"/>
      <x:c r="H67" s="12" t="str">
        <x:v>Belirlenecek</x:v>
      </x:c>
      <x:c r="I67" s="12" t="str"/>
      <x:c r="J67" s="12" t="str"/>
      <x:c r="K67" s="12" t="str"/>
      <x:c r="L67" s="13" t="str"/>
      <x:c r="M67" s="12" t="str"/>
      <x:c r="N67" s="12" t="str">
        <x:v>İncelenmedi</x:v>
      </x:c>
      <x:c r="O67" s="12" t="str">
        <x:v>İncelenmedi</x:v>
      </x:c>
      <x:c r="P67" s="12" t="str">
        <x:v>İncelenmedi</x:v>
      </x:c>
      <x:c r="Q67" s="12" t="str"/>
      <x:c r="R67" s="12" t="str"/>
      <x:c r="S67" s="13" t="str"/>
      <x:c r="T67" s="12" t="str"/>
      <x:c r="U67" s="12" t="str"/>
      <x:c r="V67" s="14" t="str">
        <x:f>IF(A67="","",IF(NOT(AND(COUNTIF(Exec[TestID],A67)=1,COUNTIF(Controls[ID],B67)=1,COUNTIFS(Scope[KapsamID],D67,Scope[OnayliKapsamID],D67,Scope[Ürün],C67)=1,OR(COUNTIFS(Controls[ID],B67,Controls[Ürün],C67)=1,COUNTIFS(Controls[ID],B67,Controls[Ürün],"MSP Genel")=1),E67&lt;&gt;"",F67&lt;&gt;"",G67&lt;&gt;"",I67&lt;&gt;"",Q67&lt;&gt;"")),"Kimlik / kapsam eksik",IF(NOT(OR(H67="Uygulanır",H67="Uygulanmaz")),"Uygulanabilirlik eksik",IF(AND(H67="Uygulanır",P67="Kanıt yetersiz",U67&lt;&gt;""),IF(AND(R67&lt;&gt;"",R67&lt;&gt;Q67,ISNUMBER(S67),S67&gt;0,S67&gt;=L67),"İnceleme tamam","Gözden geçirme eksik"),IF(NOT(AND(J67&lt;&gt;"",COUNTIFS(Evidence[KanitID],J67,Evidence[Kabul edilen ID],J67)=1,K67&lt;&gt;"",ISNUMBER(L67),L67&gt;0,M67&lt;&gt;"")),"Kanıt / test eksik",IF(NOT(AND(R67&lt;&gt;"",R67&lt;&gt;Q67,ISNUMBER(S67),S67&gt;0,S67&gt;=L67)),"Gözden geçirme eksik",IF(H67="Uygulanmaz","İnceleme tamam",IF(AND(OR(P67="Uygun",P67="Kısmen uygun",P67="Uygunsuz"),OR(N67="Uygun",N67="Kısmen uygun",N67="Uygunsuz"),OR(O67="Uygun",O67="Kısmen uygun",O67="Uygunsuz"),OR(P67&lt;&gt;"Uygun",AND(N67="Uygun",O67="Uygun")),OR(P67="Uygun",AND(T67&lt;&gt;"",COUNTIF(Findings[KayitliBulguID],T67)=1))),"İnceleme tamam","Sonuç / bulgu eksik"))))))))</x:f>
        <x:v>Kimlik / kapsam eksik</x:v>
      </x:c>
      <x:c r="W67" s="14" t="str">
        <x:f>IF(A67="","",IF(V67&lt;&gt;"İnceleme tamam","İncelenmedi",IF(H67="Uygulanmaz","Uygulanmaz",P67)))</x:f>
        <x:v>İncelenmedi</x:v>
      </x:c>
    </x:row>
    <x:row r="68" ht="35" customHeight="1">
      <x:c r="A68" s="12" t="str">
        <x:v>U-0063</x:v>
      </x:c>
      <x:c r="B68" s="12" t="str">
        <x:v>GNL-21-01</x:v>
      </x:c>
      <x:c r="C68" s="12" t="str">
        <x:v>MSP Genel</x:v>
      </x:c>
      <x:c r="D68" s="12" t="str"/>
      <x:c r="E68" s="12" t="str"/>
      <x:c r="F68" s="12" t="str"/>
      <x:c r="G68" s="12" t="str"/>
      <x:c r="H68" s="12" t="str">
        <x:v>Belirlenecek</x:v>
      </x:c>
      <x:c r="I68" s="12" t="str"/>
      <x:c r="J68" s="12" t="str"/>
      <x:c r="K68" s="12" t="str"/>
      <x:c r="L68" s="13" t="str"/>
      <x:c r="M68" s="12" t="str"/>
      <x:c r="N68" s="12" t="str">
        <x:v>İncelenmedi</x:v>
      </x:c>
      <x:c r="O68" s="12" t="str">
        <x:v>İncelenmedi</x:v>
      </x:c>
      <x:c r="P68" s="12" t="str">
        <x:v>İncelenmedi</x:v>
      </x:c>
      <x:c r="Q68" s="12" t="str"/>
      <x:c r="R68" s="12" t="str"/>
      <x:c r="S68" s="13" t="str"/>
      <x:c r="T68" s="12" t="str"/>
      <x:c r="U68" s="12" t="str"/>
      <x:c r="V68" s="14" t="str">
        <x:f>IF(A68="","",IF(NOT(AND(COUNTIF(Exec[TestID],A68)=1,COUNTIF(Controls[ID],B68)=1,COUNTIFS(Scope[KapsamID],D68,Scope[OnayliKapsamID],D68,Scope[Ürün],C68)=1,OR(COUNTIFS(Controls[ID],B68,Controls[Ürün],C68)=1,COUNTIFS(Controls[ID],B68,Controls[Ürün],"MSP Genel")=1),E68&lt;&gt;"",F68&lt;&gt;"",G68&lt;&gt;"",I68&lt;&gt;"",Q68&lt;&gt;"")),"Kimlik / kapsam eksik",IF(NOT(OR(H68="Uygulanır",H68="Uygulanmaz")),"Uygulanabilirlik eksik",IF(AND(H68="Uygulanır",P68="Kanıt yetersiz",U68&lt;&gt;""),IF(AND(R68&lt;&gt;"",R68&lt;&gt;Q68,ISNUMBER(S68),S68&gt;0,S68&gt;=L68),"İnceleme tamam","Gözden geçirme eksik"),IF(NOT(AND(J68&lt;&gt;"",COUNTIFS(Evidence[KanitID],J68,Evidence[Kabul edilen ID],J68)=1,K68&lt;&gt;"",ISNUMBER(L68),L68&gt;0,M68&lt;&gt;"")),"Kanıt / test eksik",IF(NOT(AND(R68&lt;&gt;"",R68&lt;&gt;Q68,ISNUMBER(S68),S68&gt;0,S68&gt;=L68)),"Gözden geçirme eksik",IF(H68="Uygulanmaz","İnceleme tamam",IF(AND(OR(P68="Uygun",P68="Kısmen uygun",P68="Uygunsuz"),OR(N68="Uygun",N68="Kısmen uygun",N68="Uygunsuz"),OR(O68="Uygun",O68="Kısmen uygun",O68="Uygunsuz"),OR(P68&lt;&gt;"Uygun",AND(N68="Uygun",O68="Uygun")),OR(P68="Uygun",AND(T68&lt;&gt;"",COUNTIF(Findings[KayitliBulguID],T68)=1))),"İnceleme tamam","Sonuç / bulgu eksik"))))))))</x:f>
        <x:v>Kimlik / kapsam eksik</x:v>
      </x:c>
      <x:c r="W68" s="14" t="str">
        <x:f>IF(A68="","",IF(V68&lt;&gt;"İnceleme tamam","İncelenmedi",IF(H68="Uygulanmaz","Uygulanmaz",P68)))</x:f>
        <x:v>İncelenmedi</x:v>
      </x:c>
    </x:row>
    <x:row r="69" ht="35" customHeight="1">
      <x:c r="A69" s="12" t="str">
        <x:v>U-0064</x:v>
      </x:c>
      <x:c r="B69" s="12" t="str">
        <x:v>GNL-21-03</x:v>
      </x:c>
      <x:c r="C69" s="12" t="str">
        <x:v>MSP Genel</x:v>
      </x:c>
      <x:c r="D69" s="12" t="str"/>
      <x:c r="E69" s="12" t="str"/>
      <x:c r="F69" s="12" t="str"/>
      <x:c r="G69" s="12" t="str"/>
      <x:c r="H69" s="12" t="str">
        <x:v>Belirlenecek</x:v>
      </x:c>
      <x:c r="I69" s="12" t="str"/>
      <x:c r="J69" s="12" t="str"/>
      <x:c r="K69" s="12" t="str"/>
      <x:c r="L69" s="13" t="str"/>
      <x:c r="M69" s="12" t="str"/>
      <x:c r="N69" s="12" t="str">
        <x:v>İncelenmedi</x:v>
      </x:c>
      <x:c r="O69" s="12" t="str">
        <x:v>İncelenmedi</x:v>
      </x:c>
      <x:c r="P69" s="12" t="str">
        <x:v>İncelenmedi</x:v>
      </x:c>
      <x:c r="Q69" s="12" t="str"/>
      <x:c r="R69" s="12" t="str"/>
      <x:c r="S69" s="13" t="str"/>
      <x:c r="T69" s="12" t="str"/>
      <x:c r="U69" s="12" t="str"/>
      <x:c r="V69" s="14" t="str">
        <x:f>IF(A69="","",IF(NOT(AND(COUNTIF(Exec[TestID],A69)=1,COUNTIF(Controls[ID],B69)=1,COUNTIFS(Scope[KapsamID],D69,Scope[OnayliKapsamID],D69,Scope[Ürün],C69)=1,OR(COUNTIFS(Controls[ID],B69,Controls[Ürün],C69)=1,COUNTIFS(Controls[ID],B69,Controls[Ürün],"MSP Genel")=1),E69&lt;&gt;"",F69&lt;&gt;"",G69&lt;&gt;"",I69&lt;&gt;"",Q69&lt;&gt;"")),"Kimlik / kapsam eksik",IF(NOT(OR(H69="Uygulanır",H69="Uygulanmaz")),"Uygulanabilirlik eksik",IF(AND(H69="Uygulanır",P69="Kanıt yetersiz",U69&lt;&gt;""),IF(AND(R69&lt;&gt;"",R69&lt;&gt;Q69,ISNUMBER(S69),S69&gt;0,S69&gt;=L69),"İnceleme tamam","Gözden geçirme eksik"),IF(NOT(AND(J69&lt;&gt;"",COUNTIFS(Evidence[KanitID],J69,Evidence[Kabul edilen ID],J69)=1,K69&lt;&gt;"",ISNUMBER(L69),L69&gt;0,M69&lt;&gt;"")),"Kanıt / test eksik",IF(NOT(AND(R69&lt;&gt;"",R69&lt;&gt;Q69,ISNUMBER(S69),S69&gt;0,S69&gt;=L69)),"Gözden geçirme eksik",IF(H69="Uygulanmaz","İnceleme tamam",IF(AND(OR(P69="Uygun",P69="Kısmen uygun",P69="Uygunsuz"),OR(N69="Uygun",N69="Kısmen uygun",N69="Uygunsuz"),OR(O69="Uygun",O69="Kısmen uygun",O69="Uygunsuz"),OR(P69&lt;&gt;"Uygun",AND(N69="Uygun",O69="Uygun")),OR(P69="Uygun",AND(T69&lt;&gt;"",COUNTIF(Findings[KayitliBulguID],T69)=1))),"İnceleme tamam","Sonuç / bulgu eksik"))))))))</x:f>
        <x:v>Kimlik / kapsam eksik</x:v>
      </x:c>
      <x:c r="W69" s="14" t="str">
        <x:f>IF(A69="","",IF(V69&lt;&gt;"İnceleme tamam","İncelenmedi",IF(H69="Uygulanmaz","Uygulanmaz",P69)))</x:f>
        <x:v>İncelenmedi</x:v>
      </x:c>
    </x:row>
    <x:row r="70" ht="35" customHeight="1">
      <x:c r="A70" s="12" t="str">
        <x:v>U-0065</x:v>
      </x:c>
      <x:c r="B70" s="12" t="str">
        <x:v>GNL-21-04</x:v>
      </x:c>
      <x:c r="C70" s="12" t="str">
        <x:v>MSP Genel</x:v>
      </x:c>
      <x:c r="D70" s="12" t="str"/>
      <x:c r="E70" s="12" t="str"/>
      <x:c r="F70" s="12" t="str"/>
      <x:c r="G70" s="12" t="str"/>
      <x:c r="H70" s="12" t="str">
        <x:v>Belirlenecek</x:v>
      </x:c>
      <x:c r="I70" s="12" t="str"/>
      <x:c r="J70" s="12" t="str"/>
      <x:c r="K70" s="12" t="str"/>
      <x:c r="L70" s="13" t="str"/>
      <x:c r="M70" s="12" t="str"/>
      <x:c r="N70" s="12" t="str">
        <x:v>İncelenmedi</x:v>
      </x:c>
      <x:c r="O70" s="12" t="str">
        <x:v>İncelenmedi</x:v>
      </x:c>
      <x:c r="P70" s="12" t="str">
        <x:v>İncelenmedi</x:v>
      </x:c>
      <x:c r="Q70" s="12" t="str"/>
      <x:c r="R70" s="12" t="str"/>
      <x:c r="S70" s="13" t="str"/>
      <x:c r="T70" s="12" t="str"/>
      <x:c r="U70" s="12" t="str"/>
      <x:c r="V70" s="14" t="str">
        <x:f>IF(A70="","",IF(NOT(AND(COUNTIF(Exec[TestID],A70)=1,COUNTIF(Controls[ID],B70)=1,COUNTIFS(Scope[KapsamID],D70,Scope[OnayliKapsamID],D70,Scope[Ürün],C70)=1,OR(COUNTIFS(Controls[ID],B70,Controls[Ürün],C70)=1,COUNTIFS(Controls[ID],B70,Controls[Ürün],"MSP Genel")=1),E70&lt;&gt;"",F70&lt;&gt;"",G70&lt;&gt;"",I70&lt;&gt;"",Q70&lt;&gt;"")),"Kimlik / kapsam eksik",IF(NOT(OR(H70="Uygulanır",H70="Uygulanmaz")),"Uygulanabilirlik eksik",IF(AND(H70="Uygulanır",P70="Kanıt yetersiz",U70&lt;&gt;""),IF(AND(R70&lt;&gt;"",R70&lt;&gt;Q70,ISNUMBER(S70),S70&gt;0,S70&gt;=L70),"İnceleme tamam","Gözden geçirme eksik"),IF(NOT(AND(J70&lt;&gt;"",COUNTIFS(Evidence[KanitID],J70,Evidence[Kabul edilen ID],J70)=1,K70&lt;&gt;"",ISNUMBER(L70),L70&gt;0,M70&lt;&gt;"")),"Kanıt / test eksik",IF(NOT(AND(R70&lt;&gt;"",R70&lt;&gt;Q70,ISNUMBER(S70),S70&gt;0,S70&gt;=L70)),"Gözden geçirme eksik",IF(H70="Uygulanmaz","İnceleme tamam",IF(AND(OR(P70="Uygun",P70="Kısmen uygun",P70="Uygunsuz"),OR(N70="Uygun",N70="Kısmen uygun",N70="Uygunsuz"),OR(O70="Uygun",O70="Kısmen uygun",O70="Uygunsuz"),OR(P70&lt;&gt;"Uygun",AND(N70="Uygun",O70="Uygun")),OR(P70="Uygun",AND(T70&lt;&gt;"",COUNTIF(Findings[KayitliBulguID],T70)=1))),"İnceleme tamam","Sonuç / bulgu eksik"))))))))</x:f>
        <x:v>Kimlik / kapsam eksik</x:v>
      </x:c>
      <x:c r="W70" s="14" t="str">
        <x:f>IF(A70="","",IF(V70&lt;&gt;"İnceleme tamam","İncelenmedi",IF(H70="Uygulanmaz","Uygulanmaz",P70)))</x:f>
        <x:v>İncelenmedi</x:v>
      </x:c>
    </x:row>
    <x:row r="71" ht="35" customHeight="1">
      <x:c r="A71" s="12" t="str">
        <x:v>U-0066</x:v>
      </x:c>
      <x:c r="B71" s="12" t="str">
        <x:v>GNL-21-05</x:v>
      </x:c>
      <x:c r="C71" s="12" t="str">
        <x:v>MSP Genel</x:v>
      </x:c>
      <x:c r="D71" s="12" t="str"/>
      <x:c r="E71" s="12" t="str"/>
      <x:c r="F71" s="12" t="str"/>
      <x:c r="G71" s="12" t="str"/>
      <x:c r="H71" s="12" t="str">
        <x:v>Belirlenecek</x:v>
      </x:c>
      <x:c r="I71" s="12" t="str"/>
      <x:c r="J71" s="12" t="str"/>
      <x:c r="K71" s="12" t="str"/>
      <x:c r="L71" s="13" t="str"/>
      <x:c r="M71" s="12" t="str"/>
      <x:c r="N71" s="12" t="str">
        <x:v>İncelenmedi</x:v>
      </x:c>
      <x:c r="O71" s="12" t="str">
        <x:v>İncelenmedi</x:v>
      </x:c>
      <x:c r="P71" s="12" t="str">
        <x:v>İncelenmedi</x:v>
      </x:c>
      <x:c r="Q71" s="12" t="str"/>
      <x:c r="R71" s="12" t="str"/>
      <x:c r="S71" s="13" t="str"/>
      <x:c r="T71" s="12" t="str"/>
      <x:c r="U71" s="12" t="str"/>
      <x:c r="V71" s="14" t="str">
        <x:f>IF(A71="","",IF(NOT(AND(COUNTIF(Exec[TestID],A71)=1,COUNTIF(Controls[ID],B71)=1,COUNTIFS(Scope[KapsamID],D71,Scope[OnayliKapsamID],D71,Scope[Ürün],C71)=1,OR(COUNTIFS(Controls[ID],B71,Controls[Ürün],C71)=1,COUNTIFS(Controls[ID],B71,Controls[Ürün],"MSP Genel")=1),E71&lt;&gt;"",F71&lt;&gt;"",G71&lt;&gt;"",I71&lt;&gt;"",Q71&lt;&gt;"")),"Kimlik / kapsam eksik",IF(NOT(OR(H71="Uygulanır",H71="Uygulanmaz")),"Uygulanabilirlik eksik",IF(AND(H71="Uygulanır",P71="Kanıt yetersiz",U71&lt;&gt;""),IF(AND(R71&lt;&gt;"",R71&lt;&gt;Q71,ISNUMBER(S71),S71&gt;0,S71&gt;=L71),"İnceleme tamam","Gözden geçirme eksik"),IF(NOT(AND(J71&lt;&gt;"",COUNTIFS(Evidence[KanitID],J71,Evidence[Kabul edilen ID],J71)=1,K71&lt;&gt;"",ISNUMBER(L71),L71&gt;0,M71&lt;&gt;"")),"Kanıt / test eksik",IF(NOT(AND(R71&lt;&gt;"",R71&lt;&gt;Q71,ISNUMBER(S71),S71&gt;0,S71&gt;=L71)),"Gözden geçirme eksik",IF(H71="Uygulanmaz","İnceleme tamam",IF(AND(OR(P71="Uygun",P71="Kısmen uygun",P71="Uygunsuz"),OR(N71="Uygun",N71="Kısmen uygun",N71="Uygunsuz"),OR(O71="Uygun",O71="Kısmen uygun",O71="Uygunsuz"),OR(P71&lt;&gt;"Uygun",AND(N71="Uygun",O71="Uygun")),OR(P71="Uygun",AND(T71&lt;&gt;"",COUNTIF(Findings[KayitliBulguID],T71)=1))),"İnceleme tamam","Sonuç / bulgu eksik"))))))))</x:f>
        <x:v>Kimlik / kapsam eksik</x:v>
      </x:c>
      <x:c r="W71" s="14" t="str">
        <x:f>IF(A71="","",IF(V71&lt;&gt;"İnceleme tamam","İncelenmedi",IF(H71="Uygulanmaz","Uygulanmaz",P71)))</x:f>
        <x:v>İncelenmedi</x:v>
      </x:c>
    </x:row>
    <x:row r="72" ht="35" customHeight="1">
      <x:c r="A72" s="12" t="str">
        <x:v>U-0067</x:v>
      </x:c>
      <x:c r="B72" s="12" t="str">
        <x:v>GNL-21-06</x:v>
      </x:c>
      <x:c r="C72" s="12" t="str">
        <x:v>MSP Genel</x:v>
      </x:c>
      <x:c r="D72" s="12" t="str"/>
      <x:c r="E72" s="12" t="str"/>
      <x:c r="F72" s="12" t="str"/>
      <x:c r="G72" s="12" t="str"/>
      <x:c r="H72" s="12" t="str">
        <x:v>Belirlenecek</x:v>
      </x:c>
      <x:c r="I72" s="12" t="str"/>
      <x:c r="J72" s="12" t="str"/>
      <x:c r="K72" s="12" t="str"/>
      <x:c r="L72" s="13" t="str"/>
      <x:c r="M72" s="12" t="str"/>
      <x:c r="N72" s="12" t="str">
        <x:v>İncelenmedi</x:v>
      </x:c>
      <x:c r="O72" s="12" t="str">
        <x:v>İncelenmedi</x:v>
      </x:c>
      <x:c r="P72" s="12" t="str">
        <x:v>İncelenmedi</x:v>
      </x:c>
      <x:c r="Q72" s="12" t="str"/>
      <x:c r="R72" s="12" t="str"/>
      <x:c r="S72" s="13" t="str"/>
      <x:c r="T72" s="12" t="str"/>
      <x:c r="U72" s="12" t="str"/>
      <x:c r="V72" s="14" t="str">
        <x:f>IF(A72="","",IF(NOT(AND(COUNTIF(Exec[TestID],A72)=1,COUNTIF(Controls[ID],B72)=1,COUNTIFS(Scope[KapsamID],D72,Scope[OnayliKapsamID],D72,Scope[Ürün],C72)=1,OR(COUNTIFS(Controls[ID],B72,Controls[Ürün],C72)=1,COUNTIFS(Controls[ID],B72,Controls[Ürün],"MSP Genel")=1),E72&lt;&gt;"",F72&lt;&gt;"",G72&lt;&gt;"",I72&lt;&gt;"",Q72&lt;&gt;"")),"Kimlik / kapsam eksik",IF(NOT(OR(H72="Uygulanır",H72="Uygulanmaz")),"Uygulanabilirlik eksik",IF(AND(H72="Uygulanır",P72="Kanıt yetersiz",U72&lt;&gt;""),IF(AND(R72&lt;&gt;"",R72&lt;&gt;Q72,ISNUMBER(S72),S72&gt;0,S72&gt;=L72),"İnceleme tamam","Gözden geçirme eksik"),IF(NOT(AND(J72&lt;&gt;"",COUNTIFS(Evidence[KanitID],J72,Evidence[Kabul edilen ID],J72)=1,K72&lt;&gt;"",ISNUMBER(L72),L72&gt;0,M72&lt;&gt;"")),"Kanıt / test eksik",IF(NOT(AND(R72&lt;&gt;"",R72&lt;&gt;Q72,ISNUMBER(S72),S72&gt;0,S72&gt;=L72)),"Gözden geçirme eksik",IF(H72="Uygulanmaz","İnceleme tamam",IF(AND(OR(P72="Uygun",P72="Kısmen uygun",P72="Uygunsuz"),OR(N72="Uygun",N72="Kısmen uygun",N72="Uygunsuz"),OR(O72="Uygun",O72="Kısmen uygun",O72="Uygunsuz"),OR(P72&lt;&gt;"Uygun",AND(N72="Uygun",O72="Uygun")),OR(P72="Uygun",AND(T72&lt;&gt;"",COUNTIF(Findings[KayitliBulguID],T72)=1))),"İnceleme tamam","Sonuç / bulgu eksik"))))))))</x:f>
        <x:v>Kimlik / kapsam eksik</x:v>
      </x:c>
      <x:c r="W72" s="14" t="str">
        <x:f>IF(A72="","",IF(V72&lt;&gt;"İnceleme tamam","İncelenmedi",IF(H72="Uygulanmaz","Uygulanmaz",P72)))</x:f>
        <x:v>İncelenmedi</x:v>
      </x:c>
    </x:row>
    <x:row r="73" ht="35" customHeight="1">
      <x:c r="A73" s="12" t="str">
        <x:v>U-0068</x:v>
      </x:c>
      <x:c r="B73" s="12" t="str">
        <x:v>GNL-21-07</x:v>
      </x:c>
      <x:c r="C73" s="12" t="str">
        <x:v>MSP Genel</x:v>
      </x:c>
      <x:c r="D73" s="12" t="str"/>
      <x:c r="E73" s="12" t="str"/>
      <x:c r="F73" s="12" t="str"/>
      <x:c r="G73" s="12" t="str"/>
      <x:c r="H73" s="12" t="str">
        <x:v>Belirlenecek</x:v>
      </x:c>
      <x:c r="I73" s="12" t="str"/>
      <x:c r="J73" s="12" t="str"/>
      <x:c r="K73" s="12" t="str"/>
      <x:c r="L73" s="13" t="str"/>
      <x:c r="M73" s="12" t="str"/>
      <x:c r="N73" s="12" t="str">
        <x:v>İncelenmedi</x:v>
      </x:c>
      <x:c r="O73" s="12" t="str">
        <x:v>İncelenmedi</x:v>
      </x:c>
      <x:c r="P73" s="12" t="str">
        <x:v>İncelenmedi</x:v>
      </x:c>
      <x:c r="Q73" s="12" t="str"/>
      <x:c r="R73" s="12" t="str"/>
      <x:c r="S73" s="13" t="str"/>
      <x:c r="T73" s="12" t="str"/>
      <x:c r="U73" s="12" t="str"/>
      <x:c r="V73" s="14" t="str">
        <x:f>IF(A73="","",IF(NOT(AND(COUNTIF(Exec[TestID],A73)=1,COUNTIF(Controls[ID],B73)=1,COUNTIFS(Scope[KapsamID],D73,Scope[OnayliKapsamID],D73,Scope[Ürün],C73)=1,OR(COUNTIFS(Controls[ID],B73,Controls[Ürün],C73)=1,COUNTIFS(Controls[ID],B73,Controls[Ürün],"MSP Genel")=1),E73&lt;&gt;"",F73&lt;&gt;"",G73&lt;&gt;"",I73&lt;&gt;"",Q73&lt;&gt;"")),"Kimlik / kapsam eksik",IF(NOT(OR(H73="Uygulanır",H73="Uygulanmaz")),"Uygulanabilirlik eksik",IF(AND(H73="Uygulanır",P73="Kanıt yetersiz",U73&lt;&gt;""),IF(AND(R73&lt;&gt;"",R73&lt;&gt;Q73,ISNUMBER(S73),S73&gt;0,S73&gt;=L73),"İnceleme tamam","Gözden geçirme eksik"),IF(NOT(AND(J73&lt;&gt;"",COUNTIFS(Evidence[KanitID],J73,Evidence[Kabul edilen ID],J73)=1,K73&lt;&gt;"",ISNUMBER(L73),L73&gt;0,M73&lt;&gt;"")),"Kanıt / test eksik",IF(NOT(AND(R73&lt;&gt;"",R73&lt;&gt;Q73,ISNUMBER(S73),S73&gt;0,S73&gt;=L73)),"Gözden geçirme eksik",IF(H73="Uygulanmaz","İnceleme tamam",IF(AND(OR(P73="Uygun",P73="Kısmen uygun",P73="Uygunsuz"),OR(N73="Uygun",N73="Kısmen uygun",N73="Uygunsuz"),OR(O73="Uygun",O73="Kısmen uygun",O73="Uygunsuz"),OR(P73&lt;&gt;"Uygun",AND(N73="Uygun",O73="Uygun")),OR(P73="Uygun",AND(T73&lt;&gt;"",COUNTIF(Findings[KayitliBulguID],T73)=1))),"İnceleme tamam","Sonuç / bulgu eksik"))))))))</x:f>
        <x:v>Kimlik / kapsam eksik</x:v>
      </x:c>
      <x:c r="W73" s="14" t="str">
        <x:f>IF(A73="","",IF(V73&lt;&gt;"İnceleme tamam","İncelenmedi",IF(H73="Uygulanmaz","Uygulanmaz",P73)))</x:f>
        <x:v>İncelenmedi</x:v>
      </x:c>
    </x:row>
    <x:row r="74" ht="35" customHeight="1">
      <x:c r="A74" s="12" t="str">
        <x:v>U-0069</x:v>
      </x:c>
      <x:c r="B74" s="12" t="str">
        <x:v>GNL-21-08</x:v>
      </x:c>
      <x:c r="C74" s="12" t="str">
        <x:v>MSP Genel</x:v>
      </x:c>
      <x:c r="D74" s="12" t="str"/>
      <x:c r="E74" s="12" t="str"/>
      <x:c r="F74" s="12" t="str"/>
      <x:c r="G74" s="12" t="str"/>
      <x:c r="H74" s="12" t="str">
        <x:v>Belirlenecek</x:v>
      </x:c>
      <x:c r="I74" s="12" t="str"/>
      <x:c r="J74" s="12" t="str"/>
      <x:c r="K74" s="12" t="str"/>
      <x:c r="L74" s="13" t="str"/>
      <x:c r="M74" s="12" t="str"/>
      <x:c r="N74" s="12" t="str">
        <x:v>İncelenmedi</x:v>
      </x:c>
      <x:c r="O74" s="12" t="str">
        <x:v>İncelenmedi</x:v>
      </x:c>
      <x:c r="P74" s="12" t="str">
        <x:v>İncelenmedi</x:v>
      </x:c>
      <x:c r="Q74" s="12" t="str"/>
      <x:c r="R74" s="12" t="str"/>
      <x:c r="S74" s="13" t="str"/>
      <x:c r="T74" s="12" t="str"/>
      <x:c r="U74" s="12" t="str"/>
      <x:c r="V74" s="14" t="str">
        <x:f>IF(A74="","",IF(NOT(AND(COUNTIF(Exec[TestID],A74)=1,COUNTIF(Controls[ID],B74)=1,COUNTIFS(Scope[KapsamID],D74,Scope[OnayliKapsamID],D74,Scope[Ürün],C74)=1,OR(COUNTIFS(Controls[ID],B74,Controls[Ürün],C74)=1,COUNTIFS(Controls[ID],B74,Controls[Ürün],"MSP Genel")=1),E74&lt;&gt;"",F74&lt;&gt;"",G74&lt;&gt;"",I74&lt;&gt;"",Q74&lt;&gt;"")),"Kimlik / kapsam eksik",IF(NOT(OR(H74="Uygulanır",H74="Uygulanmaz")),"Uygulanabilirlik eksik",IF(AND(H74="Uygulanır",P74="Kanıt yetersiz",U74&lt;&gt;""),IF(AND(R74&lt;&gt;"",R74&lt;&gt;Q74,ISNUMBER(S74),S74&gt;0,S74&gt;=L74),"İnceleme tamam","Gözden geçirme eksik"),IF(NOT(AND(J74&lt;&gt;"",COUNTIFS(Evidence[KanitID],J74,Evidence[Kabul edilen ID],J74)=1,K74&lt;&gt;"",ISNUMBER(L74),L74&gt;0,M74&lt;&gt;"")),"Kanıt / test eksik",IF(NOT(AND(R74&lt;&gt;"",R74&lt;&gt;Q74,ISNUMBER(S74),S74&gt;0,S74&gt;=L74)),"Gözden geçirme eksik",IF(H74="Uygulanmaz","İnceleme tamam",IF(AND(OR(P74="Uygun",P74="Kısmen uygun",P74="Uygunsuz"),OR(N74="Uygun",N74="Kısmen uygun",N74="Uygunsuz"),OR(O74="Uygun",O74="Kısmen uygun",O74="Uygunsuz"),OR(P74&lt;&gt;"Uygun",AND(N74="Uygun",O74="Uygun")),OR(P74="Uygun",AND(T74&lt;&gt;"",COUNTIF(Findings[KayitliBulguID],T74)=1))),"İnceleme tamam","Sonuç / bulgu eksik"))))))))</x:f>
        <x:v>Kimlik / kapsam eksik</x:v>
      </x:c>
      <x:c r="W74" s="14" t="str">
        <x:f>IF(A74="","",IF(V74&lt;&gt;"İnceleme tamam","İncelenmedi",IF(H74="Uygulanmaz","Uygulanmaz",P74)))</x:f>
        <x:v>İncelenmedi</x:v>
      </x:c>
    </x:row>
    <x:row r="75" ht="35" customHeight="1">
      <x:c r="A75" s="12" t="str">
        <x:v>U-0070</x:v>
      </x:c>
      <x:c r="B75" s="12" t="str">
        <x:v>GNL-22-01</x:v>
      </x:c>
      <x:c r="C75" s="12" t="str">
        <x:v>MSP Genel</x:v>
      </x:c>
      <x:c r="D75" s="12" t="str"/>
      <x:c r="E75" s="12" t="str"/>
      <x:c r="F75" s="12" t="str"/>
      <x:c r="G75" s="12" t="str"/>
      <x:c r="H75" s="12" t="str">
        <x:v>Belirlenecek</x:v>
      </x:c>
      <x:c r="I75" s="12" t="str"/>
      <x:c r="J75" s="12" t="str"/>
      <x:c r="K75" s="12" t="str"/>
      <x:c r="L75" s="13" t="str"/>
      <x:c r="M75" s="12" t="str"/>
      <x:c r="N75" s="12" t="str">
        <x:v>İncelenmedi</x:v>
      </x:c>
      <x:c r="O75" s="12" t="str">
        <x:v>İncelenmedi</x:v>
      </x:c>
      <x:c r="P75" s="12" t="str">
        <x:v>İncelenmedi</x:v>
      </x:c>
      <x:c r="Q75" s="12" t="str"/>
      <x:c r="R75" s="12" t="str"/>
      <x:c r="S75" s="13" t="str"/>
      <x:c r="T75" s="12" t="str"/>
      <x:c r="U75" s="12" t="str"/>
      <x:c r="V75" s="14" t="str">
        <x:f>IF(A75="","",IF(NOT(AND(COUNTIF(Exec[TestID],A75)=1,COUNTIF(Controls[ID],B75)=1,COUNTIFS(Scope[KapsamID],D75,Scope[OnayliKapsamID],D75,Scope[Ürün],C75)=1,OR(COUNTIFS(Controls[ID],B75,Controls[Ürün],C75)=1,COUNTIFS(Controls[ID],B75,Controls[Ürün],"MSP Genel")=1),E75&lt;&gt;"",F75&lt;&gt;"",G75&lt;&gt;"",I75&lt;&gt;"",Q75&lt;&gt;"")),"Kimlik / kapsam eksik",IF(NOT(OR(H75="Uygulanır",H75="Uygulanmaz")),"Uygulanabilirlik eksik",IF(AND(H75="Uygulanır",P75="Kanıt yetersiz",U75&lt;&gt;""),IF(AND(R75&lt;&gt;"",R75&lt;&gt;Q75,ISNUMBER(S75),S75&gt;0,S75&gt;=L75),"İnceleme tamam","Gözden geçirme eksik"),IF(NOT(AND(J75&lt;&gt;"",COUNTIFS(Evidence[KanitID],J75,Evidence[Kabul edilen ID],J75)=1,K75&lt;&gt;"",ISNUMBER(L75),L75&gt;0,M75&lt;&gt;"")),"Kanıt / test eksik",IF(NOT(AND(R75&lt;&gt;"",R75&lt;&gt;Q75,ISNUMBER(S75),S75&gt;0,S75&gt;=L75)),"Gözden geçirme eksik",IF(H75="Uygulanmaz","İnceleme tamam",IF(AND(OR(P75="Uygun",P75="Kısmen uygun",P75="Uygunsuz"),OR(N75="Uygun",N75="Kısmen uygun",N75="Uygunsuz"),OR(O75="Uygun",O75="Kısmen uygun",O75="Uygunsuz"),OR(P75&lt;&gt;"Uygun",AND(N75="Uygun",O75="Uygun")),OR(P75="Uygun",AND(T75&lt;&gt;"",COUNTIF(Findings[KayitliBulguID],T75)=1))),"İnceleme tamam","Sonuç / bulgu eksik"))))))))</x:f>
        <x:v>Kimlik / kapsam eksik</x:v>
      </x:c>
      <x:c r="W75" s="14" t="str">
        <x:f>IF(A75="","",IF(V75&lt;&gt;"İnceleme tamam","İncelenmedi",IF(H75="Uygulanmaz","Uygulanmaz",P75)))</x:f>
        <x:v>İncelenmedi</x:v>
      </x:c>
    </x:row>
    <x:row r="76" ht="35" customHeight="1">
      <x:c r="A76" s="12" t="str">
        <x:v>U-0071</x:v>
      </x:c>
      <x:c r="B76" s="12" t="str">
        <x:v>GNL-22-02</x:v>
      </x:c>
      <x:c r="C76" s="12" t="str">
        <x:v>MSP Genel</x:v>
      </x:c>
      <x:c r="D76" s="12" t="str"/>
      <x:c r="E76" s="12" t="str"/>
      <x:c r="F76" s="12" t="str"/>
      <x:c r="G76" s="12" t="str"/>
      <x:c r="H76" s="12" t="str">
        <x:v>Belirlenecek</x:v>
      </x:c>
      <x:c r="I76" s="12" t="str"/>
      <x:c r="J76" s="12" t="str"/>
      <x:c r="K76" s="12" t="str"/>
      <x:c r="L76" s="13" t="str"/>
      <x:c r="M76" s="12" t="str"/>
      <x:c r="N76" s="12" t="str">
        <x:v>İncelenmedi</x:v>
      </x:c>
      <x:c r="O76" s="12" t="str">
        <x:v>İncelenmedi</x:v>
      </x:c>
      <x:c r="P76" s="12" t="str">
        <x:v>İncelenmedi</x:v>
      </x:c>
      <x:c r="Q76" s="12" t="str"/>
      <x:c r="R76" s="12" t="str"/>
      <x:c r="S76" s="13" t="str"/>
      <x:c r="T76" s="12" t="str"/>
      <x:c r="U76" s="12" t="str"/>
      <x:c r="V76" s="14" t="str">
        <x:f>IF(A76="","",IF(NOT(AND(COUNTIF(Exec[TestID],A76)=1,COUNTIF(Controls[ID],B76)=1,COUNTIFS(Scope[KapsamID],D76,Scope[OnayliKapsamID],D76,Scope[Ürün],C76)=1,OR(COUNTIFS(Controls[ID],B76,Controls[Ürün],C76)=1,COUNTIFS(Controls[ID],B76,Controls[Ürün],"MSP Genel")=1),E76&lt;&gt;"",F76&lt;&gt;"",G76&lt;&gt;"",I76&lt;&gt;"",Q76&lt;&gt;"")),"Kimlik / kapsam eksik",IF(NOT(OR(H76="Uygulanır",H76="Uygulanmaz")),"Uygulanabilirlik eksik",IF(AND(H76="Uygulanır",P76="Kanıt yetersiz",U76&lt;&gt;""),IF(AND(R76&lt;&gt;"",R76&lt;&gt;Q76,ISNUMBER(S76),S76&gt;0,S76&gt;=L76),"İnceleme tamam","Gözden geçirme eksik"),IF(NOT(AND(J76&lt;&gt;"",COUNTIFS(Evidence[KanitID],J76,Evidence[Kabul edilen ID],J76)=1,K76&lt;&gt;"",ISNUMBER(L76),L76&gt;0,M76&lt;&gt;"")),"Kanıt / test eksik",IF(NOT(AND(R76&lt;&gt;"",R76&lt;&gt;Q76,ISNUMBER(S76),S76&gt;0,S76&gt;=L76)),"Gözden geçirme eksik",IF(H76="Uygulanmaz","İnceleme tamam",IF(AND(OR(P76="Uygun",P76="Kısmen uygun",P76="Uygunsuz"),OR(N76="Uygun",N76="Kısmen uygun",N76="Uygunsuz"),OR(O76="Uygun",O76="Kısmen uygun",O76="Uygunsuz"),OR(P76&lt;&gt;"Uygun",AND(N76="Uygun",O76="Uygun")),OR(P76="Uygun",AND(T76&lt;&gt;"",COUNTIF(Findings[KayitliBulguID],T76)=1))),"İnceleme tamam","Sonuç / bulgu eksik"))))))))</x:f>
        <x:v>Kimlik / kapsam eksik</x:v>
      </x:c>
      <x:c r="W76" s="14" t="str">
        <x:f>IF(A76="","",IF(V76&lt;&gt;"İnceleme tamam","İncelenmedi",IF(H76="Uygulanmaz","Uygulanmaz",P76)))</x:f>
        <x:v>İncelenmedi</x:v>
      </x:c>
    </x:row>
    <x:row r="77" ht="35" customHeight="1">
      <x:c r="A77" s="12" t="str">
        <x:v>U-0072</x:v>
      </x:c>
      <x:c r="B77" s="12" t="str">
        <x:v>GNL-22-05</x:v>
      </x:c>
      <x:c r="C77" s="12" t="str">
        <x:v>MSP Genel</x:v>
      </x:c>
      <x:c r="D77" s="12" t="str"/>
      <x:c r="E77" s="12" t="str"/>
      <x:c r="F77" s="12" t="str"/>
      <x:c r="G77" s="12" t="str"/>
      <x:c r="H77" s="12" t="str">
        <x:v>Belirlenecek</x:v>
      </x:c>
      <x:c r="I77" s="12" t="str"/>
      <x:c r="J77" s="12" t="str"/>
      <x:c r="K77" s="12" t="str"/>
      <x:c r="L77" s="13" t="str"/>
      <x:c r="M77" s="12" t="str"/>
      <x:c r="N77" s="12" t="str">
        <x:v>İncelenmedi</x:v>
      </x:c>
      <x:c r="O77" s="12" t="str">
        <x:v>İncelenmedi</x:v>
      </x:c>
      <x:c r="P77" s="12" t="str">
        <x:v>İncelenmedi</x:v>
      </x:c>
      <x:c r="Q77" s="12" t="str"/>
      <x:c r="R77" s="12" t="str"/>
      <x:c r="S77" s="13" t="str"/>
      <x:c r="T77" s="12" t="str"/>
      <x:c r="U77" s="12" t="str"/>
      <x:c r="V77" s="14" t="str">
        <x:f>IF(A77="","",IF(NOT(AND(COUNTIF(Exec[TestID],A77)=1,COUNTIF(Controls[ID],B77)=1,COUNTIFS(Scope[KapsamID],D77,Scope[OnayliKapsamID],D77,Scope[Ürün],C77)=1,OR(COUNTIFS(Controls[ID],B77,Controls[Ürün],C77)=1,COUNTIFS(Controls[ID],B77,Controls[Ürün],"MSP Genel")=1),E77&lt;&gt;"",F77&lt;&gt;"",G77&lt;&gt;"",I77&lt;&gt;"",Q77&lt;&gt;"")),"Kimlik / kapsam eksik",IF(NOT(OR(H77="Uygulanır",H77="Uygulanmaz")),"Uygulanabilirlik eksik",IF(AND(H77="Uygulanır",P77="Kanıt yetersiz",U77&lt;&gt;""),IF(AND(R77&lt;&gt;"",R77&lt;&gt;Q77,ISNUMBER(S77),S77&gt;0,S77&gt;=L77),"İnceleme tamam","Gözden geçirme eksik"),IF(NOT(AND(J77&lt;&gt;"",COUNTIFS(Evidence[KanitID],J77,Evidence[Kabul edilen ID],J77)=1,K77&lt;&gt;"",ISNUMBER(L77),L77&gt;0,M77&lt;&gt;"")),"Kanıt / test eksik",IF(NOT(AND(R77&lt;&gt;"",R77&lt;&gt;Q77,ISNUMBER(S77),S77&gt;0,S77&gt;=L77)),"Gözden geçirme eksik",IF(H77="Uygulanmaz","İnceleme tamam",IF(AND(OR(P77="Uygun",P77="Kısmen uygun",P77="Uygunsuz"),OR(N77="Uygun",N77="Kısmen uygun",N77="Uygunsuz"),OR(O77="Uygun",O77="Kısmen uygun",O77="Uygunsuz"),OR(P77&lt;&gt;"Uygun",AND(N77="Uygun",O77="Uygun")),OR(P77="Uygun",AND(T77&lt;&gt;"",COUNTIF(Findings[KayitliBulguID],T77)=1))),"İnceleme tamam","Sonuç / bulgu eksik"))))))))</x:f>
        <x:v>Kimlik / kapsam eksik</x:v>
      </x:c>
      <x:c r="W77" s="14" t="str">
        <x:f>IF(A77="","",IF(V77&lt;&gt;"İnceleme tamam","İncelenmedi",IF(H77="Uygulanmaz","Uygulanmaz",P77)))</x:f>
        <x:v>İncelenmedi</x:v>
      </x:c>
    </x:row>
    <x:row r="78" ht="35" customHeight="1">
      <x:c r="A78" s="12" t="str">
        <x:v>U-0073</x:v>
      </x:c>
      <x:c r="B78" s="12" t="str">
        <x:v>GNL-22-06</x:v>
      </x:c>
      <x:c r="C78" s="12" t="str">
        <x:v>MSP Genel</x:v>
      </x:c>
      <x:c r="D78" s="12" t="str"/>
      <x:c r="E78" s="12" t="str"/>
      <x:c r="F78" s="12" t="str"/>
      <x:c r="G78" s="12" t="str"/>
      <x:c r="H78" s="12" t="str">
        <x:v>Belirlenecek</x:v>
      </x:c>
      <x:c r="I78" s="12" t="str"/>
      <x:c r="J78" s="12" t="str"/>
      <x:c r="K78" s="12" t="str"/>
      <x:c r="L78" s="13" t="str"/>
      <x:c r="M78" s="12" t="str"/>
      <x:c r="N78" s="12" t="str">
        <x:v>İncelenmedi</x:v>
      </x:c>
      <x:c r="O78" s="12" t="str">
        <x:v>İncelenmedi</x:v>
      </x:c>
      <x:c r="P78" s="12" t="str">
        <x:v>İncelenmedi</x:v>
      </x:c>
      <x:c r="Q78" s="12" t="str"/>
      <x:c r="R78" s="12" t="str"/>
      <x:c r="S78" s="13" t="str"/>
      <x:c r="T78" s="12" t="str"/>
      <x:c r="U78" s="12" t="str"/>
      <x:c r="V78" s="14" t="str">
        <x:f>IF(A78="","",IF(NOT(AND(COUNTIF(Exec[TestID],A78)=1,COUNTIF(Controls[ID],B78)=1,COUNTIFS(Scope[KapsamID],D78,Scope[OnayliKapsamID],D78,Scope[Ürün],C78)=1,OR(COUNTIFS(Controls[ID],B78,Controls[Ürün],C78)=1,COUNTIFS(Controls[ID],B78,Controls[Ürün],"MSP Genel")=1),E78&lt;&gt;"",F78&lt;&gt;"",G78&lt;&gt;"",I78&lt;&gt;"",Q78&lt;&gt;"")),"Kimlik / kapsam eksik",IF(NOT(OR(H78="Uygulanır",H78="Uygulanmaz")),"Uygulanabilirlik eksik",IF(AND(H78="Uygulanır",P78="Kanıt yetersiz",U78&lt;&gt;""),IF(AND(R78&lt;&gt;"",R78&lt;&gt;Q78,ISNUMBER(S78),S78&gt;0,S78&gt;=L78),"İnceleme tamam","Gözden geçirme eksik"),IF(NOT(AND(J78&lt;&gt;"",COUNTIFS(Evidence[KanitID],J78,Evidence[Kabul edilen ID],J78)=1,K78&lt;&gt;"",ISNUMBER(L78),L78&gt;0,M78&lt;&gt;"")),"Kanıt / test eksik",IF(NOT(AND(R78&lt;&gt;"",R78&lt;&gt;Q78,ISNUMBER(S78),S78&gt;0,S78&gt;=L78)),"Gözden geçirme eksik",IF(H78="Uygulanmaz","İnceleme tamam",IF(AND(OR(P78="Uygun",P78="Kısmen uygun",P78="Uygunsuz"),OR(N78="Uygun",N78="Kısmen uygun",N78="Uygunsuz"),OR(O78="Uygun",O78="Kısmen uygun",O78="Uygunsuz"),OR(P78&lt;&gt;"Uygun",AND(N78="Uygun",O78="Uygun")),OR(P78="Uygun",AND(T78&lt;&gt;"",COUNTIF(Findings[KayitliBulguID],T78)=1))),"İnceleme tamam","Sonuç / bulgu eksik"))))))))</x:f>
        <x:v>Kimlik / kapsam eksik</x:v>
      </x:c>
      <x:c r="W78" s="14" t="str">
        <x:f>IF(A78="","",IF(V78&lt;&gt;"İnceleme tamam","İncelenmedi",IF(H78="Uygulanmaz","Uygulanmaz",P78)))</x:f>
        <x:v>İncelenmedi</x:v>
      </x:c>
    </x:row>
    <x:row r="79" ht="35" customHeight="1">
      <x:c r="A79" s="12" t="str">
        <x:v>U-0074</x:v>
      </x:c>
      <x:c r="B79" s="12" t="str">
        <x:v>GNL-22-07</x:v>
      </x:c>
      <x:c r="C79" s="12" t="str">
        <x:v>MSP Genel</x:v>
      </x:c>
      <x:c r="D79" s="12" t="str"/>
      <x:c r="E79" s="12" t="str"/>
      <x:c r="F79" s="12" t="str"/>
      <x:c r="G79" s="12" t="str"/>
      <x:c r="H79" s="12" t="str">
        <x:v>Belirlenecek</x:v>
      </x:c>
      <x:c r="I79" s="12" t="str"/>
      <x:c r="J79" s="12" t="str"/>
      <x:c r="K79" s="12" t="str"/>
      <x:c r="L79" s="13" t="str"/>
      <x:c r="M79" s="12" t="str"/>
      <x:c r="N79" s="12" t="str">
        <x:v>İncelenmedi</x:v>
      </x:c>
      <x:c r="O79" s="12" t="str">
        <x:v>İncelenmedi</x:v>
      </x:c>
      <x:c r="P79" s="12" t="str">
        <x:v>İncelenmedi</x:v>
      </x:c>
      <x:c r="Q79" s="12" t="str"/>
      <x:c r="R79" s="12" t="str"/>
      <x:c r="S79" s="13" t="str"/>
      <x:c r="T79" s="12" t="str"/>
      <x:c r="U79" s="12" t="str"/>
      <x:c r="V79" s="14" t="str">
        <x:f>IF(A79="","",IF(NOT(AND(COUNTIF(Exec[TestID],A79)=1,COUNTIF(Controls[ID],B79)=1,COUNTIFS(Scope[KapsamID],D79,Scope[OnayliKapsamID],D79,Scope[Ürün],C79)=1,OR(COUNTIFS(Controls[ID],B79,Controls[Ürün],C79)=1,COUNTIFS(Controls[ID],B79,Controls[Ürün],"MSP Genel")=1),E79&lt;&gt;"",F79&lt;&gt;"",G79&lt;&gt;"",I79&lt;&gt;"",Q79&lt;&gt;"")),"Kimlik / kapsam eksik",IF(NOT(OR(H79="Uygulanır",H79="Uygulanmaz")),"Uygulanabilirlik eksik",IF(AND(H79="Uygulanır",P79="Kanıt yetersiz",U79&lt;&gt;""),IF(AND(R79&lt;&gt;"",R79&lt;&gt;Q79,ISNUMBER(S79),S79&gt;0,S79&gt;=L79),"İnceleme tamam","Gözden geçirme eksik"),IF(NOT(AND(J79&lt;&gt;"",COUNTIFS(Evidence[KanitID],J79,Evidence[Kabul edilen ID],J79)=1,K79&lt;&gt;"",ISNUMBER(L79),L79&gt;0,M79&lt;&gt;"")),"Kanıt / test eksik",IF(NOT(AND(R79&lt;&gt;"",R79&lt;&gt;Q79,ISNUMBER(S79),S79&gt;0,S79&gt;=L79)),"Gözden geçirme eksik",IF(H79="Uygulanmaz","İnceleme tamam",IF(AND(OR(P79="Uygun",P79="Kısmen uygun",P79="Uygunsuz"),OR(N79="Uygun",N79="Kısmen uygun",N79="Uygunsuz"),OR(O79="Uygun",O79="Kısmen uygun",O79="Uygunsuz"),OR(P79&lt;&gt;"Uygun",AND(N79="Uygun",O79="Uygun")),OR(P79="Uygun",AND(T79&lt;&gt;"",COUNTIF(Findings[KayitliBulguID],T79)=1))),"İnceleme tamam","Sonuç / bulgu eksik"))))))))</x:f>
        <x:v>Kimlik / kapsam eksik</x:v>
      </x:c>
      <x:c r="W79" s="14" t="str">
        <x:f>IF(A79="","",IF(V79&lt;&gt;"İnceleme tamam","İncelenmedi",IF(H79="Uygulanmaz","Uygulanmaz",P79)))</x:f>
        <x:v>İncelenmedi</x:v>
      </x:c>
    </x:row>
    <x:row r="80" ht="35" customHeight="1">
      <x:c r="A80" s="12" t="str">
        <x:v>U-0075</x:v>
      </x:c>
      <x:c r="B80" s="12" t="str">
        <x:v>GNL-23-07</x:v>
      </x:c>
      <x:c r="C80" s="12" t="str">
        <x:v>MSP Genel</x:v>
      </x:c>
      <x:c r="D80" s="12" t="str"/>
      <x:c r="E80" s="12" t="str"/>
      <x:c r="F80" s="12" t="str"/>
      <x:c r="G80" s="12" t="str"/>
      <x:c r="H80" s="12" t="str">
        <x:v>Belirlenecek</x:v>
      </x:c>
      <x:c r="I80" s="12" t="str"/>
      <x:c r="J80" s="12" t="str"/>
      <x:c r="K80" s="12" t="str"/>
      <x:c r="L80" s="13" t="str"/>
      <x:c r="M80" s="12" t="str"/>
      <x:c r="N80" s="12" t="str">
        <x:v>İncelenmedi</x:v>
      </x:c>
      <x:c r="O80" s="12" t="str">
        <x:v>İncelenmedi</x:v>
      </x:c>
      <x:c r="P80" s="12" t="str">
        <x:v>İncelenmedi</x:v>
      </x:c>
      <x:c r="Q80" s="12" t="str"/>
      <x:c r="R80" s="12" t="str"/>
      <x:c r="S80" s="13" t="str"/>
      <x:c r="T80" s="12" t="str"/>
      <x:c r="U80" s="12" t="str"/>
      <x:c r="V80" s="14" t="str">
        <x:f>IF(A80="","",IF(NOT(AND(COUNTIF(Exec[TestID],A80)=1,COUNTIF(Controls[ID],B80)=1,COUNTIFS(Scope[KapsamID],D80,Scope[OnayliKapsamID],D80,Scope[Ürün],C80)=1,OR(COUNTIFS(Controls[ID],B80,Controls[Ürün],C80)=1,COUNTIFS(Controls[ID],B80,Controls[Ürün],"MSP Genel")=1),E80&lt;&gt;"",F80&lt;&gt;"",G80&lt;&gt;"",I80&lt;&gt;"",Q80&lt;&gt;"")),"Kimlik / kapsam eksik",IF(NOT(OR(H80="Uygulanır",H80="Uygulanmaz")),"Uygulanabilirlik eksik",IF(AND(H80="Uygulanır",P80="Kanıt yetersiz",U80&lt;&gt;""),IF(AND(R80&lt;&gt;"",R80&lt;&gt;Q80,ISNUMBER(S80),S80&gt;0,S80&gt;=L80),"İnceleme tamam","Gözden geçirme eksik"),IF(NOT(AND(J80&lt;&gt;"",COUNTIFS(Evidence[KanitID],J80,Evidence[Kabul edilen ID],J80)=1,K80&lt;&gt;"",ISNUMBER(L80),L80&gt;0,M80&lt;&gt;"")),"Kanıt / test eksik",IF(NOT(AND(R80&lt;&gt;"",R80&lt;&gt;Q80,ISNUMBER(S80),S80&gt;0,S80&gt;=L80)),"Gözden geçirme eksik",IF(H80="Uygulanmaz","İnceleme tamam",IF(AND(OR(P80="Uygun",P80="Kısmen uygun",P80="Uygunsuz"),OR(N80="Uygun",N80="Kısmen uygun",N80="Uygunsuz"),OR(O80="Uygun",O80="Kısmen uygun",O80="Uygunsuz"),OR(P80&lt;&gt;"Uygun",AND(N80="Uygun",O80="Uygun")),OR(P80="Uygun",AND(T80&lt;&gt;"",COUNTIF(Findings[KayitliBulguID],T80)=1))),"İnceleme tamam","Sonuç / bulgu eksik"))))))))</x:f>
        <x:v>Kimlik / kapsam eksik</x:v>
      </x:c>
      <x:c r="W80" s="14" t="str">
        <x:f>IF(A80="","",IF(V80&lt;&gt;"İnceleme tamam","İncelenmedi",IF(H80="Uygulanmaz","Uygulanmaz",P80)))</x:f>
        <x:v>İncelenmedi</x:v>
      </x:c>
    </x:row>
    <x:row r="81" ht="35" customHeight="1">
      <x:c r="A81" s="12" t="str">
        <x:v>U-0076</x:v>
      </x:c>
      <x:c r="B81" s="12" t="str">
        <x:v>GNL-24-01</x:v>
      </x:c>
      <x:c r="C81" s="12" t="str">
        <x:v>MSP Genel</x:v>
      </x:c>
      <x:c r="D81" s="12" t="str"/>
      <x:c r="E81" s="12" t="str"/>
      <x:c r="F81" s="12" t="str"/>
      <x:c r="G81" s="12" t="str"/>
      <x:c r="H81" s="12" t="str">
        <x:v>Belirlenecek</x:v>
      </x:c>
      <x:c r="I81" s="12" t="str"/>
      <x:c r="J81" s="12" t="str"/>
      <x:c r="K81" s="12" t="str"/>
      <x:c r="L81" s="13" t="str"/>
      <x:c r="M81" s="12" t="str"/>
      <x:c r="N81" s="12" t="str">
        <x:v>İncelenmedi</x:v>
      </x:c>
      <x:c r="O81" s="12" t="str">
        <x:v>İncelenmedi</x:v>
      </x:c>
      <x:c r="P81" s="12" t="str">
        <x:v>İncelenmedi</x:v>
      </x:c>
      <x:c r="Q81" s="12" t="str"/>
      <x:c r="R81" s="12" t="str"/>
      <x:c r="S81" s="13" t="str"/>
      <x:c r="T81" s="12" t="str"/>
      <x:c r="U81" s="12" t="str"/>
      <x:c r="V81" s="14" t="str">
        <x:f>IF(A81="","",IF(NOT(AND(COUNTIF(Exec[TestID],A81)=1,COUNTIF(Controls[ID],B81)=1,COUNTIFS(Scope[KapsamID],D81,Scope[OnayliKapsamID],D81,Scope[Ürün],C81)=1,OR(COUNTIFS(Controls[ID],B81,Controls[Ürün],C81)=1,COUNTIFS(Controls[ID],B81,Controls[Ürün],"MSP Genel")=1),E81&lt;&gt;"",F81&lt;&gt;"",G81&lt;&gt;"",I81&lt;&gt;"",Q81&lt;&gt;"")),"Kimlik / kapsam eksik",IF(NOT(OR(H81="Uygulanır",H81="Uygulanmaz")),"Uygulanabilirlik eksik",IF(AND(H81="Uygulanır",P81="Kanıt yetersiz",U81&lt;&gt;""),IF(AND(R81&lt;&gt;"",R81&lt;&gt;Q81,ISNUMBER(S81),S81&gt;0,S81&gt;=L81),"İnceleme tamam","Gözden geçirme eksik"),IF(NOT(AND(J81&lt;&gt;"",COUNTIFS(Evidence[KanitID],J81,Evidence[Kabul edilen ID],J81)=1,K81&lt;&gt;"",ISNUMBER(L81),L81&gt;0,M81&lt;&gt;"")),"Kanıt / test eksik",IF(NOT(AND(R81&lt;&gt;"",R81&lt;&gt;Q81,ISNUMBER(S81),S81&gt;0,S81&gt;=L81)),"Gözden geçirme eksik",IF(H81="Uygulanmaz","İnceleme tamam",IF(AND(OR(P81="Uygun",P81="Kısmen uygun",P81="Uygunsuz"),OR(N81="Uygun",N81="Kısmen uygun",N81="Uygunsuz"),OR(O81="Uygun",O81="Kısmen uygun",O81="Uygunsuz"),OR(P81&lt;&gt;"Uygun",AND(N81="Uygun",O81="Uygun")),OR(P81="Uygun",AND(T81&lt;&gt;"",COUNTIF(Findings[KayitliBulguID],T81)=1))),"İnceleme tamam","Sonuç / bulgu eksik"))))))))</x:f>
        <x:v>Kimlik / kapsam eksik</x:v>
      </x:c>
      <x:c r="W81" s="14" t="str">
        <x:f>IF(A81="","",IF(V81&lt;&gt;"İnceleme tamam","İncelenmedi",IF(H81="Uygulanmaz","Uygulanmaz",P81)))</x:f>
        <x:v>İncelenmedi</x:v>
      </x:c>
    </x:row>
    <x:row r="82" ht="35" customHeight="1">
      <x:c r="A82" s="12" t="str">
        <x:v>U-0077</x:v>
      </x:c>
      <x:c r="B82" s="12" t="str">
        <x:v>GNL-24-03</x:v>
      </x:c>
      <x:c r="C82" s="12" t="str">
        <x:v>MSP Genel</x:v>
      </x:c>
      <x:c r="D82" s="12" t="str"/>
      <x:c r="E82" s="12" t="str"/>
      <x:c r="F82" s="12" t="str"/>
      <x:c r="G82" s="12" t="str"/>
      <x:c r="H82" s="12" t="str">
        <x:v>Belirlenecek</x:v>
      </x:c>
      <x:c r="I82" s="12" t="str"/>
      <x:c r="J82" s="12" t="str"/>
      <x:c r="K82" s="12" t="str"/>
      <x:c r="L82" s="13" t="str"/>
      <x:c r="M82" s="12" t="str"/>
      <x:c r="N82" s="12" t="str">
        <x:v>İncelenmedi</x:v>
      </x:c>
      <x:c r="O82" s="12" t="str">
        <x:v>İncelenmedi</x:v>
      </x:c>
      <x:c r="P82" s="12" t="str">
        <x:v>İncelenmedi</x:v>
      </x:c>
      <x:c r="Q82" s="12" t="str"/>
      <x:c r="R82" s="12" t="str"/>
      <x:c r="S82" s="13" t="str"/>
      <x:c r="T82" s="12" t="str"/>
      <x:c r="U82" s="12" t="str"/>
      <x:c r="V82" s="14" t="str">
        <x:f>IF(A82="","",IF(NOT(AND(COUNTIF(Exec[TestID],A82)=1,COUNTIF(Controls[ID],B82)=1,COUNTIFS(Scope[KapsamID],D82,Scope[OnayliKapsamID],D82,Scope[Ürün],C82)=1,OR(COUNTIFS(Controls[ID],B82,Controls[Ürün],C82)=1,COUNTIFS(Controls[ID],B82,Controls[Ürün],"MSP Genel")=1),E82&lt;&gt;"",F82&lt;&gt;"",G82&lt;&gt;"",I82&lt;&gt;"",Q82&lt;&gt;"")),"Kimlik / kapsam eksik",IF(NOT(OR(H82="Uygulanır",H82="Uygulanmaz")),"Uygulanabilirlik eksik",IF(AND(H82="Uygulanır",P82="Kanıt yetersiz",U82&lt;&gt;""),IF(AND(R82&lt;&gt;"",R82&lt;&gt;Q82,ISNUMBER(S82),S82&gt;0,S82&gt;=L82),"İnceleme tamam","Gözden geçirme eksik"),IF(NOT(AND(J82&lt;&gt;"",COUNTIFS(Evidence[KanitID],J82,Evidence[Kabul edilen ID],J82)=1,K82&lt;&gt;"",ISNUMBER(L82),L82&gt;0,M82&lt;&gt;"")),"Kanıt / test eksik",IF(NOT(AND(R82&lt;&gt;"",R82&lt;&gt;Q82,ISNUMBER(S82),S82&gt;0,S82&gt;=L82)),"Gözden geçirme eksik",IF(H82="Uygulanmaz","İnceleme tamam",IF(AND(OR(P82="Uygun",P82="Kısmen uygun",P82="Uygunsuz"),OR(N82="Uygun",N82="Kısmen uygun",N82="Uygunsuz"),OR(O82="Uygun",O82="Kısmen uygun",O82="Uygunsuz"),OR(P82&lt;&gt;"Uygun",AND(N82="Uygun",O82="Uygun")),OR(P82="Uygun",AND(T82&lt;&gt;"",COUNTIF(Findings[KayitliBulguID],T82)=1))),"İnceleme tamam","Sonuç / bulgu eksik"))))))))</x:f>
        <x:v>Kimlik / kapsam eksik</x:v>
      </x:c>
      <x:c r="W82" s="14" t="str">
        <x:f>IF(A82="","",IF(V82&lt;&gt;"İnceleme tamam","İncelenmedi",IF(H82="Uygulanmaz","Uygulanmaz",P82)))</x:f>
        <x:v>İncelenmedi</x:v>
      </x:c>
    </x:row>
    <x:row r="83" ht="35" customHeight="1">
      <x:c r="A83" s="12" t="str">
        <x:v>U-0078</x:v>
      </x:c>
      <x:c r="B83" s="12" t="str">
        <x:v>GNL-24-06</x:v>
      </x:c>
      <x:c r="C83" s="12" t="str">
        <x:v>MSP Genel</x:v>
      </x:c>
      <x:c r="D83" s="12" t="str"/>
      <x:c r="E83" s="12" t="str"/>
      <x:c r="F83" s="12" t="str"/>
      <x:c r="G83" s="12" t="str"/>
      <x:c r="H83" s="12" t="str">
        <x:v>Belirlenecek</x:v>
      </x:c>
      <x:c r="I83" s="12" t="str"/>
      <x:c r="J83" s="12" t="str"/>
      <x:c r="K83" s="12" t="str"/>
      <x:c r="L83" s="13" t="str"/>
      <x:c r="M83" s="12" t="str"/>
      <x:c r="N83" s="12" t="str">
        <x:v>İncelenmedi</x:v>
      </x:c>
      <x:c r="O83" s="12" t="str">
        <x:v>İncelenmedi</x:v>
      </x:c>
      <x:c r="P83" s="12" t="str">
        <x:v>İncelenmedi</x:v>
      </x:c>
      <x:c r="Q83" s="12" t="str"/>
      <x:c r="R83" s="12" t="str"/>
      <x:c r="S83" s="13" t="str"/>
      <x:c r="T83" s="12" t="str"/>
      <x:c r="U83" s="12" t="str"/>
      <x:c r="V83" s="14" t="str">
        <x:f>IF(A83="","",IF(NOT(AND(COUNTIF(Exec[TestID],A83)=1,COUNTIF(Controls[ID],B83)=1,COUNTIFS(Scope[KapsamID],D83,Scope[OnayliKapsamID],D83,Scope[Ürün],C83)=1,OR(COUNTIFS(Controls[ID],B83,Controls[Ürün],C83)=1,COUNTIFS(Controls[ID],B83,Controls[Ürün],"MSP Genel")=1),E83&lt;&gt;"",F83&lt;&gt;"",G83&lt;&gt;"",I83&lt;&gt;"",Q83&lt;&gt;"")),"Kimlik / kapsam eksik",IF(NOT(OR(H83="Uygulanır",H83="Uygulanmaz")),"Uygulanabilirlik eksik",IF(AND(H83="Uygulanır",P83="Kanıt yetersiz",U83&lt;&gt;""),IF(AND(R83&lt;&gt;"",R83&lt;&gt;Q83,ISNUMBER(S83),S83&gt;0,S83&gt;=L83),"İnceleme tamam","Gözden geçirme eksik"),IF(NOT(AND(J83&lt;&gt;"",COUNTIFS(Evidence[KanitID],J83,Evidence[Kabul edilen ID],J83)=1,K83&lt;&gt;"",ISNUMBER(L83),L83&gt;0,M83&lt;&gt;"")),"Kanıt / test eksik",IF(NOT(AND(R83&lt;&gt;"",R83&lt;&gt;Q83,ISNUMBER(S83),S83&gt;0,S83&gt;=L83)),"Gözden geçirme eksik",IF(H83="Uygulanmaz","İnceleme tamam",IF(AND(OR(P83="Uygun",P83="Kısmen uygun",P83="Uygunsuz"),OR(N83="Uygun",N83="Kısmen uygun",N83="Uygunsuz"),OR(O83="Uygun",O83="Kısmen uygun",O83="Uygunsuz"),OR(P83&lt;&gt;"Uygun",AND(N83="Uygun",O83="Uygun")),OR(P83="Uygun",AND(T83&lt;&gt;"",COUNTIF(Findings[KayitliBulguID],T83)=1))),"İnceleme tamam","Sonuç / bulgu eksik"))))))))</x:f>
        <x:v>Kimlik / kapsam eksik</x:v>
      </x:c>
      <x:c r="W83" s="14" t="str">
        <x:f>IF(A83="","",IF(V83&lt;&gt;"İnceleme tamam","İncelenmedi",IF(H83="Uygulanmaz","Uygulanmaz",P83)))</x:f>
        <x:v>İncelenmedi</x:v>
      </x:c>
    </x:row>
    <x:row r="84" ht="35" customHeight="1">
      <x:c r="A84" s="12" t="str">
        <x:v>U-0079</x:v>
      </x:c>
      <x:c r="B84" s="12" t="str">
        <x:v>GNL-25-01</x:v>
      </x:c>
      <x:c r="C84" s="12" t="str">
        <x:v>MSP Genel</x:v>
      </x:c>
      <x:c r="D84" s="12" t="str"/>
      <x:c r="E84" s="12" t="str"/>
      <x:c r="F84" s="12" t="str"/>
      <x:c r="G84" s="12" t="str"/>
      <x:c r="H84" s="12" t="str">
        <x:v>Belirlenecek</x:v>
      </x:c>
      <x:c r="I84" s="12" t="str"/>
      <x:c r="J84" s="12" t="str"/>
      <x:c r="K84" s="12" t="str"/>
      <x:c r="L84" s="13" t="str"/>
      <x:c r="M84" s="12" t="str"/>
      <x:c r="N84" s="12" t="str">
        <x:v>İncelenmedi</x:v>
      </x:c>
      <x:c r="O84" s="12" t="str">
        <x:v>İncelenmedi</x:v>
      </x:c>
      <x:c r="P84" s="12" t="str">
        <x:v>İncelenmedi</x:v>
      </x:c>
      <x:c r="Q84" s="12" t="str"/>
      <x:c r="R84" s="12" t="str"/>
      <x:c r="S84" s="13" t="str"/>
      <x:c r="T84" s="12" t="str"/>
      <x:c r="U84" s="12" t="str"/>
      <x:c r="V84" s="14" t="str">
        <x:f>IF(A84="","",IF(NOT(AND(COUNTIF(Exec[TestID],A84)=1,COUNTIF(Controls[ID],B84)=1,COUNTIFS(Scope[KapsamID],D84,Scope[OnayliKapsamID],D84,Scope[Ürün],C84)=1,OR(COUNTIFS(Controls[ID],B84,Controls[Ürün],C84)=1,COUNTIFS(Controls[ID],B84,Controls[Ürün],"MSP Genel")=1),E84&lt;&gt;"",F84&lt;&gt;"",G84&lt;&gt;"",I84&lt;&gt;"",Q84&lt;&gt;"")),"Kimlik / kapsam eksik",IF(NOT(OR(H84="Uygulanır",H84="Uygulanmaz")),"Uygulanabilirlik eksik",IF(AND(H84="Uygulanır",P84="Kanıt yetersiz",U84&lt;&gt;""),IF(AND(R84&lt;&gt;"",R84&lt;&gt;Q84,ISNUMBER(S84),S84&gt;0,S84&gt;=L84),"İnceleme tamam","Gözden geçirme eksik"),IF(NOT(AND(J84&lt;&gt;"",COUNTIFS(Evidence[KanitID],J84,Evidence[Kabul edilen ID],J84)=1,K84&lt;&gt;"",ISNUMBER(L84),L84&gt;0,M84&lt;&gt;"")),"Kanıt / test eksik",IF(NOT(AND(R84&lt;&gt;"",R84&lt;&gt;Q84,ISNUMBER(S84),S84&gt;0,S84&gt;=L84)),"Gözden geçirme eksik",IF(H84="Uygulanmaz","İnceleme tamam",IF(AND(OR(P84="Uygun",P84="Kısmen uygun",P84="Uygunsuz"),OR(N84="Uygun",N84="Kısmen uygun",N84="Uygunsuz"),OR(O84="Uygun",O84="Kısmen uygun",O84="Uygunsuz"),OR(P84&lt;&gt;"Uygun",AND(N84="Uygun",O84="Uygun")),OR(P84="Uygun",AND(T84&lt;&gt;"",COUNTIF(Findings[KayitliBulguID],T84)=1))),"İnceleme tamam","Sonuç / bulgu eksik"))))))))</x:f>
        <x:v>Kimlik / kapsam eksik</x:v>
      </x:c>
      <x:c r="W84" s="14" t="str">
        <x:f>IF(A84="","",IF(V84&lt;&gt;"İnceleme tamam","İncelenmedi",IF(H84="Uygulanmaz","Uygulanmaz",P84)))</x:f>
        <x:v>İncelenmedi</x:v>
      </x:c>
    </x:row>
    <x:row r="85" ht="35" customHeight="1">
      <x:c r="A85" s="12" t="str">
        <x:v>U-0080</x:v>
      </x:c>
      <x:c r="B85" s="12" t="str">
        <x:v>GNL-25-05</x:v>
      </x:c>
      <x:c r="C85" s="12" t="str">
        <x:v>MSP Genel</x:v>
      </x:c>
      <x:c r="D85" s="12" t="str"/>
      <x:c r="E85" s="12" t="str"/>
      <x:c r="F85" s="12" t="str"/>
      <x:c r="G85" s="12" t="str"/>
      <x:c r="H85" s="12" t="str">
        <x:v>Belirlenecek</x:v>
      </x:c>
      <x:c r="I85" s="12" t="str"/>
      <x:c r="J85" s="12" t="str"/>
      <x:c r="K85" s="12" t="str"/>
      <x:c r="L85" s="13" t="str"/>
      <x:c r="M85" s="12" t="str"/>
      <x:c r="N85" s="12" t="str">
        <x:v>İncelenmedi</x:v>
      </x:c>
      <x:c r="O85" s="12" t="str">
        <x:v>İncelenmedi</x:v>
      </x:c>
      <x:c r="P85" s="12" t="str">
        <x:v>İncelenmedi</x:v>
      </x:c>
      <x:c r="Q85" s="12" t="str"/>
      <x:c r="R85" s="12" t="str"/>
      <x:c r="S85" s="13" t="str"/>
      <x:c r="T85" s="12" t="str"/>
      <x:c r="U85" s="12" t="str"/>
      <x:c r="V85" s="14" t="str">
        <x:f>IF(A85="","",IF(NOT(AND(COUNTIF(Exec[TestID],A85)=1,COUNTIF(Controls[ID],B85)=1,COUNTIFS(Scope[KapsamID],D85,Scope[OnayliKapsamID],D85,Scope[Ürün],C85)=1,OR(COUNTIFS(Controls[ID],B85,Controls[Ürün],C85)=1,COUNTIFS(Controls[ID],B85,Controls[Ürün],"MSP Genel")=1),E85&lt;&gt;"",F85&lt;&gt;"",G85&lt;&gt;"",I85&lt;&gt;"",Q85&lt;&gt;"")),"Kimlik / kapsam eksik",IF(NOT(OR(H85="Uygulanır",H85="Uygulanmaz")),"Uygulanabilirlik eksik",IF(AND(H85="Uygulanır",P85="Kanıt yetersiz",U85&lt;&gt;""),IF(AND(R85&lt;&gt;"",R85&lt;&gt;Q85,ISNUMBER(S85),S85&gt;0,S85&gt;=L85),"İnceleme tamam","Gözden geçirme eksik"),IF(NOT(AND(J85&lt;&gt;"",COUNTIFS(Evidence[KanitID],J85,Evidence[Kabul edilen ID],J85)=1,K85&lt;&gt;"",ISNUMBER(L85),L85&gt;0,M85&lt;&gt;"")),"Kanıt / test eksik",IF(NOT(AND(R85&lt;&gt;"",R85&lt;&gt;Q85,ISNUMBER(S85),S85&gt;0,S85&gt;=L85)),"Gözden geçirme eksik",IF(H85="Uygulanmaz","İnceleme tamam",IF(AND(OR(P85="Uygun",P85="Kısmen uygun",P85="Uygunsuz"),OR(N85="Uygun",N85="Kısmen uygun",N85="Uygunsuz"),OR(O85="Uygun",O85="Kısmen uygun",O85="Uygunsuz"),OR(P85&lt;&gt;"Uygun",AND(N85="Uygun",O85="Uygun")),OR(P85="Uygun",AND(T85&lt;&gt;"",COUNTIF(Findings[KayitliBulguID],T85)=1))),"İnceleme tamam","Sonuç / bulgu eksik"))))))))</x:f>
        <x:v>Kimlik / kapsam eksik</x:v>
      </x:c>
      <x:c r="W85" s="14" t="str">
        <x:f>IF(A85="","",IF(V85&lt;&gt;"İnceleme tamam","İncelenmedi",IF(H85="Uygulanmaz","Uygulanmaz",P85)))</x:f>
        <x:v>İncelenmedi</x:v>
      </x:c>
    </x:row>
    <x:row r="86" ht="35" customHeight="1">
      <x:c r="A86" s="12" t="str">
        <x:v>U-0081</x:v>
      </x:c>
      <x:c r="B86" s="12" t="str">
        <x:v>GNL-26-04</x:v>
      </x:c>
      <x:c r="C86" s="12" t="str">
        <x:v>MSP Genel</x:v>
      </x:c>
      <x:c r="D86" s="12" t="str"/>
      <x:c r="E86" s="12" t="str"/>
      <x:c r="F86" s="12" t="str"/>
      <x:c r="G86" s="12" t="str"/>
      <x:c r="H86" s="12" t="str">
        <x:v>Belirlenecek</x:v>
      </x:c>
      <x:c r="I86" s="12" t="str"/>
      <x:c r="J86" s="12" t="str"/>
      <x:c r="K86" s="12" t="str"/>
      <x:c r="L86" s="13" t="str"/>
      <x:c r="M86" s="12" t="str"/>
      <x:c r="N86" s="12" t="str">
        <x:v>İncelenmedi</x:v>
      </x:c>
      <x:c r="O86" s="12" t="str">
        <x:v>İncelenmedi</x:v>
      </x:c>
      <x:c r="P86" s="12" t="str">
        <x:v>İncelenmedi</x:v>
      </x:c>
      <x:c r="Q86" s="12" t="str"/>
      <x:c r="R86" s="12" t="str"/>
      <x:c r="S86" s="13" t="str"/>
      <x:c r="T86" s="12" t="str"/>
      <x:c r="U86" s="12" t="str"/>
      <x:c r="V86" s="14" t="str">
        <x:f>IF(A86="","",IF(NOT(AND(COUNTIF(Exec[TestID],A86)=1,COUNTIF(Controls[ID],B86)=1,COUNTIFS(Scope[KapsamID],D86,Scope[OnayliKapsamID],D86,Scope[Ürün],C86)=1,OR(COUNTIFS(Controls[ID],B86,Controls[Ürün],C86)=1,COUNTIFS(Controls[ID],B86,Controls[Ürün],"MSP Genel")=1),E86&lt;&gt;"",F86&lt;&gt;"",G86&lt;&gt;"",I86&lt;&gt;"",Q86&lt;&gt;"")),"Kimlik / kapsam eksik",IF(NOT(OR(H86="Uygulanır",H86="Uygulanmaz")),"Uygulanabilirlik eksik",IF(AND(H86="Uygulanır",P86="Kanıt yetersiz",U86&lt;&gt;""),IF(AND(R86&lt;&gt;"",R86&lt;&gt;Q86,ISNUMBER(S86),S86&gt;0,S86&gt;=L86),"İnceleme tamam","Gözden geçirme eksik"),IF(NOT(AND(J86&lt;&gt;"",COUNTIFS(Evidence[KanitID],J86,Evidence[Kabul edilen ID],J86)=1,K86&lt;&gt;"",ISNUMBER(L86),L86&gt;0,M86&lt;&gt;"")),"Kanıt / test eksik",IF(NOT(AND(R86&lt;&gt;"",R86&lt;&gt;Q86,ISNUMBER(S86),S86&gt;0,S86&gt;=L86)),"Gözden geçirme eksik",IF(H86="Uygulanmaz","İnceleme tamam",IF(AND(OR(P86="Uygun",P86="Kısmen uygun",P86="Uygunsuz"),OR(N86="Uygun",N86="Kısmen uygun",N86="Uygunsuz"),OR(O86="Uygun",O86="Kısmen uygun",O86="Uygunsuz"),OR(P86&lt;&gt;"Uygun",AND(N86="Uygun",O86="Uygun")),OR(P86="Uygun",AND(T86&lt;&gt;"",COUNTIF(Findings[KayitliBulguID],T86)=1))),"İnceleme tamam","Sonuç / bulgu eksik"))))))))</x:f>
        <x:v>Kimlik / kapsam eksik</x:v>
      </x:c>
      <x:c r="W86" s="14" t="str">
        <x:f>IF(A86="","",IF(V86&lt;&gt;"İnceleme tamam","İncelenmedi",IF(H86="Uygulanmaz","Uygulanmaz",P86)))</x:f>
        <x:v>İncelenmedi</x:v>
      </x:c>
    </x:row>
    <x:row r="87" ht="35" customHeight="1">
      <x:c r="A87" s="12" t="str">
        <x:v>U-0082</x:v>
      </x:c>
      <x:c r="B87" s="12" t="str">
        <x:v>GNL-26-05</x:v>
      </x:c>
      <x:c r="C87" s="12" t="str">
        <x:v>MSP Genel</x:v>
      </x:c>
      <x:c r="D87" s="12" t="str"/>
      <x:c r="E87" s="12" t="str"/>
      <x:c r="F87" s="12" t="str"/>
      <x:c r="G87" s="12" t="str"/>
      <x:c r="H87" s="12" t="str">
        <x:v>Belirlenecek</x:v>
      </x:c>
      <x:c r="I87" s="12" t="str"/>
      <x:c r="J87" s="12" t="str"/>
      <x:c r="K87" s="12" t="str"/>
      <x:c r="L87" s="13" t="str"/>
      <x:c r="M87" s="12" t="str"/>
      <x:c r="N87" s="12" t="str">
        <x:v>İncelenmedi</x:v>
      </x:c>
      <x:c r="O87" s="12" t="str">
        <x:v>İncelenmedi</x:v>
      </x:c>
      <x:c r="P87" s="12" t="str">
        <x:v>İncelenmedi</x:v>
      </x:c>
      <x:c r="Q87" s="12" t="str"/>
      <x:c r="R87" s="12" t="str"/>
      <x:c r="S87" s="13" t="str"/>
      <x:c r="T87" s="12" t="str"/>
      <x:c r="U87" s="12" t="str"/>
      <x:c r="V87" s="14" t="str">
        <x:f>IF(A87="","",IF(NOT(AND(COUNTIF(Exec[TestID],A87)=1,COUNTIF(Controls[ID],B87)=1,COUNTIFS(Scope[KapsamID],D87,Scope[OnayliKapsamID],D87,Scope[Ürün],C87)=1,OR(COUNTIFS(Controls[ID],B87,Controls[Ürün],C87)=1,COUNTIFS(Controls[ID],B87,Controls[Ürün],"MSP Genel")=1),E87&lt;&gt;"",F87&lt;&gt;"",G87&lt;&gt;"",I87&lt;&gt;"",Q87&lt;&gt;"")),"Kimlik / kapsam eksik",IF(NOT(OR(H87="Uygulanır",H87="Uygulanmaz")),"Uygulanabilirlik eksik",IF(AND(H87="Uygulanır",P87="Kanıt yetersiz",U87&lt;&gt;""),IF(AND(R87&lt;&gt;"",R87&lt;&gt;Q87,ISNUMBER(S87),S87&gt;0,S87&gt;=L87),"İnceleme tamam","Gözden geçirme eksik"),IF(NOT(AND(J87&lt;&gt;"",COUNTIFS(Evidence[KanitID],J87,Evidence[Kabul edilen ID],J87)=1,K87&lt;&gt;"",ISNUMBER(L87),L87&gt;0,M87&lt;&gt;"")),"Kanıt / test eksik",IF(NOT(AND(R87&lt;&gt;"",R87&lt;&gt;Q87,ISNUMBER(S87),S87&gt;0,S87&gt;=L87)),"Gözden geçirme eksik",IF(H87="Uygulanmaz","İnceleme tamam",IF(AND(OR(P87="Uygun",P87="Kısmen uygun",P87="Uygunsuz"),OR(N87="Uygun",N87="Kısmen uygun",N87="Uygunsuz"),OR(O87="Uygun",O87="Kısmen uygun",O87="Uygunsuz"),OR(P87&lt;&gt;"Uygun",AND(N87="Uygun",O87="Uygun")),OR(P87="Uygun",AND(T87&lt;&gt;"",COUNTIF(Findings[KayitliBulguID],T87)=1))),"İnceleme tamam","Sonuç / bulgu eksik"))))))))</x:f>
        <x:v>Kimlik / kapsam eksik</x:v>
      </x:c>
      <x:c r="W87" s="14" t="str">
        <x:f>IF(A87="","",IF(V87&lt;&gt;"İnceleme tamam","İncelenmedi",IF(H87="Uygulanmaz","Uygulanmaz",P87)))</x:f>
        <x:v>İncelenmedi</x:v>
      </x:c>
    </x:row>
    <x:row r="88" ht="35" customHeight="1">
      <x:c r="A88" s="12" t="str">
        <x:v>U-0083</x:v>
      </x:c>
      <x:c r="B88" s="12" t="str">
        <x:v>GNL-26-07</x:v>
      </x:c>
      <x:c r="C88" s="12" t="str">
        <x:v>MSP Genel</x:v>
      </x:c>
      <x:c r="D88" s="12" t="str"/>
      <x:c r="E88" s="12" t="str"/>
      <x:c r="F88" s="12" t="str"/>
      <x:c r="G88" s="12" t="str"/>
      <x:c r="H88" s="12" t="str">
        <x:v>Belirlenecek</x:v>
      </x:c>
      <x:c r="I88" s="12" t="str"/>
      <x:c r="J88" s="12" t="str"/>
      <x:c r="K88" s="12" t="str"/>
      <x:c r="L88" s="13" t="str"/>
      <x:c r="M88" s="12" t="str"/>
      <x:c r="N88" s="12" t="str">
        <x:v>İncelenmedi</x:v>
      </x:c>
      <x:c r="O88" s="12" t="str">
        <x:v>İncelenmedi</x:v>
      </x:c>
      <x:c r="P88" s="12" t="str">
        <x:v>İncelenmedi</x:v>
      </x:c>
      <x:c r="Q88" s="12" t="str"/>
      <x:c r="R88" s="12" t="str"/>
      <x:c r="S88" s="13" t="str"/>
      <x:c r="T88" s="12" t="str"/>
      <x:c r="U88" s="12" t="str"/>
      <x:c r="V88" s="14" t="str">
        <x:f>IF(A88="","",IF(NOT(AND(COUNTIF(Exec[TestID],A88)=1,COUNTIF(Controls[ID],B88)=1,COUNTIFS(Scope[KapsamID],D88,Scope[OnayliKapsamID],D88,Scope[Ürün],C88)=1,OR(COUNTIFS(Controls[ID],B88,Controls[Ürün],C88)=1,COUNTIFS(Controls[ID],B88,Controls[Ürün],"MSP Genel")=1),E88&lt;&gt;"",F88&lt;&gt;"",G88&lt;&gt;"",I88&lt;&gt;"",Q88&lt;&gt;"")),"Kimlik / kapsam eksik",IF(NOT(OR(H88="Uygulanır",H88="Uygulanmaz")),"Uygulanabilirlik eksik",IF(AND(H88="Uygulanır",P88="Kanıt yetersiz",U88&lt;&gt;""),IF(AND(R88&lt;&gt;"",R88&lt;&gt;Q88,ISNUMBER(S88),S88&gt;0,S88&gt;=L88),"İnceleme tamam","Gözden geçirme eksik"),IF(NOT(AND(J88&lt;&gt;"",COUNTIFS(Evidence[KanitID],J88,Evidence[Kabul edilen ID],J88)=1,K88&lt;&gt;"",ISNUMBER(L88),L88&gt;0,M88&lt;&gt;"")),"Kanıt / test eksik",IF(NOT(AND(R88&lt;&gt;"",R88&lt;&gt;Q88,ISNUMBER(S88),S88&gt;0,S88&gt;=L88)),"Gözden geçirme eksik",IF(H88="Uygulanmaz","İnceleme tamam",IF(AND(OR(P88="Uygun",P88="Kısmen uygun",P88="Uygunsuz"),OR(N88="Uygun",N88="Kısmen uygun",N88="Uygunsuz"),OR(O88="Uygun",O88="Kısmen uygun",O88="Uygunsuz"),OR(P88&lt;&gt;"Uygun",AND(N88="Uygun",O88="Uygun")),OR(P88="Uygun",AND(T88&lt;&gt;"",COUNTIF(Findings[KayitliBulguID],T88)=1))),"İnceleme tamam","Sonuç / bulgu eksik"))))))))</x:f>
        <x:v>Kimlik / kapsam eksik</x:v>
      </x:c>
      <x:c r="W88" s="14" t="str">
        <x:f>IF(A88="","",IF(V88&lt;&gt;"İnceleme tamam","İncelenmedi",IF(H88="Uygulanmaz","Uygulanmaz",P88)))</x:f>
        <x:v>İncelenmedi</x:v>
      </x:c>
    </x:row>
    <x:row r="89" ht="35" customHeight="1">
      <x:c r="A89" s="12" t="str">
        <x:v>U-0084</x:v>
      </x:c>
      <x:c r="B89" s="12" t="str">
        <x:v>MSP-003</x:v>
      </x:c>
      <x:c r="C89" s="12" t="str">
        <x:v>MSP Genel</x:v>
      </x:c>
      <x:c r="D89" s="12" t="str"/>
      <x:c r="E89" s="12" t="str"/>
      <x:c r="F89" s="12" t="str"/>
      <x:c r="G89" s="12" t="str"/>
      <x:c r="H89" s="12" t="str">
        <x:v>Belirlenecek</x:v>
      </x:c>
      <x:c r="I89" s="12" t="str"/>
      <x:c r="J89" s="12" t="str"/>
      <x:c r="K89" s="12" t="str"/>
      <x:c r="L89" s="13" t="str"/>
      <x:c r="M89" s="12" t="str"/>
      <x:c r="N89" s="12" t="str">
        <x:v>İncelenmedi</x:v>
      </x:c>
      <x:c r="O89" s="12" t="str">
        <x:v>İncelenmedi</x:v>
      </x:c>
      <x:c r="P89" s="12" t="str">
        <x:v>İncelenmedi</x:v>
      </x:c>
      <x:c r="Q89" s="12" t="str"/>
      <x:c r="R89" s="12" t="str"/>
      <x:c r="S89" s="13" t="str"/>
      <x:c r="T89" s="12" t="str"/>
      <x:c r="U89" s="12" t="str"/>
      <x:c r="V89" s="14" t="str">
        <x:f>IF(A89="","",IF(NOT(AND(COUNTIF(Exec[TestID],A89)=1,COUNTIF(Controls[ID],B89)=1,COUNTIFS(Scope[KapsamID],D89,Scope[OnayliKapsamID],D89,Scope[Ürün],C89)=1,OR(COUNTIFS(Controls[ID],B89,Controls[Ürün],C89)=1,COUNTIFS(Controls[ID],B89,Controls[Ürün],"MSP Genel")=1),E89&lt;&gt;"",F89&lt;&gt;"",G89&lt;&gt;"",I89&lt;&gt;"",Q89&lt;&gt;"")),"Kimlik / kapsam eksik",IF(NOT(OR(H89="Uygulanır",H89="Uygulanmaz")),"Uygulanabilirlik eksik",IF(AND(H89="Uygulanır",P89="Kanıt yetersiz",U89&lt;&gt;""),IF(AND(R89&lt;&gt;"",R89&lt;&gt;Q89,ISNUMBER(S89),S89&gt;0,S89&gt;=L89),"İnceleme tamam","Gözden geçirme eksik"),IF(NOT(AND(J89&lt;&gt;"",COUNTIFS(Evidence[KanitID],J89,Evidence[Kabul edilen ID],J89)=1,K89&lt;&gt;"",ISNUMBER(L89),L89&gt;0,M89&lt;&gt;"")),"Kanıt / test eksik",IF(NOT(AND(R89&lt;&gt;"",R89&lt;&gt;Q89,ISNUMBER(S89),S89&gt;0,S89&gt;=L89)),"Gözden geçirme eksik",IF(H89="Uygulanmaz","İnceleme tamam",IF(AND(OR(P89="Uygun",P89="Kısmen uygun",P89="Uygunsuz"),OR(N89="Uygun",N89="Kısmen uygun",N89="Uygunsuz"),OR(O89="Uygun",O89="Kısmen uygun",O89="Uygunsuz"),OR(P89&lt;&gt;"Uygun",AND(N89="Uygun",O89="Uygun")),OR(P89="Uygun",AND(T89&lt;&gt;"",COUNTIF(Findings[KayitliBulguID],T89)=1))),"İnceleme tamam","Sonuç / bulgu eksik"))))))))</x:f>
        <x:v>Kimlik / kapsam eksik</x:v>
      </x:c>
      <x:c r="W89" s="14" t="str">
        <x:f>IF(A89="","",IF(V89&lt;&gt;"İnceleme tamam","İncelenmedi",IF(H89="Uygulanmaz","Uygulanmaz",P89)))</x:f>
        <x:v>İncelenmedi</x:v>
      </x:c>
    </x:row>
    <x:row r="90" ht="35" customHeight="1">
      <x:c r="A90" s="12" t="str">
        <x:v>U-0085</x:v>
      </x:c>
      <x:c r="B90" s="12" t="str">
        <x:v>MSP-004</x:v>
      </x:c>
      <x:c r="C90" s="12" t="str">
        <x:v>MSP Genel</x:v>
      </x:c>
      <x:c r="D90" s="12" t="str"/>
      <x:c r="E90" s="12" t="str"/>
      <x:c r="F90" s="12" t="str"/>
      <x:c r="G90" s="12" t="str"/>
      <x:c r="H90" s="12" t="str">
        <x:v>Belirlenecek</x:v>
      </x:c>
      <x:c r="I90" s="12" t="str"/>
      <x:c r="J90" s="12" t="str"/>
      <x:c r="K90" s="12" t="str"/>
      <x:c r="L90" s="13" t="str"/>
      <x:c r="M90" s="12" t="str"/>
      <x:c r="N90" s="12" t="str">
        <x:v>İncelenmedi</x:v>
      </x:c>
      <x:c r="O90" s="12" t="str">
        <x:v>İncelenmedi</x:v>
      </x:c>
      <x:c r="P90" s="12" t="str">
        <x:v>İncelenmedi</x:v>
      </x:c>
      <x:c r="Q90" s="12" t="str"/>
      <x:c r="R90" s="12" t="str"/>
      <x:c r="S90" s="13" t="str"/>
      <x:c r="T90" s="12" t="str"/>
      <x:c r="U90" s="12" t="str"/>
      <x:c r="V90" s="14" t="str">
        <x:f>IF(A90="","",IF(NOT(AND(COUNTIF(Exec[TestID],A90)=1,COUNTIF(Controls[ID],B90)=1,COUNTIFS(Scope[KapsamID],D90,Scope[OnayliKapsamID],D90,Scope[Ürün],C90)=1,OR(COUNTIFS(Controls[ID],B90,Controls[Ürün],C90)=1,COUNTIFS(Controls[ID],B90,Controls[Ürün],"MSP Genel")=1),E90&lt;&gt;"",F90&lt;&gt;"",G90&lt;&gt;"",I90&lt;&gt;"",Q90&lt;&gt;"")),"Kimlik / kapsam eksik",IF(NOT(OR(H90="Uygulanır",H90="Uygulanmaz")),"Uygulanabilirlik eksik",IF(AND(H90="Uygulanır",P90="Kanıt yetersiz",U90&lt;&gt;""),IF(AND(R90&lt;&gt;"",R90&lt;&gt;Q90,ISNUMBER(S90),S90&gt;0,S90&gt;=L90),"İnceleme tamam","Gözden geçirme eksik"),IF(NOT(AND(J90&lt;&gt;"",COUNTIFS(Evidence[KanitID],J90,Evidence[Kabul edilen ID],J90)=1,K90&lt;&gt;"",ISNUMBER(L90),L90&gt;0,M90&lt;&gt;"")),"Kanıt / test eksik",IF(NOT(AND(R90&lt;&gt;"",R90&lt;&gt;Q90,ISNUMBER(S90),S90&gt;0,S90&gt;=L90)),"Gözden geçirme eksik",IF(H90="Uygulanmaz","İnceleme tamam",IF(AND(OR(P90="Uygun",P90="Kısmen uygun",P90="Uygunsuz"),OR(N90="Uygun",N90="Kısmen uygun",N90="Uygunsuz"),OR(O90="Uygun",O90="Kısmen uygun",O90="Uygunsuz"),OR(P90&lt;&gt;"Uygun",AND(N90="Uygun",O90="Uygun")),OR(P90="Uygun",AND(T90&lt;&gt;"",COUNTIF(Findings[KayitliBulguID],T90)=1))),"İnceleme tamam","Sonuç / bulgu eksik"))))))))</x:f>
        <x:v>Kimlik / kapsam eksik</x:v>
      </x:c>
      <x:c r="W90" s="14" t="str">
        <x:f>IF(A90="","",IF(V90&lt;&gt;"İnceleme tamam","İncelenmedi",IF(H90="Uygulanmaz","Uygulanmaz",P90)))</x:f>
        <x:v>İncelenmedi</x:v>
      </x:c>
    </x:row>
    <x:row r="91" ht="35" customHeight="1">
      <x:c r="A91" s="12" t="str">
        <x:v>U-0086</x:v>
      </x:c>
      <x:c r="B91" s="12" t="str">
        <x:v>MSP-005</x:v>
      </x:c>
      <x:c r="C91" s="12" t="str">
        <x:v>MSP Genel</x:v>
      </x:c>
      <x:c r="D91" s="12" t="str"/>
      <x:c r="E91" s="12" t="str"/>
      <x:c r="F91" s="12" t="str"/>
      <x:c r="G91" s="12" t="str"/>
      <x:c r="H91" s="12" t="str">
        <x:v>Belirlenecek</x:v>
      </x:c>
      <x:c r="I91" s="12" t="str"/>
      <x:c r="J91" s="12" t="str"/>
      <x:c r="K91" s="12" t="str"/>
      <x:c r="L91" s="13" t="str"/>
      <x:c r="M91" s="12" t="str"/>
      <x:c r="N91" s="12" t="str">
        <x:v>İncelenmedi</x:v>
      </x:c>
      <x:c r="O91" s="12" t="str">
        <x:v>İncelenmedi</x:v>
      </x:c>
      <x:c r="P91" s="12" t="str">
        <x:v>İncelenmedi</x:v>
      </x:c>
      <x:c r="Q91" s="12" t="str"/>
      <x:c r="R91" s="12" t="str"/>
      <x:c r="S91" s="13" t="str"/>
      <x:c r="T91" s="12" t="str"/>
      <x:c r="U91" s="12" t="str"/>
      <x:c r="V91" s="14" t="str">
        <x:f>IF(A91="","",IF(NOT(AND(COUNTIF(Exec[TestID],A91)=1,COUNTIF(Controls[ID],B91)=1,COUNTIFS(Scope[KapsamID],D91,Scope[OnayliKapsamID],D91,Scope[Ürün],C91)=1,OR(COUNTIFS(Controls[ID],B91,Controls[Ürün],C91)=1,COUNTIFS(Controls[ID],B91,Controls[Ürün],"MSP Genel")=1),E91&lt;&gt;"",F91&lt;&gt;"",G91&lt;&gt;"",I91&lt;&gt;"",Q91&lt;&gt;"")),"Kimlik / kapsam eksik",IF(NOT(OR(H91="Uygulanır",H91="Uygulanmaz")),"Uygulanabilirlik eksik",IF(AND(H91="Uygulanır",P91="Kanıt yetersiz",U91&lt;&gt;""),IF(AND(R91&lt;&gt;"",R91&lt;&gt;Q91,ISNUMBER(S91),S91&gt;0,S91&gt;=L91),"İnceleme tamam","Gözden geçirme eksik"),IF(NOT(AND(J91&lt;&gt;"",COUNTIFS(Evidence[KanitID],J91,Evidence[Kabul edilen ID],J91)=1,K91&lt;&gt;"",ISNUMBER(L91),L91&gt;0,M91&lt;&gt;"")),"Kanıt / test eksik",IF(NOT(AND(R91&lt;&gt;"",R91&lt;&gt;Q91,ISNUMBER(S91),S91&gt;0,S91&gt;=L91)),"Gözden geçirme eksik",IF(H91="Uygulanmaz","İnceleme tamam",IF(AND(OR(P91="Uygun",P91="Kısmen uygun",P91="Uygunsuz"),OR(N91="Uygun",N91="Kısmen uygun",N91="Uygunsuz"),OR(O91="Uygun",O91="Kısmen uygun",O91="Uygunsuz"),OR(P91&lt;&gt;"Uygun",AND(N91="Uygun",O91="Uygun")),OR(P91="Uygun",AND(T91&lt;&gt;"",COUNTIF(Findings[KayitliBulguID],T91)=1))),"İnceleme tamam","Sonuç / bulgu eksik"))))))))</x:f>
        <x:v>Kimlik / kapsam eksik</x:v>
      </x:c>
      <x:c r="W91" s="14" t="str">
        <x:f>IF(A91="","",IF(V91&lt;&gt;"İnceleme tamam","İncelenmedi",IF(H91="Uygulanmaz","Uygulanmaz",P91)))</x:f>
        <x:v>İncelenmedi</x:v>
      </x:c>
    </x:row>
    <x:row r="92" ht="35" customHeight="1">
      <x:c r="A92" s="12" t="str">
        <x:v>U-0087</x:v>
      </x:c>
      <x:c r="B92" s="12" t="str">
        <x:v>MSP-013</x:v>
      </x:c>
      <x:c r="C92" s="12" t="str">
        <x:v>MSP Genel</x:v>
      </x:c>
      <x:c r="D92" s="12" t="str"/>
      <x:c r="E92" s="12" t="str"/>
      <x:c r="F92" s="12" t="str"/>
      <x:c r="G92" s="12" t="str"/>
      <x:c r="H92" s="12" t="str">
        <x:v>Belirlenecek</x:v>
      </x:c>
      <x:c r="I92" s="12" t="str"/>
      <x:c r="J92" s="12" t="str"/>
      <x:c r="K92" s="12" t="str"/>
      <x:c r="L92" s="13" t="str"/>
      <x:c r="M92" s="12" t="str"/>
      <x:c r="N92" s="12" t="str">
        <x:v>İncelenmedi</x:v>
      </x:c>
      <x:c r="O92" s="12" t="str">
        <x:v>İncelenmedi</x:v>
      </x:c>
      <x:c r="P92" s="12" t="str">
        <x:v>İncelenmedi</x:v>
      </x:c>
      <x:c r="Q92" s="12" t="str"/>
      <x:c r="R92" s="12" t="str"/>
      <x:c r="S92" s="13" t="str"/>
      <x:c r="T92" s="12" t="str"/>
      <x:c r="U92" s="12" t="str"/>
      <x:c r="V92" s="14" t="str">
        <x:f>IF(A92="","",IF(NOT(AND(COUNTIF(Exec[TestID],A92)=1,COUNTIF(Controls[ID],B92)=1,COUNTIFS(Scope[KapsamID],D92,Scope[OnayliKapsamID],D92,Scope[Ürün],C92)=1,OR(COUNTIFS(Controls[ID],B92,Controls[Ürün],C92)=1,COUNTIFS(Controls[ID],B92,Controls[Ürün],"MSP Genel")=1),E92&lt;&gt;"",F92&lt;&gt;"",G92&lt;&gt;"",I92&lt;&gt;"",Q92&lt;&gt;"")),"Kimlik / kapsam eksik",IF(NOT(OR(H92="Uygulanır",H92="Uygulanmaz")),"Uygulanabilirlik eksik",IF(AND(H92="Uygulanır",P92="Kanıt yetersiz",U92&lt;&gt;""),IF(AND(R92&lt;&gt;"",R92&lt;&gt;Q92,ISNUMBER(S92),S92&gt;0,S92&gt;=L92),"İnceleme tamam","Gözden geçirme eksik"),IF(NOT(AND(J92&lt;&gt;"",COUNTIFS(Evidence[KanitID],J92,Evidence[Kabul edilen ID],J92)=1,K92&lt;&gt;"",ISNUMBER(L92),L92&gt;0,M92&lt;&gt;"")),"Kanıt / test eksik",IF(NOT(AND(R92&lt;&gt;"",R92&lt;&gt;Q92,ISNUMBER(S92),S92&gt;0,S92&gt;=L92)),"Gözden geçirme eksik",IF(H92="Uygulanmaz","İnceleme tamam",IF(AND(OR(P92="Uygun",P92="Kısmen uygun",P92="Uygunsuz"),OR(N92="Uygun",N92="Kısmen uygun",N92="Uygunsuz"),OR(O92="Uygun",O92="Kısmen uygun",O92="Uygunsuz"),OR(P92&lt;&gt;"Uygun",AND(N92="Uygun",O92="Uygun")),OR(P92="Uygun",AND(T92&lt;&gt;"",COUNTIF(Findings[KayitliBulguID],T92)=1))),"İnceleme tamam","Sonuç / bulgu eksik"))))))))</x:f>
        <x:v>Kimlik / kapsam eksik</x:v>
      </x:c>
      <x:c r="W92" s="14" t="str">
        <x:f>IF(A92="","",IF(V92&lt;&gt;"İnceleme tamam","İncelenmedi",IF(H92="Uygulanmaz","Uygulanmaz",P92)))</x:f>
        <x:v>İncelenmedi</x:v>
      </x:c>
    </x:row>
    <x:row r="93" ht="35" customHeight="1">
      <x:c r="A93" s="12" t="str">
        <x:v>U-0088</x:v>
      </x:c>
      <x:c r="B93" s="12" t="str">
        <x:v>VMW-V14-01</x:v>
      </x:c>
      <x:c r="C93" s="12" t="str">
        <x:v>MSP Genel</x:v>
      </x:c>
      <x:c r="D93" s="12" t="str"/>
      <x:c r="E93" s="12" t="str"/>
      <x:c r="F93" s="12" t="str"/>
      <x:c r="G93" s="12" t="str"/>
      <x:c r="H93" s="12" t="str">
        <x:v>Belirlenecek</x:v>
      </x:c>
      <x:c r="I93" s="12" t="str"/>
      <x:c r="J93" s="12" t="str"/>
      <x:c r="K93" s="12" t="str"/>
      <x:c r="L93" s="13" t="str"/>
      <x:c r="M93" s="12" t="str"/>
      <x:c r="N93" s="12" t="str">
        <x:v>İncelenmedi</x:v>
      </x:c>
      <x:c r="O93" s="12" t="str">
        <x:v>İncelenmedi</x:v>
      </x:c>
      <x:c r="P93" s="12" t="str">
        <x:v>İncelenmedi</x:v>
      </x:c>
      <x:c r="Q93" s="12" t="str"/>
      <x:c r="R93" s="12" t="str"/>
      <x:c r="S93" s="13" t="str"/>
      <x:c r="T93" s="12" t="str"/>
      <x:c r="U93" s="12" t="str"/>
      <x:c r="V93" s="14" t="str">
        <x:f>IF(A93="","",IF(NOT(AND(COUNTIF(Exec[TestID],A93)=1,COUNTIF(Controls[ID],B93)=1,COUNTIFS(Scope[KapsamID],D93,Scope[OnayliKapsamID],D93,Scope[Ürün],C93)=1,OR(COUNTIFS(Controls[ID],B93,Controls[Ürün],C93)=1,COUNTIFS(Controls[ID],B93,Controls[Ürün],"MSP Genel")=1),E93&lt;&gt;"",F93&lt;&gt;"",G93&lt;&gt;"",I93&lt;&gt;"",Q93&lt;&gt;"")),"Kimlik / kapsam eksik",IF(NOT(OR(H93="Uygulanır",H93="Uygulanmaz")),"Uygulanabilirlik eksik",IF(AND(H93="Uygulanır",P93="Kanıt yetersiz",U93&lt;&gt;""),IF(AND(R93&lt;&gt;"",R93&lt;&gt;Q93,ISNUMBER(S93),S93&gt;0,S93&gt;=L93),"İnceleme tamam","Gözden geçirme eksik"),IF(NOT(AND(J93&lt;&gt;"",COUNTIFS(Evidence[KanitID],J93,Evidence[Kabul edilen ID],J93)=1,K93&lt;&gt;"",ISNUMBER(L93),L93&gt;0,M93&lt;&gt;"")),"Kanıt / test eksik",IF(NOT(AND(R93&lt;&gt;"",R93&lt;&gt;Q93,ISNUMBER(S93),S93&gt;0,S93&gt;=L93)),"Gözden geçirme eksik",IF(H93="Uygulanmaz","İnceleme tamam",IF(AND(OR(P93="Uygun",P93="Kısmen uygun",P93="Uygunsuz"),OR(N93="Uygun",N93="Kısmen uygun",N93="Uygunsuz"),OR(O93="Uygun",O93="Kısmen uygun",O93="Uygunsuz"),OR(P93&lt;&gt;"Uygun",AND(N93="Uygun",O93="Uygun")),OR(P93="Uygun",AND(T93&lt;&gt;"",COUNTIF(Findings[KayitliBulguID],T93)=1))),"İnceleme tamam","Sonuç / bulgu eksik"))))))))</x:f>
        <x:v>Kimlik / kapsam eksik</x:v>
      </x:c>
      <x:c r="W93" s="14" t="str">
        <x:f>IF(A93="","",IF(V93&lt;&gt;"İnceleme tamam","İncelenmedi",IF(H93="Uygulanmaz","Uygulanmaz",P93)))</x:f>
        <x:v>İncelenmedi</x:v>
      </x:c>
    </x:row>
    <x:row r="94" ht="35" customHeight="1">
      <x:c r="A94" s="12" t="str">
        <x:v>U-0089</x:v>
      </x:c>
      <x:c r="B94" s="12" t="str">
        <x:v>VMW-V15-02</x:v>
      </x:c>
      <x:c r="C94" s="12" t="str">
        <x:v>MSP Genel</x:v>
      </x:c>
      <x:c r="D94" s="12" t="str"/>
      <x:c r="E94" s="12" t="str"/>
      <x:c r="F94" s="12" t="str"/>
      <x:c r="G94" s="12" t="str"/>
      <x:c r="H94" s="12" t="str">
        <x:v>Belirlenecek</x:v>
      </x:c>
      <x:c r="I94" s="12" t="str"/>
      <x:c r="J94" s="12" t="str"/>
      <x:c r="K94" s="12" t="str"/>
      <x:c r="L94" s="13" t="str"/>
      <x:c r="M94" s="12" t="str"/>
      <x:c r="N94" s="12" t="str">
        <x:v>İncelenmedi</x:v>
      </x:c>
      <x:c r="O94" s="12" t="str">
        <x:v>İncelenmedi</x:v>
      </x:c>
      <x:c r="P94" s="12" t="str">
        <x:v>İncelenmedi</x:v>
      </x:c>
      <x:c r="Q94" s="12" t="str"/>
      <x:c r="R94" s="12" t="str"/>
      <x:c r="S94" s="13" t="str"/>
      <x:c r="T94" s="12" t="str"/>
      <x:c r="U94" s="12" t="str"/>
      <x:c r="V94" s="14" t="str">
        <x:f>IF(A94="","",IF(NOT(AND(COUNTIF(Exec[TestID],A94)=1,COUNTIF(Controls[ID],B94)=1,COUNTIFS(Scope[KapsamID],D94,Scope[OnayliKapsamID],D94,Scope[Ürün],C94)=1,OR(COUNTIFS(Controls[ID],B94,Controls[Ürün],C94)=1,COUNTIFS(Controls[ID],B94,Controls[Ürün],"MSP Genel")=1),E94&lt;&gt;"",F94&lt;&gt;"",G94&lt;&gt;"",I94&lt;&gt;"",Q94&lt;&gt;"")),"Kimlik / kapsam eksik",IF(NOT(OR(H94="Uygulanır",H94="Uygulanmaz")),"Uygulanabilirlik eksik",IF(AND(H94="Uygulanır",P94="Kanıt yetersiz",U94&lt;&gt;""),IF(AND(R94&lt;&gt;"",R94&lt;&gt;Q94,ISNUMBER(S94),S94&gt;0,S94&gt;=L94),"İnceleme tamam","Gözden geçirme eksik"),IF(NOT(AND(J94&lt;&gt;"",COUNTIFS(Evidence[KanitID],J94,Evidence[Kabul edilen ID],J94)=1,K94&lt;&gt;"",ISNUMBER(L94),L94&gt;0,M94&lt;&gt;"")),"Kanıt / test eksik",IF(NOT(AND(R94&lt;&gt;"",R94&lt;&gt;Q94,ISNUMBER(S94),S94&gt;0,S94&gt;=L94)),"Gözden geçirme eksik",IF(H94="Uygulanmaz","İnceleme tamam",IF(AND(OR(P94="Uygun",P94="Kısmen uygun",P94="Uygunsuz"),OR(N94="Uygun",N94="Kısmen uygun",N94="Uygunsuz"),OR(O94="Uygun",O94="Kısmen uygun",O94="Uygunsuz"),OR(P94&lt;&gt;"Uygun",AND(N94="Uygun",O94="Uygun")),OR(P94="Uygun",AND(T94&lt;&gt;"",COUNTIF(Findings[KayitliBulguID],T94)=1))),"İnceleme tamam","Sonuç / bulgu eksik"))))))))</x:f>
        <x:v>Kimlik / kapsam eksik</x:v>
      </x:c>
      <x:c r="W94" s="14" t="str">
        <x:f>IF(A94="","",IF(V94&lt;&gt;"İnceleme tamam","İncelenmedi",IF(H94="Uygulanmaz","Uygulanmaz",P94)))</x:f>
        <x:v>İncelenmedi</x:v>
      </x:c>
    </x:row>
    <x:row r="95" ht="35" customHeight="1">
      <x:c r="A95" s="12" t="str">
        <x:v>U-0090</x:v>
      </x:c>
      <x:c r="B95" s="12" t="str">
        <x:v>ESX-001</x:v>
      </x:c>
      <x:c r="C95" s="12" t="str">
        <x:v>VMware ESXi</x:v>
      </x:c>
      <x:c r="D95" s="12" t="str"/>
      <x:c r="E95" s="12" t="str"/>
      <x:c r="F95" s="12" t="str"/>
      <x:c r="G95" s="12" t="str"/>
      <x:c r="H95" s="12" t="str">
        <x:v>Belirlenecek</x:v>
      </x:c>
      <x:c r="I95" s="12" t="str"/>
      <x:c r="J95" s="12" t="str"/>
      <x:c r="K95" s="12" t="str"/>
      <x:c r="L95" s="13" t="str"/>
      <x:c r="M95" s="12" t="str"/>
      <x:c r="N95" s="12" t="str">
        <x:v>İncelenmedi</x:v>
      </x:c>
      <x:c r="O95" s="12" t="str">
        <x:v>İncelenmedi</x:v>
      </x:c>
      <x:c r="P95" s="12" t="str">
        <x:v>İncelenmedi</x:v>
      </x:c>
      <x:c r="Q95" s="12" t="str"/>
      <x:c r="R95" s="12" t="str"/>
      <x:c r="S95" s="13" t="str"/>
      <x:c r="T95" s="12" t="str"/>
      <x:c r="U95" s="12" t="str"/>
      <x:c r="V95" s="14" t="str">
        <x:f>IF(A95="","",IF(NOT(AND(COUNTIF(Exec[TestID],A95)=1,COUNTIF(Controls[ID],B95)=1,COUNTIFS(Scope[KapsamID],D95,Scope[OnayliKapsamID],D95,Scope[Ürün],C95)=1,OR(COUNTIFS(Controls[ID],B95,Controls[Ürün],C95)=1,COUNTIFS(Controls[ID],B95,Controls[Ürün],"MSP Genel")=1),E95&lt;&gt;"",F95&lt;&gt;"",G95&lt;&gt;"",I95&lt;&gt;"",Q95&lt;&gt;"")),"Kimlik / kapsam eksik",IF(NOT(OR(H95="Uygulanır",H95="Uygulanmaz")),"Uygulanabilirlik eksik",IF(AND(H95="Uygulanır",P95="Kanıt yetersiz",U95&lt;&gt;""),IF(AND(R95&lt;&gt;"",R95&lt;&gt;Q95,ISNUMBER(S95),S95&gt;0,S95&gt;=L95),"İnceleme tamam","Gözden geçirme eksik"),IF(NOT(AND(J95&lt;&gt;"",COUNTIFS(Evidence[KanitID],J95,Evidence[Kabul edilen ID],J95)=1,K95&lt;&gt;"",ISNUMBER(L95),L95&gt;0,M95&lt;&gt;"")),"Kanıt / test eksik",IF(NOT(AND(R95&lt;&gt;"",R95&lt;&gt;Q95,ISNUMBER(S95),S95&gt;0,S95&gt;=L95)),"Gözden geçirme eksik",IF(H95="Uygulanmaz","İnceleme tamam",IF(AND(OR(P95="Uygun",P95="Kısmen uygun",P95="Uygunsuz"),OR(N95="Uygun",N95="Kısmen uygun",N95="Uygunsuz"),OR(O95="Uygun",O95="Kısmen uygun",O95="Uygunsuz"),OR(P95&lt;&gt;"Uygun",AND(N95="Uygun",O95="Uygun")),OR(P95="Uygun",AND(T95&lt;&gt;"",COUNTIF(Findings[KayitliBulguID],T95)=1))),"İnceleme tamam","Sonuç / bulgu eksik"))))))))</x:f>
        <x:v>Kimlik / kapsam eksik</x:v>
      </x:c>
      <x:c r="W95" s="14" t="str">
        <x:f>IF(A95="","",IF(V95&lt;&gt;"İnceleme tamam","İncelenmedi",IF(H95="Uygulanmaz","Uygulanmaz",P95)))</x:f>
        <x:v>İncelenmedi</x:v>
      </x:c>
    </x:row>
    <x:row r="96" ht="35" customHeight="1">
      <x:c r="A96" s="12" t="str">
        <x:v>U-0091</x:v>
      </x:c>
      <x:c r="B96" s="12" t="str">
        <x:v>ESX-002</x:v>
      </x:c>
      <x:c r="C96" s="12" t="str">
        <x:v>VMware ESXi</x:v>
      </x:c>
      <x:c r="D96" s="12" t="str"/>
      <x:c r="E96" s="12" t="str"/>
      <x:c r="F96" s="12" t="str"/>
      <x:c r="G96" s="12" t="str"/>
      <x:c r="H96" s="12" t="str">
        <x:v>Belirlenecek</x:v>
      </x:c>
      <x:c r="I96" s="12" t="str"/>
      <x:c r="J96" s="12" t="str"/>
      <x:c r="K96" s="12" t="str"/>
      <x:c r="L96" s="13" t="str"/>
      <x:c r="M96" s="12" t="str"/>
      <x:c r="N96" s="12" t="str">
        <x:v>İncelenmedi</x:v>
      </x:c>
      <x:c r="O96" s="12" t="str">
        <x:v>İncelenmedi</x:v>
      </x:c>
      <x:c r="P96" s="12" t="str">
        <x:v>İncelenmedi</x:v>
      </x:c>
      <x:c r="Q96" s="12" t="str"/>
      <x:c r="R96" s="12" t="str"/>
      <x:c r="S96" s="13" t="str"/>
      <x:c r="T96" s="12" t="str"/>
      <x:c r="U96" s="12" t="str"/>
      <x:c r="V96" s="14" t="str">
        <x:f>IF(A96="","",IF(NOT(AND(COUNTIF(Exec[TestID],A96)=1,COUNTIF(Controls[ID],B96)=1,COUNTIFS(Scope[KapsamID],D96,Scope[OnayliKapsamID],D96,Scope[Ürün],C96)=1,OR(COUNTIFS(Controls[ID],B96,Controls[Ürün],C96)=1,COUNTIFS(Controls[ID],B96,Controls[Ürün],"MSP Genel")=1),E96&lt;&gt;"",F96&lt;&gt;"",G96&lt;&gt;"",I96&lt;&gt;"",Q96&lt;&gt;"")),"Kimlik / kapsam eksik",IF(NOT(OR(H96="Uygulanır",H96="Uygulanmaz")),"Uygulanabilirlik eksik",IF(AND(H96="Uygulanır",P96="Kanıt yetersiz",U96&lt;&gt;""),IF(AND(R96&lt;&gt;"",R96&lt;&gt;Q96,ISNUMBER(S96),S96&gt;0,S96&gt;=L96),"İnceleme tamam","Gözden geçirme eksik"),IF(NOT(AND(J96&lt;&gt;"",COUNTIFS(Evidence[KanitID],J96,Evidence[Kabul edilen ID],J96)=1,K96&lt;&gt;"",ISNUMBER(L96),L96&gt;0,M96&lt;&gt;"")),"Kanıt / test eksik",IF(NOT(AND(R96&lt;&gt;"",R96&lt;&gt;Q96,ISNUMBER(S96),S96&gt;0,S96&gt;=L96)),"Gözden geçirme eksik",IF(H96="Uygulanmaz","İnceleme tamam",IF(AND(OR(P96="Uygun",P96="Kısmen uygun",P96="Uygunsuz"),OR(N96="Uygun",N96="Kısmen uygun",N96="Uygunsuz"),OR(O96="Uygun",O96="Kısmen uygun",O96="Uygunsuz"),OR(P96&lt;&gt;"Uygun",AND(N96="Uygun",O96="Uygun")),OR(P96="Uygun",AND(T96&lt;&gt;"",COUNTIF(Findings[KayitliBulguID],T96)=1))),"İnceleme tamam","Sonuç / bulgu eksik"))))))))</x:f>
        <x:v>Kimlik / kapsam eksik</x:v>
      </x:c>
      <x:c r="W96" s="14" t="str">
        <x:f>IF(A96="","",IF(V96&lt;&gt;"İnceleme tamam","İncelenmedi",IF(H96="Uygulanmaz","Uygulanmaz",P96)))</x:f>
        <x:v>İncelenmedi</x:v>
      </x:c>
    </x:row>
    <x:row r="97" ht="35" customHeight="1">
      <x:c r="A97" s="12" t="str">
        <x:v>U-0092</x:v>
      </x:c>
      <x:c r="B97" s="12" t="str">
        <x:v>ESX-003</x:v>
      </x:c>
      <x:c r="C97" s="12" t="str">
        <x:v>VMware ESXi</x:v>
      </x:c>
      <x:c r="D97" s="12" t="str"/>
      <x:c r="E97" s="12" t="str"/>
      <x:c r="F97" s="12" t="str"/>
      <x:c r="G97" s="12" t="str"/>
      <x:c r="H97" s="12" t="str">
        <x:v>Belirlenecek</x:v>
      </x:c>
      <x:c r="I97" s="12" t="str"/>
      <x:c r="J97" s="12" t="str"/>
      <x:c r="K97" s="12" t="str"/>
      <x:c r="L97" s="13" t="str"/>
      <x:c r="M97" s="12" t="str"/>
      <x:c r="N97" s="12" t="str">
        <x:v>İncelenmedi</x:v>
      </x:c>
      <x:c r="O97" s="12" t="str">
        <x:v>İncelenmedi</x:v>
      </x:c>
      <x:c r="P97" s="12" t="str">
        <x:v>İncelenmedi</x:v>
      </x:c>
      <x:c r="Q97" s="12" t="str"/>
      <x:c r="R97" s="12" t="str"/>
      <x:c r="S97" s="13" t="str"/>
      <x:c r="T97" s="12" t="str"/>
      <x:c r="U97" s="12" t="str"/>
      <x:c r="V97" s="14" t="str">
        <x:f>IF(A97="","",IF(NOT(AND(COUNTIF(Exec[TestID],A97)=1,COUNTIF(Controls[ID],B97)=1,COUNTIFS(Scope[KapsamID],D97,Scope[OnayliKapsamID],D97,Scope[Ürün],C97)=1,OR(COUNTIFS(Controls[ID],B97,Controls[Ürün],C97)=1,COUNTIFS(Controls[ID],B97,Controls[Ürün],"MSP Genel")=1),E97&lt;&gt;"",F97&lt;&gt;"",G97&lt;&gt;"",I97&lt;&gt;"",Q97&lt;&gt;"")),"Kimlik / kapsam eksik",IF(NOT(OR(H97="Uygulanır",H97="Uygulanmaz")),"Uygulanabilirlik eksik",IF(AND(H97="Uygulanır",P97="Kanıt yetersiz",U97&lt;&gt;""),IF(AND(R97&lt;&gt;"",R97&lt;&gt;Q97,ISNUMBER(S97),S97&gt;0,S97&gt;=L97),"İnceleme tamam","Gözden geçirme eksik"),IF(NOT(AND(J97&lt;&gt;"",COUNTIFS(Evidence[KanitID],J97,Evidence[Kabul edilen ID],J97)=1,K97&lt;&gt;"",ISNUMBER(L97),L97&gt;0,M97&lt;&gt;"")),"Kanıt / test eksik",IF(NOT(AND(R97&lt;&gt;"",R97&lt;&gt;Q97,ISNUMBER(S97),S97&gt;0,S97&gt;=L97)),"Gözden geçirme eksik",IF(H97="Uygulanmaz","İnceleme tamam",IF(AND(OR(P97="Uygun",P97="Kısmen uygun",P97="Uygunsuz"),OR(N97="Uygun",N97="Kısmen uygun",N97="Uygunsuz"),OR(O97="Uygun",O97="Kısmen uygun",O97="Uygunsuz"),OR(P97&lt;&gt;"Uygun",AND(N97="Uygun",O97="Uygun")),OR(P97="Uygun",AND(T97&lt;&gt;"",COUNTIF(Findings[KayitliBulguID],T97)=1))),"İnceleme tamam","Sonuç / bulgu eksik"))))))))</x:f>
        <x:v>Kimlik / kapsam eksik</x:v>
      </x:c>
      <x:c r="W97" s="14" t="str">
        <x:f>IF(A97="","",IF(V97&lt;&gt;"İnceleme tamam","İncelenmedi",IF(H97="Uygulanmaz","Uygulanmaz",P97)))</x:f>
        <x:v>İncelenmedi</x:v>
      </x:c>
    </x:row>
    <x:row r="98" ht="35" customHeight="1">
      <x:c r="A98" s="12" t="str">
        <x:v>U-0093</x:v>
      </x:c>
      <x:c r="B98" s="12" t="str">
        <x:v>ESX-004</x:v>
      </x:c>
      <x:c r="C98" s="12" t="str">
        <x:v>VMware ESXi</x:v>
      </x:c>
      <x:c r="D98" s="12" t="str"/>
      <x:c r="E98" s="12" t="str"/>
      <x:c r="F98" s="12" t="str"/>
      <x:c r="G98" s="12" t="str"/>
      <x:c r="H98" s="12" t="str">
        <x:v>Belirlenecek</x:v>
      </x:c>
      <x:c r="I98" s="12" t="str"/>
      <x:c r="J98" s="12" t="str"/>
      <x:c r="K98" s="12" t="str"/>
      <x:c r="L98" s="13" t="str"/>
      <x:c r="M98" s="12" t="str"/>
      <x:c r="N98" s="12" t="str">
        <x:v>İncelenmedi</x:v>
      </x:c>
      <x:c r="O98" s="12" t="str">
        <x:v>İncelenmedi</x:v>
      </x:c>
      <x:c r="P98" s="12" t="str">
        <x:v>İncelenmedi</x:v>
      </x:c>
      <x:c r="Q98" s="12" t="str"/>
      <x:c r="R98" s="12" t="str"/>
      <x:c r="S98" s="13" t="str"/>
      <x:c r="T98" s="12" t="str"/>
      <x:c r="U98" s="12" t="str"/>
      <x:c r="V98" s="14" t="str">
        <x:f>IF(A98="","",IF(NOT(AND(COUNTIF(Exec[TestID],A98)=1,COUNTIF(Controls[ID],B98)=1,COUNTIFS(Scope[KapsamID],D98,Scope[OnayliKapsamID],D98,Scope[Ürün],C98)=1,OR(COUNTIFS(Controls[ID],B98,Controls[Ürün],C98)=1,COUNTIFS(Controls[ID],B98,Controls[Ürün],"MSP Genel")=1),E98&lt;&gt;"",F98&lt;&gt;"",G98&lt;&gt;"",I98&lt;&gt;"",Q98&lt;&gt;"")),"Kimlik / kapsam eksik",IF(NOT(OR(H98="Uygulanır",H98="Uygulanmaz")),"Uygulanabilirlik eksik",IF(AND(H98="Uygulanır",P98="Kanıt yetersiz",U98&lt;&gt;""),IF(AND(R98&lt;&gt;"",R98&lt;&gt;Q98,ISNUMBER(S98),S98&gt;0,S98&gt;=L98),"İnceleme tamam","Gözden geçirme eksik"),IF(NOT(AND(J98&lt;&gt;"",COUNTIFS(Evidence[KanitID],J98,Evidence[Kabul edilen ID],J98)=1,K98&lt;&gt;"",ISNUMBER(L98),L98&gt;0,M98&lt;&gt;"")),"Kanıt / test eksik",IF(NOT(AND(R98&lt;&gt;"",R98&lt;&gt;Q98,ISNUMBER(S98),S98&gt;0,S98&gt;=L98)),"Gözden geçirme eksik",IF(H98="Uygulanmaz","İnceleme tamam",IF(AND(OR(P98="Uygun",P98="Kısmen uygun",P98="Uygunsuz"),OR(N98="Uygun",N98="Kısmen uygun",N98="Uygunsuz"),OR(O98="Uygun",O98="Kısmen uygun",O98="Uygunsuz"),OR(P98&lt;&gt;"Uygun",AND(N98="Uygun",O98="Uygun")),OR(P98="Uygun",AND(T98&lt;&gt;"",COUNTIF(Findings[KayitliBulguID],T98)=1))),"İnceleme tamam","Sonuç / bulgu eksik"))))))))</x:f>
        <x:v>Kimlik / kapsam eksik</x:v>
      </x:c>
      <x:c r="W98" s="14" t="str">
        <x:f>IF(A98="","",IF(V98&lt;&gt;"İnceleme tamam","İncelenmedi",IF(H98="Uygulanmaz","Uygulanmaz",P98)))</x:f>
        <x:v>İncelenmedi</x:v>
      </x:c>
    </x:row>
    <x:row r="99" ht="35" customHeight="1">
      <x:c r="A99" s="12" t="str">
        <x:v>U-0094</x:v>
      </x:c>
      <x:c r="B99" s="12" t="str">
        <x:v>ESX-005</x:v>
      </x:c>
      <x:c r="C99" s="12" t="str">
        <x:v>VMware ESXi</x:v>
      </x:c>
      <x:c r="D99" s="12" t="str"/>
      <x:c r="E99" s="12" t="str"/>
      <x:c r="F99" s="12" t="str"/>
      <x:c r="G99" s="12" t="str"/>
      <x:c r="H99" s="12" t="str">
        <x:v>Belirlenecek</x:v>
      </x:c>
      <x:c r="I99" s="12" t="str"/>
      <x:c r="J99" s="12" t="str"/>
      <x:c r="K99" s="12" t="str"/>
      <x:c r="L99" s="13" t="str"/>
      <x:c r="M99" s="12" t="str"/>
      <x:c r="N99" s="12" t="str">
        <x:v>İncelenmedi</x:v>
      </x:c>
      <x:c r="O99" s="12" t="str">
        <x:v>İncelenmedi</x:v>
      </x:c>
      <x:c r="P99" s="12" t="str">
        <x:v>İncelenmedi</x:v>
      </x:c>
      <x:c r="Q99" s="12" t="str"/>
      <x:c r="R99" s="12" t="str"/>
      <x:c r="S99" s="13" t="str"/>
      <x:c r="T99" s="12" t="str"/>
      <x:c r="U99" s="12" t="str"/>
      <x:c r="V99" s="14" t="str">
        <x:f>IF(A99="","",IF(NOT(AND(COUNTIF(Exec[TestID],A99)=1,COUNTIF(Controls[ID],B99)=1,COUNTIFS(Scope[KapsamID],D99,Scope[OnayliKapsamID],D99,Scope[Ürün],C99)=1,OR(COUNTIFS(Controls[ID],B99,Controls[Ürün],C99)=1,COUNTIFS(Controls[ID],B99,Controls[Ürün],"MSP Genel")=1),E99&lt;&gt;"",F99&lt;&gt;"",G99&lt;&gt;"",I99&lt;&gt;"",Q99&lt;&gt;"")),"Kimlik / kapsam eksik",IF(NOT(OR(H99="Uygulanır",H99="Uygulanmaz")),"Uygulanabilirlik eksik",IF(AND(H99="Uygulanır",P99="Kanıt yetersiz",U99&lt;&gt;""),IF(AND(R99&lt;&gt;"",R99&lt;&gt;Q99,ISNUMBER(S99),S99&gt;0,S99&gt;=L99),"İnceleme tamam","Gözden geçirme eksik"),IF(NOT(AND(J99&lt;&gt;"",COUNTIFS(Evidence[KanitID],J99,Evidence[Kabul edilen ID],J99)=1,K99&lt;&gt;"",ISNUMBER(L99),L99&gt;0,M99&lt;&gt;"")),"Kanıt / test eksik",IF(NOT(AND(R99&lt;&gt;"",R99&lt;&gt;Q99,ISNUMBER(S99),S99&gt;0,S99&gt;=L99)),"Gözden geçirme eksik",IF(H99="Uygulanmaz","İnceleme tamam",IF(AND(OR(P99="Uygun",P99="Kısmen uygun",P99="Uygunsuz"),OR(N99="Uygun",N99="Kısmen uygun",N99="Uygunsuz"),OR(O99="Uygun",O99="Kısmen uygun",O99="Uygunsuz"),OR(P99&lt;&gt;"Uygun",AND(N99="Uygun",O99="Uygun")),OR(P99="Uygun",AND(T99&lt;&gt;"",COUNTIF(Findings[KayitliBulguID],T99)=1))),"İnceleme tamam","Sonuç / bulgu eksik"))))))))</x:f>
        <x:v>Kimlik / kapsam eksik</x:v>
      </x:c>
      <x:c r="W99" s="14" t="str">
        <x:f>IF(A99="","",IF(V99&lt;&gt;"İnceleme tamam","İncelenmedi",IF(H99="Uygulanmaz","Uygulanmaz",P99)))</x:f>
        <x:v>İncelenmedi</x:v>
      </x:c>
    </x:row>
    <x:row r="100" ht="35" customHeight="1">
      <x:c r="A100" s="12" t="str">
        <x:v>U-0095</x:v>
      </x:c>
      <x:c r="B100" s="12" t="str">
        <x:v>ESX-006</x:v>
      </x:c>
      <x:c r="C100" s="12" t="str">
        <x:v>VMware ESXi</x:v>
      </x:c>
      <x:c r="D100" s="12" t="str"/>
      <x:c r="E100" s="12" t="str"/>
      <x:c r="F100" s="12" t="str"/>
      <x:c r="G100" s="12" t="str"/>
      <x:c r="H100" s="12" t="str">
        <x:v>Belirlenecek</x:v>
      </x:c>
      <x:c r="I100" s="12" t="str"/>
      <x:c r="J100" s="12" t="str"/>
      <x:c r="K100" s="12" t="str"/>
      <x:c r="L100" s="13" t="str"/>
      <x:c r="M100" s="12" t="str"/>
      <x:c r="N100" s="12" t="str">
        <x:v>İncelenmedi</x:v>
      </x:c>
      <x:c r="O100" s="12" t="str">
        <x:v>İncelenmedi</x:v>
      </x:c>
      <x:c r="P100" s="12" t="str">
        <x:v>İncelenmedi</x:v>
      </x:c>
      <x:c r="Q100" s="12" t="str"/>
      <x:c r="R100" s="12" t="str"/>
      <x:c r="S100" s="13" t="str"/>
      <x:c r="T100" s="12" t="str"/>
      <x:c r="U100" s="12" t="str"/>
      <x:c r="V100" s="14" t="str">
        <x:f>IF(A100="","",IF(NOT(AND(COUNTIF(Exec[TestID],A100)=1,COUNTIF(Controls[ID],B100)=1,COUNTIFS(Scope[KapsamID],D100,Scope[OnayliKapsamID],D100,Scope[Ürün],C100)=1,OR(COUNTIFS(Controls[ID],B100,Controls[Ürün],C100)=1,COUNTIFS(Controls[ID],B100,Controls[Ürün],"MSP Genel")=1),E100&lt;&gt;"",F100&lt;&gt;"",G100&lt;&gt;"",I100&lt;&gt;"",Q100&lt;&gt;"")),"Kimlik / kapsam eksik",IF(NOT(OR(H100="Uygulanır",H100="Uygulanmaz")),"Uygulanabilirlik eksik",IF(AND(H100="Uygulanır",P100="Kanıt yetersiz",U100&lt;&gt;""),IF(AND(R100&lt;&gt;"",R100&lt;&gt;Q100,ISNUMBER(S100),S100&gt;0,S100&gt;=L100),"İnceleme tamam","Gözden geçirme eksik"),IF(NOT(AND(J100&lt;&gt;"",COUNTIFS(Evidence[KanitID],J100,Evidence[Kabul edilen ID],J100)=1,K100&lt;&gt;"",ISNUMBER(L100),L100&gt;0,M100&lt;&gt;"")),"Kanıt / test eksik",IF(NOT(AND(R100&lt;&gt;"",R100&lt;&gt;Q100,ISNUMBER(S100),S100&gt;0,S100&gt;=L100)),"Gözden geçirme eksik",IF(H100="Uygulanmaz","İnceleme tamam",IF(AND(OR(P100="Uygun",P100="Kısmen uygun",P100="Uygunsuz"),OR(N100="Uygun",N100="Kısmen uygun",N100="Uygunsuz"),OR(O100="Uygun",O100="Kısmen uygun",O100="Uygunsuz"),OR(P100&lt;&gt;"Uygun",AND(N100="Uygun",O100="Uygun")),OR(P100="Uygun",AND(T100&lt;&gt;"",COUNTIF(Findings[KayitliBulguID],T100)=1))),"İnceleme tamam","Sonuç / bulgu eksik"))))))))</x:f>
        <x:v>Kimlik / kapsam eksik</x:v>
      </x:c>
      <x:c r="W100" s="14" t="str">
        <x:f>IF(A100="","",IF(V100&lt;&gt;"İnceleme tamam","İncelenmedi",IF(H100="Uygulanmaz","Uygulanmaz",P100)))</x:f>
        <x:v>İncelenmedi</x:v>
      </x:c>
    </x:row>
    <x:row r="101" ht="35" customHeight="1">
      <x:c r="A101" s="12" t="str">
        <x:v>U-0096</x:v>
      </x:c>
      <x:c r="B101" s="12" t="str">
        <x:v>ESX-007</x:v>
      </x:c>
      <x:c r="C101" s="12" t="str">
        <x:v>VMware ESXi</x:v>
      </x:c>
      <x:c r="D101" s="12" t="str"/>
      <x:c r="E101" s="12" t="str"/>
      <x:c r="F101" s="12" t="str"/>
      <x:c r="G101" s="12" t="str"/>
      <x:c r="H101" s="12" t="str">
        <x:v>Belirlenecek</x:v>
      </x:c>
      <x:c r="I101" s="12" t="str"/>
      <x:c r="J101" s="12" t="str"/>
      <x:c r="K101" s="12" t="str"/>
      <x:c r="L101" s="13" t="str"/>
      <x:c r="M101" s="12" t="str"/>
      <x:c r="N101" s="12" t="str">
        <x:v>İncelenmedi</x:v>
      </x:c>
      <x:c r="O101" s="12" t="str">
        <x:v>İncelenmedi</x:v>
      </x:c>
      <x:c r="P101" s="12" t="str">
        <x:v>İncelenmedi</x:v>
      </x:c>
      <x:c r="Q101" s="12" t="str"/>
      <x:c r="R101" s="12" t="str"/>
      <x:c r="S101" s="13" t="str"/>
      <x:c r="T101" s="12" t="str"/>
      <x:c r="U101" s="12" t="str"/>
      <x:c r="V101" s="14" t="str">
        <x:f>IF(A101="","",IF(NOT(AND(COUNTIF(Exec[TestID],A101)=1,COUNTIF(Controls[ID],B101)=1,COUNTIFS(Scope[KapsamID],D101,Scope[OnayliKapsamID],D101,Scope[Ürün],C101)=1,OR(COUNTIFS(Controls[ID],B101,Controls[Ürün],C101)=1,COUNTIFS(Controls[ID],B101,Controls[Ürün],"MSP Genel")=1),E101&lt;&gt;"",F101&lt;&gt;"",G101&lt;&gt;"",I101&lt;&gt;"",Q101&lt;&gt;"")),"Kimlik / kapsam eksik",IF(NOT(OR(H101="Uygulanır",H101="Uygulanmaz")),"Uygulanabilirlik eksik",IF(AND(H101="Uygulanır",P101="Kanıt yetersiz",U101&lt;&gt;""),IF(AND(R101&lt;&gt;"",R101&lt;&gt;Q101,ISNUMBER(S101),S101&gt;0,S101&gt;=L101),"İnceleme tamam","Gözden geçirme eksik"),IF(NOT(AND(J101&lt;&gt;"",COUNTIFS(Evidence[KanitID],J101,Evidence[Kabul edilen ID],J101)=1,K101&lt;&gt;"",ISNUMBER(L101),L101&gt;0,M101&lt;&gt;"")),"Kanıt / test eksik",IF(NOT(AND(R101&lt;&gt;"",R101&lt;&gt;Q101,ISNUMBER(S101),S101&gt;0,S101&gt;=L101)),"Gözden geçirme eksik",IF(H101="Uygulanmaz","İnceleme tamam",IF(AND(OR(P101="Uygun",P101="Kısmen uygun",P101="Uygunsuz"),OR(N101="Uygun",N101="Kısmen uygun",N101="Uygunsuz"),OR(O101="Uygun",O101="Kısmen uygun",O101="Uygunsuz"),OR(P101&lt;&gt;"Uygun",AND(N101="Uygun",O101="Uygun")),OR(P101="Uygun",AND(T101&lt;&gt;"",COUNTIF(Findings[KayitliBulguID],T101)=1))),"İnceleme tamam","Sonuç / bulgu eksik"))))))))</x:f>
        <x:v>Kimlik / kapsam eksik</x:v>
      </x:c>
      <x:c r="W101" s="14" t="str">
        <x:f>IF(A101="","",IF(V101&lt;&gt;"İnceleme tamam","İncelenmedi",IF(H101="Uygulanmaz","Uygulanmaz",P101)))</x:f>
        <x:v>İncelenmedi</x:v>
      </x:c>
    </x:row>
    <x:row r="102" ht="35" customHeight="1">
      <x:c r="A102" s="12" t="str">
        <x:v>U-0097</x:v>
      </x:c>
      <x:c r="B102" s="12" t="str">
        <x:v>ESX-008</x:v>
      </x:c>
      <x:c r="C102" s="12" t="str">
        <x:v>VMware ESXi</x:v>
      </x:c>
      <x:c r="D102" s="12" t="str"/>
      <x:c r="E102" s="12" t="str"/>
      <x:c r="F102" s="12" t="str"/>
      <x:c r="G102" s="12" t="str"/>
      <x:c r="H102" s="12" t="str">
        <x:v>Belirlenecek</x:v>
      </x:c>
      <x:c r="I102" s="12" t="str"/>
      <x:c r="J102" s="12" t="str"/>
      <x:c r="K102" s="12" t="str"/>
      <x:c r="L102" s="13" t="str"/>
      <x:c r="M102" s="12" t="str"/>
      <x:c r="N102" s="12" t="str">
        <x:v>İncelenmedi</x:v>
      </x:c>
      <x:c r="O102" s="12" t="str">
        <x:v>İncelenmedi</x:v>
      </x:c>
      <x:c r="P102" s="12" t="str">
        <x:v>İncelenmedi</x:v>
      </x:c>
      <x:c r="Q102" s="12" t="str"/>
      <x:c r="R102" s="12" t="str"/>
      <x:c r="S102" s="13" t="str"/>
      <x:c r="T102" s="12" t="str"/>
      <x:c r="U102" s="12" t="str"/>
      <x:c r="V102" s="14" t="str">
        <x:f>IF(A102="","",IF(NOT(AND(COUNTIF(Exec[TestID],A102)=1,COUNTIF(Controls[ID],B102)=1,COUNTIFS(Scope[KapsamID],D102,Scope[OnayliKapsamID],D102,Scope[Ürün],C102)=1,OR(COUNTIFS(Controls[ID],B102,Controls[Ürün],C102)=1,COUNTIFS(Controls[ID],B102,Controls[Ürün],"MSP Genel")=1),E102&lt;&gt;"",F102&lt;&gt;"",G102&lt;&gt;"",I102&lt;&gt;"",Q102&lt;&gt;"")),"Kimlik / kapsam eksik",IF(NOT(OR(H102="Uygulanır",H102="Uygulanmaz")),"Uygulanabilirlik eksik",IF(AND(H102="Uygulanır",P102="Kanıt yetersiz",U102&lt;&gt;""),IF(AND(R102&lt;&gt;"",R102&lt;&gt;Q102,ISNUMBER(S102),S102&gt;0,S102&gt;=L102),"İnceleme tamam","Gözden geçirme eksik"),IF(NOT(AND(J102&lt;&gt;"",COUNTIFS(Evidence[KanitID],J102,Evidence[Kabul edilen ID],J102)=1,K102&lt;&gt;"",ISNUMBER(L102),L102&gt;0,M102&lt;&gt;"")),"Kanıt / test eksik",IF(NOT(AND(R102&lt;&gt;"",R102&lt;&gt;Q102,ISNUMBER(S102),S102&gt;0,S102&gt;=L102)),"Gözden geçirme eksik",IF(H102="Uygulanmaz","İnceleme tamam",IF(AND(OR(P102="Uygun",P102="Kısmen uygun",P102="Uygunsuz"),OR(N102="Uygun",N102="Kısmen uygun",N102="Uygunsuz"),OR(O102="Uygun",O102="Kısmen uygun",O102="Uygunsuz"),OR(P102&lt;&gt;"Uygun",AND(N102="Uygun",O102="Uygun")),OR(P102="Uygun",AND(T102&lt;&gt;"",COUNTIF(Findings[KayitliBulguID],T102)=1))),"İnceleme tamam","Sonuç / bulgu eksik"))))))))</x:f>
        <x:v>Kimlik / kapsam eksik</x:v>
      </x:c>
      <x:c r="W102" s="14" t="str">
        <x:f>IF(A102="","",IF(V102&lt;&gt;"İnceleme tamam","İncelenmedi",IF(H102="Uygulanmaz","Uygulanmaz",P102)))</x:f>
        <x:v>İncelenmedi</x:v>
      </x:c>
    </x:row>
    <x:row r="103" ht="35" customHeight="1">
      <x:c r="A103" s="12" t="str">
        <x:v>U-0098</x:v>
      </x:c>
      <x:c r="B103" s="12" t="str">
        <x:v>ESX-009</x:v>
      </x:c>
      <x:c r="C103" s="12" t="str">
        <x:v>VMware ESXi</x:v>
      </x:c>
      <x:c r="D103" s="12" t="str"/>
      <x:c r="E103" s="12" t="str"/>
      <x:c r="F103" s="12" t="str"/>
      <x:c r="G103" s="12" t="str"/>
      <x:c r="H103" s="12" t="str">
        <x:v>Belirlenecek</x:v>
      </x:c>
      <x:c r="I103" s="12" t="str"/>
      <x:c r="J103" s="12" t="str"/>
      <x:c r="K103" s="12" t="str"/>
      <x:c r="L103" s="13" t="str"/>
      <x:c r="M103" s="12" t="str"/>
      <x:c r="N103" s="12" t="str">
        <x:v>İncelenmedi</x:v>
      </x:c>
      <x:c r="O103" s="12" t="str">
        <x:v>İncelenmedi</x:v>
      </x:c>
      <x:c r="P103" s="12" t="str">
        <x:v>İncelenmedi</x:v>
      </x:c>
      <x:c r="Q103" s="12" t="str"/>
      <x:c r="R103" s="12" t="str"/>
      <x:c r="S103" s="13" t="str"/>
      <x:c r="T103" s="12" t="str"/>
      <x:c r="U103" s="12" t="str"/>
      <x:c r="V103" s="14" t="str">
        <x:f>IF(A103="","",IF(NOT(AND(COUNTIF(Exec[TestID],A103)=1,COUNTIF(Controls[ID],B103)=1,COUNTIFS(Scope[KapsamID],D103,Scope[OnayliKapsamID],D103,Scope[Ürün],C103)=1,OR(COUNTIFS(Controls[ID],B103,Controls[Ürün],C103)=1,COUNTIFS(Controls[ID],B103,Controls[Ürün],"MSP Genel")=1),E103&lt;&gt;"",F103&lt;&gt;"",G103&lt;&gt;"",I103&lt;&gt;"",Q103&lt;&gt;"")),"Kimlik / kapsam eksik",IF(NOT(OR(H103="Uygulanır",H103="Uygulanmaz")),"Uygulanabilirlik eksik",IF(AND(H103="Uygulanır",P103="Kanıt yetersiz",U103&lt;&gt;""),IF(AND(R103&lt;&gt;"",R103&lt;&gt;Q103,ISNUMBER(S103),S103&gt;0,S103&gt;=L103),"İnceleme tamam","Gözden geçirme eksik"),IF(NOT(AND(J103&lt;&gt;"",COUNTIFS(Evidence[KanitID],J103,Evidence[Kabul edilen ID],J103)=1,K103&lt;&gt;"",ISNUMBER(L103),L103&gt;0,M103&lt;&gt;"")),"Kanıt / test eksik",IF(NOT(AND(R103&lt;&gt;"",R103&lt;&gt;Q103,ISNUMBER(S103),S103&gt;0,S103&gt;=L103)),"Gözden geçirme eksik",IF(H103="Uygulanmaz","İnceleme tamam",IF(AND(OR(P103="Uygun",P103="Kısmen uygun",P103="Uygunsuz"),OR(N103="Uygun",N103="Kısmen uygun",N103="Uygunsuz"),OR(O103="Uygun",O103="Kısmen uygun",O103="Uygunsuz"),OR(P103&lt;&gt;"Uygun",AND(N103="Uygun",O103="Uygun")),OR(P103="Uygun",AND(T103&lt;&gt;"",COUNTIF(Findings[KayitliBulguID],T103)=1))),"İnceleme tamam","Sonuç / bulgu eksik"))))))))</x:f>
        <x:v>Kimlik / kapsam eksik</x:v>
      </x:c>
      <x:c r="W103" s="14" t="str">
        <x:f>IF(A103="","",IF(V103&lt;&gt;"İnceleme tamam","İncelenmedi",IF(H103="Uygulanmaz","Uygulanmaz",P103)))</x:f>
        <x:v>İncelenmedi</x:v>
      </x:c>
    </x:row>
    <x:row r="104" ht="35" customHeight="1">
      <x:c r="A104" s="12" t="str">
        <x:v>U-0099</x:v>
      </x:c>
      <x:c r="B104" s="12" t="str">
        <x:v>ESX-010</x:v>
      </x:c>
      <x:c r="C104" s="12" t="str">
        <x:v>VMware ESXi</x:v>
      </x:c>
      <x:c r="D104" s="12" t="str"/>
      <x:c r="E104" s="12" t="str"/>
      <x:c r="F104" s="12" t="str"/>
      <x:c r="G104" s="12" t="str"/>
      <x:c r="H104" s="12" t="str">
        <x:v>Belirlenecek</x:v>
      </x:c>
      <x:c r="I104" s="12" t="str"/>
      <x:c r="J104" s="12" t="str"/>
      <x:c r="K104" s="12" t="str"/>
      <x:c r="L104" s="13" t="str"/>
      <x:c r="M104" s="12" t="str"/>
      <x:c r="N104" s="12" t="str">
        <x:v>İncelenmedi</x:v>
      </x:c>
      <x:c r="O104" s="12" t="str">
        <x:v>İncelenmedi</x:v>
      </x:c>
      <x:c r="P104" s="12" t="str">
        <x:v>İncelenmedi</x:v>
      </x:c>
      <x:c r="Q104" s="12" t="str"/>
      <x:c r="R104" s="12" t="str"/>
      <x:c r="S104" s="13" t="str"/>
      <x:c r="T104" s="12" t="str"/>
      <x:c r="U104" s="12" t="str"/>
      <x:c r="V104" s="14" t="str">
        <x:f>IF(A104="","",IF(NOT(AND(COUNTIF(Exec[TestID],A104)=1,COUNTIF(Controls[ID],B104)=1,COUNTIFS(Scope[KapsamID],D104,Scope[OnayliKapsamID],D104,Scope[Ürün],C104)=1,OR(COUNTIFS(Controls[ID],B104,Controls[Ürün],C104)=1,COUNTIFS(Controls[ID],B104,Controls[Ürün],"MSP Genel")=1),E104&lt;&gt;"",F104&lt;&gt;"",G104&lt;&gt;"",I104&lt;&gt;"",Q104&lt;&gt;"")),"Kimlik / kapsam eksik",IF(NOT(OR(H104="Uygulanır",H104="Uygulanmaz")),"Uygulanabilirlik eksik",IF(AND(H104="Uygulanır",P104="Kanıt yetersiz",U104&lt;&gt;""),IF(AND(R104&lt;&gt;"",R104&lt;&gt;Q104,ISNUMBER(S104),S104&gt;0,S104&gt;=L104),"İnceleme tamam","Gözden geçirme eksik"),IF(NOT(AND(J104&lt;&gt;"",COUNTIFS(Evidence[KanitID],J104,Evidence[Kabul edilen ID],J104)=1,K104&lt;&gt;"",ISNUMBER(L104),L104&gt;0,M104&lt;&gt;"")),"Kanıt / test eksik",IF(NOT(AND(R104&lt;&gt;"",R104&lt;&gt;Q104,ISNUMBER(S104),S104&gt;0,S104&gt;=L104)),"Gözden geçirme eksik",IF(H104="Uygulanmaz","İnceleme tamam",IF(AND(OR(P104="Uygun",P104="Kısmen uygun",P104="Uygunsuz"),OR(N104="Uygun",N104="Kısmen uygun",N104="Uygunsuz"),OR(O104="Uygun",O104="Kısmen uygun",O104="Uygunsuz"),OR(P104&lt;&gt;"Uygun",AND(N104="Uygun",O104="Uygun")),OR(P104="Uygun",AND(T104&lt;&gt;"",COUNTIF(Findings[KayitliBulguID],T104)=1))),"İnceleme tamam","Sonuç / bulgu eksik"))))))))</x:f>
        <x:v>Kimlik / kapsam eksik</x:v>
      </x:c>
      <x:c r="W104" s="14" t="str">
        <x:f>IF(A104="","",IF(V104&lt;&gt;"İnceleme tamam","İncelenmedi",IF(H104="Uygulanmaz","Uygulanmaz",P104)))</x:f>
        <x:v>İncelenmedi</x:v>
      </x:c>
    </x:row>
    <x:row r="105" ht="35" customHeight="1">
      <x:c r="A105" s="12" t="str">
        <x:v>U-0100</x:v>
      </x:c>
      <x:c r="B105" s="12" t="str">
        <x:v>ESX-011</x:v>
      </x:c>
      <x:c r="C105" s="12" t="str">
        <x:v>VMware ESXi</x:v>
      </x:c>
      <x:c r="D105" s="12" t="str"/>
      <x:c r="E105" s="12" t="str"/>
      <x:c r="F105" s="12" t="str"/>
      <x:c r="G105" s="12" t="str"/>
      <x:c r="H105" s="12" t="str">
        <x:v>Belirlenecek</x:v>
      </x:c>
      <x:c r="I105" s="12" t="str"/>
      <x:c r="J105" s="12" t="str"/>
      <x:c r="K105" s="12" t="str"/>
      <x:c r="L105" s="13" t="str"/>
      <x:c r="M105" s="12" t="str"/>
      <x:c r="N105" s="12" t="str">
        <x:v>İncelenmedi</x:v>
      </x:c>
      <x:c r="O105" s="12" t="str">
        <x:v>İncelenmedi</x:v>
      </x:c>
      <x:c r="P105" s="12" t="str">
        <x:v>İncelenmedi</x:v>
      </x:c>
      <x:c r="Q105" s="12" t="str"/>
      <x:c r="R105" s="12" t="str"/>
      <x:c r="S105" s="13" t="str"/>
      <x:c r="T105" s="12" t="str"/>
      <x:c r="U105" s="12" t="str"/>
      <x:c r="V105" s="14" t="str">
        <x:f>IF(A105="","",IF(NOT(AND(COUNTIF(Exec[TestID],A105)=1,COUNTIF(Controls[ID],B105)=1,COUNTIFS(Scope[KapsamID],D105,Scope[OnayliKapsamID],D105,Scope[Ürün],C105)=1,OR(COUNTIFS(Controls[ID],B105,Controls[Ürün],C105)=1,COUNTIFS(Controls[ID],B105,Controls[Ürün],"MSP Genel")=1),E105&lt;&gt;"",F105&lt;&gt;"",G105&lt;&gt;"",I105&lt;&gt;"",Q105&lt;&gt;"")),"Kimlik / kapsam eksik",IF(NOT(OR(H105="Uygulanır",H105="Uygulanmaz")),"Uygulanabilirlik eksik",IF(AND(H105="Uygulanır",P105="Kanıt yetersiz",U105&lt;&gt;""),IF(AND(R105&lt;&gt;"",R105&lt;&gt;Q105,ISNUMBER(S105),S105&gt;0,S105&gt;=L105),"İnceleme tamam","Gözden geçirme eksik"),IF(NOT(AND(J105&lt;&gt;"",COUNTIFS(Evidence[KanitID],J105,Evidence[Kabul edilen ID],J105)=1,K105&lt;&gt;"",ISNUMBER(L105),L105&gt;0,M105&lt;&gt;"")),"Kanıt / test eksik",IF(NOT(AND(R105&lt;&gt;"",R105&lt;&gt;Q105,ISNUMBER(S105),S105&gt;0,S105&gt;=L105)),"Gözden geçirme eksik",IF(H105="Uygulanmaz","İnceleme tamam",IF(AND(OR(P105="Uygun",P105="Kısmen uygun",P105="Uygunsuz"),OR(N105="Uygun",N105="Kısmen uygun",N105="Uygunsuz"),OR(O105="Uygun",O105="Kısmen uygun",O105="Uygunsuz"),OR(P105&lt;&gt;"Uygun",AND(N105="Uygun",O105="Uygun")),OR(P105="Uygun",AND(T105&lt;&gt;"",COUNTIF(Findings[KayitliBulguID],T105)=1))),"İnceleme tamam","Sonuç / bulgu eksik"))))))))</x:f>
        <x:v>Kimlik / kapsam eksik</x:v>
      </x:c>
      <x:c r="W105" s="14" t="str">
        <x:f>IF(A105="","",IF(V105&lt;&gt;"İnceleme tamam","İncelenmedi",IF(H105="Uygulanmaz","Uygulanmaz",P105)))</x:f>
        <x:v>İncelenmedi</x:v>
      </x:c>
    </x:row>
    <x:row r="106" ht="35" customHeight="1">
      <x:c r="A106" s="12" t="str">
        <x:v>U-0101</x:v>
      </x:c>
      <x:c r="B106" s="12" t="str">
        <x:v>ESX-012</x:v>
      </x:c>
      <x:c r="C106" s="12" t="str">
        <x:v>VMware ESXi</x:v>
      </x:c>
      <x:c r="D106" s="12" t="str"/>
      <x:c r="E106" s="12" t="str"/>
      <x:c r="F106" s="12" t="str"/>
      <x:c r="G106" s="12" t="str"/>
      <x:c r="H106" s="12" t="str">
        <x:v>Belirlenecek</x:v>
      </x:c>
      <x:c r="I106" s="12" t="str"/>
      <x:c r="J106" s="12" t="str"/>
      <x:c r="K106" s="12" t="str"/>
      <x:c r="L106" s="13" t="str"/>
      <x:c r="M106" s="12" t="str"/>
      <x:c r="N106" s="12" t="str">
        <x:v>İncelenmedi</x:v>
      </x:c>
      <x:c r="O106" s="12" t="str">
        <x:v>İncelenmedi</x:v>
      </x:c>
      <x:c r="P106" s="12" t="str">
        <x:v>İncelenmedi</x:v>
      </x:c>
      <x:c r="Q106" s="12" t="str"/>
      <x:c r="R106" s="12" t="str"/>
      <x:c r="S106" s="13" t="str"/>
      <x:c r="T106" s="12" t="str"/>
      <x:c r="U106" s="12" t="str"/>
      <x:c r="V106" s="14" t="str">
        <x:f>IF(A106="","",IF(NOT(AND(COUNTIF(Exec[TestID],A106)=1,COUNTIF(Controls[ID],B106)=1,COUNTIFS(Scope[KapsamID],D106,Scope[OnayliKapsamID],D106,Scope[Ürün],C106)=1,OR(COUNTIFS(Controls[ID],B106,Controls[Ürün],C106)=1,COUNTIFS(Controls[ID],B106,Controls[Ürün],"MSP Genel")=1),E106&lt;&gt;"",F106&lt;&gt;"",G106&lt;&gt;"",I106&lt;&gt;"",Q106&lt;&gt;"")),"Kimlik / kapsam eksik",IF(NOT(OR(H106="Uygulanır",H106="Uygulanmaz")),"Uygulanabilirlik eksik",IF(AND(H106="Uygulanır",P106="Kanıt yetersiz",U106&lt;&gt;""),IF(AND(R106&lt;&gt;"",R106&lt;&gt;Q106,ISNUMBER(S106),S106&gt;0,S106&gt;=L106),"İnceleme tamam","Gözden geçirme eksik"),IF(NOT(AND(J106&lt;&gt;"",COUNTIFS(Evidence[KanitID],J106,Evidence[Kabul edilen ID],J106)=1,K106&lt;&gt;"",ISNUMBER(L106),L106&gt;0,M106&lt;&gt;"")),"Kanıt / test eksik",IF(NOT(AND(R106&lt;&gt;"",R106&lt;&gt;Q106,ISNUMBER(S106),S106&gt;0,S106&gt;=L106)),"Gözden geçirme eksik",IF(H106="Uygulanmaz","İnceleme tamam",IF(AND(OR(P106="Uygun",P106="Kısmen uygun",P106="Uygunsuz"),OR(N106="Uygun",N106="Kısmen uygun",N106="Uygunsuz"),OR(O106="Uygun",O106="Kısmen uygun",O106="Uygunsuz"),OR(P106&lt;&gt;"Uygun",AND(N106="Uygun",O106="Uygun")),OR(P106="Uygun",AND(T106&lt;&gt;"",COUNTIF(Findings[KayitliBulguID],T106)=1))),"İnceleme tamam","Sonuç / bulgu eksik"))))))))</x:f>
        <x:v>Kimlik / kapsam eksik</x:v>
      </x:c>
      <x:c r="W106" s="14" t="str">
        <x:f>IF(A106="","",IF(V106&lt;&gt;"İnceleme tamam","İncelenmedi",IF(H106="Uygulanmaz","Uygulanmaz",P106)))</x:f>
        <x:v>İncelenmedi</x:v>
      </x:c>
    </x:row>
    <x:row r="107" ht="35" customHeight="1">
      <x:c r="A107" s="12" t="str">
        <x:v>U-0102</x:v>
      </x:c>
      <x:c r="B107" s="12" t="str">
        <x:v>ESX-013</x:v>
      </x:c>
      <x:c r="C107" s="12" t="str">
        <x:v>VMware ESXi</x:v>
      </x:c>
      <x:c r="D107" s="12" t="str"/>
      <x:c r="E107" s="12" t="str"/>
      <x:c r="F107" s="12" t="str"/>
      <x:c r="G107" s="12" t="str"/>
      <x:c r="H107" s="12" t="str">
        <x:v>Belirlenecek</x:v>
      </x:c>
      <x:c r="I107" s="12" t="str"/>
      <x:c r="J107" s="12" t="str"/>
      <x:c r="K107" s="12" t="str"/>
      <x:c r="L107" s="13" t="str"/>
      <x:c r="M107" s="12" t="str"/>
      <x:c r="N107" s="12" t="str">
        <x:v>İncelenmedi</x:v>
      </x:c>
      <x:c r="O107" s="12" t="str">
        <x:v>İncelenmedi</x:v>
      </x:c>
      <x:c r="P107" s="12" t="str">
        <x:v>İncelenmedi</x:v>
      </x:c>
      <x:c r="Q107" s="12" t="str"/>
      <x:c r="R107" s="12" t="str"/>
      <x:c r="S107" s="13" t="str"/>
      <x:c r="T107" s="12" t="str"/>
      <x:c r="U107" s="12" t="str"/>
      <x:c r="V107" s="14" t="str">
        <x:f>IF(A107="","",IF(NOT(AND(COUNTIF(Exec[TestID],A107)=1,COUNTIF(Controls[ID],B107)=1,COUNTIFS(Scope[KapsamID],D107,Scope[OnayliKapsamID],D107,Scope[Ürün],C107)=1,OR(COUNTIFS(Controls[ID],B107,Controls[Ürün],C107)=1,COUNTIFS(Controls[ID],B107,Controls[Ürün],"MSP Genel")=1),E107&lt;&gt;"",F107&lt;&gt;"",G107&lt;&gt;"",I107&lt;&gt;"",Q107&lt;&gt;"")),"Kimlik / kapsam eksik",IF(NOT(OR(H107="Uygulanır",H107="Uygulanmaz")),"Uygulanabilirlik eksik",IF(AND(H107="Uygulanır",P107="Kanıt yetersiz",U107&lt;&gt;""),IF(AND(R107&lt;&gt;"",R107&lt;&gt;Q107,ISNUMBER(S107),S107&gt;0,S107&gt;=L107),"İnceleme tamam","Gözden geçirme eksik"),IF(NOT(AND(J107&lt;&gt;"",COUNTIFS(Evidence[KanitID],J107,Evidence[Kabul edilen ID],J107)=1,K107&lt;&gt;"",ISNUMBER(L107),L107&gt;0,M107&lt;&gt;"")),"Kanıt / test eksik",IF(NOT(AND(R107&lt;&gt;"",R107&lt;&gt;Q107,ISNUMBER(S107),S107&gt;0,S107&gt;=L107)),"Gözden geçirme eksik",IF(H107="Uygulanmaz","İnceleme tamam",IF(AND(OR(P107="Uygun",P107="Kısmen uygun",P107="Uygunsuz"),OR(N107="Uygun",N107="Kısmen uygun",N107="Uygunsuz"),OR(O107="Uygun",O107="Kısmen uygun",O107="Uygunsuz"),OR(P107&lt;&gt;"Uygun",AND(N107="Uygun",O107="Uygun")),OR(P107="Uygun",AND(T107&lt;&gt;"",COUNTIF(Findings[KayitliBulguID],T107)=1))),"İnceleme tamam","Sonuç / bulgu eksik"))))))))</x:f>
        <x:v>Kimlik / kapsam eksik</x:v>
      </x:c>
      <x:c r="W107" s="14" t="str">
        <x:f>IF(A107="","",IF(V107&lt;&gt;"İnceleme tamam","İncelenmedi",IF(H107="Uygulanmaz","Uygulanmaz",P107)))</x:f>
        <x:v>İncelenmedi</x:v>
      </x:c>
    </x:row>
    <x:row r="108" ht="35" customHeight="1">
      <x:c r="A108" s="12" t="str">
        <x:v>U-0103</x:v>
      </x:c>
      <x:c r="B108" s="12" t="str">
        <x:v>ESX-014</x:v>
      </x:c>
      <x:c r="C108" s="12" t="str">
        <x:v>VMware ESXi</x:v>
      </x:c>
      <x:c r="D108" s="12" t="str"/>
      <x:c r="E108" s="12" t="str"/>
      <x:c r="F108" s="12" t="str"/>
      <x:c r="G108" s="12" t="str"/>
      <x:c r="H108" s="12" t="str">
        <x:v>Belirlenecek</x:v>
      </x:c>
      <x:c r="I108" s="12" t="str"/>
      <x:c r="J108" s="12" t="str"/>
      <x:c r="K108" s="12" t="str"/>
      <x:c r="L108" s="13" t="str"/>
      <x:c r="M108" s="12" t="str"/>
      <x:c r="N108" s="12" t="str">
        <x:v>İncelenmedi</x:v>
      </x:c>
      <x:c r="O108" s="12" t="str">
        <x:v>İncelenmedi</x:v>
      </x:c>
      <x:c r="P108" s="12" t="str">
        <x:v>İncelenmedi</x:v>
      </x:c>
      <x:c r="Q108" s="12" t="str"/>
      <x:c r="R108" s="12" t="str"/>
      <x:c r="S108" s="13" t="str"/>
      <x:c r="T108" s="12" t="str"/>
      <x:c r="U108" s="12" t="str"/>
      <x:c r="V108" s="14" t="str">
        <x:f>IF(A108="","",IF(NOT(AND(COUNTIF(Exec[TestID],A108)=1,COUNTIF(Controls[ID],B108)=1,COUNTIFS(Scope[KapsamID],D108,Scope[OnayliKapsamID],D108,Scope[Ürün],C108)=1,OR(COUNTIFS(Controls[ID],B108,Controls[Ürün],C108)=1,COUNTIFS(Controls[ID],B108,Controls[Ürün],"MSP Genel")=1),E108&lt;&gt;"",F108&lt;&gt;"",G108&lt;&gt;"",I108&lt;&gt;"",Q108&lt;&gt;"")),"Kimlik / kapsam eksik",IF(NOT(OR(H108="Uygulanır",H108="Uygulanmaz")),"Uygulanabilirlik eksik",IF(AND(H108="Uygulanır",P108="Kanıt yetersiz",U108&lt;&gt;""),IF(AND(R108&lt;&gt;"",R108&lt;&gt;Q108,ISNUMBER(S108),S108&gt;0,S108&gt;=L108),"İnceleme tamam","Gözden geçirme eksik"),IF(NOT(AND(J108&lt;&gt;"",COUNTIFS(Evidence[KanitID],J108,Evidence[Kabul edilen ID],J108)=1,K108&lt;&gt;"",ISNUMBER(L108),L108&gt;0,M108&lt;&gt;"")),"Kanıt / test eksik",IF(NOT(AND(R108&lt;&gt;"",R108&lt;&gt;Q108,ISNUMBER(S108),S108&gt;0,S108&gt;=L108)),"Gözden geçirme eksik",IF(H108="Uygulanmaz","İnceleme tamam",IF(AND(OR(P108="Uygun",P108="Kısmen uygun",P108="Uygunsuz"),OR(N108="Uygun",N108="Kısmen uygun",N108="Uygunsuz"),OR(O108="Uygun",O108="Kısmen uygun",O108="Uygunsuz"),OR(P108&lt;&gt;"Uygun",AND(N108="Uygun",O108="Uygun")),OR(P108="Uygun",AND(T108&lt;&gt;"",COUNTIF(Findings[KayitliBulguID],T108)=1))),"İnceleme tamam","Sonuç / bulgu eksik"))))))))</x:f>
        <x:v>Kimlik / kapsam eksik</x:v>
      </x:c>
      <x:c r="W108" s="14" t="str">
        <x:f>IF(A108="","",IF(V108&lt;&gt;"İnceleme tamam","İncelenmedi",IF(H108="Uygulanmaz","Uygulanmaz",P108)))</x:f>
        <x:v>İncelenmedi</x:v>
      </x:c>
    </x:row>
    <x:row r="109" ht="35" customHeight="1">
      <x:c r="A109" s="12" t="str">
        <x:v>U-0104</x:v>
      </x:c>
      <x:c r="B109" s="12" t="str">
        <x:v>ESX-015</x:v>
      </x:c>
      <x:c r="C109" s="12" t="str">
        <x:v>VMware ESXi</x:v>
      </x:c>
      <x:c r="D109" s="12" t="str"/>
      <x:c r="E109" s="12" t="str"/>
      <x:c r="F109" s="12" t="str"/>
      <x:c r="G109" s="12" t="str"/>
      <x:c r="H109" s="12" t="str">
        <x:v>Belirlenecek</x:v>
      </x:c>
      <x:c r="I109" s="12" t="str"/>
      <x:c r="J109" s="12" t="str"/>
      <x:c r="K109" s="12" t="str"/>
      <x:c r="L109" s="13" t="str"/>
      <x:c r="M109" s="12" t="str"/>
      <x:c r="N109" s="12" t="str">
        <x:v>İncelenmedi</x:v>
      </x:c>
      <x:c r="O109" s="12" t="str">
        <x:v>İncelenmedi</x:v>
      </x:c>
      <x:c r="P109" s="12" t="str">
        <x:v>İncelenmedi</x:v>
      </x:c>
      <x:c r="Q109" s="12" t="str"/>
      <x:c r="R109" s="12" t="str"/>
      <x:c r="S109" s="13" t="str"/>
      <x:c r="T109" s="12" t="str"/>
      <x:c r="U109" s="12" t="str"/>
      <x:c r="V109" s="14" t="str">
        <x:f>IF(A109="","",IF(NOT(AND(COUNTIF(Exec[TestID],A109)=1,COUNTIF(Controls[ID],B109)=1,COUNTIFS(Scope[KapsamID],D109,Scope[OnayliKapsamID],D109,Scope[Ürün],C109)=1,OR(COUNTIFS(Controls[ID],B109,Controls[Ürün],C109)=1,COUNTIFS(Controls[ID],B109,Controls[Ürün],"MSP Genel")=1),E109&lt;&gt;"",F109&lt;&gt;"",G109&lt;&gt;"",I109&lt;&gt;"",Q109&lt;&gt;"")),"Kimlik / kapsam eksik",IF(NOT(OR(H109="Uygulanır",H109="Uygulanmaz")),"Uygulanabilirlik eksik",IF(AND(H109="Uygulanır",P109="Kanıt yetersiz",U109&lt;&gt;""),IF(AND(R109&lt;&gt;"",R109&lt;&gt;Q109,ISNUMBER(S109),S109&gt;0,S109&gt;=L109),"İnceleme tamam","Gözden geçirme eksik"),IF(NOT(AND(J109&lt;&gt;"",COUNTIFS(Evidence[KanitID],J109,Evidence[Kabul edilen ID],J109)=1,K109&lt;&gt;"",ISNUMBER(L109),L109&gt;0,M109&lt;&gt;"")),"Kanıt / test eksik",IF(NOT(AND(R109&lt;&gt;"",R109&lt;&gt;Q109,ISNUMBER(S109),S109&gt;0,S109&gt;=L109)),"Gözden geçirme eksik",IF(H109="Uygulanmaz","İnceleme tamam",IF(AND(OR(P109="Uygun",P109="Kısmen uygun",P109="Uygunsuz"),OR(N109="Uygun",N109="Kısmen uygun",N109="Uygunsuz"),OR(O109="Uygun",O109="Kısmen uygun",O109="Uygunsuz"),OR(P109&lt;&gt;"Uygun",AND(N109="Uygun",O109="Uygun")),OR(P109="Uygun",AND(T109&lt;&gt;"",COUNTIF(Findings[KayitliBulguID],T109)=1))),"İnceleme tamam","Sonuç / bulgu eksik"))))))))</x:f>
        <x:v>Kimlik / kapsam eksik</x:v>
      </x:c>
      <x:c r="W109" s="14" t="str">
        <x:f>IF(A109="","",IF(V109&lt;&gt;"İnceleme tamam","İncelenmedi",IF(H109="Uygulanmaz","Uygulanmaz",P109)))</x:f>
        <x:v>İncelenmedi</x:v>
      </x:c>
    </x:row>
    <x:row r="110" ht="35" customHeight="1">
      <x:c r="A110" s="12" t="str">
        <x:v>U-0105</x:v>
      </x:c>
      <x:c r="B110" s="12" t="str">
        <x:v>ESX-016</x:v>
      </x:c>
      <x:c r="C110" s="12" t="str">
        <x:v>VMware ESXi</x:v>
      </x:c>
      <x:c r="D110" s="12" t="str"/>
      <x:c r="E110" s="12" t="str"/>
      <x:c r="F110" s="12" t="str"/>
      <x:c r="G110" s="12" t="str"/>
      <x:c r="H110" s="12" t="str">
        <x:v>Belirlenecek</x:v>
      </x:c>
      <x:c r="I110" s="12" t="str"/>
      <x:c r="J110" s="12" t="str"/>
      <x:c r="K110" s="12" t="str"/>
      <x:c r="L110" s="13" t="str"/>
      <x:c r="M110" s="12" t="str"/>
      <x:c r="N110" s="12" t="str">
        <x:v>İncelenmedi</x:v>
      </x:c>
      <x:c r="O110" s="12" t="str">
        <x:v>İncelenmedi</x:v>
      </x:c>
      <x:c r="P110" s="12" t="str">
        <x:v>İncelenmedi</x:v>
      </x:c>
      <x:c r="Q110" s="12" t="str"/>
      <x:c r="R110" s="12" t="str"/>
      <x:c r="S110" s="13" t="str"/>
      <x:c r="T110" s="12" t="str"/>
      <x:c r="U110" s="12" t="str"/>
      <x:c r="V110" s="14" t="str">
        <x:f>IF(A110="","",IF(NOT(AND(COUNTIF(Exec[TestID],A110)=1,COUNTIF(Controls[ID],B110)=1,COUNTIFS(Scope[KapsamID],D110,Scope[OnayliKapsamID],D110,Scope[Ürün],C110)=1,OR(COUNTIFS(Controls[ID],B110,Controls[Ürün],C110)=1,COUNTIFS(Controls[ID],B110,Controls[Ürün],"MSP Genel")=1),E110&lt;&gt;"",F110&lt;&gt;"",G110&lt;&gt;"",I110&lt;&gt;"",Q110&lt;&gt;"")),"Kimlik / kapsam eksik",IF(NOT(OR(H110="Uygulanır",H110="Uygulanmaz")),"Uygulanabilirlik eksik",IF(AND(H110="Uygulanır",P110="Kanıt yetersiz",U110&lt;&gt;""),IF(AND(R110&lt;&gt;"",R110&lt;&gt;Q110,ISNUMBER(S110),S110&gt;0,S110&gt;=L110),"İnceleme tamam","Gözden geçirme eksik"),IF(NOT(AND(J110&lt;&gt;"",COUNTIFS(Evidence[KanitID],J110,Evidence[Kabul edilen ID],J110)=1,K110&lt;&gt;"",ISNUMBER(L110),L110&gt;0,M110&lt;&gt;"")),"Kanıt / test eksik",IF(NOT(AND(R110&lt;&gt;"",R110&lt;&gt;Q110,ISNUMBER(S110),S110&gt;0,S110&gt;=L110)),"Gözden geçirme eksik",IF(H110="Uygulanmaz","İnceleme tamam",IF(AND(OR(P110="Uygun",P110="Kısmen uygun",P110="Uygunsuz"),OR(N110="Uygun",N110="Kısmen uygun",N110="Uygunsuz"),OR(O110="Uygun",O110="Kısmen uygun",O110="Uygunsuz"),OR(P110&lt;&gt;"Uygun",AND(N110="Uygun",O110="Uygun")),OR(P110="Uygun",AND(T110&lt;&gt;"",COUNTIF(Findings[KayitliBulguID],T110)=1))),"İnceleme tamam","Sonuç / bulgu eksik"))))))))</x:f>
        <x:v>Kimlik / kapsam eksik</x:v>
      </x:c>
      <x:c r="W110" s="14" t="str">
        <x:f>IF(A110="","",IF(V110&lt;&gt;"İnceleme tamam","İncelenmedi",IF(H110="Uygulanmaz","Uygulanmaz",P110)))</x:f>
        <x:v>İncelenmedi</x:v>
      </x:c>
    </x:row>
    <x:row r="111" ht="35" customHeight="1">
      <x:c r="A111" s="12" t="str">
        <x:v>U-0106</x:v>
      </x:c>
      <x:c r="B111" s="12" t="str">
        <x:v>ESX-017</x:v>
      </x:c>
      <x:c r="C111" s="12" t="str">
        <x:v>VMware ESXi</x:v>
      </x:c>
      <x:c r="D111" s="12" t="str"/>
      <x:c r="E111" s="12" t="str"/>
      <x:c r="F111" s="12" t="str"/>
      <x:c r="G111" s="12" t="str"/>
      <x:c r="H111" s="12" t="str">
        <x:v>Belirlenecek</x:v>
      </x:c>
      <x:c r="I111" s="12" t="str"/>
      <x:c r="J111" s="12" t="str"/>
      <x:c r="K111" s="12" t="str"/>
      <x:c r="L111" s="13" t="str"/>
      <x:c r="M111" s="12" t="str"/>
      <x:c r="N111" s="12" t="str">
        <x:v>İncelenmedi</x:v>
      </x:c>
      <x:c r="O111" s="12" t="str">
        <x:v>İncelenmedi</x:v>
      </x:c>
      <x:c r="P111" s="12" t="str">
        <x:v>İncelenmedi</x:v>
      </x:c>
      <x:c r="Q111" s="12" t="str"/>
      <x:c r="R111" s="12" t="str"/>
      <x:c r="S111" s="13" t="str"/>
      <x:c r="T111" s="12" t="str"/>
      <x:c r="U111" s="12" t="str"/>
      <x:c r="V111" s="14" t="str">
        <x:f>IF(A111="","",IF(NOT(AND(COUNTIF(Exec[TestID],A111)=1,COUNTIF(Controls[ID],B111)=1,COUNTIFS(Scope[KapsamID],D111,Scope[OnayliKapsamID],D111,Scope[Ürün],C111)=1,OR(COUNTIFS(Controls[ID],B111,Controls[Ürün],C111)=1,COUNTIFS(Controls[ID],B111,Controls[Ürün],"MSP Genel")=1),E111&lt;&gt;"",F111&lt;&gt;"",G111&lt;&gt;"",I111&lt;&gt;"",Q111&lt;&gt;"")),"Kimlik / kapsam eksik",IF(NOT(OR(H111="Uygulanır",H111="Uygulanmaz")),"Uygulanabilirlik eksik",IF(AND(H111="Uygulanır",P111="Kanıt yetersiz",U111&lt;&gt;""),IF(AND(R111&lt;&gt;"",R111&lt;&gt;Q111,ISNUMBER(S111),S111&gt;0,S111&gt;=L111),"İnceleme tamam","Gözden geçirme eksik"),IF(NOT(AND(J111&lt;&gt;"",COUNTIFS(Evidence[KanitID],J111,Evidence[Kabul edilen ID],J111)=1,K111&lt;&gt;"",ISNUMBER(L111),L111&gt;0,M111&lt;&gt;"")),"Kanıt / test eksik",IF(NOT(AND(R111&lt;&gt;"",R111&lt;&gt;Q111,ISNUMBER(S111),S111&gt;0,S111&gt;=L111)),"Gözden geçirme eksik",IF(H111="Uygulanmaz","İnceleme tamam",IF(AND(OR(P111="Uygun",P111="Kısmen uygun",P111="Uygunsuz"),OR(N111="Uygun",N111="Kısmen uygun",N111="Uygunsuz"),OR(O111="Uygun",O111="Kısmen uygun",O111="Uygunsuz"),OR(P111&lt;&gt;"Uygun",AND(N111="Uygun",O111="Uygun")),OR(P111="Uygun",AND(T111&lt;&gt;"",COUNTIF(Findings[KayitliBulguID],T111)=1))),"İnceleme tamam","Sonuç / bulgu eksik"))))))))</x:f>
        <x:v>Kimlik / kapsam eksik</x:v>
      </x:c>
      <x:c r="W111" s="14" t="str">
        <x:f>IF(A111="","",IF(V111&lt;&gt;"İnceleme tamam","İncelenmedi",IF(H111="Uygulanmaz","Uygulanmaz",P111)))</x:f>
        <x:v>İncelenmedi</x:v>
      </x:c>
    </x:row>
    <x:row r="112" ht="35" customHeight="1">
      <x:c r="A112" s="12" t="str">
        <x:v>U-0107</x:v>
      </x:c>
      <x:c r="B112" s="12" t="str">
        <x:v>ESX-018</x:v>
      </x:c>
      <x:c r="C112" s="12" t="str">
        <x:v>VMware ESXi</x:v>
      </x:c>
      <x:c r="D112" s="12" t="str"/>
      <x:c r="E112" s="12" t="str"/>
      <x:c r="F112" s="12" t="str"/>
      <x:c r="G112" s="12" t="str"/>
      <x:c r="H112" s="12" t="str">
        <x:v>Belirlenecek</x:v>
      </x:c>
      <x:c r="I112" s="12" t="str"/>
      <x:c r="J112" s="12" t="str"/>
      <x:c r="K112" s="12" t="str"/>
      <x:c r="L112" s="13" t="str"/>
      <x:c r="M112" s="12" t="str"/>
      <x:c r="N112" s="12" t="str">
        <x:v>İncelenmedi</x:v>
      </x:c>
      <x:c r="O112" s="12" t="str">
        <x:v>İncelenmedi</x:v>
      </x:c>
      <x:c r="P112" s="12" t="str">
        <x:v>İncelenmedi</x:v>
      </x:c>
      <x:c r="Q112" s="12" t="str"/>
      <x:c r="R112" s="12" t="str"/>
      <x:c r="S112" s="13" t="str"/>
      <x:c r="T112" s="12" t="str"/>
      <x:c r="U112" s="12" t="str"/>
      <x:c r="V112" s="14" t="str">
        <x:f>IF(A112="","",IF(NOT(AND(COUNTIF(Exec[TestID],A112)=1,COUNTIF(Controls[ID],B112)=1,COUNTIFS(Scope[KapsamID],D112,Scope[OnayliKapsamID],D112,Scope[Ürün],C112)=1,OR(COUNTIFS(Controls[ID],B112,Controls[Ürün],C112)=1,COUNTIFS(Controls[ID],B112,Controls[Ürün],"MSP Genel")=1),E112&lt;&gt;"",F112&lt;&gt;"",G112&lt;&gt;"",I112&lt;&gt;"",Q112&lt;&gt;"")),"Kimlik / kapsam eksik",IF(NOT(OR(H112="Uygulanır",H112="Uygulanmaz")),"Uygulanabilirlik eksik",IF(AND(H112="Uygulanır",P112="Kanıt yetersiz",U112&lt;&gt;""),IF(AND(R112&lt;&gt;"",R112&lt;&gt;Q112,ISNUMBER(S112),S112&gt;0,S112&gt;=L112),"İnceleme tamam","Gözden geçirme eksik"),IF(NOT(AND(J112&lt;&gt;"",COUNTIFS(Evidence[KanitID],J112,Evidence[Kabul edilen ID],J112)=1,K112&lt;&gt;"",ISNUMBER(L112),L112&gt;0,M112&lt;&gt;"")),"Kanıt / test eksik",IF(NOT(AND(R112&lt;&gt;"",R112&lt;&gt;Q112,ISNUMBER(S112),S112&gt;0,S112&gt;=L112)),"Gözden geçirme eksik",IF(H112="Uygulanmaz","İnceleme tamam",IF(AND(OR(P112="Uygun",P112="Kısmen uygun",P112="Uygunsuz"),OR(N112="Uygun",N112="Kısmen uygun",N112="Uygunsuz"),OR(O112="Uygun",O112="Kısmen uygun",O112="Uygunsuz"),OR(P112&lt;&gt;"Uygun",AND(N112="Uygun",O112="Uygun")),OR(P112="Uygun",AND(T112&lt;&gt;"",COUNTIF(Findings[KayitliBulguID],T112)=1))),"İnceleme tamam","Sonuç / bulgu eksik"))))))))</x:f>
        <x:v>Kimlik / kapsam eksik</x:v>
      </x:c>
      <x:c r="W112" s="14" t="str">
        <x:f>IF(A112="","",IF(V112&lt;&gt;"İnceleme tamam","İncelenmedi",IF(H112="Uygulanmaz","Uygulanmaz",P112)))</x:f>
        <x:v>İncelenmedi</x:v>
      </x:c>
    </x:row>
    <x:row r="113" ht="35" customHeight="1">
      <x:c r="A113" s="12" t="str">
        <x:v>U-0108</x:v>
      </x:c>
      <x:c r="B113" s="12" t="str">
        <x:v>ESX-019</x:v>
      </x:c>
      <x:c r="C113" s="12" t="str">
        <x:v>VMware ESXi</x:v>
      </x:c>
      <x:c r="D113" s="12" t="str"/>
      <x:c r="E113" s="12" t="str"/>
      <x:c r="F113" s="12" t="str"/>
      <x:c r="G113" s="12" t="str"/>
      <x:c r="H113" s="12" t="str">
        <x:v>Belirlenecek</x:v>
      </x:c>
      <x:c r="I113" s="12" t="str"/>
      <x:c r="J113" s="12" t="str"/>
      <x:c r="K113" s="12" t="str"/>
      <x:c r="L113" s="13" t="str"/>
      <x:c r="M113" s="12" t="str"/>
      <x:c r="N113" s="12" t="str">
        <x:v>İncelenmedi</x:v>
      </x:c>
      <x:c r="O113" s="12" t="str">
        <x:v>İncelenmedi</x:v>
      </x:c>
      <x:c r="P113" s="12" t="str">
        <x:v>İncelenmedi</x:v>
      </x:c>
      <x:c r="Q113" s="12" t="str"/>
      <x:c r="R113" s="12" t="str"/>
      <x:c r="S113" s="13" t="str"/>
      <x:c r="T113" s="12" t="str"/>
      <x:c r="U113" s="12" t="str"/>
      <x:c r="V113" s="14" t="str">
        <x:f>IF(A113="","",IF(NOT(AND(COUNTIF(Exec[TestID],A113)=1,COUNTIF(Controls[ID],B113)=1,COUNTIFS(Scope[KapsamID],D113,Scope[OnayliKapsamID],D113,Scope[Ürün],C113)=1,OR(COUNTIFS(Controls[ID],B113,Controls[Ürün],C113)=1,COUNTIFS(Controls[ID],B113,Controls[Ürün],"MSP Genel")=1),E113&lt;&gt;"",F113&lt;&gt;"",G113&lt;&gt;"",I113&lt;&gt;"",Q113&lt;&gt;"")),"Kimlik / kapsam eksik",IF(NOT(OR(H113="Uygulanır",H113="Uygulanmaz")),"Uygulanabilirlik eksik",IF(AND(H113="Uygulanır",P113="Kanıt yetersiz",U113&lt;&gt;""),IF(AND(R113&lt;&gt;"",R113&lt;&gt;Q113,ISNUMBER(S113),S113&gt;0,S113&gt;=L113),"İnceleme tamam","Gözden geçirme eksik"),IF(NOT(AND(J113&lt;&gt;"",COUNTIFS(Evidence[KanitID],J113,Evidence[Kabul edilen ID],J113)=1,K113&lt;&gt;"",ISNUMBER(L113),L113&gt;0,M113&lt;&gt;"")),"Kanıt / test eksik",IF(NOT(AND(R113&lt;&gt;"",R113&lt;&gt;Q113,ISNUMBER(S113),S113&gt;0,S113&gt;=L113)),"Gözden geçirme eksik",IF(H113="Uygulanmaz","İnceleme tamam",IF(AND(OR(P113="Uygun",P113="Kısmen uygun",P113="Uygunsuz"),OR(N113="Uygun",N113="Kısmen uygun",N113="Uygunsuz"),OR(O113="Uygun",O113="Kısmen uygun",O113="Uygunsuz"),OR(P113&lt;&gt;"Uygun",AND(N113="Uygun",O113="Uygun")),OR(P113="Uygun",AND(T113&lt;&gt;"",COUNTIF(Findings[KayitliBulguID],T113)=1))),"İnceleme tamam","Sonuç / bulgu eksik"))))))))</x:f>
        <x:v>Kimlik / kapsam eksik</x:v>
      </x:c>
      <x:c r="W113" s="14" t="str">
        <x:f>IF(A113="","",IF(V113&lt;&gt;"İnceleme tamam","İncelenmedi",IF(H113="Uygulanmaz","Uygulanmaz",P113)))</x:f>
        <x:v>İncelenmedi</x:v>
      </x:c>
    </x:row>
    <x:row r="114" ht="35" customHeight="1">
      <x:c r="A114" s="12" t="str">
        <x:v>U-0109</x:v>
      </x:c>
      <x:c r="B114" s="12" t="str">
        <x:v>ESX-020</x:v>
      </x:c>
      <x:c r="C114" s="12" t="str">
        <x:v>VMware ESXi</x:v>
      </x:c>
      <x:c r="D114" s="12" t="str"/>
      <x:c r="E114" s="12" t="str"/>
      <x:c r="F114" s="12" t="str"/>
      <x:c r="G114" s="12" t="str"/>
      <x:c r="H114" s="12" t="str">
        <x:v>Belirlenecek</x:v>
      </x:c>
      <x:c r="I114" s="12" t="str"/>
      <x:c r="J114" s="12" t="str"/>
      <x:c r="K114" s="12" t="str"/>
      <x:c r="L114" s="13" t="str"/>
      <x:c r="M114" s="12" t="str"/>
      <x:c r="N114" s="12" t="str">
        <x:v>İncelenmedi</x:v>
      </x:c>
      <x:c r="O114" s="12" t="str">
        <x:v>İncelenmedi</x:v>
      </x:c>
      <x:c r="P114" s="12" t="str">
        <x:v>İncelenmedi</x:v>
      </x:c>
      <x:c r="Q114" s="12" t="str"/>
      <x:c r="R114" s="12" t="str"/>
      <x:c r="S114" s="13" t="str"/>
      <x:c r="T114" s="12" t="str"/>
      <x:c r="U114" s="12" t="str"/>
      <x:c r="V114" s="14" t="str">
        <x:f>IF(A114="","",IF(NOT(AND(COUNTIF(Exec[TestID],A114)=1,COUNTIF(Controls[ID],B114)=1,COUNTIFS(Scope[KapsamID],D114,Scope[OnayliKapsamID],D114,Scope[Ürün],C114)=1,OR(COUNTIFS(Controls[ID],B114,Controls[Ürün],C114)=1,COUNTIFS(Controls[ID],B114,Controls[Ürün],"MSP Genel")=1),E114&lt;&gt;"",F114&lt;&gt;"",G114&lt;&gt;"",I114&lt;&gt;"",Q114&lt;&gt;"")),"Kimlik / kapsam eksik",IF(NOT(OR(H114="Uygulanır",H114="Uygulanmaz")),"Uygulanabilirlik eksik",IF(AND(H114="Uygulanır",P114="Kanıt yetersiz",U114&lt;&gt;""),IF(AND(R114&lt;&gt;"",R114&lt;&gt;Q114,ISNUMBER(S114),S114&gt;0,S114&gt;=L114),"İnceleme tamam","Gözden geçirme eksik"),IF(NOT(AND(J114&lt;&gt;"",COUNTIFS(Evidence[KanitID],J114,Evidence[Kabul edilen ID],J114)=1,K114&lt;&gt;"",ISNUMBER(L114),L114&gt;0,M114&lt;&gt;"")),"Kanıt / test eksik",IF(NOT(AND(R114&lt;&gt;"",R114&lt;&gt;Q114,ISNUMBER(S114),S114&gt;0,S114&gt;=L114)),"Gözden geçirme eksik",IF(H114="Uygulanmaz","İnceleme tamam",IF(AND(OR(P114="Uygun",P114="Kısmen uygun",P114="Uygunsuz"),OR(N114="Uygun",N114="Kısmen uygun",N114="Uygunsuz"),OR(O114="Uygun",O114="Kısmen uygun",O114="Uygunsuz"),OR(P114&lt;&gt;"Uygun",AND(N114="Uygun",O114="Uygun")),OR(P114="Uygun",AND(T114&lt;&gt;"",COUNTIF(Findings[KayitliBulguID],T114)=1))),"İnceleme tamam","Sonuç / bulgu eksik"))))))))</x:f>
        <x:v>Kimlik / kapsam eksik</x:v>
      </x:c>
      <x:c r="W114" s="14" t="str">
        <x:f>IF(A114="","",IF(V114&lt;&gt;"İnceleme tamam","İncelenmedi",IF(H114="Uygulanmaz","Uygulanmaz",P114)))</x:f>
        <x:v>İncelenmedi</x:v>
      </x:c>
    </x:row>
    <x:row r="115" ht="35" customHeight="1">
      <x:c r="A115" s="12" t="str">
        <x:v>U-0110</x:v>
      </x:c>
      <x:c r="B115" s="12" t="str">
        <x:v>ESX-021</x:v>
      </x:c>
      <x:c r="C115" s="12" t="str">
        <x:v>VMware ESXi</x:v>
      </x:c>
      <x:c r="D115" s="12" t="str"/>
      <x:c r="E115" s="12" t="str"/>
      <x:c r="F115" s="12" t="str"/>
      <x:c r="G115" s="12" t="str"/>
      <x:c r="H115" s="12" t="str">
        <x:v>Belirlenecek</x:v>
      </x:c>
      <x:c r="I115" s="12" t="str"/>
      <x:c r="J115" s="12" t="str"/>
      <x:c r="K115" s="12" t="str"/>
      <x:c r="L115" s="13" t="str"/>
      <x:c r="M115" s="12" t="str"/>
      <x:c r="N115" s="12" t="str">
        <x:v>İncelenmedi</x:v>
      </x:c>
      <x:c r="O115" s="12" t="str">
        <x:v>İncelenmedi</x:v>
      </x:c>
      <x:c r="P115" s="12" t="str">
        <x:v>İncelenmedi</x:v>
      </x:c>
      <x:c r="Q115" s="12" t="str"/>
      <x:c r="R115" s="12" t="str"/>
      <x:c r="S115" s="13" t="str"/>
      <x:c r="T115" s="12" t="str"/>
      <x:c r="U115" s="12" t="str"/>
      <x:c r="V115" s="14" t="str">
        <x:f>IF(A115="","",IF(NOT(AND(COUNTIF(Exec[TestID],A115)=1,COUNTIF(Controls[ID],B115)=1,COUNTIFS(Scope[KapsamID],D115,Scope[OnayliKapsamID],D115,Scope[Ürün],C115)=1,OR(COUNTIFS(Controls[ID],B115,Controls[Ürün],C115)=1,COUNTIFS(Controls[ID],B115,Controls[Ürün],"MSP Genel")=1),E115&lt;&gt;"",F115&lt;&gt;"",G115&lt;&gt;"",I115&lt;&gt;"",Q115&lt;&gt;"")),"Kimlik / kapsam eksik",IF(NOT(OR(H115="Uygulanır",H115="Uygulanmaz")),"Uygulanabilirlik eksik",IF(AND(H115="Uygulanır",P115="Kanıt yetersiz",U115&lt;&gt;""),IF(AND(R115&lt;&gt;"",R115&lt;&gt;Q115,ISNUMBER(S115),S115&gt;0,S115&gt;=L115),"İnceleme tamam","Gözden geçirme eksik"),IF(NOT(AND(J115&lt;&gt;"",COUNTIFS(Evidence[KanitID],J115,Evidence[Kabul edilen ID],J115)=1,K115&lt;&gt;"",ISNUMBER(L115),L115&gt;0,M115&lt;&gt;"")),"Kanıt / test eksik",IF(NOT(AND(R115&lt;&gt;"",R115&lt;&gt;Q115,ISNUMBER(S115),S115&gt;0,S115&gt;=L115)),"Gözden geçirme eksik",IF(H115="Uygulanmaz","İnceleme tamam",IF(AND(OR(P115="Uygun",P115="Kısmen uygun",P115="Uygunsuz"),OR(N115="Uygun",N115="Kısmen uygun",N115="Uygunsuz"),OR(O115="Uygun",O115="Kısmen uygun",O115="Uygunsuz"),OR(P115&lt;&gt;"Uygun",AND(N115="Uygun",O115="Uygun")),OR(P115="Uygun",AND(T115&lt;&gt;"",COUNTIF(Findings[KayitliBulguID],T115)=1))),"İnceleme tamam","Sonuç / bulgu eksik"))))))))</x:f>
        <x:v>Kimlik / kapsam eksik</x:v>
      </x:c>
      <x:c r="W115" s="14" t="str">
        <x:f>IF(A115="","",IF(V115&lt;&gt;"İnceleme tamam","İncelenmedi",IF(H115="Uygulanmaz","Uygulanmaz",P115)))</x:f>
        <x:v>İncelenmedi</x:v>
      </x:c>
    </x:row>
    <x:row r="116" ht="35" customHeight="1">
      <x:c r="A116" s="12" t="str">
        <x:v>U-0111</x:v>
      </x:c>
      <x:c r="B116" s="12" t="str">
        <x:v>ESX-022</x:v>
      </x:c>
      <x:c r="C116" s="12" t="str">
        <x:v>VMware ESXi</x:v>
      </x:c>
      <x:c r="D116" s="12" t="str"/>
      <x:c r="E116" s="12" t="str"/>
      <x:c r="F116" s="12" t="str"/>
      <x:c r="G116" s="12" t="str"/>
      <x:c r="H116" s="12" t="str">
        <x:v>Belirlenecek</x:v>
      </x:c>
      <x:c r="I116" s="12" t="str"/>
      <x:c r="J116" s="12" t="str"/>
      <x:c r="K116" s="12" t="str"/>
      <x:c r="L116" s="13" t="str"/>
      <x:c r="M116" s="12" t="str"/>
      <x:c r="N116" s="12" t="str">
        <x:v>İncelenmedi</x:v>
      </x:c>
      <x:c r="O116" s="12" t="str">
        <x:v>İncelenmedi</x:v>
      </x:c>
      <x:c r="P116" s="12" t="str">
        <x:v>İncelenmedi</x:v>
      </x:c>
      <x:c r="Q116" s="12" t="str"/>
      <x:c r="R116" s="12" t="str"/>
      <x:c r="S116" s="13" t="str"/>
      <x:c r="T116" s="12" t="str"/>
      <x:c r="U116" s="12" t="str"/>
      <x:c r="V116" s="14" t="str">
        <x:f>IF(A116="","",IF(NOT(AND(COUNTIF(Exec[TestID],A116)=1,COUNTIF(Controls[ID],B116)=1,COUNTIFS(Scope[KapsamID],D116,Scope[OnayliKapsamID],D116,Scope[Ürün],C116)=1,OR(COUNTIFS(Controls[ID],B116,Controls[Ürün],C116)=1,COUNTIFS(Controls[ID],B116,Controls[Ürün],"MSP Genel")=1),E116&lt;&gt;"",F116&lt;&gt;"",G116&lt;&gt;"",I116&lt;&gt;"",Q116&lt;&gt;"")),"Kimlik / kapsam eksik",IF(NOT(OR(H116="Uygulanır",H116="Uygulanmaz")),"Uygulanabilirlik eksik",IF(AND(H116="Uygulanır",P116="Kanıt yetersiz",U116&lt;&gt;""),IF(AND(R116&lt;&gt;"",R116&lt;&gt;Q116,ISNUMBER(S116),S116&gt;0,S116&gt;=L116),"İnceleme tamam","Gözden geçirme eksik"),IF(NOT(AND(J116&lt;&gt;"",COUNTIFS(Evidence[KanitID],J116,Evidence[Kabul edilen ID],J116)=1,K116&lt;&gt;"",ISNUMBER(L116),L116&gt;0,M116&lt;&gt;"")),"Kanıt / test eksik",IF(NOT(AND(R116&lt;&gt;"",R116&lt;&gt;Q116,ISNUMBER(S116),S116&gt;0,S116&gt;=L116)),"Gözden geçirme eksik",IF(H116="Uygulanmaz","İnceleme tamam",IF(AND(OR(P116="Uygun",P116="Kısmen uygun",P116="Uygunsuz"),OR(N116="Uygun",N116="Kısmen uygun",N116="Uygunsuz"),OR(O116="Uygun",O116="Kısmen uygun",O116="Uygunsuz"),OR(P116&lt;&gt;"Uygun",AND(N116="Uygun",O116="Uygun")),OR(P116="Uygun",AND(T116&lt;&gt;"",COUNTIF(Findings[KayitliBulguID],T116)=1))),"İnceleme tamam","Sonuç / bulgu eksik"))))))))</x:f>
        <x:v>Kimlik / kapsam eksik</x:v>
      </x:c>
      <x:c r="W116" s="14" t="str">
        <x:f>IF(A116="","",IF(V116&lt;&gt;"İnceleme tamam","İncelenmedi",IF(H116="Uygulanmaz","Uygulanmaz",P116)))</x:f>
        <x:v>İncelenmedi</x:v>
      </x:c>
    </x:row>
    <x:row r="117" ht="35" customHeight="1">
      <x:c r="A117" s="12" t="str">
        <x:v>U-0112</x:v>
      </x:c>
      <x:c r="B117" s="12" t="str">
        <x:v>ESX-023</x:v>
      </x:c>
      <x:c r="C117" s="12" t="str">
        <x:v>VMware ESXi</x:v>
      </x:c>
      <x:c r="D117" s="12" t="str"/>
      <x:c r="E117" s="12" t="str"/>
      <x:c r="F117" s="12" t="str"/>
      <x:c r="G117" s="12" t="str"/>
      <x:c r="H117" s="12" t="str">
        <x:v>Belirlenecek</x:v>
      </x:c>
      <x:c r="I117" s="12" t="str"/>
      <x:c r="J117" s="12" t="str"/>
      <x:c r="K117" s="12" t="str"/>
      <x:c r="L117" s="13" t="str"/>
      <x:c r="M117" s="12" t="str"/>
      <x:c r="N117" s="12" t="str">
        <x:v>İncelenmedi</x:v>
      </x:c>
      <x:c r="O117" s="12" t="str">
        <x:v>İncelenmedi</x:v>
      </x:c>
      <x:c r="P117" s="12" t="str">
        <x:v>İncelenmedi</x:v>
      </x:c>
      <x:c r="Q117" s="12" t="str"/>
      <x:c r="R117" s="12" t="str"/>
      <x:c r="S117" s="13" t="str"/>
      <x:c r="T117" s="12" t="str"/>
      <x:c r="U117" s="12" t="str"/>
      <x:c r="V117" s="14" t="str">
        <x:f>IF(A117="","",IF(NOT(AND(COUNTIF(Exec[TestID],A117)=1,COUNTIF(Controls[ID],B117)=1,COUNTIFS(Scope[KapsamID],D117,Scope[OnayliKapsamID],D117,Scope[Ürün],C117)=1,OR(COUNTIFS(Controls[ID],B117,Controls[Ürün],C117)=1,COUNTIFS(Controls[ID],B117,Controls[Ürün],"MSP Genel")=1),E117&lt;&gt;"",F117&lt;&gt;"",G117&lt;&gt;"",I117&lt;&gt;"",Q117&lt;&gt;"")),"Kimlik / kapsam eksik",IF(NOT(OR(H117="Uygulanır",H117="Uygulanmaz")),"Uygulanabilirlik eksik",IF(AND(H117="Uygulanır",P117="Kanıt yetersiz",U117&lt;&gt;""),IF(AND(R117&lt;&gt;"",R117&lt;&gt;Q117,ISNUMBER(S117),S117&gt;0,S117&gt;=L117),"İnceleme tamam","Gözden geçirme eksik"),IF(NOT(AND(J117&lt;&gt;"",COUNTIFS(Evidence[KanitID],J117,Evidence[Kabul edilen ID],J117)=1,K117&lt;&gt;"",ISNUMBER(L117),L117&gt;0,M117&lt;&gt;"")),"Kanıt / test eksik",IF(NOT(AND(R117&lt;&gt;"",R117&lt;&gt;Q117,ISNUMBER(S117),S117&gt;0,S117&gt;=L117)),"Gözden geçirme eksik",IF(H117="Uygulanmaz","İnceleme tamam",IF(AND(OR(P117="Uygun",P117="Kısmen uygun",P117="Uygunsuz"),OR(N117="Uygun",N117="Kısmen uygun",N117="Uygunsuz"),OR(O117="Uygun",O117="Kısmen uygun",O117="Uygunsuz"),OR(P117&lt;&gt;"Uygun",AND(N117="Uygun",O117="Uygun")),OR(P117="Uygun",AND(T117&lt;&gt;"",COUNTIF(Findings[KayitliBulguID],T117)=1))),"İnceleme tamam","Sonuç / bulgu eksik"))))))))</x:f>
        <x:v>Kimlik / kapsam eksik</x:v>
      </x:c>
      <x:c r="W117" s="14" t="str">
        <x:f>IF(A117="","",IF(V117&lt;&gt;"İnceleme tamam","İncelenmedi",IF(H117="Uygulanmaz","Uygulanmaz",P117)))</x:f>
        <x:v>İncelenmedi</x:v>
      </x:c>
    </x:row>
    <x:row r="118" ht="35" customHeight="1">
      <x:c r="A118" s="12" t="str">
        <x:v>U-0113</x:v>
      </x:c>
      <x:c r="B118" s="12" t="str">
        <x:v>ESX-024</x:v>
      </x:c>
      <x:c r="C118" s="12" t="str">
        <x:v>VMware ESXi</x:v>
      </x:c>
      <x:c r="D118" s="12" t="str"/>
      <x:c r="E118" s="12" t="str"/>
      <x:c r="F118" s="12" t="str"/>
      <x:c r="G118" s="12" t="str"/>
      <x:c r="H118" s="12" t="str">
        <x:v>Belirlenecek</x:v>
      </x:c>
      <x:c r="I118" s="12" t="str"/>
      <x:c r="J118" s="12" t="str"/>
      <x:c r="K118" s="12" t="str"/>
      <x:c r="L118" s="13" t="str"/>
      <x:c r="M118" s="12" t="str"/>
      <x:c r="N118" s="12" t="str">
        <x:v>İncelenmedi</x:v>
      </x:c>
      <x:c r="O118" s="12" t="str">
        <x:v>İncelenmedi</x:v>
      </x:c>
      <x:c r="P118" s="12" t="str">
        <x:v>İncelenmedi</x:v>
      </x:c>
      <x:c r="Q118" s="12" t="str"/>
      <x:c r="R118" s="12" t="str"/>
      <x:c r="S118" s="13" t="str"/>
      <x:c r="T118" s="12" t="str"/>
      <x:c r="U118" s="12" t="str"/>
      <x:c r="V118" s="14" t="str">
        <x:f>IF(A118="","",IF(NOT(AND(COUNTIF(Exec[TestID],A118)=1,COUNTIF(Controls[ID],B118)=1,COUNTIFS(Scope[KapsamID],D118,Scope[OnayliKapsamID],D118,Scope[Ürün],C118)=1,OR(COUNTIFS(Controls[ID],B118,Controls[Ürün],C118)=1,COUNTIFS(Controls[ID],B118,Controls[Ürün],"MSP Genel")=1),E118&lt;&gt;"",F118&lt;&gt;"",G118&lt;&gt;"",I118&lt;&gt;"",Q118&lt;&gt;"")),"Kimlik / kapsam eksik",IF(NOT(OR(H118="Uygulanır",H118="Uygulanmaz")),"Uygulanabilirlik eksik",IF(AND(H118="Uygulanır",P118="Kanıt yetersiz",U118&lt;&gt;""),IF(AND(R118&lt;&gt;"",R118&lt;&gt;Q118,ISNUMBER(S118),S118&gt;0,S118&gt;=L118),"İnceleme tamam","Gözden geçirme eksik"),IF(NOT(AND(J118&lt;&gt;"",COUNTIFS(Evidence[KanitID],J118,Evidence[Kabul edilen ID],J118)=1,K118&lt;&gt;"",ISNUMBER(L118),L118&gt;0,M118&lt;&gt;"")),"Kanıt / test eksik",IF(NOT(AND(R118&lt;&gt;"",R118&lt;&gt;Q118,ISNUMBER(S118),S118&gt;0,S118&gt;=L118)),"Gözden geçirme eksik",IF(H118="Uygulanmaz","İnceleme tamam",IF(AND(OR(P118="Uygun",P118="Kısmen uygun",P118="Uygunsuz"),OR(N118="Uygun",N118="Kısmen uygun",N118="Uygunsuz"),OR(O118="Uygun",O118="Kısmen uygun",O118="Uygunsuz"),OR(P118&lt;&gt;"Uygun",AND(N118="Uygun",O118="Uygun")),OR(P118="Uygun",AND(T118&lt;&gt;"",COUNTIF(Findings[KayitliBulguID],T118)=1))),"İnceleme tamam","Sonuç / bulgu eksik"))))))))</x:f>
        <x:v>Kimlik / kapsam eksik</x:v>
      </x:c>
      <x:c r="W118" s="14" t="str">
        <x:f>IF(A118="","",IF(V118&lt;&gt;"İnceleme tamam","İncelenmedi",IF(H118="Uygulanmaz","Uygulanmaz",P118)))</x:f>
        <x:v>İncelenmedi</x:v>
      </x:c>
    </x:row>
    <x:row r="119" ht="35" customHeight="1">
      <x:c r="A119" s="12" t="str">
        <x:v>U-0114</x:v>
      </x:c>
      <x:c r="B119" s="12" t="str">
        <x:v>ESX-025</x:v>
      </x:c>
      <x:c r="C119" s="12" t="str">
        <x:v>VMware ESXi</x:v>
      </x:c>
      <x:c r="D119" s="12" t="str"/>
      <x:c r="E119" s="12" t="str"/>
      <x:c r="F119" s="12" t="str"/>
      <x:c r="G119" s="12" t="str"/>
      <x:c r="H119" s="12" t="str">
        <x:v>Belirlenecek</x:v>
      </x:c>
      <x:c r="I119" s="12" t="str"/>
      <x:c r="J119" s="12" t="str"/>
      <x:c r="K119" s="12" t="str"/>
      <x:c r="L119" s="13" t="str"/>
      <x:c r="M119" s="12" t="str"/>
      <x:c r="N119" s="12" t="str">
        <x:v>İncelenmedi</x:v>
      </x:c>
      <x:c r="O119" s="12" t="str">
        <x:v>İncelenmedi</x:v>
      </x:c>
      <x:c r="P119" s="12" t="str">
        <x:v>İncelenmedi</x:v>
      </x:c>
      <x:c r="Q119" s="12" t="str"/>
      <x:c r="R119" s="12" t="str"/>
      <x:c r="S119" s="13" t="str"/>
      <x:c r="T119" s="12" t="str"/>
      <x:c r="U119" s="12" t="str"/>
      <x:c r="V119" s="14" t="str">
        <x:f>IF(A119="","",IF(NOT(AND(COUNTIF(Exec[TestID],A119)=1,COUNTIF(Controls[ID],B119)=1,COUNTIFS(Scope[KapsamID],D119,Scope[OnayliKapsamID],D119,Scope[Ürün],C119)=1,OR(COUNTIFS(Controls[ID],B119,Controls[Ürün],C119)=1,COUNTIFS(Controls[ID],B119,Controls[Ürün],"MSP Genel")=1),E119&lt;&gt;"",F119&lt;&gt;"",G119&lt;&gt;"",I119&lt;&gt;"",Q119&lt;&gt;"")),"Kimlik / kapsam eksik",IF(NOT(OR(H119="Uygulanır",H119="Uygulanmaz")),"Uygulanabilirlik eksik",IF(AND(H119="Uygulanır",P119="Kanıt yetersiz",U119&lt;&gt;""),IF(AND(R119&lt;&gt;"",R119&lt;&gt;Q119,ISNUMBER(S119),S119&gt;0,S119&gt;=L119),"İnceleme tamam","Gözden geçirme eksik"),IF(NOT(AND(J119&lt;&gt;"",COUNTIFS(Evidence[KanitID],J119,Evidence[Kabul edilen ID],J119)=1,K119&lt;&gt;"",ISNUMBER(L119),L119&gt;0,M119&lt;&gt;"")),"Kanıt / test eksik",IF(NOT(AND(R119&lt;&gt;"",R119&lt;&gt;Q119,ISNUMBER(S119),S119&gt;0,S119&gt;=L119)),"Gözden geçirme eksik",IF(H119="Uygulanmaz","İnceleme tamam",IF(AND(OR(P119="Uygun",P119="Kısmen uygun",P119="Uygunsuz"),OR(N119="Uygun",N119="Kısmen uygun",N119="Uygunsuz"),OR(O119="Uygun",O119="Kısmen uygun",O119="Uygunsuz"),OR(P119&lt;&gt;"Uygun",AND(N119="Uygun",O119="Uygun")),OR(P119="Uygun",AND(T119&lt;&gt;"",COUNTIF(Findings[KayitliBulguID],T119)=1))),"İnceleme tamam","Sonuç / bulgu eksik"))))))))</x:f>
        <x:v>Kimlik / kapsam eksik</x:v>
      </x:c>
      <x:c r="W119" s="14" t="str">
        <x:f>IF(A119="","",IF(V119&lt;&gt;"İnceleme tamam","İncelenmedi",IF(H119="Uygulanmaz","Uygulanmaz",P119)))</x:f>
        <x:v>İncelenmedi</x:v>
      </x:c>
    </x:row>
    <x:row r="120" ht="35" customHeight="1">
      <x:c r="A120" s="12" t="str">
        <x:v>U-0115</x:v>
      </x:c>
      <x:c r="B120" s="12" t="str">
        <x:v>ESX-026</x:v>
      </x:c>
      <x:c r="C120" s="12" t="str">
        <x:v>VMware ESXi</x:v>
      </x:c>
      <x:c r="D120" s="12" t="str"/>
      <x:c r="E120" s="12" t="str"/>
      <x:c r="F120" s="12" t="str"/>
      <x:c r="G120" s="12" t="str"/>
      <x:c r="H120" s="12" t="str">
        <x:v>Belirlenecek</x:v>
      </x:c>
      <x:c r="I120" s="12" t="str"/>
      <x:c r="J120" s="12" t="str"/>
      <x:c r="K120" s="12" t="str"/>
      <x:c r="L120" s="13" t="str"/>
      <x:c r="M120" s="12" t="str"/>
      <x:c r="N120" s="12" t="str">
        <x:v>İncelenmedi</x:v>
      </x:c>
      <x:c r="O120" s="12" t="str">
        <x:v>İncelenmedi</x:v>
      </x:c>
      <x:c r="P120" s="12" t="str">
        <x:v>İncelenmedi</x:v>
      </x:c>
      <x:c r="Q120" s="12" t="str"/>
      <x:c r="R120" s="12" t="str"/>
      <x:c r="S120" s="13" t="str"/>
      <x:c r="T120" s="12" t="str"/>
      <x:c r="U120" s="12" t="str"/>
      <x:c r="V120" s="14" t="str">
        <x:f>IF(A120="","",IF(NOT(AND(COUNTIF(Exec[TestID],A120)=1,COUNTIF(Controls[ID],B120)=1,COUNTIFS(Scope[KapsamID],D120,Scope[OnayliKapsamID],D120,Scope[Ürün],C120)=1,OR(COUNTIFS(Controls[ID],B120,Controls[Ürün],C120)=1,COUNTIFS(Controls[ID],B120,Controls[Ürün],"MSP Genel")=1),E120&lt;&gt;"",F120&lt;&gt;"",G120&lt;&gt;"",I120&lt;&gt;"",Q120&lt;&gt;"")),"Kimlik / kapsam eksik",IF(NOT(OR(H120="Uygulanır",H120="Uygulanmaz")),"Uygulanabilirlik eksik",IF(AND(H120="Uygulanır",P120="Kanıt yetersiz",U120&lt;&gt;""),IF(AND(R120&lt;&gt;"",R120&lt;&gt;Q120,ISNUMBER(S120),S120&gt;0,S120&gt;=L120),"İnceleme tamam","Gözden geçirme eksik"),IF(NOT(AND(J120&lt;&gt;"",COUNTIFS(Evidence[KanitID],J120,Evidence[Kabul edilen ID],J120)=1,K120&lt;&gt;"",ISNUMBER(L120),L120&gt;0,M120&lt;&gt;"")),"Kanıt / test eksik",IF(NOT(AND(R120&lt;&gt;"",R120&lt;&gt;Q120,ISNUMBER(S120),S120&gt;0,S120&gt;=L120)),"Gözden geçirme eksik",IF(H120="Uygulanmaz","İnceleme tamam",IF(AND(OR(P120="Uygun",P120="Kısmen uygun",P120="Uygunsuz"),OR(N120="Uygun",N120="Kısmen uygun",N120="Uygunsuz"),OR(O120="Uygun",O120="Kısmen uygun",O120="Uygunsuz"),OR(P120&lt;&gt;"Uygun",AND(N120="Uygun",O120="Uygun")),OR(P120="Uygun",AND(T120&lt;&gt;"",COUNTIF(Findings[KayitliBulguID],T120)=1))),"İnceleme tamam","Sonuç / bulgu eksik"))))))))</x:f>
        <x:v>Kimlik / kapsam eksik</x:v>
      </x:c>
      <x:c r="W120" s="14" t="str">
        <x:f>IF(A120="","",IF(V120&lt;&gt;"İnceleme tamam","İncelenmedi",IF(H120="Uygulanmaz","Uygulanmaz",P120)))</x:f>
        <x:v>İncelenmedi</x:v>
      </x:c>
    </x:row>
    <x:row r="121" ht="35" customHeight="1">
      <x:c r="A121" s="12" t="str">
        <x:v>U-0116</x:v>
      </x:c>
      <x:c r="B121" s="12" t="str">
        <x:v>ESX-027</x:v>
      </x:c>
      <x:c r="C121" s="12" t="str">
        <x:v>VMware ESXi</x:v>
      </x:c>
      <x:c r="D121" s="12" t="str"/>
      <x:c r="E121" s="12" t="str"/>
      <x:c r="F121" s="12" t="str"/>
      <x:c r="G121" s="12" t="str"/>
      <x:c r="H121" s="12" t="str">
        <x:v>Belirlenecek</x:v>
      </x:c>
      <x:c r="I121" s="12" t="str"/>
      <x:c r="J121" s="12" t="str"/>
      <x:c r="K121" s="12" t="str"/>
      <x:c r="L121" s="13" t="str"/>
      <x:c r="M121" s="12" t="str"/>
      <x:c r="N121" s="12" t="str">
        <x:v>İncelenmedi</x:v>
      </x:c>
      <x:c r="O121" s="12" t="str">
        <x:v>İncelenmedi</x:v>
      </x:c>
      <x:c r="P121" s="12" t="str">
        <x:v>İncelenmedi</x:v>
      </x:c>
      <x:c r="Q121" s="12" t="str"/>
      <x:c r="R121" s="12" t="str"/>
      <x:c r="S121" s="13" t="str"/>
      <x:c r="T121" s="12" t="str"/>
      <x:c r="U121" s="12" t="str"/>
      <x:c r="V121" s="14" t="str">
        <x:f>IF(A121="","",IF(NOT(AND(COUNTIF(Exec[TestID],A121)=1,COUNTIF(Controls[ID],B121)=1,COUNTIFS(Scope[KapsamID],D121,Scope[OnayliKapsamID],D121,Scope[Ürün],C121)=1,OR(COUNTIFS(Controls[ID],B121,Controls[Ürün],C121)=1,COUNTIFS(Controls[ID],B121,Controls[Ürün],"MSP Genel")=1),E121&lt;&gt;"",F121&lt;&gt;"",G121&lt;&gt;"",I121&lt;&gt;"",Q121&lt;&gt;"")),"Kimlik / kapsam eksik",IF(NOT(OR(H121="Uygulanır",H121="Uygulanmaz")),"Uygulanabilirlik eksik",IF(AND(H121="Uygulanır",P121="Kanıt yetersiz",U121&lt;&gt;""),IF(AND(R121&lt;&gt;"",R121&lt;&gt;Q121,ISNUMBER(S121),S121&gt;0,S121&gt;=L121),"İnceleme tamam","Gözden geçirme eksik"),IF(NOT(AND(J121&lt;&gt;"",COUNTIFS(Evidence[KanitID],J121,Evidence[Kabul edilen ID],J121)=1,K121&lt;&gt;"",ISNUMBER(L121),L121&gt;0,M121&lt;&gt;"")),"Kanıt / test eksik",IF(NOT(AND(R121&lt;&gt;"",R121&lt;&gt;Q121,ISNUMBER(S121),S121&gt;0,S121&gt;=L121)),"Gözden geçirme eksik",IF(H121="Uygulanmaz","İnceleme tamam",IF(AND(OR(P121="Uygun",P121="Kısmen uygun",P121="Uygunsuz"),OR(N121="Uygun",N121="Kısmen uygun",N121="Uygunsuz"),OR(O121="Uygun",O121="Kısmen uygun",O121="Uygunsuz"),OR(P121&lt;&gt;"Uygun",AND(N121="Uygun",O121="Uygun")),OR(P121="Uygun",AND(T121&lt;&gt;"",COUNTIF(Findings[KayitliBulguID],T121)=1))),"İnceleme tamam","Sonuç / bulgu eksik"))))))))</x:f>
        <x:v>Kimlik / kapsam eksik</x:v>
      </x:c>
      <x:c r="W121" s="14" t="str">
        <x:f>IF(A121="","",IF(V121&lt;&gt;"İnceleme tamam","İncelenmedi",IF(H121="Uygulanmaz","Uygulanmaz",P121)))</x:f>
        <x:v>İncelenmedi</x:v>
      </x:c>
    </x:row>
    <x:row r="122" ht="35" customHeight="1">
      <x:c r="A122" s="12" t="str">
        <x:v>U-0117</x:v>
      </x:c>
      <x:c r="B122" s="12" t="str">
        <x:v>ESX-028</x:v>
      </x:c>
      <x:c r="C122" s="12" t="str">
        <x:v>VMware ESXi</x:v>
      </x:c>
      <x:c r="D122" s="12" t="str"/>
      <x:c r="E122" s="12" t="str"/>
      <x:c r="F122" s="12" t="str"/>
      <x:c r="G122" s="12" t="str"/>
      <x:c r="H122" s="12" t="str">
        <x:v>Belirlenecek</x:v>
      </x:c>
      <x:c r="I122" s="12" t="str"/>
      <x:c r="J122" s="12" t="str"/>
      <x:c r="K122" s="12" t="str"/>
      <x:c r="L122" s="13" t="str"/>
      <x:c r="M122" s="12" t="str"/>
      <x:c r="N122" s="12" t="str">
        <x:v>İncelenmedi</x:v>
      </x:c>
      <x:c r="O122" s="12" t="str">
        <x:v>İncelenmedi</x:v>
      </x:c>
      <x:c r="P122" s="12" t="str">
        <x:v>İncelenmedi</x:v>
      </x:c>
      <x:c r="Q122" s="12" t="str"/>
      <x:c r="R122" s="12" t="str"/>
      <x:c r="S122" s="13" t="str"/>
      <x:c r="T122" s="12" t="str"/>
      <x:c r="U122" s="12" t="str"/>
      <x:c r="V122" s="14" t="str">
        <x:f>IF(A122="","",IF(NOT(AND(COUNTIF(Exec[TestID],A122)=1,COUNTIF(Controls[ID],B122)=1,COUNTIFS(Scope[KapsamID],D122,Scope[OnayliKapsamID],D122,Scope[Ürün],C122)=1,OR(COUNTIFS(Controls[ID],B122,Controls[Ürün],C122)=1,COUNTIFS(Controls[ID],B122,Controls[Ürün],"MSP Genel")=1),E122&lt;&gt;"",F122&lt;&gt;"",G122&lt;&gt;"",I122&lt;&gt;"",Q122&lt;&gt;"")),"Kimlik / kapsam eksik",IF(NOT(OR(H122="Uygulanır",H122="Uygulanmaz")),"Uygulanabilirlik eksik",IF(AND(H122="Uygulanır",P122="Kanıt yetersiz",U122&lt;&gt;""),IF(AND(R122&lt;&gt;"",R122&lt;&gt;Q122,ISNUMBER(S122),S122&gt;0,S122&gt;=L122),"İnceleme tamam","Gözden geçirme eksik"),IF(NOT(AND(J122&lt;&gt;"",COUNTIFS(Evidence[KanitID],J122,Evidence[Kabul edilen ID],J122)=1,K122&lt;&gt;"",ISNUMBER(L122),L122&gt;0,M122&lt;&gt;"")),"Kanıt / test eksik",IF(NOT(AND(R122&lt;&gt;"",R122&lt;&gt;Q122,ISNUMBER(S122),S122&gt;0,S122&gt;=L122)),"Gözden geçirme eksik",IF(H122="Uygulanmaz","İnceleme tamam",IF(AND(OR(P122="Uygun",P122="Kısmen uygun",P122="Uygunsuz"),OR(N122="Uygun",N122="Kısmen uygun",N122="Uygunsuz"),OR(O122="Uygun",O122="Kısmen uygun",O122="Uygunsuz"),OR(P122&lt;&gt;"Uygun",AND(N122="Uygun",O122="Uygun")),OR(P122="Uygun",AND(T122&lt;&gt;"",COUNTIF(Findings[KayitliBulguID],T122)=1))),"İnceleme tamam","Sonuç / bulgu eksik"))))))))</x:f>
        <x:v>Kimlik / kapsam eksik</x:v>
      </x:c>
      <x:c r="W122" s="14" t="str">
        <x:f>IF(A122="","",IF(V122&lt;&gt;"İnceleme tamam","İncelenmedi",IF(H122="Uygulanmaz","Uygulanmaz",P122)))</x:f>
        <x:v>İncelenmedi</x:v>
      </x:c>
    </x:row>
    <x:row r="123" ht="35" customHeight="1">
      <x:c r="A123" s="12" t="str">
        <x:v>U-0118</x:v>
      </x:c>
      <x:c r="B123" s="12" t="str">
        <x:v>ESX-029</x:v>
      </x:c>
      <x:c r="C123" s="12" t="str">
        <x:v>VMware ESXi</x:v>
      </x:c>
      <x:c r="D123" s="12" t="str"/>
      <x:c r="E123" s="12" t="str"/>
      <x:c r="F123" s="12" t="str"/>
      <x:c r="G123" s="12" t="str"/>
      <x:c r="H123" s="12" t="str">
        <x:v>Belirlenecek</x:v>
      </x:c>
      <x:c r="I123" s="12" t="str"/>
      <x:c r="J123" s="12" t="str"/>
      <x:c r="K123" s="12" t="str"/>
      <x:c r="L123" s="13" t="str"/>
      <x:c r="M123" s="12" t="str"/>
      <x:c r="N123" s="12" t="str">
        <x:v>İncelenmedi</x:v>
      </x:c>
      <x:c r="O123" s="12" t="str">
        <x:v>İncelenmedi</x:v>
      </x:c>
      <x:c r="P123" s="12" t="str">
        <x:v>İncelenmedi</x:v>
      </x:c>
      <x:c r="Q123" s="12" t="str"/>
      <x:c r="R123" s="12" t="str"/>
      <x:c r="S123" s="13" t="str"/>
      <x:c r="T123" s="12" t="str"/>
      <x:c r="U123" s="12" t="str"/>
      <x:c r="V123" s="14" t="str">
        <x:f>IF(A123="","",IF(NOT(AND(COUNTIF(Exec[TestID],A123)=1,COUNTIF(Controls[ID],B123)=1,COUNTIFS(Scope[KapsamID],D123,Scope[OnayliKapsamID],D123,Scope[Ürün],C123)=1,OR(COUNTIFS(Controls[ID],B123,Controls[Ürün],C123)=1,COUNTIFS(Controls[ID],B123,Controls[Ürün],"MSP Genel")=1),E123&lt;&gt;"",F123&lt;&gt;"",G123&lt;&gt;"",I123&lt;&gt;"",Q123&lt;&gt;"")),"Kimlik / kapsam eksik",IF(NOT(OR(H123="Uygulanır",H123="Uygulanmaz")),"Uygulanabilirlik eksik",IF(AND(H123="Uygulanır",P123="Kanıt yetersiz",U123&lt;&gt;""),IF(AND(R123&lt;&gt;"",R123&lt;&gt;Q123,ISNUMBER(S123),S123&gt;0,S123&gt;=L123),"İnceleme tamam","Gözden geçirme eksik"),IF(NOT(AND(J123&lt;&gt;"",COUNTIFS(Evidence[KanitID],J123,Evidence[Kabul edilen ID],J123)=1,K123&lt;&gt;"",ISNUMBER(L123),L123&gt;0,M123&lt;&gt;"")),"Kanıt / test eksik",IF(NOT(AND(R123&lt;&gt;"",R123&lt;&gt;Q123,ISNUMBER(S123),S123&gt;0,S123&gt;=L123)),"Gözden geçirme eksik",IF(H123="Uygulanmaz","İnceleme tamam",IF(AND(OR(P123="Uygun",P123="Kısmen uygun",P123="Uygunsuz"),OR(N123="Uygun",N123="Kısmen uygun",N123="Uygunsuz"),OR(O123="Uygun",O123="Kısmen uygun",O123="Uygunsuz"),OR(P123&lt;&gt;"Uygun",AND(N123="Uygun",O123="Uygun")),OR(P123="Uygun",AND(T123&lt;&gt;"",COUNTIF(Findings[KayitliBulguID],T123)=1))),"İnceleme tamam","Sonuç / bulgu eksik"))))))))</x:f>
        <x:v>Kimlik / kapsam eksik</x:v>
      </x:c>
      <x:c r="W123" s="14" t="str">
        <x:f>IF(A123="","",IF(V123&lt;&gt;"İnceleme tamam","İncelenmedi",IF(H123="Uygulanmaz","Uygulanmaz",P123)))</x:f>
        <x:v>İncelenmedi</x:v>
      </x:c>
    </x:row>
    <x:row r="124" ht="35" customHeight="1">
      <x:c r="A124" s="12" t="str">
        <x:v>U-0119</x:v>
      </x:c>
      <x:c r="B124" s="12" t="str">
        <x:v>ESX-030</x:v>
      </x:c>
      <x:c r="C124" s="12" t="str">
        <x:v>VMware ESXi</x:v>
      </x:c>
      <x:c r="D124" s="12" t="str"/>
      <x:c r="E124" s="12" t="str"/>
      <x:c r="F124" s="12" t="str"/>
      <x:c r="G124" s="12" t="str"/>
      <x:c r="H124" s="12" t="str">
        <x:v>Belirlenecek</x:v>
      </x:c>
      <x:c r="I124" s="12" t="str"/>
      <x:c r="J124" s="12" t="str"/>
      <x:c r="K124" s="12" t="str"/>
      <x:c r="L124" s="13" t="str"/>
      <x:c r="M124" s="12" t="str"/>
      <x:c r="N124" s="12" t="str">
        <x:v>İncelenmedi</x:v>
      </x:c>
      <x:c r="O124" s="12" t="str">
        <x:v>İncelenmedi</x:v>
      </x:c>
      <x:c r="P124" s="12" t="str">
        <x:v>İncelenmedi</x:v>
      </x:c>
      <x:c r="Q124" s="12" t="str"/>
      <x:c r="R124" s="12" t="str"/>
      <x:c r="S124" s="13" t="str"/>
      <x:c r="T124" s="12" t="str"/>
      <x:c r="U124" s="12" t="str"/>
      <x:c r="V124" s="14" t="str">
        <x:f>IF(A124="","",IF(NOT(AND(COUNTIF(Exec[TestID],A124)=1,COUNTIF(Controls[ID],B124)=1,COUNTIFS(Scope[KapsamID],D124,Scope[OnayliKapsamID],D124,Scope[Ürün],C124)=1,OR(COUNTIFS(Controls[ID],B124,Controls[Ürün],C124)=1,COUNTIFS(Controls[ID],B124,Controls[Ürün],"MSP Genel")=1),E124&lt;&gt;"",F124&lt;&gt;"",G124&lt;&gt;"",I124&lt;&gt;"",Q124&lt;&gt;"")),"Kimlik / kapsam eksik",IF(NOT(OR(H124="Uygulanır",H124="Uygulanmaz")),"Uygulanabilirlik eksik",IF(AND(H124="Uygulanır",P124="Kanıt yetersiz",U124&lt;&gt;""),IF(AND(R124&lt;&gt;"",R124&lt;&gt;Q124,ISNUMBER(S124),S124&gt;0,S124&gt;=L124),"İnceleme tamam","Gözden geçirme eksik"),IF(NOT(AND(J124&lt;&gt;"",COUNTIFS(Evidence[KanitID],J124,Evidence[Kabul edilen ID],J124)=1,K124&lt;&gt;"",ISNUMBER(L124),L124&gt;0,M124&lt;&gt;"")),"Kanıt / test eksik",IF(NOT(AND(R124&lt;&gt;"",R124&lt;&gt;Q124,ISNUMBER(S124),S124&gt;0,S124&gt;=L124)),"Gözden geçirme eksik",IF(H124="Uygulanmaz","İnceleme tamam",IF(AND(OR(P124="Uygun",P124="Kısmen uygun",P124="Uygunsuz"),OR(N124="Uygun",N124="Kısmen uygun",N124="Uygunsuz"),OR(O124="Uygun",O124="Kısmen uygun",O124="Uygunsuz"),OR(P124&lt;&gt;"Uygun",AND(N124="Uygun",O124="Uygun")),OR(P124="Uygun",AND(T124&lt;&gt;"",COUNTIF(Findings[KayitliBulguID],T124)=1))),"İnceleme tamam","Sonuç / bulgu eksik"))))))))</x:f>
        <x:v>Kimlik / kapsam eksik</x:v>
      </x:c>
      <x:c r="W124" s="14" t="str">
        <x:f>IF(A124="","",IF(V124&lt;&gt;"İnceleme tamam","İncelenmedi",IF(H124="Uygulanmaz","Uygulanmaz",P124)))</x:f>
        <x:v>İncelenmedi</x:v>
      </x:c>
    </x:row>
    <x:row r="125" ht="35" customHeight="1">
      <x:c r="A125" s="12" t="str">
        <x:v>U-0120</x:v>
      </x:c>
      <x:c r="B125" s="12" t="str">
        <x:v>ESX-031</x:v>
      </x:c>
      <x:c r="C125" s="12" t="str">
        <x:v>VMware ESXi</x:v>
      </x:c>
      <x:c r="D125" s="12" t="str"/>
      <x:c r="E125" s="12" t="str"/>
      <x:c r="F125" s="12" t="str"/>
      <x:c r="G125" s="12" t="str"/>
      <x:c r="H125" s="12" t="str">
        <x:v>Belirlenecek</x:v>
      </x:c>
      <x:c r="I125" s="12" t="str"/>
      <x:c r="J125" s="12" t="str"/>
      <x:c r="K125" s="12" t="str"/>
      <x:c r="L125" s="13" t="str"/>
      <x:c r="M125" s="12" t="str"/>
      <x:c r="N125" s="12" t="str">
        <x:v>İncelenmedi</x:v>
      </x:c>
      <x:c r="O125" s="12" t="str">
        <x:v>İncelenmedi</x:v>
      </x:c>
      <x:c r="P125" s="12" t="str">
        <x:v>İncelenmedi</x:v>
      </x:c>
      <x:c r="Q125" s="12" t="str"/>
      <x:c r="R125" s="12" t="str"/>
      <x:c r="S125" s="13" t="str"/>
      <x:c r="T125" s="12" t="str"/>
      <x:c r="U125" s="12" t="str"/>
      <x:c r="V125" s="14" t="str">
        <x:f>IF(A125="","",IF(NOT(AND(COUNTIF(Exec[TestID],A125)=1,COUNTIF(Controls[ID],B125)=1,COUNTIFS(Scope[KapsamID],D125,Scope[OnayliKapsamID],D125,Scope[Ürün],C125)=1,OR(COUNTIFS(Controls[ID],B125,Controls[Ürün],C125)=1,COUNTIFS(Controls[ID],B125,Controls[Ürün],"MSP Genel")=1),E125&lt;&gt;"",F125&lt;&gt;"",G125&lt;&gt;"",I125&lt;&gt;"",Q125&lt;&gt;"")),"Kimlik / kapsam eksik",IF(NOT(OR(H125="Uygulanır",H125="Uygulanmaz")),"Uygulanabilirlik eksik",IF(AND(H125="Uygulanır",P125="Kanıt yetersiz",U125&lt;&gt;""),IF(AND(R125&lt;&gt;"",R125&lt;&gt;Q125,ISNUMBER(S125),S125&gt;0,S125&gt;=L125),"İnceleme tamam","Gözden geçirme eksik"),IF(NOT(AND(J125&lt;&gt;"",COUNTIFS(Evidence[KanitID],J125,Evidence[Kabul edilen ID],J125)=1,K125&lt;&gt;"",ISNUMBER(L125),L125&gt;0,M125&lt;&gt;"")),"Kanıt / test eksik",IF(NOT(AND(R125&lt;&gt;"",R125&lt;&gt;Q125,ISNUMBER(S125),S125&gt;0,S125&gt;=L125)),"Gözden geçirme eksik",IF(H125="Uygulanmaz","İnceleme tamam",IF(AND(OR(P125="Uygun",P125="Kısmen uygun",P125="Uygunsuz"),OR(N125="Uygun",N125="Kısmen uygun",N125="Uygunsuz"),OR(O125="Uygun",O125="Kısmen uygun",O125="Uygunsuz"),OR(P125&lt;&gt;"Uygun",AND(N125="Uygun",O125="Uygun")),OR(P125="Uygun",AND(T125&lt;&gt;"",COUNTIF(Findings[KayitliBulguID],T125)=1))),"İnceleme tamam","Sonuç / bulgu eksik"))))))))</x:f>
        <x:v>Kimlik / kapsam eksik</x:v>
      </x:c>
      <x:c r="W125" s="14" t="str">
        <x:f>IF(A125="","",IF(V125&lt;&gt;"İnceleme tamam","İncelenmedi",IF(H125="Uygulanmaz","Uygulanmaz",P125)))</x:f>
        <x:v>İncelenmedi</x:v>
      </x:c>
    </x:row>
    <x:row r="126" ht="35" customHeight="1">
      <x:c r="A126" s="12" t="str">
        <x:v>U-0121</x:v>
      </x:c>
      <x:c r="B126" s="12" t="str">
        <x:v>ESX-032</x:v>
      </x:c>
      <x:c r="C126" s="12" t="str">
        <x:v>VMware ESXi</x:v>
      </x:c>
      <x:c r="D126" s="12" t="str"/>
      <x:c r="E126" s="12" t="str"/>
      <x:c r="F126" s="12" t="str"/>
      <x:c r="G126" s="12" t="str"/>
      <x:c r="H126" s="12" t="str">
        <x:v>Belirlenecek</x:v>
      </x:c>
      <x:c r="I126" s="12" t="str"/>
      <x:c r="J126" s="12" t="str"/>
      <x:c r="K126" s="12" t="str"/>
      <x:c r="L126" s="13" t="str"/>
      <x:c r="M126" s="12" t="str"/>
      <x:c r="N126" s="12" t="str">
        <x:v>İncelenmedi</x:v>
      </x:c>
      <x:c r="O126" s="12" t="str">
        <x:v>İncelenmedi</x:v>
      </x:c>
      <x:c r="P126" s="12" t="str">
        <x:v>İncelenmedi</x:v>
      </x:c>
      <x:c r="Q126" s="12" t="str"/>
      <x:c r="R126" s="12" t="str"/>
      <x:c r="S126" s="13" t="str"/>
      <x:c r="T126" s="12" t="str"/>
      <x:c r="U126" s="12" t="str"/>
      <x:c r="V126" s="14" t="str">
        <x:f>IF(A126="","",IF(NOT(AND(COUNTIF(Exec[TestID],A126)=1,COUNTIF(Controls[ID],B126)=1,COUNTIFS(Scope[KapsamID],D126,Scope[OnayliKapsamID],D126,Scope[Ürün],C126)=1,OR(COUNTIFS(Controls[ID],B126,Controls[Ürün],C126)=1,COUNTIFS(Controls[ID],B126,Controls[Ürün],"MSP Genel")=1),E126&lt;&gt;"",F126&lt;&gt;"",G126&lt;&gt;"",I126&lt;&gt;"",Q126&lt;&gt;"")),"Kimlik / kapsam eksik",IF(NOT(OR(H126="Uygulanır",H126="Uygulanmaz")),"Uygulanabilirlik eksik",IF(AND(H126="Uygulanır",P126="Kanıt yetersiz",U126&lt;&gt;""),IF(AND(R126&lt;&gt;"",R126&lt;&gt;Q126,ISNUMBER(S126),S126&gt;0,S126&gt;=L126),"İnceleme tamam","Gözden geçirme eksik"),IF(NOT(AND(J126&lt;&gt;"",COUNTIFS(Evidence[KanitID],J126,Evidence[Kabul edilen ID],J126)=1,K126&lt;&gt;"",ISNUMBER(L126),L126&gt;0,M126&lt;&gt;"")),"Kanıt / test eksik",IF(NOT(AND(R126&lt;&gt;"",R126&lt;&gt;Q126,ISNUMBER(S126),S126&gt;0,S126&gt;=L126)),"Gözden geçirme eksik",IF(H126="Uygulanmaz","İnceleme tamam",IF(AND(OR(P126="Uygun",P126="Kısmen uygun",P126="Uygunsuz"),OR(N126="Uygun",N126="Kısmen uygun",N126="Uygunsuz"),OR(O126="Uygun",O126="Kısmen uygun",O126="Uygunsuz"),OR(P126&lt;&gt;"Uygun",AND(N126="Uygun",O126="Uygun")),OR(P126="Uygun",AND(T126&lt;&gt;"",COUNTIF(Findings[KayitliBulguID],T126)=1))),"İnceleme tamam","Sonuç / bulgu eksik"))))))))</x:f>
        <x:v>Kimlik / kapsam eksik</x:v>
      </x:c>
      <x:c r="W126" s="14" t="str">
        <x:f>IF(A126="","",IF(V126&lt;&gt;"İnceleme tamam","İncelenmedi",IF(H126="Uygulanmaz","Uygulanmaz",P126)))</x:f>
        <x:v>İncelenmedi</x:v>
      </x:c>
    </x:row>
    <x:row r="127" ht="35" customHeight="1">
      <x:c r="A127" s="12" t="str">
        <x:v>U-0122</x:v>
      </x:c>
      <x:c r="B127" s="12" t="str">
        <x:v>ESX-033</x:v>
      </x:c>
      <x:c r="C127" s="12" t="str">
        <x:v>VMware ESXi</x:v>
      </x:c>
      <x:c r="D127" s="12" t="str"/>
      <x:c r="E127" s="12" t="str"/>
      <x:c r="F127" s="12" t="str"/>
      <x:c r="G127" s="12" t="str"/>
      <x:c r="H127" s="12" t="str">
        <x:v>Belirlenecek</x:v>
      </x:c>
      <x:c r="I127" s="12" t="str"/>
      <x:c r="J127" s="12" t="str"/>
      <x:c r="K127" s="12" t="str"/>
      <x:c r="L127" s="13" t="str"/>
      <x:c r="M127" s="12" t="str"/>
      <x:c r="N127" s="12" t="str">
        <x:v>İncelenmedi</x:v>
      </x:c>
      <x:c r="O127" s="12" t="str">
        <x:v>İncelenmedi</x:v>
      </x:c>
      <x:c r="P127" s="12" t="str">
        <x:v>İncelenmedi</x:v>
      </x:c>
      <x:c r="Q127" s="12" t="str"/>
      <x:c r="R127" s="12" t="str"/>
      <x:c r="S127" s="13" t="str"/>
      <x:c r="T127" s="12" t="str"/>
      <x:c r="U127" s="12" t="str"/>
      <x:c r="V127" s="14" t="str">
        <x:f>IF(A127="","",IF(NOT(AND(COUNTIF(Exec[TestID],A127)=1,COUNTIF(Controls[ID],B127)=1,COUNTIFS(Scope[KapsamID],D127,Scope[OnayliKapsamID],D127,Scope[Ürün],C127)=1,OR(COUNTIFS(Controls[ID],B127,Controls[Ürün],C127)=1,COUNTIFS(Controls[ID],B127,Controls[Ürün],"MSP Genel")=1),E127&lt;&gt;"",F127&lt;&gt;"",G127&lt;&gt;"",I127&lt;&gt;"",Q127&lt;&gt;"")),"Kimlik / kapsam eksik",IF(NOT(OR(H127="Uygulanır",H127="Uygulanmaz")),"Uygulanabilirlik eksik",IF(AND(H127="Uygulanır",P127="Kanıt yetersiz",U127&lt;&gt;""),IF(AND(R127&lt;&gt;"",R127&lt;&gt;Q127,ISNUMBER(S127),S127&gt;0,S127&gt;=L127),"İnceleme tamam","Gözden geçirme eksik"),IF(NOT(AND(J127&lt;&gt;"",COUNTIFS(Evidence[KanitID],J127,Evidence[Kabul edilen ID],J127)=1,K127&lt;&gt;"",ISNUMBER(L127),L127&gt;0,M127&lt;&gt;"")),"Kanıt / test eksik",IF(NOT(AND(R127&lt;&gt;"",R127&lt;&gt;Q127,ISNUMBER(S127),S127&gt;0,S127&gt;=L127)),"Gözden geçirme eksik",IF(H127="Uygulanmaz","İnceleme tamam",IF(AND(OR(P127="Uygun",P127="Kısmen uygun",P127="Uygunsuz"),OR(N127="Uygun",N127="Kısmen uygun",N127="Uygunsuz"),OR(O127="Uygun",O127="Kısmen uygun",O127="Uygunsuz"),OR(P127&lt;&gt;"Uygun",AND(N127="Uygun",O127="Uygun")),OR(P127="Uygun",AND(T127&lt;&gt;"",COUNTIF(Findings[KayitliBulguID],T127)=1))),"İnceleme tamam","Sonuç / bulgu eksik"))))))))</x:f>
        <x:v>Kimlik / kapsam eksik</x:v>
      </x:c>
      <x:c r="W127" s="14" t="str">
        <x:f>IF(A127="","",IF(V127&lt;&gt;"İnceleme tamam","İncelenmedi",IF(H127="Uygulanmaz","Uygulanmaz",P127)))</x:f>
        <x:v>İncelenmedi</x:v>
      </x:c>
    </x:row>
    <x:row r="128" ht="35" customHeight="1">
      <x:c r="A128" s="12" t="str">
        <x:v>U-0123</x:v>
      </x:c>
      <x:c r="B128" s="12" t="str">
        <x:v>ESX-034</x:v>
      </x:c>
      <x:c r="C128" s="12" t="str">
        <x:v>VMware ESXi</x:v>
      </x:c>
      <x:c r="D128" s="12" t="str"/>
      <x:c r="E128" s="12" t="str"/>
      <x:c r="F128" s="12" t="str"/>
      <x:c r="G128" s="12" t="str"/>
      <x:c r="H128" s="12" t="str">
        <x:v>Belirlenecek</x:v>
      </x:c>
      <x:c r="I128" s="12" t="str"/>
      <x:c r="J128" s="12" t="str"/>
      <x:c r="K128" s="12" t="str"/>
      <x:c r="L128" s="13" t="str"/>
      <x:c r="M128" s="12" t="str"/>
      <x:c r="N128" s="12" t="str">
        <x:v>İncelenmedi</x:v>
      </x:c>
      <x:c r="O128" s="12" t="str">
        <x:v>İncelenmedi</x:v>
      </x:c>
      <x:c r="P128" s="12" t="str">
        <x:v>İncelenmedi</x:v>
      </x:c>
      <x:c r="Q128" s="12" t="str"/>
      <x:c r="R128" s="12" t="str"/>
      <x:c r="S128" s="13" t="str"/>
      <x:c r="T128" s="12" t="str"/>
      <x:c r="U128" s="12" t="str"/>
      <x:c r="V128" s="14" t="str">
        <x:f>IF(A128="","",IF(NOT(AND(COUNTIF(Exec[TestID],A128)=1,COUNTIF(Controls[ID],B128)=1,COUNTIFS(Scope[KapsamID],D128,Scope[OnayliKapsamID],D128,Scope[Ürün],C128)=1,OR(COUNTIFS(Controls[ID],B128,Controls[Ürün],C128)=1,COUNTIFS(Controls[ID],B128,Controls[Ürün],"MSP Genel")=1),E128&lt;&gt;"",F128&lt;&gt;"",G128&lt;&gt;"",I128&lt;&gt;"",Q128&lt;&gt;"")),"Kimlik / kapsam eksik",IF(NOT(OR(H128="Uygulanır",H128="Uygulanmaz")),"Uygulanabilirlik eksik",IF(AND(H128="Uygulanır",P128="Kanıt yetersiz",U128&lt;&gt;""),IF(AND(R128&lt;&gt;"",R128&lt;&gt;Q128,ISNUMBER(S128),S128&gt;0,S128&gt;=L128),"İnceleme tamam","Gözden geçirme eksik"),IF(NOT(AND(J128&lt;&gt;"",COUNTIFS(Evidence[KanitID],J128,Evidence[Kabul edilen ID],J128)=1,K128&lt;&gt;"",ISNUMBER(L128),L128&gt;0,M128&lt;&gt;"")),"Kanıt / test eksik",IF(NOT(AND(R128&lt;&gt;"",R128&lt;&gt;Q128,ISNUMBER(S128),S128&gt;0,S128&gt;=L128)),"Gözden geçirme eksik",IF(H128="Uygulanmaz","İnceleme tamam",IF(AND(OR(P128="Uygun",P128="Kısmen uygun",P128="Uygunsuz"),OR(N128="Uygun",N128="Kısmen uygun",N128="Uygunsuz"),OR(O128="Uygun",O128="Kısmen uygun",O128="Uygunsuz"),OR(P128&lt;&gt;"Uygun",AND(N128="Uygun",O128="Uygun")),OR(P128="Uygun",AND(T128&lt;&gt;"",COUNTIF(Findings[KayitliBulguID],T128)=1))),"İnceleme tamam","Sonuç / bulgu eksik"))))))))</x:f>
        <x:v>Kimlik / kapsam eksik</x:v>
      </x:c>
      <x:c r="W128" s="14" t="str">
        <x:f>IF(A128="","",IF(V128&lt;&gt;"İnceleme tamam","İncelenmedi",IF(H128="Uygulanmaz","Uygulanmaz",P128)))</x:f>
        <x:v>İncelenmedi</x:v>
      </x:c>
    </x:row>
    <x:row r="129" ht="35" customHeight="1">
      <x:c r="A129" s="12" t="str">
        <x:v>U-0124</x:v>
      </x:c>
      <x:c r="B129" s="12" t="str">
        <x:v>ESX-035</x:v>
      </x:c>
      <x:c r="C129" s="12" t="str">
        <x:v>VMware ESXi</x:v>
      </x:c>
      <x:c r="D129" s="12" t="str"/>
      <x:c r="E129" s="12" t="str"/>
      <x:c r="F129" s="12" t="str"/>
      <x:c r="G129" s="12" t="str"/>
      <x:c r="H129" s="12" t="str">
        <x:v>Belirlenecek</x:v>
      </x:c>
      <x:c r="I129" s="12" t="str"/>
      <x:c r="J129" s="12" t="str"/>
      <x:c r="K129" s="12" t="str"/>
      <x:c r="L129" s="13" t="str"/>
      <x:c r="M129" s="12" t="str"/>
      <x:c r="N129" s="12" t="str">
        <x:v>İncelenmedi</x:v>
      </x:c>
      <x:c r="O129" s="12" t="str">
        <x:v>İncelenmedi</x:v>
      </x:c>
      <x:c r="P129" s="12" t="str">
        <x:v>İncelenmedi</x:v>
      </x:c>
      <x:c r="Q129" s="12" t="str"/>
      <x:c r="R129" s="12" t="str"/>
      <x:c r="S129" s="13" t="str"/>
      <x:c r="T129" s="12" t="str"/>
      <x:c r="U129" s="12" t="str"/>
      <x:c r="V129" s="14" t="str">
        <x:f>IF(A129="","",IF(NOT(AND(COUNTIF(Exec[TestID],A129)=1,COUNTIF(Controls[ID],B129)=1,COUNTIFS(Scope[KapsamID],D129,Scope[OnayliKapsamID],D129,Scope[Ürün],C129)=1,OR(COUNTIFS(Controls[ID],B129,Controls[Ürün],C129)=1,COUNTIFS(Controls[ID],B129,Controls[Ürün],"MSP Genel")=1),E129&lt;&gt;"",F129&lt;&gt;"",G129&lt;&gt;"",I129&lt;&gt;"",Q129&lt;&gt;"")),"Kimlik / kapsam eksik",IF(NOT(OR(H129="Uygulanır",H129="Uygulanmaz")),"Uygulanabilirlik eksik",IF(AND(H129="Uygulanır",P129="Kanıt yetersiz",U129&lt;&gt;""),IF(AND(R129&lt;&gt;"",R129&lt;&gt;Q129,ISNUMBER(S129),S129&gt;0,S129&gt;=L129),"İnceleme tamam","Gözden geçirme eksik"),IF(NOT(AND(J129&lt;&gt;"",COUNTIFS(Evidence[KanitID],J129,Evidence[Kabul edilen ID],J129)=1,K129&lt;&gt;"",ISNUMBER(L129),L129&gt;0,M129&lt;&gt;"")),"Kanıt / test eksik",IF(NOT(AND(R129&lt;&gt;"",R129&lt;&gt;Q129,ISNUMBER(S129),S129&gt;0,S129&gt;=L129)),"Gözden geçirme eksik",IF(H129="Uygulanmaz","İnceleme tamam",IF(AND(OR(P129="Uygun",P129="Kısmen uygun",P129="Uygunsuz"),OR(N129="Uygun",N129="Kısmen uygun",N129="Uygunsuz"),OR(O129="Uygun",O129="Kısmen uygun",O129="Uygunsuz"),OR(P129&lt;&gt;"Uygun",AND(N129="Uygun",O129="Uygun")),OR(P129="Uygun",AND(T129&lt;&gt;"",COUNTIF(Findings[KayitliBulguID],T129)=1))),"İnceleme tamam","Sonuç / bulgu eksik"))))))))</x:f>
        <x:v>Kimlik / kapsam eksik</x:v>
      </x:c>
      <x:c r="W129" s="14" t="str">
        <x:f>IF(A129="","",IF(V129&lt;&gt;"İnceleme tamam","İncelenmedi",IF(H129="Uygulanmaz","Uygulanmaz",P129)))</x:f>
        <x:v>İncelenmedi</x:v>
      </x:c>
    </x:row>
    <x:row r="130" ht="35" customHeight="1">
      <x:c r="A130" s="12" t="str">
        <x:v>U-0125</x:v>
      </x:c>
      <x:c r="B130" s="12" t="str">
        <x:v>ESX-036</x:v>
      </x:c>
      <x:c r="C130" s="12" t="str">
        <x:v>VMware ESXi</x:v>
      </x:c>
      <x:c r="D130" s="12" t="str"/>
      <x:c r="E130" s="12" t="str"/>
      <x:c r="F130" s="12" t="str"/>
      <x:c r="G130" s="12" t="str"/>
      <x:c r="H130" s="12" t="str">
        <x:v>Belirlenecek</x:v>
      </x:c>
      <x:c r="I130" s="12" t="str"/>
      <x:c r="J130" s="12" t="str"/>
      <x:c r="K130" s="12" t="str"/>
      <x:c r="L130" s="13" t="str"/>
      <x:c r="M130" s="12" t="str"/>
      <x:c r="N130" s="12" t="str">
        <x:v>İncelenmedi</x:v>
      </x:c>
      <x:c r="O130" s="12" t="str">
        <x:v>İncelenmedi</x:v>
      </x:c>
      <x:c r="P130" s="12" t="str">
        <x:v>İncelenmedi</x:v>
      </x:c>
      <x:c r="Q130" s="12" t="str"/>
      <x:c r="R130" s="12" t="str"/>
      <x:c r="S130" s="13" t="str"/>
      <x:c r="T130" s="12" t="str"/>
      <x:c r="U130" s="12" t="str"/>
      <x:c r="V130" s="14" t="str">
        <x:f>IF(A130="","",IF(NOT(AND(COUNTIF(Exec[TestID],A130)=1,COUNTIF(Controls[ID],B130)=1,COUNTIFS(Scope[KapsamID],D130,Scope[OnayliKapsamID],D130,Scope[Ürün],C130)=1,OR(COUNTIFS(Controls[ID],B130,Controls[Ürün],C130)=1,COUNTIFS(Controls[ID],B130,Controls[Ürün],"MSP Genel")=1),E130&lt;&gt;"",F130&lt;&gt;"",G130&lt;&gt;"",I130&lt;&gt;"",Q130&lt;&gt;"")),"Kimlik / kapsam eksik",IF(NOT(OR(H130="Uygulanır",H130="Uygulanmaz")),"Uygulanabilirlik eksik",IF(AND(H130="Uygulanır",P130="Kanıt yetersiz",U130&lt;&gt;""),IF(AND(R130&lt;&gt;"",R130&lt;&gt;Q130,ISNUMBER(S130),S130&gt;0,S130&gt;=L130),"İnceleme tamam","Gözden geçirme eksik"),IF(NOT(AND(J130&lt;&gt;"",COUNTIFS(Evidence[KanitID],J130,Evidence[Kabul edilen ID],J130)=1,K130&lt;&gt;"",ISNUMBER(L130),L130&gt;0,M130&lt;&gt;"")),"Kanıt / test eksik",IF(NOT(AND(R130&lt;&gt;"",R130&lt;&gt;Q130,ISNUMBER(S130),S130&gt;0,S130&gt;=L130)),"Gözden geçirme eksik",IF(H130="Uygulanmaz","İnceleme tamam",IF(AND(OR(P130="Uygun",P130="Kısmen uygun",P130="Uygunsuz"),OR(N130="Uygun",N130="Kısmen uygun",N130="Uygunsuz"),OR(O130="Uygun",O130="Kısmen uygun",O130="Uygunsuz"),OR(P130&lt;&gt;"Uygun",AND(N130="Uygun",O130="Uygun")),OR(P130="Uygun",AND(T130&lt;&gt;"",COUNTIF(Findings[KayitliBulguID],T130)=1))),"İnceleme tamam","Sonuç / bulgu eksik"))))))))</x:f>
        <x:v>Kimlik / kapsam eksik</x:v>
      </x:c>
      <x:c r="W130" s="14" t="str">
        <x:f>IF(A130="","",IF(V130&lt;&gt;"İnceleme tamam","İncelenmedi",IF(H130="Uygulanmaz","Uygulanmaz",P130)))</x:f>
        <x:v>İncelenmedi</x:v>
      </x:c>
    </x:row>
    <x:row r="131" ht="35" customHeight="1">
      <x:c r="A131" s="12" t="str">
        <x:v>U-0126</x:v>
      </x:c>
      <x:c r="B131" s="12" t="str">
        <x:v>ESX-037</x:v>
      </x:c>
      <x:c r="C131" s="12" t="str">
        <x:v>VMware ESXi</x:v>
      </x:c>
      <x:c r="D131" s="12" t="str"/>
      <x:c r="E131" s="12" t="str"/>
      <x:c r="F131" s="12" t="str"/>
      <x:c r="G131" s="12" t="str"/>
      <x:c r="H131" s="12" t="str">
        <x:v>Belirlenecek</x:v>
      </x:c>
      <x:c r="I131" s="12" t="str"/>
      <x:c r="J131" s="12" t="str"/>
      <x:c r="K131" s="12" t="str"/>
      <x:c r="L131" s="13" t="str"/>
      <x:c r="M131" s="12" t="str"/>
      <x:c r="N131" s="12" t="str">
        <x:v>İncelenmedi</x:v>
      </x:c>
      <x:c r="O131" s="12" t="str">
        <x:v>İncelenmedi</x:v>
      </x:c>
      <x:c r="P131" s="12" t="str">
        <x:v>İncelenmedi</x:v>
      </x:c>
      <x:c r="Q131" s="12" t="str"/>
      <x:c r="R131" s="12" t="str"/>
      <x:c r="S131" s="13" t="str"/>
      <x:c r="T131" s="12" t="str"/>
      <x:c r="U131" s="12" t="str"/>
      <x:c r="V131" s="14" t="str">
        <x:f>IF(A131="","",IF(NOT(AND(COUNTIF(Exec[TestID],A131)=1,COUNTIF(Controls[ID],B131)=1,COUNTIFS(Scope[KapsamID],D131,Scope[OnayliKapsamID],D131,Scope[Ürün],C131)=1,OR(COUNTIFS(Controls[ID],B131,Controls[Ürün],C131)=1,COUNTIFS(Controls[ID],B131,Controls[Ürün],"MSP Genel")=1),E131&lt;&gt;"",F131&lt;&gt;"",G131&lt;&gt;"",I131&lt;&gt;"",Q131&lt;&gt;"")),"Kimlik / kapsam eksik",IF(NOT(OR(H131="Uygulanır",H131="Uygulanmaz")),"Uygulanabilirlik eksik",IF(AND(H131="Uygulanır",P131="Kanıt yetersiz",U131&lt;&gt;""),IF(AND(R131&lt;&gt;"",R131&lt;&gt;Q131,ISNUMBER(S131),S131&gt;0,S131&gt;=L131),"İnceleme tamam","Gözden geçirme eksik"),IF(NOT(AND(J131&lt;&gt;"",COUNTIFS(Evidence[KanitID],J131,Evidence[Kabul edilen ID],J131)=1,K131&lt;&gt;"",ISNUMBER(L131),L131&gt;0,M131&lt;&gt;"")),"Kanıt / test eksik",IF(NOT(AND(R131&lt;&gt;"",R131&lt;&gt;Q131,ISNUMBER(S131),S131&gt;0,S131&gt;=L131)),"Gözden geçirme eksik",IF(H131="Uygulanmaz","İnceleme tamam",IF(AND(OR(P131="Uygun",P131="Kısmen uygun",P131="Uygunsuz"),OR(N131="Uygun",N131="Kısmen uygun",N131="Uygunsuz"),OR(O131="Uygun",O131="Kısmen uygun",O131="Uygunsuz"),OR(P131&lt;&gt;"Uygun",AND(N131="Uygun",O131="Uygun")),OR(P131="Uygun",AND(T131&lt;&gt;"",COUNTIF(Findings[KayitliBulguID],T131)=1))),"İnceleme tamam","Sonuç / bulgu eksik"))))))))</x:f>
        <x:v>Kimlik / kapsam eksik</x:v>
      </x:c>
      <x:c r="W131" s="14" t="str">
        <x:f>IF(A131="","",IF(V131&lt;&gt;"İnceleme tamam","İncelenmedi",IF(H131="Uygulanmaz","Uygulanmaz",P131)))</x:f>
        <x:v>İncelenmedi</x:v>
      </x:c>
    </x:row>
    <x:row r="132" ht="35" customHeight="1">
      <x:c r="A132" s="12" t="str">
        <x:v>U-0127</x:v>
      </x:c>
      <x:c r="B132" s="12" t="str">
        <x:v>ESX-038</x:v>
      </x:c>
      <x:c r="C132" s="12" t="str">
        <x:v>VMware ESXi</x:v>
      </x:c>
      <x:c r="D132" s="12" t="str"/>
      <x:c r="E132" s="12" t="str"/>
      <x:c r="F132" s="12" t="str"/>
      <x:c r="G132" s="12" t="str"/>
      <x:c r="H132" s="12" t="str">
        <x:v>Belirlenecek</x:v>
      </x:c>
      <x:c r="I132" s="12" t="str"/>
      <x:c r="J132" s="12" t="str"/>
      <x:c r="K132" s="12" t="str"/>
      <x:c r="L132" s="13" t="str"/>
      <x:c r="M132" s="12" t="str"/>
      <x:c r="N132" s="12" t="str">
        <x:v>İncelenmedi</x:v>
      </x:c>
      <x:c r="O132" s="12" t="str">
        <x:v>İncelenmedi</x:v>
      </x:c>
      <x:c r="P132" s="12" t="str">
        <x:v>İncelenmedi</x:v>
      </x:c>
      <x:c r="Q132" s="12" t="str"/>
      <x:c r="R132" s="12" t="str"/>
      <x:c r="S132" s="13" t="str"/>
      <x:c r="T132" s="12" t="str"/>
      <x:c r="U132" s="12" t="str"/>
      <x:c r="V132" s="14" t="str">
        <x:f>IF(A132="","",IF(NOT(AND(COUNTIF(Exec[TestID],A132)=1,COUNTIF(Controls[ID],B132)=1,COUNTIFS(Scope[KapsamID],D132,Scope[OnayliKapsamID],D132,Scope[Ürün],C132)=1,OR(COUNTIFS(Controls[ID],B132,Controls[Ürün],C132)=1,COUNTIFS(Controls[ID],B132,Controls[Ürün],"MSP Genel")=1),E132&lt;&gt;"",F132&lt;&gt;"",G132&lt;&gt;"",I132&lt;&gt;"",Q132&lt;&gt;"")),"Kimlik / kapsam eksik",IF(NOT(OR(H132="Uygulanır",H132="Uygulanmaz")),"Uygulanabilirlik eksik",IF(AND(H132="Uygulanır",P132="Kanıt yetersiz",U132&lt;&gt;""),IF(AND(R132&lt;&gt;"",R132&lt;&gt;Q132,ISNUMBER(S132),S132&gt;0,S132&gt;=L132),"İnceleme tamam","Gözden geçirme eksik"),IF(NOT(AND(J132&lt;&gt;"",COUNTIFS(Evidence[KanitID],J132,Evidence[Kabul edilen ID],J132)=1,K132&lt;&gt;"",ISNUMBER(L132),L132&gt;0,M132&lt;&gt;"")),"Kanıt / test eksik",IF(NOT(AND(R132&lt;&gt;"",R132&lt;&gt;Q132,ISNUMBER(S132),S132&gt;0,S132&gt;=L132)),"Gözden geçirme eksik",IF(H132="Uygulanmaz","İnceleme tamam",IF(AND(OR(P132="Uygun",P132="Kısmen uygun",P132="Uygunsuz"),OR(N132="Uygun",N132="Kısmen uygun",N132="Uygunsuz"),OR(O132="Uygun",O132="Kısmen uygun",O132="Uygunsuz"),OR(P132&lt;&gt;"Uygun",AND(N132="Uygun",O132="Uygun")),OR(P132="Uygun",AND(T132&lt;&gt;"",COUNTIF(Findings[KayitliBulguID],T132)=1))),"İnceleme tamam","Sonuç / bulgu eksik"))))))))</x:f>
        <x:v>Kimlik / kapsam eksik</x:v>
      </x:c>
      <x:c r="W132" s="14" t="str">
        <x:f>IF(A132="","",IF(V132&lt;&gt;"İnceleme tamam","İncelenmedi",IF(H132="Uygulanmaz","Uygulanmaz",P132)))</x:f>
        <x:v>İncelenmedi</x:v>
      </x:c>
    </x:row>
    <x:row r="133" ht="35" customHeight="1">
      <x:c r="A133" s="12" t="str">
        <x:v>U-0128</x:v>
      </x:c>
      <x:c r="B133" s="12" t="str">
        <x:v>ESX-039</x:v>
      </x:c>
      <x:c r="C133" s="12" t="str">
        <x:v>VMware ESXi</x:v>
      </x:c>
      <x:c r="D133" s="12" t="str"/>
      <x:c r="E133" s="12" t="str"/>
      <x:c r="F133" s="12" t="str"/>
      <x:c r="G133" s="12" t="str"/>
      <x:c r="H133" s="12" t="str">
        <x:v>Belirlenecek</x:v>
      </x:c>
      <x:c r="I133" s="12" t="str"/>
      <x:c r="J133" s="12" t="str"/>
      <x:c r="K133" s="12" t="str"/>
      <x:c r="L133" s="13" t="str"/>
      <x:c r="M133" s="12" t="str"/>
      <x:c r="N133" s="12" t="str">
        <x:v>İncelenmedi</x:v>
      </x:c>
      <x:c r="O133" s="12" t="str">
        <x:v>İncelenmedi</x:v>
      </x:c>
      <x:c r="P133" s="12" t="str">
        <x:v>İncelenmedi</x:v>
      </x:c>
      <x:c r="Q133" s="12" t="str"/>
      <x:c r="R133" s="12" t="str"/>
      <x:c r="S133" s="13" t="str"/>
      <x:c r="T133" s="12" t="str"/>
      <x:c r="U133" s="12" t="str"/>
      <x:c r="V133" s="14" t="str">
        <x:f>IF(A133="","",IF(NOT(AND(COUNTIF(Exec[TestID],A133)=1,COUNTIF(Controls[ID],B133)=1,COUNTIFS(Scope[KapsamID],D133,Scope[OnayliKapsamID],D133,Scope[Ürün],C133)=1,OR(COUNTIFS(Controls[ID],B133,Controls[Ürün],C133)=1,COUNTIFS(Controls[ID],B133,Controls[Ürün],"MSP Genel")=1),E133&lt;&gt;"",F133&lt;&gt;"",G133&lt;&gt;"",I133&lt;&gt;"",Q133&lt;&gt;"")),"Kimlik / kapsam eksik",IF(NOT(OR(H133="Uygulanır",H133="Uygulanmaz")),"Uygulanabilirlik eksik",IF(AND(H133="Uygulanır",P133="Kanıt yetersiz",U133&lt;&gt;""),IF(AND(R133&lt;&gt;"",R133&lt;&gt;Q133,ISNUMBER(S133),S133&gt;0,S133&gt;=L133),"İnceleme tamam","Gözden geçirme eksik"),IF(NOT(AND(J133&lt;&gt;"",COUNTIFS(Evidence[KanitID],J133,Evidence[Kabul edilen ID],J133)=1,K133&lt;&gt;"",ISNUMBER(L133),L133&gt;0,M133&lt;&gt;"")),"Kanıt / test eksik",IF(NOT(AND(R133&lt;&gt;"",R133&lt;&gt;Q133,ISNUMBER(S133),S133&gt;0,S133&gt;=L133)),"Gözden geçirme eksik",IF(H133="Uygulanmaz","İnceleme tamam",IF(AND(OR(P133="Uygun",P133="Kısmen uygun",P133="Uygunsuz"),OR(N133="Uygun",N133="Kısmen uygun",N133="Uygunsuz"),OR(O133="Uygun",O133="Kısmen uygun",O133="Uygunsuz"),OR(P133&lt;&gt;"Uygun",AND(N133="Uygun",O133="Uygun")),OR(P133="Uygun",AND(T133&lt;&gt;"",COUNTIF(Findings[KayitliBulguID],T133)=1))),"İnceleme tamam","Sonuç / bulgu eksik"))))))))</x:f>
        <x:v>Kimlik / kapsam eksik</x:v>
      </x:c>
      <x:c r="W133" s="14" t="str">
        <x:f>IF(A133="","",IF(V133&lt;&gt;"İnceleme tamam","İncelenmedi",IF(H133="Uygulanmaz","Uygulanmaz",P133)))</x:f>
        <x:v>İncelenmedi</x:v>
      </x:c>
    </x:row>
    <x:row r="134" ht="35" customHeight="1">
      <x:c r="A134" s="12" t="str">
        <x:v>U-0129</x:v>
      </x:c>
      <x:c r="B134" s="12" t="str">
        <x:v>ESX-040</x:v>
      </x:c>
      <x:c r="C134" s="12" t="str">
        <x:v>VMware ESXi</x:v>
      </x:c>
      <x:c r="D134" s="12" t="str"/>
      <x:c r="E134" s="12" t="str"/>
      <x:c r="F134" s="12" t="str"/>
      <x:c r="G134" s="12" t="str"/>
      <x:c r="H134" s="12" t="str">
        <x:v>Belirlenecek</x:v>
      </x:c>
      <x:c r="I134" s="12" t="str"/>
      <x:c r="J134" s="12" t="str"/>
      <x:c r="K134" s="12" t="str"/>
      <x:c r="L134" s="13" t="str"/>
      <x:c r="M134" s="12" t="str"/>
      <x:c r="N134" s="12" t="str">
        <x:v>İncelenmedi</x:v>
      </x:c>
      <x:c r="O134" s="12" t="str">
        <x:v>İncelenmedi</x:v>
      </x:c>
      <x:c r="P134" s="12" t="str">
        <x:v>İncelenmedi</x:v>
      </x:c>
      <x:c r="Q134" s="12" t="str"/>
      <x:c r="R134" s="12" t="str"/>
      <x:c r="S134" s="13" t="str"/>
      <x:c r="T134" s="12" t="str"/>
      <x:c r="U134" s="12" t="str"/>
      <x:c r="V134" s="14" t="str">
        <x:f>IF(A134="","",IF(NOT(AND(COUNTIF(Exec[TestID],A134)=1,COUNTIF(Controls[ID],B134)=1,COUNTIFS(Scope[KapsamID],D134,Scope[OnayliKapsamID],D134,Scope[Ürün],C134)=1,OR(COUNTIFS(Controls[ID],B134,Controls[Ürün],C134)=1,COUNTIFS(Controls[ID],B134,Controls[Ürün],"MSP Genel")=1),E134&lt;&gt;"",F134&lt;&gt;"",G134&lt;&gt;"",I134&lt;&gt;"",Q134&lt;&gt;"")),"Kimlik / kapsam eksik",IF(NOT(OR(H134="Uygulanır",H134="Uygulanmaz")),"Uygulanabilirlik eksik",IF(AND(H134="Uygulanır",P134="Kanıt yetersiz",U134&lt;&gt;""),IF(AND(R134&lt;&gt;"",R134&lt;&gt;Q134,ISNUMBER(S134),S134&gt;0,S134&gt;=L134),"İnceleme tamam","Gözden geçirme eksik"),IF(NOT(AND(J134&lt;&gt;"",COUNTIFS(Evidence[KanitID],J134,Evidence[Kabul edilen ID],J134)=1,K134&lt;&gt;"",ISNUMBER(L134),L134&gt;0,M134&lt;&gt;"")),"Kanıt / test eksik",IF(NOT(AND(R134&lt;&gt;"",R134&lt;&gt;Q134,ISNUMBER(S134),S134&gt;0,S134&gt;=L134)),"Gözden geçirme eksik",IF(H134="Uygulanmaz","İnceleme tamam",IF(AND(OR(P134="Uygun",P134="Kısmen uygun",P134="Uygunsuz"),OR(N134="Uygun",N134="Kısmen uygun",N134="Uygunsuz"),OR(O134="Uygun",O134="Kısmen uygun",O134="Uygunsuz"),OR(P134&lt;&gt;"Uygun",AND(N134="Uygun",O134="Uygun")),OR(P134="Uygun",AND(T134&lt;&gt;"",COUNTIF(Findings[KayitliBulguID],T134)=1))),"İnceleme tamam","Sonuç / bulgu eksik"))))))))</x:f>
        <x:v>Kimlik / kapsam eksik</x:v>
      </x:c>
      <x:c r="W134" s="14" t="str">
        <x:f>IF(A134="","",IF(V134&lt;&gt;"İnceleme tamam","İncelenmedi",IF(H134="Uygulanmaz","Uygulanmaz",P134)))</x:f>
        <x:v>İncelenmedi</x:v>
      </x:c>
    </x:row>
    <x:row r="135" ht="35" customHeight="1">
      <x:c r="A135" s="12" t="str">
        <x:v>U-0130</x:v>
      </x:c>
      <x:c r="B135" s="12" t="str">
        <x:v>ESX-041</x:v>
      </x:c>
      <x:c r="C135" s="12" t="str">
        <x:v>VMware ESXi</x:v>
      </x:c>
      <x:c r="D135" s="12" t="str"/>
      <x:c r="E135" s="12" t="str"/>
      <x:c r="F135" s="12" t="str"/>
      <x:c r="G135" s="12" t="str"/>
      <x:c r="H135" s="12" t="str">
        <x:v>Belirlenecek</x:v>
      </x:c>
      <x:c r="I135" s="12" t="str"/>
      <x:c r="J135" s="12" t="str"/>
      <x:c r="K135" s="12" t="str"/>
      <x:c r="L135" s="13" t="str"/>
      <x:c r="M135" s="12" t="str"/>
      <x:c r="N135" s="12" t="str">
        <x:v>İncelenmedi</x:v>
      </x:c>
      <x:c r="O135" s="12" t="str">
        <x:v>İncelenmedi</x:v>
      </x:c>
      <x:c r="P135" s="12" t="str">
        <x:v>İncelenmedi</x:v>
      </x:c>
      <x:c r="Q135" s="12" t="str"/>
      <x:c r="R135" s="12" t="str"/>
      <x:c r="S135" s="13" t="str"/>
      <x:c r="T135" s="12" t="str"/>
      <x:c r="U135" s="12" t="str"/>
      <x:c r="V135" s="14" t="str">
        <x:f>IF(A135="","",IF(NOT(AND(COUNTIF(Exec[TestID],A135)=1,COUNTIF(Controls[ID],B135)=1,COUNTIFS(Scope[KapsamID],D135,Scope[OnayliKapsamID],D135,Scope[Ürün],C135)=1,OR(COUNTIFS(Controls[ID],B135,Controls[Ürün],C135)=1,COUNTIFS(Controls[ID],B135,Controls[Ürün],"MSP Genel")=1),E135&lt;&gt;"",F135&lt;&gt;"",G135&lt;&gt;"",I135&lt;&gt;"",Q135&lt;&gt;"")),"Kimlik / kapsam eksik",IF(NOT(OR(H135="Uygulanır",H135="Uygulanmaz")),"Uygulanabilirlik eksik",IF(AND(H135="Uygulanır",P135="Kanıt yetersiz",U135&lt;&gt;""),IF(AND(R135&lt;&gt;"",R135&lt;&gt;Q135,ISNUMBER(S135),S135&gt;0,S135&gt;=L135),"İnceleme tamam","Gözden geçirme eksik"),IF(NOT(AND(J135&lt;&gt;"",COUNTIFS(Evidence[KanitID],J135,Evidence[Kabul edilen ID],J135)=1,K135&lt;&gt;"",ISNUMBER(L135),L135&gt;0,M135&lt;&gt;"")),"Kanıt / test eksik",IF(NOT(AND(R135&lt;&gt;"",R135&lt;&gt;Q135,ISNUMBER(S135),S135&gt;0,S135&gt;=L135)),"Gözden geçirme eksik",IF(H135="Uygulanmaz","İnceleme tamam",IF(AND(OR(P135="Uygun",P135="Kısmen uygun",P135="Uygunsuz"),OR(N135="Uygun",N135="Kısmen uygun",N135="Uygunsuz"),OR(O135="Uygun",O135="Kısmen uygun",O135="Uygunsuz"),OR(P135&lt;&gt;"Uygun",AND(N135="Uygun",O135="Uygun")),OR(P135="Uygun",AND(T135&lt;&gt;"",COUNTIF(Findings[KayitliBulguID],T135)=1))),"İnceleme tamam","Sonuç / bulgu eksik"))))))))</x:f>
        <x:v>Kimlik / kapsam eksik</x:v>
      </x:c>
      <x:c r="W135" s="14" t="str">
        <x:f>IF(A135="","",IF(V135&lt;&gt;"İnceleme tamam","İncelenmedi",IF(H135="Uygulanmaz","Uygulanmaz",P135)))</x:f>
        <x:v>İncelenmedi</x:v>
      </x:c>
    </x:row>
    <x:row r="136" ht="35" customHeight="1">
      <x:c r="A136" s="12" t="str">
        <x:v>U-0131</x:v>
      </x:c>
      <x:c r="B136" s="12" t="str">
        <x:v>ESX-042</x:v>
      </x:c>
      <x:c r="C136" s="12" t="str">
        <x:v>VMware ESXi</x:v>
      </x:c>
      <x:c r="D136" s="12" t="str"/>
      <x:c r="E136" s="12" t="str"/>
      <x:c r="F136" s="12" t="str"/>
      <x:c r="G136" s="12" t="str"/>
      <x:c r="H136" s="12" t="str">
        <x:v>Belirlenecek</x:v>
      </x:c>
      <x:c r="I136" s="12" t="str"/>
      <x:c r="J136" s="12" t="str"/>
      <x:c r="K136" s="12" t="str"/>
      <x:c r="L136" s="13" t="str"/>
      <x:c r="M136" s="12" t="str"/>
      <x:c r="N136" s="12" t="str">
        <x:v>İncelenmedi</x:v>
      </x:c>
      <x:c r="O136" s="12" t="str">
        <x:v>İncelenmedi</x:v>
      </x:c>
      <x:c r="P136" s="12" t="str">
        <x:v>İncelenmedi</x:v>
      </x:c>
      <x:c r="Q136" s="12" t="str"/>
      <x:c r="R136" s="12" t="str"/>
      <x:c r="S136" s="13" t="str"/>
      <x:c r="T136" s="12" t="str"/>
      <x:c r="U136" s="12" t="str"/>
      <x:c r="V136" s="14" t="str">
        <x:f>IF(A136="","",IF(NOT(AND(COUNTIF(Exec[TestID],A136)=1,COUNTIF(Controls[ID],B136)=1,COUNTIFS(Scope[KapsamID],D136,Scope[OnayliKapsamID],D136,Scope[Ürün],C136)=1,OR(COUNTIFS(Controls[ID],B136,Controls[Ürün],C136)=1,COUNTIFS(Controls[ID],B136,Controls[Ürün],"MSP Genel")=1),E136&lt;&gt;"",F136&lt;&gt;"",G136&lt;&gt;"",I136&lt;&gt;"",Q136&lt;&gt;"")),"Kimlik / kapsam eksik",IF(NOT(OR(H136="Uygulanır",H136="Uygulanmaz")),"Uygulanabilirlik eksik",IF(AND(H136="Uygulanır",P136="Kanıt yetersiz",U136&lt;&gt;""),IF(AND(R136&lt;&gt;"",R136&lt;&gt;Q136,ISNUMBER(S136),S136&gt;0,S136&gt;=L136),"İnceleme tamam","Gözden geçirme eksik"),IF(NOT(AND(J136&lt;&gt;"",COUNTIFS(Evidence[KanitID],J136,Evidence[Kabul edilen ID],J136)=1,K136&lt;&gt;"",ISNUMBER(L136),L136&gt;0,M136&lt;&gt;"")),"Kanıt / test eksik",IF(NOT(AND(R136&lt;&gt;"",R136&lt;&gt;Q136,ISNUMBER(S136),S136&gt;0,S136&gt;=L136)),"Gözden geçirme eksik",IF(H136="Uygulanmaz","İnceleme tamam",IF(AND(OR(P136="Uygun",P136="Kısmen uygun",P136="Uygunsuz"),OR(N136="Uygun",N136="Kısmen uygun",N136="Uygunsuz"),OR(O136="Uygun",O136="Kısmen uygun",O136="Uygunsuz"),OR(P136&lt;&gt;"Uygun",AND(N136="Uygun",O136="Uygun")),OR(P136="Uygun",AND(T136&lt;&gt;"",COUNTIF(Findings[KayitliBulguID],T136)=1))),"İnceleme tamam","Sonuç / bulgu eksik"))))))))</x:f>
        <x:v>Kimlik / kapsam eksik</x:v>
      </x:c>
      <x:c r="W136" s="14" t="str">
        <x:f>IF(A136="","",IF(V136&lt;&gt;"İnceleme tamam","İncelenmedi",IF(H136="Uygulanmaz","Uygulanmaz",P136)))</x:f>
        <x:v>İncelenmedi</x:v>
      </x:c>
    </x:row>
    <x:row r="137" ht="35" customHeight="1">
      <x:c r="A137" s="12" t="str">
        <x:v>U-0132</x:v>
      </x:c>
      <x:c r="B137" s="12" t="str">
        <x:v>ESX-043</x:v>
      </x:c>
      <x:c r="C137" s="12" t="str">
        <x:v>VMware ESXi</x:v>
      </x:c>
      <x:c r="D137" s="12" t="str"/>
      <x:c r="E137" s="12" t="str"/>
      <x:c r="F137" s="12" t="str"/>
      <x:c r="G137" s="12" t="str"/>
      <x:c r="H137" s="12" t="str">
        <x:v>Belirlenecek</x:v>
      </x:c>
      <x:c r="I137" s="12" t="str"/>
      <x:c r="J137" s="12" t="str"/>
      <x:c r="K137" s="12" t="str"/>
      <x:c r="L137" s="13" t="str"/>
      <x:c r="M137" s="12" t="str"/>
      <x:c r="N137" s="12" t="str">
        <x:v>İncelenmedi</x:v>
      </x:c>
      <x:c r="O137" s="12" t="str">
        <x:v>İncelenmedi</x:v>
      </x:c>
      <x:c r="P137" s="12" t="str">
        <x:v>İncelenmedi</x:v>
      </x:c>
      <x:c r="Q137" s="12" t="str"/>
      <x:c r="R137" s="12" t="str"/>
      <x:c r="S137" s="13" t="str"/>
      <x:c r="T137" s="12" t="str"/>
      <x:c r="U137" s="12" t="str"/>
      <x:c r="V137" s="14" t="str">
        <x:f>IF(A137="","",IF(NOT(AND(COUNTIF(Exec[TestID],A137)=1,COUNTIF(Controls[ID],B137)=1,COUNTIFS(Scope[KapsamID],D137,Scope[OnayliKapsamID],D137,Scope[Ürün],C137)=1,OR(COUNTIFS(Controls[ID],B137,Controls[Ürün],C137)=1,COUNTIFS(Controls[ID],B137,Controls[Ürün],"MSP Genel")=1),E137&lt;&gt;"",F137&lt;&gt;"",G137&lt;&gt;"",I137&lt;&gt;"",Q137&lt;&gt;"")),"Kimlik / kapsam eksik",IF(NOT(OR(H137="Uygulanır",H137="Uygulanmaz")),"Uygulanabilirlik eksik",IF(AND(H137="Uygulanır",P137="Kanıt yetersiz",U137&lt;&gt;""),IF(AND(R137&lt;&gt;"",R137&lt;&gt;Q137,ISNUMBER(S137),S137&gt;0,S137&gt;=L137),"İnceleme tamam","Gözden geçirme eksik"),IF(NOT(AND(J137&lt;&gt;"",COUNTIFS(Evidence[KanitID],J137,Evidence[Kabul edilen ID],J137)=1,K137&lt;&gt;"",ISNUMBER(L137),L137&gt;0,M137&lt;&gt;"")),"Kanıt / test eksik",IF(NOT(AND(R137&lt;&gt;"",R137&lt;&gt;Q137,ISNUMBER(S137),S137&gt;0,S137&gt;=L137)),"Gözden geçirme eksik",IF(H137="Uygulanmaz","İnceleme tamam",IF(AND(OR(P137="Uygun",P137="Kısmen uygun",P137="Uygunsuz"),OR(N137="Uygun",N137="Kısmen uygun",N137="Uygunsuz"),OR(O137="Uygun",O137="Kısmen uygun",O137="Uygunsuz"),OR(P137&lt;&gt;"Uygun",AND(N137="Uygun",O137="Uygun")),OR(P137="Uygun",AND(T137&lt;&gt;"",COUNTIF(Findings[KayitliBulguID],T137)=1))),"İnceleme tamam","Sonuç / bulgu eksik"))))))))</x:f>
        <x:v>Kimlik / kapsam eksik</x:v>
      </x:c>
      <x:c r="W137" s="14" t="str">
        <x:f>IF(A137="","",IF(V137&lt;&gt;"İnceleme tamam","İncelenmedi",IF(H137="Uygulanmaz","Uygulanmaz",P137)))</x:f>
        <x:v>İncelenmedi</x:v>
      </x:c>
    </x:row>
    <x:row r="138" ht="35" customHeight="1">
      <x:c r="A138" s="12" t="str">
        <x:v>U-0133</x:v>
      </x:c>
      <x:c r="B138" s="12" t="str">
        <x:v>ESX-044</x:v>
      </x:c>
      <x:c r="C138" s="12" t="str">
        <x:v>VMware ESXi</x:v>
      </x:c>
      <x:c r="D138" s="12" t="str"/>
      <x:c r="E138" s="12" t="str"/>
      <x:c r="F138" s="12" t="str"/>
      <x:c r="G138" s="12" t="str"/>
      <x:c r="H138" s="12" t="str">
        <x:v>Belirlenecek</x:v>
      </x:c>
      <x:c r="I138" s="12" t="str"/>
      <x:c r="J138" s="12" t="str"/>
      <x:c r="K138" s="12" t="str"/>
      <x:c r="L138" s="13" t="str"/>
      <x:c r="M138" s="12" t="str"/>
      <x:c r="N138" s="12" t="str">
        <x:v>İncelenmedi</x:v>
      </x:c>
      <x:c r="O138" s="12" t="str">
        <x:v>İncelenmedi</x:v>
      </x:c>
      <x:c r="P138" s="12" t="str">
        <x:v>İncelenmedi</x:v>
      </x:c>
      <x:c r="Q138" s="12" t="str"/>
      <x:c r="R138" s="12" t="str"/>
      <x:c r="S138" s="13" t="str"/>
      <x:c r="T138" s="12" t="str"/>
      <x:c r="U138" s="12" t="str"/>
      <x:c r="V138" s="14" t="str">
        <x:f>IF(A138="","",IF(NOT(AND(COUNTIF(Exec[TestID],A138)=1,COUNTIF(Controls[ID],B138)=1,COUNTIFS(Scope[KapsamID],D138,Scope[OnayliKapsamID],D138,Scope[Ürün],C138)=1,OR(COUNTIFS(Controls[ID],B138,Controls[Ürün],C138)=1,COUNTIFS(Controls[ID],B138,Controls[Ürün],"MSP Genel")=1),E138&lt;&gt;"",F138&lt;&gt;"",G138&lt;&gt;"",I138&lt;&gt;"",Q138&lt;&gt;"")),"Kimlik / kapsam eksik",IF(NOT(OR(H138="Uygulanır",H138="Uygulanmaz")),"Uygulanabilirlik eksik",IF(AND(H138="Uygulanır",P138="Kanıt yetersiz",U138&lt;&gt;""),IF(AND(R138&lt;&gt;"",R138&lt;&gt;Q138,ISNUMBER(S138),S138&gt;0,S138&gt;=L138),"İnceleme tamam","Gözden geçirme eksik"),IF(NOT(AND(J138&lt;&gt;"",COUNTIFS(Evidence[KanitID],J138,Evidence[Kabul edilen ID],J138)=1,K138&lt;&gt;"",ISNUMBER(L138),L138&gt;0,M138&lt;&gt;"")),"Kanıt / test eksik",IF(NOT(AND(R138&lt;&gt;"",R138&lt;&gt;Q138,ISNUMBER(S138),S138&gt;0,S138&gt;=L138)),"Gözden geçirme eksik",IF(H138="Uygulanmaz","İnceleme tamam",IF(AND(OR(P138="Uygun",P138="Kısmen uygun",P138="Uygunsuz"),OR(N138="Uygun",N138="Kısmen uygun",N138="Uygunsuz"),OR(O138="Uygun",O138="Kısmen uygun",O138="Uygunsuz"),OR(P138&lt;&gt;"Uygun",AND(N138="Uygun",O138="Uygun")),OR(P138="Uygun",AND(T138&lt;&gt;"",COUNTIF(Findings[KayitliBulguID],T138)=1))),"İnceleme tamam","Sonuç / bulgu eksik"))))))))</x:f>
        <x:v>Kimlik / kapsam eksik</x:v>
      </x:c>
      <x:c r="W138" s="14" t="str">
        <x:f>IF(A138="","",IF(V138&lt;&gt;"İnceleme tamam","İncelenmedi",IF(H138="Uygulanmaz","Uygulanmaz",P138)))</x:f>
        <x:v>İncelenmedi</x:v>
      </x:c>
    </x:row>
    <x:row r="139" ht="35" customHeight="1">
      <x:c r="A139" s="12" t="str">
        <x:v>U-0134</x:v>
      </x:c>
      <x:c r="B139" s="12" t="str">
        <x:v>ESX-045</x:v>
      </x:c>
      <x:c r="C139" s="12" t="str">
        <x:v>VMware ESXi</x:v>
      </x:c>
      <x:c r="D139" s="12" t="str"/>
      <x:c r="E139" s="12" t="str"/>
      <x:c r="F139" s="12" t="str"/>
      <x:c r="G139" s="12" t="str"/>
      <x:c r="H139" s="12" t="str">
        <x:v>Belirlenecek</x:v>
      </x:c>
      <x:c r="I139" s="12" t="str"/>
      <x:c r="J139" s="12" t="str"/>
      <x:c r="K139" s="12" t="str"/>
      <x:c r="L139" s="13" t="str"/>
      <x:c r="M139" s="12" t="str"/>
      <x:c r="N139" s="12" t="str">
        <x:v>İncelenmedi</x:v>
      </x:c>
      <x:c r="O139" s="12" t="str">
        <x:v>İncelenmedi</x:v>
      </x:c>
      <x:c r="P139" s="12" t="str">
        <x:v>İncelenmedi</x:v>
      </x:c>
      <x:c r="Q139" s="12" t="str"/>
      <x:c r="R139" s="12" t="str"/>
      <x:c r="S139" s="13" t="str"/>
      <x:c r="T139" s="12" t="str"/>
      <x:c r="U139" s="12" t="str"/>
      <x:c r="V139" s="14" t="str">
        <x:f>IF(A139="","",IF(NOT(AND(COUNTIF(Exec[TestID],A139)=1,COUNTIF(Controls[ID],B139)=1,COUNTIFS(Scope[KapsamID],D139,Scope[OnayliKapsamID],D139,Scope[Ürün],C139)=1,OR(COUNTIFS(Controls[ID],B139,Controls[Ürün],C139)=1,COUNTIFS(Controls[ID],B139,Controls[Ürün],"MSP Genel")=1),E139&lt;&gt;"",F139&lt;&gt;"",G139&lt;&gt;"",I139&lt;&gt;"",Q139&lt;&gt;"")),"Kimlik / kapsam eksik",IF(NOT(OR(H139="Uygulanır",H139="Uygulanmaz")),"Uygulanabilirlik eksik",IF(AND(H139="Uygulanır",P139="Kanıt yetersiz",U139&lt;&gt;""),IF(AND(R139&lt;&gt;"",R139&lt;&gt;Q139,ISNUMBER(S139),S139&gt;0,S139&gt;=L139),"İnceleme tamam","Gözden geçirme eksik"),IF(NOT(AND(J139&lt;&gt;"",COUNTIFS(Evidence[KanitID],J139,Evidence[Kabul edilen ID],J139)=1,K139&lt;&gt;"",ISNUMBER(L139),L139&gt;0,M139&lt;&gt;"")),"Kanıt / test eksik",IF(NOT(AND(R139&lt;&gt;"",R139&lt;&gt;Q139,ISNUMBER(S139),S139&gt;0,S139&gt;=L139)),"Gözden geçirme eksik",IF(H139="Uygulanmaz","İnceleme tamam",IF(AND(OR(P139="Uygun",P139="Kısmen uygun",P139="Uygunsuz"),OR(N139="Uygun",N139="Kısmen uygun",N139="Uygunsuz"),OR(O139="Uygun",O139="Kısmen uygun",O139="Uygunsuz"),OR(P139&lt;&gt;"Uygun",AND(N139="Uygun",O139="Uygun")),OR(P139="Uygun",AND(T139&lt;&gt;"",COUNTIF(Findings[KayitliBulguID],T139)=1))),"İnceleme tamam","Sonuç / bulgu eksik"))))))))</x:f>
        <x:v>Kimlik / kapsam eksik</x:v>
      </x:c>
      <x:c r="W139" s="14" t="str">
        <x:f>IF(A139="","",IF(V139&lt;&gt;"İnceleme tamam","İncelenmedi",IF(H139="Uygulanmaz","Uygulanmaz",P139)))</x:f>
        <x:v>İncelenmedi</x:v>
      </x:c>
    </x:row>
    <x:row r="140" ht="35" customHeight="1">
      <x:c r="A140" s="12" t="str">
        <x:v>U-0135</x:v>
      </x:c>
      <x:c r="B140" s="12" t="str">
        <x:v>ESX-046</x:v>
      </x:c>
      <x:c r="C140" s="12" t="str">
        <x:v>VMware ESXi</x:v>
      </x:c>
      <x:c r="D140" s="12" t="str"/>
      <x:c r="E140" s="12" t="str"/>
      <x:c r="F140" s="12" t="str"/>
      <x:c r="G140" s="12" t="str"/>
      <x:c r="H140" s="12" t="str">
        <x:v>Belirlenecek</x:v>
      </x:c>
      <x:c r="I140" s="12" t="str"/>
      <x:c r="J140" s="12" t="str"/>
      <x:c r="K140" s="12" t="str"/>
      <x:c r="L140" s="13" t="str"/>
      <x:c r="M140" s="12" t="str"/>
      <x:c r="N140" s="12" t="str">
        <x:v>İncelenmedi</x:v>
      </x:c>
      <x:c r="O140" s="12" t="str">
        <x:v>İncelenmedi</x:v>
      </x:c>
      <x:c r="P140" s="12" t="str">
        <x:v>İncelenmedi</x:v>
      </x:c>
      <x:c r="Q140" s="12" t="str"/>
      <x:c r="R140" s="12" t="str"/>
      <x:c r="S140" s="13" t="str"/>
      <x:c r="T140" s="12" t="str"/>
      <x:c r="U140" s="12" t="str"/>
      <x:c r="V140" s="14" t="str">
        <x:f>IF(A140="","",IF(NOT(AND(COUNTIF(Exec[TestID],A140)=1,COUNTIF(Controls[ID],B140)=1,COUNTIFS(Scope[KapsamID],D140,Scope[OnayliKapsamID],D140,Scope[Ürün],C140)=1,OR(COUNTIFS(Controls[ID],B140,Controls[Ürün],C140)=1,COUNTIFS(Controls[ID],B140,Controls[Ürün],"MSP Genel")=1),E140&lt;&gt;"",F140&lt;&gt;"",G140&lt;&gt;"",I140&lt;&gt;"",Q140&lt;&gt;"")),"Kimlik / kapsam eksik",IF(NOT(OR(H140="Uygulanır",H140="Uygulanmaz")),"Uygulanabilirlik eksik",IF(AND(H140="Uygulanır",P140="Kanıt yetersiz",U140&lt;&gt;""),IF(AND(R140&lt;&gt;"",R140&lt;&gt;Q140,ISNUMBER(S140),S140&gt;0,S140&gt;=L140),"İnceleme tamam","Gözden geçirme eksik"),IF(NOT(AND(J140&lt;&gt;"",COUNTIFS(Evidence[KanitID],J140,Evidence[Kabul edilen ID],J140)=1,K140&lt;&gt;"",ISNUMBER(L140),L140&gt;0,M140&lt;&gt;"")),"Kanıt / test eksik",IF(NOT(AND(R140&lt;&gt;"",R140&lt;&gt;Q140,ISNUMBER(S140),S140&gt;0,S140&gt;=L140)),"Gözden geçirme eksik",IF(H140="Uygulanmaz","İnceleme tamam",IF(AND(OR(P140="Uygun",P140="Kısmen uygun",P140="Uygunsuz"),OR(N140="Uygun",N140="Kısmen uygun",N140="Uygunsuz"),OR(O140="Uygun",O140="Kısmen uygun",O140="Uygunsuz"),OR(P140&lt;&gt;"Uygun",AND(N140="Uygun",O140="Uygun")),OR(P140="Uygun",AND(T140&lt;&gt;"",COUNTIF(Findings[KayitliBulguID],T140)=1))),"İnceleme tamam","Sonuç / bulgu eksik"))))))))</x:f>
        <x:v>Kimlik / kapsam eksik</x:v>
      </x:c>
      <x:c r="W140" s="14" t="str">
        <x:f>IF(A140="","",IF(V140&lt;&gt;"İnceleme tamam","İncelenmedi",IF(H140="Uygulanmaz","Uygulanmaz",P140)))</x:f>
        <x:v>İncelenmedi</x:v>
      </x:c>
    </x:row>
    <x:row r="141" ht="35" customHeight="1">
      <x:c r="A141" s="12" t="str">
        <x:v>U-0136</x:v>
      </x:c>
      <x:c r="B141" s="12" t="str">
        <x:v>ESX-047</x:v>
      </x:c>
      <x:c r="C141" s="12" t="str">
        <x:v>VMware ESXi</x:v>
      </x:c>
      <x:c r="D141" s="12" t="str"/>
      <x:c r="E141" s="12" t="str"/>
      <x:c r="F141" s="12" t="str"/>
      <x:c r="G141" s="12" t="str"/>
      <x:c r="H141" s="12" t="str">
        <x:v>Belirlenecek</x:v>
      </x:c>
      <x:c r="I141" s="12" t="str"/>
      <x:c r="J141" s="12" t="str"/>
      <x:c r="K141" s="12" t="str"/>
      <x:c r="L141" s="13" t="str"/>
      <x:c r="M141" s="12" t="str"/>
      <x:c r="N141" s="12" t="str">
        <x:v>İncelenmedi</x:v>
      </x:c>
      <x:c r="O141" s="12" t="str">
        <x:v>İncelenmedi</x:v>
      </x:c>
      <x:c r="P141" s="12" t="str">
        <x:v>İncelenmedi</x:v>
      </x:c>
      <x:c r="Q141" s="12" t="str"/>
      <x:c r="R141" s="12" t="str"/>
      <x:c r="S141" s="13" t="str"/>
      <x:c r="T141" s="12" t="str"/>
      <x:c r="U141" s="12" t="str"/>
      <x:c r="V141" s="14" t="str">
        <x:f>IF(A141="","",IF(NOT(AND(COUNTIF(Exec[TestID],A141)=1,COUNTIF(Controls[ID],B141)=1,COUNTIFS(Scope[KapsamID],D141,Scope[OnayliKapsamID],D141,Scope[Ürün],C141)=1,OR(COUNTIFS(Controls[ID],B141,Controls[Ürün],C141)=1,COUNTIFS(Controls[ID],B141,Controls[Ürün],"MSP Genel")=1),E141&lt;&gt;"",F141&lt;&gt;"",G141&lt;&gt;"",I141&lt;&gt;"",Q141&lt;&gt;"")),"Kimlik / kapsam eksik",IF(NOT(OR(H141="Uygulanır",H141="Uygulanmaz")),"Uygulanabilirlik eksik",IF(AND(H141="Uygulanır",P141="Kanıt yetersiz",U141&lt;&gt;""),IF(AND(R141&lt;&gt;"",R141&lt;&gt;Q141,ISNUMBER(S141),S141&gt;0,S141&gt;=L141),"İnceleme tamam","Gözden geçirme eksik"),IF(NOT(AND(J141&lt;&gt;"",COUNTIFS(Evidence[KanitID],J141,Evidence[Kabul edilen ID],J141)=1,K141&lt;&gt;"",ISNUMBER(L141),L141&gt;0,M141&lt;&gt;"")),"Kanıt / test eksik",IF(NOT(AND(R141&lt;&gt;"",R141&lt;&gt;Q141,ISNUMBER(S141),S141&gt;0,S141&gt;=L141)),"Gözden geçirme eksik",IF(H141="Uygulanmaz","İnceleme tamam",IF(AND(OR(P141="Uygun",P141="Kısmen uygun",P141="Uygunsuz"),OR(N141="Uygun",N141="Kısmen uygun",N141="Uygunsuz"),OR(O141="Uygun",O141="Kısmen uygun",O141="Uygunsuz"),OR(P141&lt;&gt;"Uygun",AND(N141="Uygun",O141="Uygun")),OR(P141="Uygun",AND(T141&lt;&gt;"",COUNTIF(Findings[KayitliBulguID],T141)=1))),"İnceleme tamam","Sonuç / bulgu eksik"))))))))</x:f>
        <x:v>Kimlik / kapsam eksik</x:v>
      </x:c>
      <x:c r="W141" s="14" t="str">
        <x:f>IF(A141="","",IF(V141&lt;&gt;"İnceleme tamam","İncelenmedi",IF(H141="Uygulanmaz","Uygulanmaz",P141)))</x:f>
        <x:v>İncelenmedi</x:v>
      </x:c>
    </x:row>
    <x:row r="142" ht="35" customHeight="1">
      <x:c r="A142" s="12" t="str">
        <x:v>U-0137</x:v>
      </x:c>
      <x:c r="B142" s="12" t="str">
        <x:v>ESX-048</x:v>
      </x:c>
      <x:c r="C142" s="12" t="str">
        <x:v>VMware ESXi</x:v>
      </x:c>
      <x:c r="D142" s="12" t="str"/>
      <x:c r="E142" s="12" t="str"/>
      <x:c r="F142" s="12" t="str"/>
      <x:c r="G142" s="12" t="str"/>
      <x:c r="H142" s="12" t="str">
        <x:v>Belirlenecek</x:v>
      </x:c>
      <x:c r="I142" s="12" t="str"/>
      <x:c r="J142" s="12" t="str"/>
      <x:c r="K142" s="12" t="str"/>
      <x:c r="L142" s="13" t="str"/>
      <x:c r="M142" s="12" t="str"/>
      <x:c r="N142" s="12" t="str">
        <x:v>İncelenmedi</x:v>
      </x:c>
      <x:c r="O142" s="12" t="str">
        <x:v>İncelenmedi</x:v>
      </x:c>
      <x:c r="P142" s="12" t="str">
        <x:v>İncelenmedi</x:v>
      </x:c>
      <x:c r="Q142" s="12" t="str"/>
      <x:c r="R142" s="12" t="str"/>
      <x:c r="S142" s="13" t="str"/>
      <x:c r="T142" s="12" t="str"/>
      <x:c r="U142" s="12" t="str"/>
      <x:c r="V142" s="14" t="str">
        <x:f>IF(A142="","",IF(NOT(AND(COUNTIF(Exec[TestID],A142)=1,COUNTIF(Controls[ID],B142)=1,COUNTIFS(Scope[KapsamID],D142,Scope[OnayliKapsamID],D142,Scope[Ürün],C142)=1,OR(COUNTIFS(Controls[ID],B142,Controls[Ürün],C142)=1,COUNTIFS(Controls[ID],B142,Controls[Ürün],"MSP Genel")=1),E142&lt;&gt;"",F142&lt;&gt;"",G142&lt;&gt;"",I142&lt;&gt;"",Q142&lt;&gt;"")),"Kimlik / kapsam eksik",IF(NOT(OR(H142="Uygulanır",H142="Uygulanmaz")),"Uygulanabilirlik eksik",IF(AND(H142="Uygulanır",P142="Kanıt yetersiz",U142&lt;&gt;""),IF(AND(R142&lt;&gt;"",R142&lt;&gt;Q142,ISNUMBER(S142),S142&gt;0,S142&gt;=L142),"İnceleme tamam","Gözden geçirme eksik"),IF(NOT(AND(J142&lt;&gt;"",COUNTIFS(Evidence[KanitID],J142,Evidence[Kabul edilen ID],J142)=1,K142&lt;&gt;"",ISNUMBER(L142),L142&gt;0,M142&lt;&gt;"")),"Kanıt / test eksik",IF(NOT(AND(R142&lt;&gt;"",R142&lt;&gt;Q142,ISNUMBER(S142),S142&gt;0,S142&gt;=L142)),"Gözden geçirme eksik",IF(H142="Uygulanmaz","İnceleme tamam",IF(AND(OR(P142="Uygun",P142="Kısmen uygun",P142="Uygunsuz"),OR(N142="Uygun",N142="Kısmen uygun",N142="Uygunsuz"),OR(O142="Uygun",O142="Kısmen uygun",O142="Uygunsuz"),OR(P142&lt;&gt;"Uygun",AND(N142="Uygun",O142="Uygun")),OR(P142="Uygun",AND(T142&lt;&gt;"",COUNTIF(Findings[KayitliBulguID],T142)=1))),"İnceleme tamam","Sonuç / bulgu eksik"))))))))</x:f>
        <x:v>Kimlik / kapsam eksik</x:v>
      </x:c>
      <x:c r="W142" s="14" t="str">
        <x:f>IF(A142="","",IF(V142&lt;&gt;"İnceleme tamam","İncelenmedi",IF(H142="Uygulanmaz","Uygulanmaz",P142)))</x:f>
        <x:v>İncelenmedi</x:v>
      </x:c>
    </x:row>
    <x:row r="143" ht="35" customHeight="1">
      <x:c r="A143" s="12" t="str">
        <x:v>U-0138</x:v>
      </x:c>
      <x:c r="B143" s="12" t="str">
        <x:v>ESX-049</x:v>
      </x:c>
      <x:c r="C143" s="12" t="str">
        <x:v>VMware ESXi</x:v>
      </x:c>
      <x:c r="D143" s="12" t="str"/>
      <x:c r="E143" s="12" t="str"/>
      <x:c r="F143" s="12" t="str"/>
      <x:c r="G143" s="12" t="str"/>
      <x:c r="H143" s="12" t="str">
        <x:v>Belirlenecek</x:v>
      </x:c>
      <x:c r="I143" s="12" t="str"/>
      <x:c r="J143" s="12" t="str"/>
      <x:c r="K143" s="12" t="str"/>
      <x:c r="L143" s="13" t="str"/>
      <x:c r="M143" s="12" t="str"/>
      <x:c r="N143" s="12" t="str">
        <x:v>İncelenmedi</x:v>
      </x:c>
      <x:c r="O143" s="12" t="str">
        <x:v>İncelenmedi</x:v>
      </x:c>
      <x:c r="P143" s="12" t="str">
        <x:v>İncelenmedi</x:v>
      </x:c>
      <x:c r="Q143" s="12" t="str"/>
      <x:c r="R143" s="12" t="str"/>
      <x:c r="S143" s="13" t="str"/>
      <x:c r="T143" s="12" t="str"/>
      <x:c r="U143" s="12" t="str"/>
      <x:c r="V143" s="14" t="str">
        <x:f>IF(A143="","",IF(NOT(AND(COUNTIF(Exec[TestID],A143)=1,COUNTIF(Controls[ID],B143)=1,COUNTIFS(Scope[KapsamID],D143,Scope[OnayliKapsamID],D143,Scope[Ürün],C143)=1,OR(COUNTIFS(Controls[ID],B143,Controls[Ürün],C143)=1,COUNTIFS(Controls[ID],B143,Controls[Ürün],"MSP Genel")=1),E143&lt;&gt;"",F143&lt;&gt;"",G143&lt;&gt;"",I143&lt;&gt;"",Q143&lt;&gt;"")),"Kimlik / kapsam eksik",IF(NOT(OR(H143="Uygulanır",H143="Uygulanmaz")),"Uygulanabilirlik eksik",IF(AND(H143="Uygulanır",P143="Kanıt yetersiz",U143&lt;&gt;""),IF(AND(R143&lt;&gt;"",R143&lt;&gt;Q143,ISNUMBER(S143),S143&gt;0,S143&gt;=L143),"İnceleme tamam","Gözden geçirme eksik"),IF(NOT(AND(J143&lt;&gt;"",COUNTIFS(Evidence[KanitID],J143,Evidence[Kabul edilen ID],J143)=1,K143&lt;&gt;"",ISNUMBER(L143),L143&gt;0,M143&lt;&gt;"")),"Kanıt / test eksik",IF(NOT(AND(R143&lt;&gt;"",R143&lt;&gt;Q143,ISNUMBER(S143),S143&gt;0,S143&gt;=L143)),"Gözden geçirme eksik",IF(H143="Uygulanmaz","İnceleme tamam",IF(AND(OR(P143="Uygun",P143="Kısmen uygun",P143="Uygunsuz"),OR(N143="Uygun",N143="Kısmen uygun",N143="Uygunsuz"),OR(O143="Uygun",O143="Kısmen uygun",O143="Uygunsuz"),OR(P143&lt;&gt;"Uygun",AND(N143="Uygun",O143="Uygun")),OR(P143="Uygun",AND(T143&lt;&gt;"",COUNTIF(Findings[KayitliBulguID],T143)=1))),"İnceleme tamam","Sonuç / bulgu eksik"))))))))</x:f>
        <x:v>Kimlik / kapsam eksik</x:v>
      </x:c>
      <x:c r="W143" s="14" t="str">
        <x:f>IF(A143="","",IF(V143&lt;&gt;"İnceleme tamam","İncelenmedi",IF(H143="Uygulanmaz","Uygulanmaz",P143)))</x:f>
        <x:v>İncelenmedi</x:v>
      </x:c>
    </x:row>
    <x:row r="144" ht="35" customHeight="1">
      <x:c r="A144" s="12" t="str">
        <x:v>U-0139</x:v>
      </x:c>
      <x:c r="B144" s="12" t="str">
        <x:v>ESX-050</x:v>
      </x:c>
      <x:c r="C144" s="12" t="str">
        <x:v>VMware ESXi</x:v>
      </x:c>
      <x:c r="D144" s="12" t="str"/>
      <x:c r="E144" s="12" t="str"/>
      <x:c r="F144" s="12" t="str"/>
      <x:c r="G144" s="12" t="str"/>
      <x:c r="H144" s="12" t="str">
        <x:v>Belirlenecek</x:v>
      </x:c>
      <x:c r="I144" s="12" t="str"/>
      <x:c r="J144" s="12" t="str"/>
      <x:c r="K144" s="12" t="str"/>
      <x:c r="L144" s="13" t="str"/>
      <x:c r="M144" s="12" t="str"/>
      <x:c r="N144" s="12" t="str">
        <x:v>İncelenmedi</x:v>
      </x:c>
      <x:c r="O144" s="12" t="str">
        <x:v>İncelenmedi</x:v>
      </x:c>
      <x:c r="P144" s="12" t="str">
        <x:v>İncelenmedi</x:v>
      </x:c>
      <x:c r="Q144" s="12" t="str"/>
      <x:c r="R144" s="12" t="str"/>
      <x:c r="S144" s="13" t="str"/>
      <x:c r="T144" s="12" t="str"/>
      <x:c r="U144" s="12" t="str"/>
      <x:c r="V144" s="14" t="str">
        <x:f>IF(A144="","",IF(NOT(AND(COUNTIF(Exec[TestID],A144)=1,COUNTIF(Controls[ID],B144)=1,COUNTIFS(Scope[KapsamID],D144,Scope[OnayliKapsamID],D144,Scope[Ürün],C144)=1,OR(COUNTIFS(Controls[ID],B144,Controls[Ürün],C144)=1,COUNTIFS(Controls[ID],B144,Controls[Ürün],"MSP Genel")=1),E144&lt;&gt;"",F144&lt;&gt;"",G144&lt;&gt;"",I144&lt;&gt;"",Q144&lt;&gt;"")),"Kimlik / kapsam eksik",IF(NOT(OR(H144="Uygulanır",H144="Uygulanmaz")),"Uygulanabilirlik eksik",IF(AND(H144="Uygulanır",P144="Kanıt yetersiz",U144&lt;&gt;""),IF(AND(R144&lt;&gt;"",R144&lt;&gt;Q144,ISNUMBER(S144),S144&gt;0,S144&gt;=L144),"İnceleme tamam","Gözden geçirme eksik"),IF(NOT(AND(J144&lt;&gt;"",COUNTIFS(Evidence[KanitID],J144,Evidence[Kabul edilen ID],J144)=1,K144&lt;&gt;"",ISNUMBER(L144),L144&gt;0,M144&lt;&gt;"")),"Kanıt / test eksik",IF(NOT(AND(R144&lt;&gt;"",R144&lt;&gt;Q144,ISNUMBER(S144),S144&gt;0,S144&gt;=L144)),"Gözden geçirme eksik",IF(H144="Uygulanmaz","İnceleme tamam",IF(AND(OR(P144="Uygun",P144="Kısmen uygun",P144="Uygunsuz"),OR(N144="Uygun",N144="Kısmen uygun",N144="Uygunsuz"),OR(O144="Uygun",O144="Kısmen uygun",O144="Uygunsuz"),OR(P144&lt;&gt;"Uygun",AND(N144="Uygun",O144="Uygun")),OR(P144="Uygun",AND(T144&lt;&gt;"",COUNTIF(Findings[KayitliBulguID],T144)=1))),"İnceleme tamam","Sonuç / bulgu eksik"))))))))</x:f>
        <x:v>Kimlik / kapsam eksik</x:v>
      </x:c>
      <x:c r="W144" s="14" t="str">
        <x:f>IF(A144="","",IF(V144&lt;&gt;"İnceleme tamam","İncelenmedi",IF(H144="Uygulanmaz","Uygulanmaz",P144)))</x:f>
        <x:v>İncelenmedi</x:v>
      </x:c>
    </x:row>
    <x:row r="145" ht="35" customHeight="1">
      <x:c r="A145" s="12" t="str">
        <x:v>U-0140</x:v>
      </x:c>
      <x:c r="B145" s="12" t="str">
        <x:v>ESX-051</x:v>
      </x:c>
      <x:c r="C145" s="12" t="str">
        <x:v>VMware ESXi</x:v>
      </x:c>
      <x:c r="D145" s="12" t="str"/>
      <x:c r="E145" s="12" t="str"/>
      <x:c r="F145" s="12" t="str"/>
      <x:c r="G145" s="12" t="str"/>
      <x:c r="H145" s="12" t="str">
        <x:v>Belirlenecek</x:v>
      </x:c>
      <x:c r="I145" s="12" t="str"/>
      <x:c r="J145" s="12" t="str"/>
      <x:c r="K145" s="12" t="str"/>
      <x:c r="L145" s="13" t="str"/>
      <x:c r="M145" s="12" t="str"/>
      <x:c r="N145" s="12" t="str">
        <x:v>İncelenmedi</x:v>
      </x:c>
      <x:c r="O145" s="12" t="str">
        <x:v>İncelenmedi</x:v>
      </x:c>
      <x:c r="P145" s="12" t="str">
        <x:v>İncelenmedi</x:v>
      </x:c>
      <x:c r="Q145" s="12" t="str"/>
      <x:c r="R145" s="12" t="str"/>
      <x:c r="S145" s="13" t="str"/>
      <x:c r="T145" s="12" t="str"/>
      <x:c r="U145" s="12" t="str"/>
      <x:c r="V145" s="14" t="str">
        <x:f>IF(A145="","",IF(NOT(AND(COUNTIF(Exec[TestID],A145)=1,COUNTIF(Controls[ID],B145)=1,COUNTIFS(Scope[KapsamID],D145,Scope[OnayliKapsamID],D145,Scope[Ürün],C145)=1,OR(COUNTIFS(Controls[ID],B145,Controls[Ürün],C145)=1,COUNTIFS(Controls[ID],B145,Controls[Ürün],"MSP Genel")=1),E145&lt;&gt;"",F145&lt;&gt;"",G145&lt;&gt;"",I145&lt;&gt;"",Q145&lt;&gt;"")),"Kimlik / kapsam eksik",IF(NOT(OR(H145="Uygulanır",H145="Uygulanmaz")),"Uygulanabilirlik eksik",IF(AND(H145="Uygulanır",P145="Kanıt yetersiz",U145&lt;&gt;""),IF(AND(R145&lt;&gt;"",R145&lt;&gt;Q145,ISNUMBER(S145),S145&gt;0,S145&gt;=L145),"İnceleme tamam","Gözden geçirme eksik"),IF(NOT(AND(J145&lt;&gt;"",COUNTIFS(Evidence[KanitID],J145,Evidence[Kabul edilen ID],J145)=1,K145&lt;&gt;"",ISNUMBER(L145),L145&gt;0,M145&lt;&gt;"")),"Kanıt / test eksik",IF(NOT(AND(R145&lt;&gt;"",R145&lt;&gt;Q145,ISNUMBER(S145),S145&gt;0,S145&gt;=L145)),"Gözden geçirme eksik",IF(H145="Uygulanmaz","İnceleme tamam",IF(AND(OR(P145="Uygun",P145="Kısmen uygun",P145="Uygunsuz"),OR(N145="Uygun",N145="Kısmen uygun",N145="Uygunsuz"),OR(O145="Uygun",O145="Kısmen uygun",O145="Uygunsuz"),OR(P145&lt;&gt;"Uygun",AND(N145="Uygun",O145="Uygun")),OR(P145="Uygun",AND(T145&lt;&gt;"",COUNTIF(Findings[KayitliBulguID],T145)=1))),"İnceleme tamam","Sonuç / bulgu eksik"))))))))</x:f>
        <x:v>Kimlik / kapsam eksik</x:v>
      </x:c>
      <x:c r="W145" s="14" t="str">
        <x:f>IF(A145="","",IF(V145&lt;&gt;"İnceleme tamam","İncelenmedi",IF(H145="Uygulanmaz","Uygulanmaz",P145)))</x:f>
        <x:v>İncelenmedi</x:v>
      </x:c>
    </x:row>
    <x:row r="146" ht="35" customHeight="1">
      <x:c r="A146" s="12" t="str">
        <x:v>U-0141</x:v>
      </x:c>
      <x:c r="B146" s="12" t="str">
        <x:v>ESX-052</x:v>
      </x:c>
      <x:c r="C146" s="12" t="str">
        <x:v>VMware ESXi</x:v>
      </x:c>
      <x:c r="D146" s="12" t="str"/>
      <x:c r="E146" s="12" t="str"/>
      <x:c r="F146" s="12" t="str"/>
      <x:c r="G146" s="12" t="str"/>
      <x:c r="H146" s="12" t="str">
        <x:v>Belirlenecek</x:v>
      </x:c>
      <x:c r="I146" s="12" t="str"/>
      <x:c r="J146" s="12" t="str"/>
      <x:c r="K146" s="12" t="str"/>
      <x:c r="L146" s="13" t="str"/>
      <x:c r="M146" s="12" t="str"/>
      <x:c r="N146" s="12" t="str">
        <x:v>İncelenmedi</x:v>
      </x:c>
      <x:c r="O146" s="12" t="str">
        <x:v>İncelenmedi</x:v>
      </x:c>
      <x:c r="P146" s="12" t="str">
        <x:v>İncelenmedi</x:v>
      </x:c>
      <x:c r="Q146" s="12" t="str"/>
      <x:c r="R146" s="12" t="str"/>
      <x:c r="S146" s="13" t="str"/>
      <x:c r="T146" s="12" t="str"/>
      <x:c r="U146" s="12" t="str"/>
      <x:c r="V146" s="14" t="str">
        <x:f>IF(A146="","",IF(NOT(AND(COUNTIF(Exec[TestID],A146)=1,COUNTIF(Controls[ID],B146)=1,COUNTIFS(Scope[KapsamID],D146,Scope[OnayliKapsamID],D146,Scope[Ürün],C146)=1,OR(COUNTIFS(Controls[ID],B146,Controls[Ürün],C146)=1,COUNTIFS(Controls[ID],B146,Controls[Ürün],"MSP Genel")=1),E146&lt;&gt;"",F146&lt;&gt;"",G146&lt;&gt;"",I146&lt;&gt;"",Q146&lt;&gt;"")),"Kimlik / kapsam eksik",IF(NOT(OR(H146="Uygulanır",H146="Uygulanmaz")),"Uygulanabilirlik eksik",IF(AND(H146="Uygulanır",P146="Kanıt yetersiz",U146&lt;&gt;""),IF(AND(R146&lt;&gt;"",R146&lt;&gt;Q146,ISNUMBER(S146),S146&gt;0,S146&gt;=L146),"İnceleme tamam","Gözden geçirme eksik"),IF(NOT(AND(J146&lt;&gt;"",COUNTIFS(Evidence[KanitID],J146,Evidence[Kabul edilen ID],J146)=1,K146&lt;&gt;"",ISNUMBER(L146),L146&gt;0,M146&lt;&gt;"")),"Kanıt / test eksik",IF(NOT(AND(R146&lt;&gt;"",R146&lt;&gt;Q146,ISNUMBER(S146),S146&gt;0,S146&gt;=L146)),"Gözden geçirme eksik",IF(H146="Uygulanmaz","İnceleme tamam",IF(AND(OR(P146="Uygun",P146="Kısmen uygun",P146="Uygunsuz"),OR(N146="Uygun",N146="Kısmen uygun",N146="Uygunsuz"),OR(O146="Uygun",O146="Kısmen uygun",O146="Uygunsuz"),OR(P146&lt;&gt;"Uygun",AND(N146="Uygun",O146="Uygun")),OR(P146="Uygun",AND(T146&lt;&gt;"",COUNTIF(Findings[KayitliBulguID],T146)=1))),"İnceleme tamam","Sonuç / bulgu eksik"))))))))</x:f>
        <x:v>Kimlik / kapsam eksik</x:v>
      </x:c>
      <x:c r="W146" s="14" t="str">
        <x:f>IF(A146="","",IF(V146&lt;&gt;"İnceleme tamam","İncelenmedi",IF(H146="Uygulanmaz","Uygulanmaz",P146)))</x:f>
        <x:v>İncelenmedi</x:v>
      </x:c>
    </x:row>
    <x:row r="147" ht="35" customHeight="1">
      <x:c r="A147" s="12" t="str">
        <x:v>U-0142</x:v>
      </x:c>
      <x:c r="B147" s="12" t="str">
        <x:v>ESX-053</x:v>
      </x:c>
      <x:c r="C147" s="12" t="str">
        <x:v>VMware ESXi</x:v>
      </x:c>
      <x:c r="D147" s="12" t="str"/>
      <x:c r="E147" s="12" t="str"/>
      <x:c r="F147" s="12" t="str"/>
      <x:c r="G147" s="12" t="str"/>
      <x:c r="H147" s="12" t="str">
        <x:v>Belirlenecek</x:v>
      </x:c>
      <x:c r="I147" s="12" t="str"/>
      <x:c r="J147" s="12" t="str"/>
      <x:c r="K147" s="12" t="str"/>
      <x:c r="L147" s="13" t="str"/>
      <x:c r="M147" s="12" t="str"/>
      <x:c r="N147" s="12" t="str">
        <x:v>İncelenmedi</x:v>
      </x:c>
      <x:c r="O147" s="12" t="str">
        <x:v>İncelenmedi</x:v>
      </x:c>
      <x:c r="P147" s="12" t="str">
        <x:v>İncelenmedi</x:v>
      </x:c>
      <x:c r="Q147" s="12" t="str"/>
      <x:c r="R147" s="12" t="str"/>
      <x:c r="S147" s="13" t="str"/>
      <x:c r="T147" s="12" t="str"/>
      <x:c r="U147" s="12" t="str"/>
      <x:c r="V147" s="14" t="str">
        <x:f>IF(A147="","",IF(NOT(AND(COUNTIF(Exec[TestID],A147)=1,COUNTIF(Controls[ID],B147)=1,COUNTIFS(Scope[KapsamID],D147,Scope[OnayliKapsamID],D147,Scope[Ürün],C147)=1,OR(COUNTIFS(Controls[ID],B147,Controls[Ürün],C147)=1,COUNTIFS(Controls[ID],B147,Controls[Ürün],"MSP Genel")=1),E147&lt;&gt;"",F147&lt;&gt;"",G147&lt;&gt;"",I147&lt;&gt;"",Q147&lt;&gt;"")),"Kimlik / kapsam eksik",IF(NOT(OR(H147="Uygulanır",H147="Uygulanmaz")),"Uygulanabilirlik eksik",IF(AND(H147="Uygulanır",P147="Kanıt yetersiz",U147&lt;&gt;""),IF(AND(R147&lt;&gt;"",R147&lt;&gt;Q147,ISNUMBER(S147),S147&gt;0,S147&gt;=L147),"İnceleme tamam","Gözden geçirme eksik"),IF(NOT(AND(J147&lt;&gt;"",COUNTIFS(Evidence[KanitID],J147,Evidence[Kabul edilen ID],J147)=1,K147&lt;&gt;"",ISNUMBER(L147),L147&gt;0,M147&lt;&gt;"")),"Kanıt / test eksik",IF(NOT(AND(R147&lt;&gt;"",R147&lt;&gt;Q147,ISNUMBER(S147),S147&gt;0,S147&gt;=L147)),"Gözden geçirme eksik",IF(H147="Uygulanmaz","İnceleme tamam",IF(AND(OR(P147="Uygun",P147="Kısmen uygun",P147="Uygunsuz"),OR(N147="Uygun",N147="Kısmen uygun",N147="Uygunsuz"),OR(O147="Uygun",O147="Kısmen uygun",O147="Uygunsuz"),OR(P147&lt;&gt;"Uygun",AND(N147="Uygun",O147="Uygun")),OR(P147="Uygun",AND(T147&lt;&gt;"",COUNTIF(Findings[KayitliBulguID],T147)=1))),"İnceleme tamam","Sonuç / bulgu eksik"))))))))</x:f>
        <x:v>Kimlik / kapsam eksik</x:v>
      </x:c>
      <x:c r="W147" s="14" t="str">
        <x:f>IF(A147="","",IF(V147&lt;&gt;"İnceleme tamam","İncelenmedi",IF(H147="Uygulanmaz","Uygulanmaz",P147)))</x:f>
        <x:v>İncelenmedi</x:v>
      </x:c>
    </x:row>
    <x:row r="148" ht="35" customHeight="1">
      <x:c r="A148" s="12" t="str">
        <x:v>U-0143</x:v>
      </x:c>
      <x:c r="B148" s="12" t="str">
        <x:v>ESX-054</x:v>
      </x:c>
      <x:c r="C148" s="12" t="str">
        <x:v>VMware ESXi</x:v>
      </x:c>
      <x:c r="D148" s="12" t="str"/>
      <x:c r="E148" s="12" t="str"/>
      <x:c r="F148" s="12" t="str"/>
      <x:c r="G148" s="12" t="str"/>
      <x:c r="H148" s="12" t="str">
        <x:v>Belirlenecek</x:v>
      </x:c>
      <x:c r="I148" s="12" t="str"/>
      <x:c r="J148" s="12" t="str"/>
      <x:c r="K148" s="12" t="str"/>
      <x:c r="L148" s="13" t="str"/>
      <x:c r="M148" s="12" t="str"/>
      <x:c r="N148" s="12" t="str">
        <x:v>İncelenmedi</x:v>
      </x:c>
      <x:c r="O148" s="12" t="str">
        <x:v>İncelenmedi</x:v>
      </x:c>
      <x:c r="P148" s="12" t="str">
        <x:v>İncelenmedi</x:v>
      </x:c>
      <x:c r="Q148" s="12" t="str"/>
      <x:c r="R148" s="12" t="str"/>
      <x:c r="S148" s="13" t="str"/>
      <x:c r="T148" s="12" t="str"/>
      <x:c r="U148" s="12" t="str"/>
      <x:c r="V148" s="14" t="str">
        <x:f>IF(A148="","",IF(NOT(AND(COUNTIF(Exec[TestID],A148)=1,COUNTIF(Controls[ID],B148)=1,COUNTIFS(Scope[KapsamID],D148,Scope[OnayliKapsamID],D148,Scope[Ürün],C148)=1,OR(COUNTIFS(Controls[ID],B148,Controls[Ürün],C148)=1,COUNTIFS(Controls[ID],B148,Controls[Ürün],"MSP Genel")=1),E148&lt;&gt;"",F148&lt;&gt;"",G148&lt;&gt;"",I148&lt;&gt;"",Q148&lt;&gt;"")),"Kimlik / kapsam eksik",IF(NOT(OR(H148="Uygulanır",H148="Uygulanmaz")),"Uygulanabilirlik eksik",IF(AND(H148="Uygulanır",P148="Kanıt yetersiz",U148&lt;&gt;""),IF(AND(R148&lt;&gt;"",R148&lt;&gt;Q148,ISNUMBER(S148),S148&gt;0,S148&gt;=L148),"İnceleme tamam","Gözden geçirme eksik"),IF(NOT(AND(J148&lt;&gt;"",COUNTIFS(Evidence[KanitID],J148,Evidence[Kabul edilen ID],J148)=1,K148&lt;&gt;"",ISNUMBER(L148),L148&gt;0,M148&lt;&gt;"")),"Kanıt / test eksik",IF(NOT(AND(R148&lt;&gt;"",R148&lt;&gt;Q148,ISNUMBER(S148),S148&gt;0,S148&gt;=L148)),"Gözden geçirme eksik",IF(H148="Uygulanmaz","İnceleme tamam",IF(AND(OR(P148="Uygun",P148="Kısmen uygun",P148="Uygunsuz"),OR(N148="Uygun",N148="Kısmen uygun",N148="Uygunsuz"),OR(O148="Uygun",O148="Kısmen uygun",O148="Uygunsuz"),OR(P148&lt;&gt;"Uygun",AND(N148="Uygun",O148="Uygun")),OR(P148="Uygun",AND(T148&lt;&gt;"",COUNTIF(Findings[KayitliBulguID],T148)=1))),"İnceleme tamam","Sonuç / bulgu eksik"))))))))</x:f>
        <x:v>Kimlik / kapsam eksik</x:v>
      </x:c>
      <x:c r="W148" s="14" t="str">
        <x:f>IF(A148="","",IF(V148&lt;&gt;"İnceleme tamam","İncelenmedi",IF(H148="Uygulanmaz","Uygulanmaz",P148)))</x:f>
        <x:v>İncelenmedi</x:v>
      </x:c>
    </x:row>
    <x:row r="149" ht="35" customHeight="1">
      <x:c r="A149" s="12" t="str">
        <x:v>U-0144</x:v>
      </x:c>
      <x:c r="B149" s="12" t="str">
        <x:v>ESX-055</x:v>
      </x:c>
      <x:c r="C149" s="12" t="str">
        <x:v>VMware ESXi</x:v>
      </x:c>
      <x:c r="D149" s="12" t="str"/>
      <x:c r="E149" s="12" t="str"/>
      <x:c r="F149" s="12" t="str"/>
      <x:c r="G149" s="12" t="str"/>
      <x:c r="H149" s="12" t="str">
        <x:v>Belirlenecek</x:v>
      </x:c>
      <x:c r="I149" s="12" t="str"/>
      <x:c r="J149" s="12" t="str"/>
      <x:c r="K149" s="12" t="str"/>
      <x:c r="L149" s="13" t="str"/>
      <x:c r="M149" s="12" t="str"/>
      <x:c r="N149" s="12" t="str">
        <x:v>İncelenmedi</x:v>
      </x:c>
      <x:c r="O149" s="12" t="str">
        <x:v>İncelenmedi</x:v>
      </x:c>
      <x:c r="P149" s="12" t="str">
        <x:v>İncelenmedi</x:v>
      </x:c>
      <x:c r="Q149" s="12" t="str"/>
      <x:c r="R149" s="12" t="str"/>
      <x:c r="S149" s="13" t="str"/>
      <x:c r="T149" s="12" t="str"/>
      <x:c r="U149" s="12" t="str"/>
      <x:c r="V149" s="14" t="str">
        <x:f>IF(A149="","",IF(NOT(AND(COUNTIF(Exec[TestID],A149)=1,COUNTIF(Controls[ID],B149)=1,COUNTIFS(Scope[KapsamID],D149,Scope[OnayliKapsamID],D149,Scope[Ürün],C149)=1,OR(COUNTIFS(Controls[ID],B149,Controls[Ürün],C149)=1,COUNTIFS(Controls[ID],B149,Controls[Ürün],"MSP Genel")=1),E149&lt;&gt;"",F149&lt;&gt;"",G149&lt;&gt;"",I149&lt;&gt;"",Q149&lt;&gt;"")),"Kimlik / kapsam eksik",IF(NOT(OR(H149="Uygulanır",H149="Uygulanmaz")),"Uygulanabilirlik eksik",IF(AND(H149="Uygulanır",P149="Kanıt yetersiz",U149&lt;&gt;""),IF(AND(R149&lt;&gt;"",R149&lt;&gt;Q149,ISNUMBER(S149),S149&gt;0,S149&gt;=L149),"İnceleme tamam","Gözden geçirme eksik"),IF(NOT(AND(J149&lt;&gt;"",COUNTIFS(Evidence[KanitID],J149,Evidence[Kabul edilen ID],J149)=1,K149&lt;&gt;"",ISNUMBER(L149),L149&gt;0,M149&lt;&gt;"")),"Kanıt / test eksik",IF(NOT(AND(R149&lt;&gt;"",R149&lt;&gt;Q149,ISNUMBER(S149),S149&gt;0,S149&gt;=L149)),"Gözden geçirme eksik",IF(H149="Uygulanmaz","İnceleme tamam",IF(AND(OR(P149="Uygun",P149="Kısmen uygun",P149="Uygunsuz"),OR(N149="Uygun",N149="Kısmen uygun",N149="Uygunsuz"),OR(O149="Uygun",O149="Kısmen uygun",O149="Uygunsuz"),OR(P149&lt;&gt;"Uygun",AND(N149="Uygun",O149="Uygun")),OR(P149="Uygun",AND(T149&lt;&gt;"",COUNTIF(Findings[KayitliBulguID],T149)=1))),"İnceleme tamam","Sonuç / bulgu eksik"))))))))</x:f>
        <x:v>Kimlik / kapsam eksik</x:v>
      </x:c>
      <x:c r="W149" s="14" t="str">
        <x:f>IF(A149="","",IF(V149&lt;&gt;"İnceleme tamam","İncelenmedi",IF(H149="Uygulanmaz","Uygulanmaz",P149)))</x:f>
        <x:v>İncelenmedi</x:v>
      </x:c>
    </x:row>
    <x:row r="150" ht="35" customHeight="1">
      <x:c r="A150" s="12" t="str">
        <x:v>U-0145</x:v>
      </x:c>
      <x:c r="B150" s="12" t="str">
        <x:v>ESX-056</x:v>
      </x:c>
      <x:c r="C150" s="12" t="str">
        <x:v>VMware ESXi</x:v>
      </x:c>
      <x:c r="D150" s="12" t="str"/>
      <x:c r="E150" s="12" t="str"/>
      <x:c r="F150" s="12" t="str"/>
      <x:c r="G150" s="12" t="str"/>
      <x:c r="H150" s="12" t="str">
        <x:v>Belirlenecek</x:v>
      </x:c>
      <x:c r="I150" s="12" t="str"/>
      <x:c r="J150" s="12" t="str"/>
      <x:c r="K150" s="12" t="str"/>
      <x:c r="L150" s="13" t="str"/>
      <x:c r="M150" s="12" t="str"/>
      <x:c r="N150" s="12" t="str">
        <x:v>İncelenmedi</x:v>
      </x:c>
      <x:c r="O150" s="12" t="str">
        <x:v>İncelenmedi</x:v>
      </x:c>
      <x:c r="P150" s="12" t="str">
        <x:v>İncelenmedi</x:v>
      </x:c>
      <x:c r="Q150" s="12" t="str"/>
      <x:c r="R150" s="12" t="str"/>
      <x:c r="S150" s="13" t="str"/>
      <x:c r="T150" s="12" t="str"/>
      <x:c r="U150" s="12" t="str"/>
      <x:c r="V150" s="14" t="str">
        <x:f>IF(A150="","",IF(NOT(AND(COUNTIF(Exec[TestID],A150)=1,COUNTIF(Controls[ID],B150)=1,COUNTIFS(Scope[KapsamID],D150,Scope[OnayliKapsamID],D150,Scope[Ürün],C150)=1,OR(COUNTIFS(Controls[ID],B150,Controls[Ürün],C150)=1,COUNTIFS(Controls[ID],B150,Controls[Ürün],"MSP Genel")=1),E150&lt;&gt;"",F150&lt;&gt;"",G150&lt;&gt;"",I150&lt;&gt;"",Q150&lt;&gt;"")),"Kimlik / kapsam eksik",IF(NOT(OR(H150="Uygulanır",H150="Uygulanmaz")),"Uygulanabilirlik eksik",IF(AND(H150="Uygulanır",P150="Kanıt yetersiz",U150&lt;&gt;""),IF(AND(R150&lt;&gt;"",R150&lt;&gt;Q150,ISNUMBER(S150),S150&gt;0,S150&gt;=L150),"İnceleme tamam","Gözden geçirme eksik"),IF(NOT(AND(J150&lt;&gt;"",COUNTIFS(Evidence[KanitID],J150,Evidence[Kabul edilen ID],J150)=1,K150&lt;&gt;"",ISNUMBER(L150),L150&gt;0,M150&lt;&gt;"")),"Kanıt / test eksik",IF(NOT(AND(R150&lt;&gt;"",R150&lt;&gt;Q150,ISNUMBER(S150),S150&gt;0,S150&gt;=L150)),"Gözden geçirme eksik",IF(H150="Uygulanmaz","İnceleme tamam",IF(AND(OR(P150="Uygun",P150="Kısmen uygun",P150="Uygunsuz"),OR(N150="Uygun",N150="Kısmen uygun",N150="Uygunsuz"),OR(O150="Uygun",O150="Kısmen uygun",O150="Uygunsuz"),OR(P150&lt;&gt;"Uygun",AND(N150="Uygun",O150="Uygun")),OR(P150="Uygun",AND(T150&lt;&gt;"",COUNTIF(Findings[KayitliBulguID],T150)=1))),"İnceleme tamam","Sonuç / bulgu eksik"))))))))</x:f>
        <x:v>Kimlik / kapsam eksik</x:v>
      </x:c>
      <x:c r="W150" s="14" t="str">
        <x:f>IF(A150="","",IF(V150&lt;&gt;"İnceleme tamam","İncelenmedi",IF(H150="Uygulanmaz","Uygulanmaz",P150)))</x:f>
        <x:v>İncelenmedi</x:v>
      </x:c>
    </x:row>
    <x:row r="151" ht="35" customHeight="1">
      <x:c r="A151" s="12" t="str">
        <x:v>U-0146</x:v>
      </x:c>
      <x:c r="B151" s="12" t="str">
        <x:v>ESX-057</x:v>
      </x:c>
      <x:c r="C151" s="12" t="str">
        <x:v>VMware ESXi</x:v>
      </x:c>
      <x:c r="D151" s="12" t="str"/>
      <x:c r="E151" s="12" t="str"/>
      <x:c r="F151" s="12" t="str"/>
      <x:c r="G151" s="12" t="str"/>
      <x:c r="H151" s="12" t="str">
        <x:v>Belirlenecek</x:v>
      </x:c>
      <x:c r="I151" s="12" t="str"/>
      <x:c r="J151" s="12" t="str"/>
      <x:c r="K151" s="12" t="str"/>
      <x:c r="L151" s="13" t="str"/>
      <x:c r="M151" s="12" t="str"/>
      <x:c r="N151" s="12" t="str">
        <x:v>İncelenmedi</x:v>
      </x:c>
      <x:c r="O151" s="12" t="str">
        <x:v>İncelenmedi</x:v>
      </x:c>
      <x:c r="P151" s="12" t="str">
        <x:v>İncelenmedi</x:v>
      </x:c>
      <x:c r="Q151" s="12" t="str"/>
      <x:c r="R151" s="12" t="str"/>
      <x:c r="S151" s="13" t="str"/>
      <x:c r="T151" s="12" t="str"/>
      <x:c r="U151" s="12" t="str"/>
      <x:c r="V151" s="14" t="str">
        <x:f>IF(A151="","",IF(NOT(AND(COUNTIF(Exec[TestID],A151)=1,COUNTIF(Controls[ID],B151)=1,COUNTIFS(Scope[KapsamID],D151,Scope[OnayliKapsamID],D151,Scope[Ürün],C151)=1,OR(COUNTIFS(Controls[ID],B151,Controls[Ürün],C151)=1,COUNTIFS(Controls[ID],B151,Controls[Ürün],"MSP Genel")=1),E151&lt;&gt;"",F151&lt;&gt;"",G151&lt;&gt;"",I151&lt;&gt;"",Q151&lt;&gt;"")),"Kimlik / kapsam eksik",IF(NOT(OR(H151="Uygulanır",H151="Uygulanmaz")),"Uygulanabilirlik eksik",IF(AND(H151="Uygulanır",P151="Kanıt yetersiz",U151&lt;&gt;""),IF(AND(R151&lt;&gt;"",R151&lt;&gt;Q151,ISNUMBER(S151),S151&gt;0,S151&gt;=L151),"İnceleme tamam","Gözden geçirme eksik"),IF(NOT(AND(J151&lt;&gt;"",COUNTIFS(Evidence[KanitID],J151,Evidence[Kabul edilen ID],J151)=1,K151&lt;&gt;"",ISNUMBER(L151),L151&gt;0,M151&lt;&gt;"")),"Kanıt / test eksik",IF(NOT(AND(R151&lt;&gt;"",R151&lt;&gt;Q151,ISNUMBER(S151),S151&gt;0,S151&gt;=L151)),"Gözden geçirme eksik",IF(H151="Uygulanmaz","İnceleme tamam",IF(AND(OR(P151="Uygun",P151="Kısmen uygun",P151="Uygunsuz"),OR(N151="Uygun",N151="Kısmen uygun",N151="Uygunsuz"),OR(O151="Uygun",O151="Kısmen uygun",O151="Uygunsuz"),OR(P151&lt;&gt;"Uygun",AND(N151="Uygun",O151="Uygun")),OR(P151="Uygun",AND(T151&lt;&gt;"",COUNTIF(Findings[KayitliBulguID],T151)=1))),"İnceleme tamam","Sonuç / bulgu eksik"))))))))</x:f>
        <x:v>Kimlik / kapsam eksik</x:v>
      </x:c>
      <x:c r="W151" s="14" t="str">
        <x:f>IF(A151="","",IF(V151&lt;&gt;"İnceleme tamam","İncelenmedi",IF(H151="Uygulanmaz","Uygulanmaz",P151)))</x:f>
        <x:v>İncelenmedi</x:v>
      </x:c>
    </x:row>
    <x:row r="152" ht="35" customHeight="1">
      <x:c r="A152" s="12" t="str">
        <x:v>U-0147</x:v>
      </x:c>
      <x:c r="B152" s="12" t="str">
        <x:v>ESX-058</x:v>
      </x:c>
      <x:c r="C152" s="12" t="str">
        <x:v>VMware ESXi</x:v>
      </x:c>
      <x:c r="D152" s="12" t="str"/>
      <x:c r="E152" s="12" t="str"/>
      <x:c r="F152" s="12" t="str"/>
      <x:c r="G152" s="12" t="str"/>
      <x:c r="H152" s="12" t="str">
        <x:v>Belirlenecek</x:v>
      </x:c>
      <x:c r="I152" s="12" t="str"/>
      <x:c r="J152" s="12" t="str"/>
      <x:c r="K152" s="12" t="str"/>
      <x:c r="L152" s="13" t="str"/>
      <x:c r="M152" s="12" t="str"/>
      <x:c r="N152" s="12" t="str">
        <x:v>İncelenmedi</x:v>
      </x:c>
      <x:c r="O152" s="12" t="str">
        <x:v>İncelenmedi</x:v>
      </x:c>
      <x:c r="P152" s="12" t="str">
        <x:v>İncelenmedi</x:v>
      </x:c>
      <x:c r="Q152" s="12" t="str"/>
      <x:c r="R152" s="12" t="str"/>
      <x:c r="S152" s="13" t="str"/>
      <x:c r="T152" s="12" t="str"/>
      <x:c r="U152" s="12" t="str"/>
      <x:c r="V152" s="14" t="str">
        <x:f>IF(A152="","",IF(NOT(AND(COUNTIF(Exec[TestID],A152)=1,COUNTIF(Controls[ID],B152)=1,COUNTIFS(Scope[KapsamID],D152,Scope[OnayliKapsamID],D152,Scope[Ürün],C152)=1,OR(COUNTIFS(Controls[ID],B152,Controls[Ürün],C152)=1,COUNTIFS(Controls[ID],B152,Controls[Ürün],"MSP Genel")=1),E152&lt;&gt;"",F152&lt;&gt;"",G152&lt;&gt;"",I152&lt;&gt;"",Q152&lt;&gt;"")),"Kimlik / kapsam eksik",IF(NOT(OR(H152="Uygulanır",H152="Uygulanmaz")),"Uygulanabilirlik eksik",IF(AND(H152="Uygulanır",P152="Kanıt yetersiz",U152&lt;&gt;""),IF(AND(R152&lt;&gt;"",R152&lt;&gt;Q152,ISNUMBER(S152),S152&gt;0,S152&gt;=L152),"İnceleme tamam","Gözden geçirme eksik"),IF(NOT(AND(J152&lt;&gt;"",COUNTIFS(Evidence[KanitID],J152,Evidence[Kabul edilen ID],J152)=1,K152&lt;&gt;"",ISNUMBER(L152),L152&gt;0,M152&lt;&gt;"")),"Kanıt / test eksik",IF(NOT(AND(R152&lt;&gt;"",R152&lt;&gt;Q152,ISNUMBER(S152),S152&gt;0,S152&gt;=L152)),"Gözden geçirme eksik",IF(H152="Uygulanmaz","İnceleme tamam",IF(AND(OR(P152="Uygun",P152="Kısmen uygun",P152="Uygunsuz"),OR(N152="Uygun",N152="Kısmen uygun",N152="Uygunsuz"),OR(O152="Uygun",O152="Kısmen uygun",O152="Uygunsuz"),OR(P152&lt;&gt;"Uygun",AND(N152="Uygun",O152="Uygun")),OR(P152="Uygun",AND(T152&lt;&gt;"",COUNTIF(Findings[KayitliBulguID],T152)=1))),"İnceleme tamam","Sonuç / bulgu eksik"))))))))</x:f>
        <x:v>Kimlik / kapsam eksik</x:v>
      </x:c>
      <x:c r="W152" s="14" t="str">
        <x:f>IF(A152="","",IF(V152&lt;&gt;"İnceleme tamam","İncelenmedi",IF(H152="Uygulanmaz","Uygulanmaz",P152)))</x:f>
        <x:v>İncelenmedi</x:v>
      </x:c>
    </x:row>
    <x:row r="153" ht="35" customHeight="1">
      <x:c r="A153" s="12" t="str">
        <x:v>U-0148</x:v>
      </x:c>
      <x:c r="B153" s="12" t="str">
        <x:v>ESX-059</x:v>
      </x:c>
      <x:c r="C153" s="12" t="str">
        <x:v>VMware ESXi</x:v>
      </x:c>
      <x:c r="D153" s="12" t="str"/>
      <x:c r="E153" s="12" t="str"/>
      <x:c r="F153" s="12" t="str"/>
      <x:c r="G153" s="12" t="str"/>
      <x:c r="H153" s="12" t="str">
        <x:v>Belirlenecek</x:v>
      </x:c>
      <x:c r="I153" s="12" t="str"/>
      <x:c r="J153" s="12" t="str"/>
      <x:c r="K153" s="12" t="str"/>
      <x:c r="L153" s="13" t="str"/>
      <x:c r="M153" s="12" t="str"/>
      <x:c r="N153" s="12" t="str">
        <x:v>İncelenmedi</x:v>
      </x:c>
      <x:c r="O153" s="12" t="str">
        <x:v>İncelenmedi</x:v>
      </x:c>
      <x:c r="P153" s="12" t="str">
        <x:v>İncelenmedi</x:v>
      </x:c>
      <x:c r="Q153" s="12" t="str"/>
      <x:c r="R153" s="12" t="str"/>
      <x:c r="S153" s="13" t="str"/>
      <x:c r="T153" s="12" t="str"/>
      <x:c r="U153" s="12" t="str"/>
      <x:c r="V153" s="14" t="str">
        <x:f>IF(A153="","",IF(NOT(AND(COUNTIF(Exec[TestID],A153)=1,COUNTIF(Controls[ID],B153)=1,COUNTIFS(Scope[KapsamID],D153,Scope[OnayliKapsamID],D153,Scope[Ürün],C153)=1,OR(COUNTIFS(Controls[ID],B153,Controls[Ürün],C153)=1,COUNTIFS(Controls[ID],B153,Controls[Ürün],"MSP Genel")=1),E153&lt;&gt;"",F153&lt;&gt;"",G153&lt;&gt;"",I153&lt;&gt;"",Q153&lt;&gt;"")),"Kimlik / kapsam eksik",IF(NOT(OR(H153="Uygulanır",H153="Uygulanmaz")),"Uygulanabilirlik eksik",IF(AND(H153="Uygulanır",P153="Kanıt yetersiz",U153&lt;&gt;""),IF(AND(R153&lt;&gt;"",R153&lt;&gt;Q153,ISNUMBER(S153),S153&gt;0,S153&gt;=L153),"İnceleme tamam","Gözden geçirme eksik"),IF(NOT(AND(J153&lt;&gt;"",COUNTIFS(Evidence[KanitID],J153,Evidence[Kabul edilen ID],J153)=1,K153&lt;&gt;"",ISNUMBER(L153),L153&gt;0,M153&lt;&gt;"")),"Kanıt / test eksik",IF(NOT(AND(R153&lt;&gt;"",R153&lt;&gt;Q153,ISNUMBER(S153),S153&gt;0,S153&gt;=L153)),"Gözden geçirme eksik",IF(H153="Uygulanmaz","İnceleme tamam",IF(AND(OR(P153="Uygun",P153="Kısmen uygun",P153="Uygunsuz"),OR(N153="Uygun",N153="Kısmen uygun",N153="Uygunsuz"),OR(O153="Uygun",O153="Kısmen uygun",O153="Uygunsuz"),OR(P153&lt;&gt;"Uygun",AND(N153="Uygun",O153="Uygun")),OR(P153="Uygun",AND(T153&lt;&gt;"",COUNTIF(Findings[KayitliBulguID],T153)=1))),"İnceleme tamam","Sonuç / bulgu eksik"))))))))</x:f>
        <x:v>Kimlik / kapsam eksik</x:v>
      </x:c>
      <x:c r="W153" s="14" t="str">
        <x:f>IF(A153="","",IF(V153&lt;&gt;"İnceleme tamam","İncelenmedi",IF(H153="Uygulanmaz","Uygulanmaz",P153)))</x:f>
        <x:v>İncelenmedi</x:v>
      </x:c>
    </x:row>
    <x:row r="154" ht="35" customHeight="1">
      <x:c r="A154" s="12" t="str">
        <x:v>U-0149</x:v>
      </x:c>
      <x:c r="B154" s="12" t="str">
        <x:v>ESX-060</x:v>
      </x:c>
      <x:c r="C154" s="12" t="str">
        <x:v>VMware ESXi</x:v>
      </x:c>
      <x:c r="D154" s="12" t="str"/>
      <x:c r="E154" s="12" t="str"/>
      <x:c r="F154" s="12" t="str"/>
      <x:c r="G154" s="12" t="str"/>
      <x:c r="H154" s="12" t="str">
        <x:v>Belirlenecek</x:v>
      </x:c>
      <x:c r="I154" s="12" t="str"/>
      <x:c r="J154" s="12" t="str"/>
      <x:c r="K154" s="12" t="str"/>
      <x:c r="L154" s="13" t="str"/>
      <x:c r="M154" s="12" t="str"/>
      <x:c r="N154" s="12" t="str">
        <x:v>İncelenmedi</x:v>
      </x:c>
      <x:c r="O154" s="12" t="str">
        <x:v>İncelenmedi</x:v>
      </x:c>
      <x:c r="P154" s="12" t="str">
        <x:v>İncelenmedi</x:v>
      </x:c>
      <x:c r="Q154" s="12" t="str"/>
      <x:c r="R154" s="12" t="str"/>
      <x:c r="S154" s="13" t="str"/>
      <x:c r="T154" s="12" t="str"/>
      <x:c r="U154" s="12" t="str"/>
      <x:c r="V154" s="14" t="str">
        <x:f>IF(A154="","",IF(NOT(AND(COUNTIF(Exec[TestID],A154)=1,COUNTIF(Controls[ID],B154)=1,COUNTIFS(Scope[KapsamID],D154,Scope[OnayliKapsamID],D154,Scope[Ürün],C154)=1,OR(COUNTIFS(Controls[ID],B154,Controls[Ürün],C154)=1,COUNTIFS(Controls[ID],B154,Controls[Ürün],"MSP Genel")=1),E154&lt;&gt;"",F154&lt;&gt;"",G154&lt;&gt;"",I154&lt;&gt;"",Q154&lt;&gt;"")),"Kimlik / kapsam eksik",IF(NOT(OR(H154="Uygulanır",H154="Uygulanmaz")),"Uygulanabilirlik eksik",IF(AND(H154="Uygulanır",P154="Kanıt yetersiz",U154&lt;&gt;""),IF(AND(R154&lt;&gt;"",R154&lt;&gt;Q154,ISNUMBER(S154),S154&gt;0,S154&gt;=L154),"İnceleme tamam","Gözden geçirme eksik"),IF(NOT(AND(J154&lt;&gt;"",COUNTIFS(Evidence[KanitID],J154,Evidence[Kabul edilen ID],J154)=1,K154&lt;&gt;"",ISNUMBER(L154),L154&gt;0,M154&lt;&gt;"")),"Kanıt / test eksik",IF(NOT(AND(R154&lt;&gt;"",R154&lt;&gt;Q154,ISNUMBER(S154),S154&gt;0,S154&gt;=L154)),"Gözden geçirme eksik",IF(H154="Uygulanmaz","İnceleme tamam",IF(AND(OR(P154="Uygun",P154="Kısmen uygun",P154="Uygunsuz"),OR(N154="Uygun",N154="Kısmen uygun",N154="Uygunsuz"),OR(O154="Uygun",O154="Kısmen uygun",O154="Uygunsuz"),OR(P154&lt;&gt;"Uygun",AND(N154="Uygun",O154="Uygun")),OR(P154="Uygun",AND(T154&lt;&gt;"",COUNTIF(Findings[KayitliBulguID],T154)=1))),"İnceleme tamam","Sonuç / bulgu eksik"))))))))</x:f>
        <x:v>Kimlik / kapsam eksik</x:v>
      </x:c>
      <x:c r="W154" s="14" t="str">
        <x:f>IF(A154="","",IF(V154&lt;&gt;"İnceleme tamam","İncelenmedi",IF(H154="Uygulanmaz","Uygulanmaz",P154)))</x:f>
        <x:v>İncelenmedi</x:v>
      </x:c>
    </x:row>
    <x:row r="155" ht="35" customHeight="1">
      <x:c r="A155" s="12" t="str">
        <x:v>U-0150</x:v>
      </x:c>
      <x:c r="B155" s="12" t="str">
        <x:v>ESX-061</x:v>
      </x:c>
      <x:c r="C155" s="12" t="str">
        <x:v>VMware ESXi</x:v>
      </x:c>
      <x:c r="D155" s="12" t="str"/>
      <x:c r="E155" s="12" t="str"/>
      <x:c r="F155" s="12" t="str"/>
      <x:c r="G155" s="12" t="str"/>
      <x:c r="H155" s="12" t="str">
        <x:v>Belirlenecek</x:v>
      </x:c>
      <x:c r="I155" s="12" t="str"/>
      <x:c r="J155" s="12" t="str"/>
      <x:c r="K155" s="12" t="str"/>
      <x:c r="L155" s="13" t="str"/>
      <x:c r="M155" s="12" t="str"/>
      <x:c r="N155" s="12" t="str">
        <x:v>İncelenmedi</x:v>
      </x:c>
      <x:c r="O155" s="12" t="str">
        <x:v>İncelenmedi</x:v>
      </x:c>
      <x:c r="P155" s="12" t="str">
        <x:v>İncelenmedi</x:v>
      </x:c>
      <x:c r="Q155" s="12" t="str"/>
      <x:c r="R155" s="12" t="str"/>
      <x:c r="S155" s="13" t="str"/>
      <x:c r="T155" s="12" t="str"/>
      <x:c r="U155" s="12" t="str"/>
      <x:c r="V155" s="14" t="str">
        <x:f>IF(A155="","",IF(NOT(AND(COUNTIF(Exec[TestID],A155)=1,COUNTIF(Controls[ID],B155)=1,COUNTIFS(Scope[KapsamID],D155,Scope[OnayliKapsamID],D155,Scope[Ürün],C155)=1,OR(COUNTIFS(Controls[ID],B155,Controls[Ürün],C155)=1,COUNTIFS(Controls[ID],B155,Controls[Ürün],"MSP Genel")=1),E155&lt;&gt;"",F155&lt;&gt;"",G155&lt;&gt;"",I155&lt;&gt;"",Q155&lt;&gt;"")),"Kimlik / kapsam eksik",IF(NOT(OR(H155="Uygulanır",H155="Uygulanmaz")),"Uygulanabilirlik eksik",IF(AND(H155="Uygulanır",P155="Kanıt yetersiz",U155&lt;&gt;""),IF(AND(R155&lt;&gt;"",R155&lt;&gt;Q155,ISNUMBER(S155),S155&gt;0,S155&gt;=L155),"İnceleme tamam","Gözden geçirme eksik"),IF(NOT(AND(J155&lt;&gt;"",COUNTIFS(Evidence[KanitID],J155,Evidence[Kabul edilen ID],J155)=1,K155&lt;&gt;"",ISNUMBER(L155),L155&gt;0,M155&lt;&gt;"")),"Kanıt / test eksik",IF(NOT(AND(R155&lt;&gt;"",R155&lt;&gt;Q155,ISNUMBER(S155),S155&gt;0,S155&gt;=L155)),"Gözden geçirme eksik",IF(H155="Uygulanmaz","İnceleme tamam",IF(AND(OR(P155="Uygun",P155="Kısmen uygun",P155="Uygunsuz"),OR(N155="Uygun",N155="Kısmen uygun",N155="Uygunsuz"),OR(O155="Uygun",O155="Kısmen uygun",O155="Uygunsuz"),OR(P155&lt;&gt;"Uygun",AND(N155="Uygun",O155="Uygun")),OR(P155="Uygun",AND(T155&lt;&gt;"",COUNTIF(Findings[KayitliBulguID],T155)=1))),"İnceleme tamam","Sonuç / bulgu eksik"))))))))</x:f>
        <x:v>Kimlik / kapsam eksik</x:v>
      </x:c>
      <x:c r="W155" s="14" t="str">
        <x:f>IF(A155="","",IF(V155&lt;&gt;"İnceleme tamam","İncelenmedi",IF(H155="Uygulanmaz","Uygulanmaz",P155)))</x:f>
        <x:v>İncelenmedi</x:v>
      </x:c>
    </x:row>
    <x:row r="156" ht="35" customHeight="1">
      <x:c r="A156" s="12" t="str">
        <x:v>U-0151</x:v>
      </x:c>
      <x:c r="B156" s="12" t="str">
        <x:v>ESX-062</x:v>
      </x:c>
      <x:c r="C156" s="12" t="str">
        <x:v>VMware ESXi</x:v>
      </x:c>
      <x:c r="D156" s="12" t="str"/>
      <x:c r="E156" s="12" t="str"/>
      <x:c r="F156" s="12" t="str"/>
      <x:c r="G156" s="12" t="str"/>
      <x:c r="H156" s="12" t="str">
        <x:v>Belirlenecek</x:v>
      </x:c>
      <x:c r="I156" s="12" t="str"/>
      <x:c r="J156" s="12" t="str"/>
      <x:c r="K156" s="12" t="str"/>
      <x:c r="L156" s="13" t="str"/>
      <x:c r="M156" s="12" t="str"/>
      <x:c r="N156" s="12" t="str">
        <x:v>İncelenmedi</x:v>
      </x:c>
      <x:c r="O156" s="12" t="str">
        <x:v>İncelenmedi</x:v>
      </x:c>
      <x:c r="P156" s="12" t="str">
        <x:v>İncelenmedi</x:v>
      </x:c>
      <x:c r="Q156" s="12" t="str"/>
      <x:c r="R156" s="12" t="str"/>
      <x:c r="S156" s="13" t="str"/>
      <x:c r="T156" s="12" t="str"/>
      <x:c r="U156" s="12" t="str"/>
      <x:c r="V156" s="14" t="str">
        <x:f>IF(A156="","",IF(NOT(AND(COUNTIF(Exec[TestID],A156)=1,COUNTIF(Controls[ID],B156)=1,COUNTIFS(Scope[KapsamID],D156,Scope[OnayliKapsamID],D156,Scope[Ürün],C156)=1,OR(COUNTIFS(Controls[ID],B156,Controls[Ürün],C156)=1,COUNTIFS(Controls[ID],B156,Controls[Ürün],"MSP Genel")=1),E156&lt;&gt;"",F156&lt;&gt;"",G156&lt;&gt;"",I156&lt;&gt;"",Q156&lt;&gt;"")),"Kimlik / kapsam eksik",IF(NOT(OR(H156="Uygulanır",H156="Uygulanmaz")),"Uygulanabilirlik eksik",IF(AND(H156="Uygulanır",P156="Kanıt yetersiz",U156&lt;&gt;""),IF(AND(R156&lt;&gt;"",R156&lt;&gt;Q156,ISNUMBER(S156),S156&gt;0,S156&gt;=L156),"İnceleme tamam","Gözden geçirme eksik"),IF(NOT(AND(J156&lt;&gt;"",COUNTIFS(Evidence[KanitID],J156,Evidence[Kabul edilen ID],J156)=1,K156&lt;&gt;"",ISNUMBER(L156),L156&gt;0,M156&lt;&gt;"")),"Kanıt / test eksik",IF(NOT(AND(R156&lt;&gt;"",R156&lt;&gt;Q156,ISNUMBER(S156),S156&gt;0,S156&gt;=L156)),"Gözden geçirme eksik",IF(H156="Uygulanmaz","İnceleme tamam",IF(AND(OR(P156="Uygun",P156="Kısmen uygun",P156="Uygunsuz"),OR(N156="Uygun",N156="Kısmen uygun",N156="Uygunsuz"),OR(O156="Uygun",O156="Kısmen uygun",O156="Uygunsuz"),OR(P156&lt;&gt;"Uygun",AND(N156="Uygun",O156="Uygun")),OR(P156="Uygun",AND(T156&lt;&gt;"",COUNTIF(Findings[KayitliBulguID],T156)=1))),"İnceleme tamam","Sonuç / bulgu eksik"))))))))</x:f>
        <x:v>Kimlik / kapsam eksik</x:v>
      </x:c>
      <x:c r="W156" s="14" t="str">
        <x:f>IF(A156="","",IF(V156&lt;&gt;"İnceleme tamam","İncelenmedi",IF(H156="Uygulanmaz","Uygulanmaz",P156)))</x:f>
        <x:v>İncelenmedi</x:v>
      </x:c>
    </x:row>
    <x:row r="157" ht="35" customHeight="1">
      <x:c r="A157" s="12" t="str">
        <x:v>U-0152</x:v>
      </x:c>
      <x:c r="B157" s="12" t="str">
        <x:v>ESX-063</x:v>
      </x:c>
      <x:c r="C157" s="12" t="str">
        <x:v>VMware ESXi</x:v>
      </x:c>
      <x:c r="D157" s="12" t="str"/>
      <x:c r="E157" s="12" t="str"/>
      <x:c r="F157" s="12" t="str"/>
      <x:c r="G157" s="12" t="str"/>
      <x:c r="H157" s="12" t="str">
        <x:v>Belirlenecek</x:v>
      </x:c>
      <x:c r="I157" s="12" t="str"/>
      <x:c r="J157" s="12" t="str"/>
      <x:c r="K157" s="12" t="str"/>
      <x:c r="L157" s="13" t="str"/>
      <x:c r="M157" s="12" t="str"/>
      <x:c r="N157" s="12" t="str">
        <x:v>İncelenmedi</x:v>
      </x:c>
      <x:c r="O157" s="12" t="str">
        <x:v>İncelenmedi</x:v>
      </x:c>
      <x:c r="P157" s="12" t="str">
        <x:v>İncelenmedi</x:v>
      </x:c>
      <x:c r="Q157" s="12" t="str"/>
      <x:c r="R157" s="12" t="str"/>
      <x:c r="S157" s="13" t="str"/>
      <x:c r="T157" s="12" t="str"/>
      <x:c r="U157" s="12" t="str"/>
      <x:c r="V157" s="14" t="str">
        <x:f>IF(A157="","",IF(NOT(AND(COUNTIF(Exec[TestID],A157)=1,COUNTIF(Controls[ID],B157)=1,COUNTIFS(Scope[KapsamID],D157,Scope[OnayliKapsamID],D157,Scope[Ürün],C157)=1,OR(COUNTIFS(Controls[ID],B157,Controls[Ürün],C157)=1,COUNTIFS(Controls[ID],B157,Controls[Ürün],"MSP Genel")=1),E157&lt;&gt;"",F157&lt;&gt;"",G157&lt;&gt;"",I157&lt;&gt;"",Q157&lt;&gt;"")),"Kimlik / kapsam eksik",IF(NOT(OR(H157="Uygulanır",H157="Uygulanmaz")),"Uygulanabilirlik eksik",IF(AND(H157="Uygulanır",P157="Kanıt yetersiz",U157&lt;&gt;""),IF(AND(R157&lt;&gt;"",R157&lt;&gt;Q157,ISNUMBER(S157),S157&gt;0,S157&gt;=L157),"İnceleme tamam","Gözden geçirme eksik"),IF(NOT(AND(J157&lt;&gt;"",COUNTIFS(Evidence[KanitID],J157,Evidence[Kabul edilen ID],J157)=1,K157&lt;&gt;"",ISNUMBER(L157),L157&gt;0,M157&lt;&gt;"")),"Kanıt / test eksik",IF(NOT(AND(R157&lt;&gt;"",R157&lt;&gt;Q157,ISNUMBER(S157),S157&gt;0,S157&gt;=L157)),"Gözden geçirme eksik",IF(H157="Uygulanmaz","İnceleme tamam",IF(AND(OR(P157="Uygun",P157="Kısmen uygun",P157="Uygunsuz"),OR(N157="Uygun",N157="Kısmen uygun",N157="Uygunsuz"),OR(O157="Uygun",O157="Kısmen uygun",O157="Uygunsuz"),OR(P157&lt;&gt;"Uygun",AND(N157="Uygun",O157="Uygun")),OR(P157="Uygun",AND(T157&lt;&gt;"",COUNTIF(Findings[KayitliBulguID],T157)=1))),"İnceleme tamam","Sonuç / bulgu eksik"))))))))</x:f>
        <x:v>Kimlik / kapsam eksik</x:v>
      </x:c>
      <x:c r="W157" s="14" t="str">
        <x:f>IF(A157="","",IF(V157&lt;&gt;"İnceleme tamam","İncelenmedi",IF(H157="Uygulanmaz","Uygulanmaz",P157)))</x:f>
        <x:v>İncelenmedi</x:v>
      </x:c>
    </x:row>
    <x:row r="158" ht="35" customHeight="1">
      <x:c r="A158" s="12" t="str">
        <x:v>U-0153</x:v>
      </x:c>
      <x:c r="B158" s="12" t="str">
        <x:v>ESX-064</x:v>
      </x:c>
      <x:c r="C158" s="12" t="str">
        <x:v>VMware ESXi</x:v>
      </x:c>
      <x:c r="D158" s="12" t="str"/>
      <x:c r="E158" s="12" t="str"/>
      <x:c r="F158" s="12" t="str"/>
      <x:c r="G158" s="12" t="str"/>
      <x:c r="H158" s="12" t="str">
        <x:v>Belirlenecek</x:v>
      </x:c>
      <x:c r="I158" s="12" t="str"/>
      <x:c r="J158" s="12" t="str"/>
      <x:c r="K158" s="12" t="str"/>
      <x:c r="L158" s="13" t="str"/>
      <x:c r="M158" s="12" t="str"/>
      <x:c r="N158" s="12" t="str">
        <x:v>İncelenmedi</x:v>
      </x:c>
      <x:c r="O158" s="12" t="str">
        <x:v>İncelenmedi</x:v>
      </x:c>
      <x:c r="P158" s="12" t="str">
        <x:v>İncelenmedi</x:v>
      </x:c>
      <x:c r="Q158" s="12" t="str"/>
      <x:c r="R158" s="12" t="str"/>
      <x:c r="S158" s="13" t="str"/>
      <x:c r="T158" s="12" t="str"/>
      <x:c r="U158" s="12" t="str"/>
      <x:c r="V158" s="14" t="str">
        <x:f>IF(A158="","",IF(NOT(AND(COUNTIF(Exec[TestID],A158)=1,COUNTIF(Controls[ID],B158)=1,COUNTIFS(Scope[KapsamID],D158,Scope[OnayliKapsamID],D158,Scope[Ürün],C158)=1,OR(COUNTIFS(Controls[ID],B158,Controls[Ürün],C158)=1,COUNTIFS(Controls[ID],B158,Controls[Ürün],"MSP Genel")=1),E158&lt;&gt;"",F158&lt;&gt;"",G158&lt;&gt;"",I158&lt;&gt;"",Q158&lt;&gt;"")),"Kimlik / kapsam eksik",IF(NOT(OR(H158="Uygulanır",H158="Uygulanmaz")),"Uygulanabilirlik eksik",IF(AND(H158="Uygulanır",P158="Kanıt yetersiz",U158&lt;&gt;""),IF(AND(R158&lt;&gt;"",R158&lt;&gt;Q158,ISNUMBER(S158),S158&gt;0,S158&gt;=L158),"İnceleme tamam","Gözden geçirme eksik"),IF(NOT(AND(J158&lt;&gt;"",COUNTIFS(Evidence[KanitID],J158,Evidence[Kabul edilen ID],J158)=1,K158&lt;&gt;"",ISNUMBER(L158),L158&gt;0,M158&lt;&gt;"")),"Kanıt / test eksik",IF(NOT(AND(R158&lt;&gt;"",R158&lt;&gt;Q158,ISNUMBER(S158),S158&gt;0,S158&gt;=L158)),"Gözden geçirme eksik",IF(H158="Uygulanmaz","İnceleme tamam",IF(AND(OR(P158="Uygun",P158="Kısmen uygun",P158="Uygunsuz"),OR(N158="Uygun",N158="Kısmen uygun",N158="Uygunsuz"),OR(O158="Uygun",O158="Kısmen uygun",O158="Uygunsuz"),OR(P158&lt;&gt;"Uygun",AND(N158="Uygun",O158="Uygun")),OR(P158="Uygun",AND(T158&lt;&gt;"",COUNTIF(Findings[KayitliBulguID],T158)=1))),"İnceleme tamam","Sonuç / bulgu eksik"))))))))</x:f>
        <x:v>Kimlik / kapsam eksik</x:v>
      </x:c>
      <x:c r="W158" s="14" t="str">
        <x:f>IF(A158="","",IF(V158&lt;&gt;"İnceleme tamam","İncelenmedi",IF(H158="Uygulanmaz","Uygulanmaz",P158)))</x:f>
        <x:v>İncelenmedi</x:v>
      </x:c>
    </x:row>
    <x:row r="159" ht="35" customHeight="1">
      <x:c r="A159" s="12" t="str">
        <x:v>U-0154</x:v>
      </x:c>
      <x:c r="B159" s="12" t="str">
        <x:v>ESX-065</x:v>
      </x:c>
      <x:c r="C159" s="12" t="str">
        <x:v>VMware ESXi</x:v>
      </x:c>
      <x:c r="D159" s="12" t="str"/>
      <x:c r="E159" s="12" t="str"/>
      <x:c r="F159" s="12" t="str"/>
      <x:c r="G159" s="12" t="str"/>
      <x:c r="H159" s="12" t="str">
        <x:v>Belirlenecek</x:v>
      </x:c>
      <x:c r="I159" s="12" t="str"/>
      <x:c r="J159" s="12" t="str"/>
      <x:c r="K159" s="12" t="str"/>
      <x:c r="L159" s="13" t="str"/>
      <x:c r="M159" s="12" t="str"/>
      <x:c r="N159" s="12" t="str">
        <x:v>İncelenmedi</x:v>
      </x:c>
      <x:c r="O159" s="12" t="str">
        <x:v>İncelenmedi</x:v>
      </x:c>
      <x:c r="P159" s="12" t="str">
        <x:v>İncelenmedi</x:v>
      </x:c>
      <x:c r="Q159" s="12" t="str"/>
      <x:c r="R159" s="12" t="str"/>
      <x:c r="S159" s="13" t="str"/>
      <x:c r="T159" s="12" t="str"/>
      <x:c r="U159" s="12" t="str"/>
      <x:c r="V159" s="14" t="str">
        <x:f>IF(A159="","",IF(NOT(AND(COUNTIF(Exec[TestID],A159)=1,COUNTIF(Controls[ID],B159)=1,COUNTIFS(Scope[KapsamID],D159,Scope[OnayliKapsamID],D159,Scope[Ürün],C159)=1,OR(COUNTIFS(Controls[ID],B159,Controls[Ürün],C159)=1,COUNTIFS(Controls[ID],B159,Controls[Ürün],"MSP Genel")=1),E159&lt;&gt;"",F159&lt;&gt;"",G159&lt;&gt;"",I159&lt;&gt;"",Q159&lt;&gt;"")),"Kimlik / kapsam eksik",IF(NOT(OR(H159="Uygulanır",H159="Uygulanmaz")),"Uygulanabilirlik eksik",IF(AND(H159="Uygulanır",P159="Kanıt yetersiz",U159&lt;&gt;""),IF(AND(R159&lt;&gt;"",R159&lt;&gt;Q159,ISNUMBER(S159),S159&gt;0,S159&gt;=L159),"İnceleme tamam","Gözden geçirme eksik"),IF(NOT(AND(J159&lt;&gt;"",COUNTIFS(Evidence[KanitID],J159,Evidence[Kabul edilen ID],J159)=1,K159&lt;&gt;"",ISNUMBER(L159),L159&gt;0,M159&lt;&gt;"")),"Kanıt / test eksik",IF(NOT(AND(R159&lt;&gt;"",R159&lt;&gt;Q159,ISNUMBER(S159),S159&gt;0,S159&gt;=L159)),"Gözden geçirme eksik",IF(H159="Uygulanmaz","İnceleme tamam",IF(AND(OR(P159="Uygun",P159="Kısmen uygun",P159="Uygunsuz"),OR(N159="Uygun",N159="Kısmen uygun",N159="Uygunsuz"),OR(O159="Uygun",O159="Kısmen uygun",O159="Uygunsuz"),OR(P159&lt;&gt;"Uygun",AND(N159="Uygun",O159="Uygun")),OR(P159="Uygun",AND(T159&lt;&gt;"",COUNTIF(Findings[KayitliBulguID],T159)=1))),"İnceleme tamam","Sonuç / bulgu eksik"))))))))</x:f>
        <x:v>Kimlik / kapsam eksik</x:v>
      </x:c>
      <x:c r="W159" s="14" t="str">
        <x:f>IF(A159="","",IF(V159&lt;&gt;"İnceleme tamam","İncelenmedi",IF(H159="Uygulanmaz","Uygulanmaz",P159)))</x:f>
        <x:v>İncelenmedi</x:v>
      </x:c>
    </x:row>
    <x:row r="160" ht="35" customHeight="1">
      <x:c r="A160" s="12" t="str">
        <x:v>U-0155</x:v>
      </x:c>
      <x:c r="B160" s="12" t="str">
        <x:v>ESX-066</x:v>
      </x:c>
      <x:c r="C160" s="12" t="str">
        <x:v>VMware ESXi</x:v>
      </x:c>
      <x:c r="D160" s="12" t="str"/>
      <x:c r="E160" s="12" t="str"/>
      <x:c r="F160" s="12" t="str"/>
      <x:c r="G160" s="12" t="str"/>
      <x:c r="H160" s="12" t="str">
        <x:v>Belirlenecek</x:v>
      </x:c>
      <x:c r="I160" s="12" t="str"/>
      <x:c r="J160" s="12" t="str"/>
      <x:c r="K160" s="12" t="str"/>
      <x:c r="L160" s="13" t="str"/>
      <x:c r="M160" s="12" t="str"/>
      <x:c r="N160" s="12" t="str">
        <x:v>İncelenmedi</x:v>
      </x:c>
      <x:c r="O160" s="12" t="str">
        <x:v>İncelenmedi</x:v>
      </x:c>
      <x:c r="P160" s="12" t="str">
        <x:v>İncelenmedi</x:v>
      </x:c>
      <x:c r="Q160" s="12" t="str"/>
      <x:c r="R160" s="12" t="str"/>
      <x:c r="S160" s="13" t="str"/>
      <x:c r="T160" s="12" t="str"/>
      <x:c r="U160" s="12" t="str"/>
      <x:c r="V160" s="14" t="str">
        <x:f>IF(A160="","",IF(NOT(AND(COUNTIF(Exec[TestID],A160)=1,COUNTIF(Controls[ID],B160)=1,COUNTIFS(Scope[KapsamID],D160,Scope[OnayliKapsamID],D160,Scope[Ürün],C160)=1,OR(COUNTIFS(Controls[ID],B160,Controls[Ürün],C160)=1,COUNTIFS(Controls[ID],B160,Controls[Ürün],"MSP Genel")=1),E160&lt;&gt;"",F160&lt;&gt;"",G160&lt;&gt;"",I160&lt;&gt;"",Q160&lt;&gt;"")),"Kimlik / kapsam eksik",IF(NOT(OR(H160="Uygulanır",H160="Uygulanmaz")),"Uygulanabilirlik eksik",IF(AND(H160="Uygulanır",P160="Kanıt yetersiz",U160&lt;&gt;""),IF(AND(R160&lt;&gt;"",R160&lt;&gt;Q160,ISNUMBER(S160),S160&gt;0,S160&gt;=L160),"İnceleme tamam","Gözden geçirme eksik"),IF(NOT(AND(J160&lt;&gt;"",COUNTIFS(Evidence[KanitID],J160,Evidence[Kabul edilen ID],J160)=1,K160&lt;&gt;"",ISNUMBER(L160),L160&gt;0,M160&lt;&gt;"")),"Kanıt / test eksik",IF(NOT(AND(R160&lt;&gt;"",R160&lt;&gt;Q160,ISNUMBER(S160),S160&gt;0,S160&gt;=L160)),"Gözden geçirme eksik",IF(H160="Uygulanmaz","İnceleme tamam",IF(AND(OR(P160="Uygun",P160="Kısmen uygun",P160="Uygunsuz"),OR(N160="Uygun",N160="Kısmen uygun",N160="Uygunsuz"),OR(O160="Uygun",O160="Kısmen uygun",O160="Uygunsuz"),OR(P160&lt;&gt;"Uygun",AND(N160="Uygun",O160="Uygun")),OR(P160="Uygun",AND(T160&lt;&gt;"",COUNTIF(Findings[KayitliBulguID],T160)=1))),"İnceleme tamam","Sonuç / bulgu eksik"))))))))</x:f>
        <x:v>Kimlik / kapsam eksik</x:v>
      </x:c>
      <x:c r="W160" s="14" t="str">
        <x:f>IF(A160="","",IF(V160&lt;&gt;"İnceleme tamam","İncelenmedi",IF(H160="Uygulanmaz","Uygulanmaz",P160)))</x:f>
        <x:v>İncelenmedi</x:v>
      </x:c>
    </x:row>
    <x:row r="161" ht="35" customHeight="1">
      <x:c r="A161" s="12" t="str">
        <x:v>U-0156</x:v>
      </x:c>
      <x:c r="B161" s="12" t="str">
        <x:v>ESX-067</x:v>
      </x:c>
      <x:c r="C161" s="12" t="str">
        <x:v>VMware ESXi</x:v>
      </x:c>
      <x:c r="D161" s="12" t="str"/>
      <x:c r="E161" s="12" t="str"/>
      <x:c r="F161" s="12" t="str"/>
      <x:c r="G161" s="12" t="str"/>
      <x:c r="H161" s="12" t="str">
        <x:v>Belirlenecek</x:v>
      </x:c>
      <x:c r="I161" s="12" t="str"/>
      <x:c r="J161" s="12" t="str"/>
      <x:c r="K161" s="12" t="str"/>
      <x:c r="L161" s="13" t="str"/>
      <x:c r="M161" s="12" t="str"/>
      <x:c r="N161" s="12" t="str">
        <x:v>İncelenmedi</x:v>
      </x:c>
      <x:c r="O161" s="12" t="str">
        <x:v>İncelenmedi</x:v>
      </x:c>
      <x:c r="P161" s="12" t="str">
        <x:v>İncelenmedi</x:v>
      </x:c>
      <x:c r="Q161" s="12" t="str"/>
      <x:c r="R161" s="12" t="str"/>
      <x:c r="S161" s="13" t="str"/>
      <x:c r="T161" s="12" t="str"/>
      <x:c r="U161" s="12" t="str"/>
      <x:c r="V161" s="14" t="str">
        <x:f>IF(A161="","",IF(NOT(AND(COUNTIF(Exec[TestID],A161)=1,COUNTIF(Controls[ID],B161)=1,COUNTIFS(Scope[KapsamID],D161,Scope[OnayliKapsamID],D161,Scope[Ürün],C161)=1,OR(COUNTIFS(Controls[ID],B161,Controls[Ürün],C161)=1,COUNTIFS(Controls[ID],B161,Controls[Ürün],"MSP Genel")=1),E161&lt;&gt;"",F161&lt;&gt;"",G161&lt;&gt;"",I161&lt;&gt;"",Q161&lt;&gt;"")),"Kimlik / kapsam eksik",IF(NOT(OR(H161="Uygulanır",H161="Uygulanmaz")),"Uygulanabilirlik eksik",IF(AND(H161="Uygulanır",P161="Kanıt yetersiz",U161&lt;&gt;""),IF(AND(R161&lt;&gt;"",R161&lt;&gt;Q161,ISNUMBER(S161),S161&gt;0,S161&gt;=L161),"İnceleme tamam","Gözden geçirme eksik"),IF(NOT(AND(J161&lt;&gt;"",COUNTIFS(Evidence[KanitID],J161,Evidence[Kabul edilen ID],J161)=1,K161&lt;&gt;"",ISNUMBER(L161),L161&gt;0,M161&lt;&gt;"")),"Kanıt / test eksik",IF(NOT(AND(R161&lt;&gt;"",R161&lt;&gt;Q161,ISNUMBER(S161),S161&gt;0,S161&gt;=L161)),"Gözden geçirme eksik",IF(H161="Uygulanmaz","İnceleme tamam",IF(AND(OR(P161="Uygun",P161="Kısmen uygun",P161="Uygunsuz"),OR(N161="Uygun",N161="Kısmen uygun",N161="Uygunsuz"),OR(O161="Uygun",O161="Kısmen uygun",O161="Uygunsuz"),OR(P161&lt;&gt;"Uygun",AND(N161="Uygun",O161="Uygun")),OR(P161="Uygun",AND(T161&lt;&gt;"",COUNTIF(Findings[KayitliBulguID],T161)=1))),"İnceleme tamam","Sonuç / bulgu eksik"))))))))</x:f>
        <x:v>Kimlik / kapsam eksik</x:v>
      </x:c>
      <x:c r="W161" s="14" t="str">
        <x:f>IF(A161="","",IF(V161&lt;&gt;"İnceleme tamam","İncelenmedi",IF(H161="Uygulanmaz","Uygulanmaz",P161)))</x:f>
        <x:v>İncelenmedi</x:v>
      </x:c>
    </x:row>
    <x:row r="162" ht="35" customHeight="1">
      <x:c r="A162" s="12" t="str">
        <x:v>U-0157</x:v>
      </x:c>
      <x:c r="B162" s="12" t="str">
        <x:v>ESX-068</x:v>
      </x:c>
      <x:c r="C162" s="12" t="str">
        <x:v>VMware ESXi</x:v>
      </x:c>
      <x:c r="D162" s="12" t="str"/>
      <x:c r="E162" s="12" t="str"/>
      <x:c r="F162" s="12" t="str"/>
      <x:c r="G162" s="12" t="str"/>
      <x:c r="H162" s="12" t="str">
        <x:v>Belirlenecek</x:v>
      </x:c>
      <x:c r="I162" s="12" t="str"/>
      <x:c r="J162" s="12" t="str"/>
      <x:c r="K162" s="12" t="str"/>
      <x:c r="L162" s="13" t="str"/>
      <x:c r="M162" s="12" t="str"/>
      <x:c r="N162" s="12" t="str">
        <x:v>İncelenmedi</x:v>
      </x:c>
      <x:c r="O162" s="12" t="str">
        <x:v>İncelenmedi</x:v>
      </x:c>
      <x:c r="P162" s="12" t="str">
        <x:v>İncelenmedi</x:v>
      </x:c>
      <x:c r="Q162" s="12" t="str"/>
      <x:c r="R162" s="12" t="str"/>
      <x:c r="S162" s="13" t="str"/>
      <x:c r="T162" s="12" t="str"/>
      <x:c r="U162" s="12" t="str"/>
      <x:c r="V162" s="14" t="str">
        <x:f>IF(A162="","",IF(NOT(AND(COUNTIF(Exec[TestID],A162)=1,COUNTIF(Controls[ID],B162)=1,COUNTIFS(Scope[KapsamID],D162,Scope[OnayliKapsamID],D162,Scope[Ürün],C162)=1,OR(COUNTIFS(Controls[ID],B162,Controls[Ürün],C162)=1,COUNTIFS(Controls[ID],B162,Controls[Ürün],"MSP Genel")=1),E162&lt;&gt;"",F162&lt;&gt;"",G162&lt;&gt;"",I162&lt;&gt;"",Q162&lt;&gt;"")),"Kimlik / kapsam eksik",IF(NOT(OR(H162="Uygulanır",H162="Uygulanmaz")),"Uygulanabilirlik eksik",IF(AND(H162="Uygulanır",P162="Kanıt yetersiz",U162&lt;&gt;""),IF(AND(R162&lt;&gt;"",R162&lt;&gt;Q162,ISNUMBER(S162),S162&gt;0,S162&gt;=L162),"İnceleme tamam","Gözden geçirme eksik"),IF(NOT(AND(J162&lt;&gt;"",COUNTIFS(Evidence[KanitID],J162,Evidence[Kabul edilen ID],J162)=1,K162&lt;&gt;"",ISNUMBER(L162),L162&gt;0,M162&lt;&gt;"")),"Kanıt / test eksik",IF(NOT(AND(R162&lt;&gt;"",R162&lt;&gt;Q162,ISNUMBER(S162),S162&gt;0,S162&gt;=L162)),"Gözden geçirme eksik",IF(H162="Uygulanmaz","İnceleme tamam",IF(AND(OR(P162="Uygun",P162="Kısmen uygun",P162="Uygunsuz"),OR(N162="Uygun",N162="Kısmen uygun",N162="Uygunsuz"),OR(O162="Uygun",O162="Kısmen uygun",O162="Uygunsuz"),OR(P162&lt;&gt;"Uygun",AND(N162="Uygun",O162="Uygun")),OR(P162="Uygun",AND(T162&lt;&gt;"",COUNTIF(Findings[KayitliBulguID],T162)=1))),"İnceleme tamam","Sonuç / bulgu eksik"))))))))</x:f>
        <x:v>Kimlik / kapsam eksik</x:v>
      </x:c>
      <x:c r="W162" s="14" t="str">
        <x:f>IF(A162="","",IF(V162&lt;&gt;"İnceleme tamam","İncelenmedi",IF(H162="Uygulanmaz","Uygulanmaz",P162)))</x:f>
        <x:v>İncelenmedi</x:v>
      </x:c>
    </x:row>
    <x:row r="163" ht="35" customHeight="1">
      <x:c r="A163" s="12" t="str">
        <x:v>U-0158</x:v>
      </x:c>
      <x:c r="B163" s="12" t="str">
        <x:v>ESX-069</x:v>
      </x:c>
      <x:c r="C163" s="12" t="str">
        <x:v>VMware ESXi</x:v>
      </x:c>
      <x:c r="D163" s="12" t="str"/>
      <x:c r="E163" s="12" t="str"/>
      <x:c r="F163" s="12" t="str"/>
      <x:c r="G163" s="12" t="str"/>
      <x:c r="H163" s="12" t="str">
        <x:v>Belirlenecek</x:v>
      </x:c>
      <x:c r="I163" s="12" t="str"/>
      <x:c r="J163" s="12" t="str"/>
      <x:c r="K163" s="12" t="str"/>
      <x:c r="L163" s="13" t="str"/>
      <x:c r="M163" s="12" t="str"/>
      <x:c r="N163" s="12" t="str">
        <x:v>İncelenmedi</x:v>
      </x:c>
      <x:c r="O163" s="12" t="str">
        <x:v>İncelenmedi</x:v>
      </x:c>
      <x:c r="P163" s="12" t="str">
        <x:v>İncelenmedi</x:v>
      </x:c>
      <x:c r="Q163" s="12" t="str"/>
      <x:c r="R163" s="12" t="str"/>
      <x:c r="S163" s="13" t="str"/>
      <x:c r="T163" s="12" t="str"/>
      <x:c r="U163" s="12" t="str"/>
      <x:c r="V163" s="14" t="str">
        <x:f>IF(A163="","",IF(NOT(AND(COUNTIF(Exec[TestID],A163)=1,COUNTIF(Controls[ID],B163)=1,COUNTIFS(Scope[KapsamID],D163,Scope[OnayliKapsamID],D163,Scope[Ürün],C163)=1,OR(COUNTIFS(Controls[ID],B163,Controls[Ürün],C163)=1,COUNTIFS(Controls[ID],B163,Controls[Ürün],"MSP Genel")=1),E163&lt;&gt;"",F163&lt;&gt;"",G163&lt;&gt;"",I163&lt;&gt;"",Q163&lt;&gt;"")),"Kimlik / kapsam eksik",IF(NOT(OR(H163="Uygulanır",H163="Uygulanmaz")),"Uygulanabilirlik eksik",IF(AND(H163="Uygulanır",P163="Kanıt yetersiz",U163&lt;&gt;""),IF(AND(R163&lt;&gt;"",R163&lt;&gt;Q163,ISNUMBER(S163),S163&gt;0,S163&gt;=L163),"İnceleme tamam","Gözden geçirme eksik"),IF(NOT(AND(J163&lt;&gt;"",COUNTIFS(Evidence[KanitID],J163,Evidence[Kabul edilen ID],J163)=1,K163&lt;&gt;"",ISNUMBER(L163),L163&gt;0,M163&lt;&gt;"")),"Kanıt / test eksik",IF(NOT(AND(R163&lt;&gt;"",R163&lt;&gt;Q163,ISNUMBER(S163),S163&gt;0,S163&gt;=L163)),"Gözden geçirme eksik",IF(H163="Uygulanmaz","İnceleme tamam",IF(AND(OR(P163="Uygun",P163="Kısmen uygun",P163="Uygunsuz"),OR(N163="Uygun",N163="Kısmen uygun",N163="Uygunsuz"),OR(O163="Uygun",O163="Kısmen uygun",O163="Uygunsuz"),OR(P163&lt;&gt;"Uygun",AND(N163="Uygun",O163="Uygun")),OR(P163="Uygun",AND(T163&lt;&gt;"",COUNTIF(Findings[KayitliBulguID],T163)=1))),"İnceleme tamam","Sonuç / bulgu eksik"))))))))</x:f>
        <x:v>Kimlik / kapsam eksik</x:v>
      </x:c>
      <x:c r="W163" s="14" t="str">
        <x:f>IF(A163="","",IF(V163&lt;&gt;"İnceleme tamam","İncelenmedi",IF(H163="Uygulanmaz","Uygulanmaz",P163)))</x:f>
        <x:v>İncelenmedi</x:v>
      </x:c>
    </x:row>
    <x:row r="164" ht="35" customHeight="1">
      <x:c r="A164" s="12" t="str">
        <x:v>U-0159</x:v>
      </x:c>
      <x:c r="B164" s="12" t="str">
        <x:v>ESX-070</x:v>
      </x:c>
      <x:c r="C164" s="12" t="str">
        <x:v>VMware ESXi</x:v>
      </x:c>
      <x:c r="D164" s="12" t="str"/>
      <x:c r="E164" s="12" t="str"/>
      <x:c r="F164" s="12" t="str"/>
      <x:c r="G164" s="12" t="str"/>
      <x:c r="H164" s="12" t="str">
        <x:v>Belirlenecek</x:v>
      </x:c>
      <x:c r="I164" s="12" t="str"/>
      <x:c r="J164" s="12" t="str"/>
      <x:c r="K164" s="12" t="str"/>
      <x:c r="L164" s="13" t="str"/>
      <x:c r="M164" s="12" t="str"/>
      <x:c r="N164" s="12" t="str">
        <x:v>İncelenmedi</x:v>
      </x:c>
      <x:c r="O164" s="12" t="str">
        <x:v>İncelenmedi</x:v>
      </x:c>
      <x:c r="P164" s="12" t="str">
        <x:v>İncelenmedi</x:v>
      </x:c>
      <x:c r="Q164" s="12" t="str"/>
      <x:c r="R164" s="12" t="str"/>
      <x:c r="S164" s="13" t="str"/>
      <x:c r="T164" s="12" t="str"/>
      <x:c r="U164" s="12" t="str"/>
      <x:c r="V164" s="14" t="str">
        <x:f>IF(A164="","",IF(NOT(AND(COUNTIF(Exec[TestID],A164)=1,COUNTIF(Controls[ID],B164)=1,COUNTIFS(Scope[KapsamID],D164,Scope[OnayliKapsamID],D164,Scope[Ürün],C164)=1,OR(COUNTIFS(Controls[ID],B164,Controls[Ürün],C164)=1,COUNTIFS(Controls[ID],B164,Controls[Ürün],"MSP Genel")=1),E164&lt;&gt;"",F164&lt;&gt;"",G164&lt;&gt;"",I164&lt;&gt;"",Q164&lt;&gt;"")),"Kimlik / kapsam eksik",IF(NOT(OR(H164="Uygulanır",H164="Uygulanmaz")),"Uygulanabilirlik eksik",IF(AND(H164="Uygulanır",P164="Kanıt yetersiz",U164&lt;&gt;""),IF(AND(R164&lt;&gt;"",R164&lt;&gt;Q164,ISNUMBER(S164),S164&gt;0,S164&gt;=L164),"İnceleme tamam","Gözden geçirme eksik"),IF(NOT(AND(J164&lt;&gt;"",COUNTIFS(Evidence[KanitID],J164,Evidence[Kabul edilen ID],J164)=1,K164&lt;&gt;"",ISNUMBER(L164),L164&gt;0,M164&lt;&gt;"")),"Kanıt / test eksik",IF(NOT(AND(R164&lt;&gt;"",R164&lt;&gt;Q164,ISNUMBER(S164),S164&gt;0,S164&gt;=L164)),"Gözden geçirme eksik",IF(H164="Uygulanmaz","İnceleme tamam",IF(AND(OR(P164="Uygun",P164="Kısmen uygun",P164="Uygunsuz"),OR(N164="Uygun",N164="Kısmen uygun",N164="Uygunsuz"),OR(O164="Uygun",O164="Kısmen uygun",O164="Uygunsuz"),OR(P164&lt;&gt;"Uygun",AND(N164="Uygun",O164="Uygun")),OR(P164="Uygun",AND(T164&lt;&gt;"",COUNTIF(Findings[KayitliBulguID],T164)=1))),"İnceleme tamam","Sonuç / bulgu eksik"))))))))</x:f>
        <x:v>Kimlik / kapsam eksik</x:v>
      </x:c>
      <x:c r="W164" s="14" t="str">
        <x:f>IF(A164="","",IF(V164&lt;&gt;"İnceleme tamam","İncelenmedi",IF(H164="Uygulanmaz","Uygulanmaz",P164)))</x:f>
        <x:v>İncelenmedi</x:v>
      </x:c>
    </x:row>
    <x:row r="165" ht="35" customHeight="1">
      <x:c r="A165" s="12" t="str">
        <x:v>U-0160</x:v>
      </x:c>
      <x:c r="B165" s="12" t="str">
        <x:v>ESX-071</x:v>
      </x:c>
      <x:c r="C165" s="12" t="str">
        <x:v>VMware ESXi</x:v>
      </x:c>
      <x:c r="D165" s="12" t="str"/>
      <x:c r="E165" s="12" t="str"/>
      <x:c r="F165" s="12" t="str"/>
      <x:c r="G165" s="12" t="str"/>
      <x:c r="H165" s="12" t="str">
        <x:v>Belirlenecek</x:v>
      </x:c>
      <x:c r="I165" s="12" t="str"/>
      <x:c r="J165" s="12" t="str"/>
      <x:c r="K165" s="12" t="str"/>
      <x:c r="L165" s="13" t="str"/>
      <x:c r="M165" s="12" t="str"/>
      <x:c r="N165" s="12" t="str">
        <x:v>İncelenmedi</x:v>
      </x:c>
      <x:c r="O165" s="12" t="str">
        <x:v>İncelenmedi</x:v>
      </x:c>
      <x:c r="P165" s="12" t="str">
        <x:v>İncelenmedi</x:v>
      </x:c>
      <x:c r="Q165" s="12" t="str"/>
      <x:c r="R165" s="12" t="str"/>
      <x:c r="S165" s="13" t="str"/>
      <x:c r="T165" s="12" t="str"/>
      <x:c r="U165" s="12" t="str"/>
      <x:c r="V165" s="14" t="str">
        <x:f>IF(A165="","",IF(NOT(AND(COUNTIF(Exec[TestID],A165)=1,COUNTIF(Controls[ID],B165)=1,COUNTIFS(Scope[KapsamID],D165,Scope[OnayliKapsamID],D165,Scope[Ürün],C165)=1,OR(COUNTIFS(Controls[ID],B165,Controls[Ürün],C165)=1,COUNTIFS(Controls[ID],B165,Controls[Ürün],"MSP Genel")=1),E165&lt;&gt;"",F165&lt;&gt;"",G165&lt;&gt;"",I165&lt;&gt;"",Q165&lt;&gt;"")),"Kimlik / kapsam eksik",IF(NOT(OR(H165="Uygulanır",H165="Uygulanmaz")),"Uygulanabilirlik eksik",IF(AND(H165="Uygulanır",P165="Kanıt yetersiz",U165&lt;&gt;""),IF(AND(R165&lt;&gt;"",R165&lt;&gt;Q165,ISNUMBER(S165),S165&gt;0,S165&gt;=L165),"İnceleme tamam","Gözden geçirme eksik"),IF(NOT(AND(J165&lt;&gt;"",COUNTIFS(Evidence[KanitID],J165,Evidence[Kabul edilen ID],J165)=1,K165&lt;&gt;"",ISNUMBER(L165),L165&gt;0,M165&lt;&gt;"")),"Kanıt / test eksik",IF(NOT(AND(R165&lt;&gt;"",R165&lt;&gt;Q165,ISNUMBER(S165),S165&gt;0,S165&gt;=L165)),"Gözden geçirme eksik",IF(H165="Uygulanmaz","İnceleme tamam",IF(AND(OR(P165="Uygun",P165="Kısmen uygun",P165="Uygunsuz"),OR(N165="Uygun",N165="Kısmen uygun",N165="Uygunsuz"),OR(O165="Uygun",O165="Kısmen uygun",O165="Uygunsuz"),OR(P165&lt;&gt;"Uygun",AND(N165="Uygun",O165="Uygun")),OR(P165="Uygun",AND(T165&lt;&gt;"",COUNTIF(Findings[KayitliBulguID],T165)=1))),"İnceleme tamam","Sonuç / bulgu eksik"))))))))</x:f>
        <x:v>Kimlik / kapsam eksik</x:v>
      </x:c>
      <x:c r="W165" s="14" t="str">
        <x:f>IF(A165="","",IF(V165&lt;&gt;"İnceleme tamam","İncelenmedi",IF(H165="Uygulanmaz","Uygulanmaz",P165)))</x:f>
        <x:v>İncelenmedi</x:v>
      </x:c>
    </x:row>
    <x:row r="166" ht="35" customHeight="1">
      <x:c r="A166" s="12" t="str">
        <x:v>U-0161</x:v>
      </x:c>
      <x:c r="B166" s="12" t="str">
        <x:v>ESX-072</x:v>
      </x:c>
      <x:c r="C166" s="12" t="str">
        <x:v>VMware ESXi</x:v>
      </x:c>
      <x:c r="D166" s="12" t="str"/>
      <x:c r="E166" s="12" t="str"/>
      <x:c r="F166" s="12" t="str"/>
      <x:c r="G166" s="12" t="str"/>
      <x:c r="H166" s="12" t="str">
        <x:v>Belirlenecek</x:v>
      </x:c>
      <x:c r="I166" s="12" t="str"/>
      <x:c r="J166" s="12" t="str"/>
      <x:c r="K166" s="12" t="str"/>
      <x:c r="L166" s="13" t="str"/>
      <x:c r="M166" s="12" t="str"/>
      <x:c r="N166" s="12" t="str">
        <x:v>İncelenmedi</x:v>
      </x:c>
      <x:c r="O166" s="12" t="str">
        <x:v>İncelenmedi</x:v>
      </x:c>
      <x:c r="P166" s="12" t="str">
        <x:v>İncelenmedi</x:v>
      </x:c>
      <x:c r="Q166" s="12" t="str"/>
      <x:c r="R166" s="12" t="str"/>
      <x:c r="S166" s="13" t="str"/>
      <x:c r="T166" s="12" t="str"/>
      <x:c r="U166" s="12" t="str"/>
      <x:c r="V166" s="14" t="str">
        <x:f>IF(A166="","",IF(NOT(AND(COUNTIF(Exec[TestID],A166)=1,COUNTIF(Controls[ID],B166)=1,COUNTIFS(Scope[KapsamID],D166,Scope[OnayliKapsamID],D166,Scope[Ürün],C166)=1,OR(COUNTIFS(Controls[ID],B166,Controls[Ürün],C166)=1,COUNTIFS(Controls[ID],B166,Controls[Ürün],"MSP Genel")=1),E166&lt;&gt;"",F166&lt;&gt;"",G166&lt;&gt;"",I166&lt;&gt;"",Q166&lt;&gt;"")),"Kimlik / kapsam eksik",IF(NOT(OR(H166="Uygulanır",H166="Uygulanmaz")),"Uygulanabilirlik eksik",IF(AND(H166="Uygulanır",P166="Kanıt yetersiz",U166&lt;&gt;""),IF(AND(R166&lt;&gt;"",R166&lt;&gt;Q166,ISNUMBER(S166),S166&gt;0,S166&gt;=L166),"İnceleme tamam","Gözden geçirme eksik"),IF(NOT(AND(J166&lt;&gt;"",COUNTIFS(Evidence[KanitID],J166,Evidence[Kabul edilen ID],J166)=1,K166&lt;&gt;"",ISNUMBER(L166),L166&gt;0,M166&lt;&gt;"")),"Kanıt / test eksik",IF(NOT(AND(R166&lt;&gt;"",R166&lt;&gt;Q166,ISNUMBER(S166),S166&gt;0,S166&gt;=L166)),"Gözden geçirme eksik",IF(H166="Uygulanmaz","İnceleme tamam",IF(AND(OR(P166="Uygun",P166="Kısmen uygun",P166="Uygunsuz"),OR(N166="Uygun",N166="Kısmen uygun",N166="Uygunsuz"),OR(O166="Uygun",O166="Kısmen uygun",O166="Uygunsuz"),OR(P166&lt;&gt;"Uygun",AND(N166="Uygun",O166="Uygun")),OR(P166="Uygun",AND(T166&lt;&gt;"",COUNTIF(Findings[KayitliBulguID],T166)=1))),"İnceleme tamam","Sonuç / bulgu eksik"))))))))</x:f>
        <x:v>Kimlik / kapsam eksik</x:v>
      </x:c>
      <x:c r="W166" s="14" t="str">
        <x:f>IF(A166="","",IF(V166&lt;&gt;"İnceleme tamam","İncelenmedi",IF(H166="Uygulanmaz","Uygulanmaz",P166)))</x:f>
        <x:v>İncelenmedi</x:v>
      </x:c>
    </x:row>
    <x:row r="167" ht="35" customHeight="1">
      <x:c r="A167" s="12" t="str">
        <x:v>U-0162</x:v>
      </x:c>
      <x:c r="B167" s="12" t="str">
        <x:v>VMW-V10-04</x:v>
      </x:c>
      <x:c r="C167" s="12" t="str">
        <x:v>VMware ESXi</x:v>
      </x:c>
      <x:c r="D167" s="12" t="str"/>
      <x:c r="E167" s="12" t="str"/>
      <x:c r="F167" s="12" t="str"/>
      <x:c r="G167" s="12" t="str"/>
      <x:c r="H167" s="12" t="str">
        <x:v>Belirlenecek</x:v>
      </x:c>
      <x:c r="I167" s="12" t="str"/>
      <x:c r="J167" s="12" t="str"/>
      <x:c r="K167" s="12" t="str"/>
      <x:c r="L167" s="13" t="str"/>
      <x:c r="M167" s="12" t="str"/>
      <x:c r="N167" s="12" t="str">
        <x:v>İncelenmedi</x:v>
      </x:c>
      <x:c r="O167" s="12" t="str">
        <x:v>İncelenmedi</x:v>
      </x:c>
      <x:c r="P167" s="12" t="str">
        <x:v>İncelenmedi</x:v>
      </x:c>
      <x:c r="Q167" s="12" t="str"/>
      <x:c r="R167" s="12" t="str"/>
      <x:c r="S167" s="13" t="str"/>
      <x:c r="T167" s="12" t="str"/>
      <x:c r="U167" s="12" t="str"/>
      <x:c r="V167" s="14" t="str">
        <x:f>IF(A167="","",IF(NOT(AND(COUNTIF(Exec[TestID],A167)=1,COUNTIF(Controls[ID],B167)=1,COUNTIFS(Scope[KapsamID],D167,Scope[OnayliKapsamID],D167,Scope[Ürün],C167)=1,OR(COUNTIFS(Controls[ID],B167,Controls[Ürün],C167)=1,COUNTIFS(Controls[ID],B167,Controls[Ürün],"MSP Genel")=1),E167&lt;&gt;"",F167&lt;&gt;"",G167&lt;&gt;"",I167&lt;&gt;"",Q167&lt;&gt;"")),"Kimlik / kapsam eksik",IF(NOT(OR(H167="Uygulanır",H167="Uygulanmaz")),"Uygulanabilirlik eksik",IF(AND(H167="Uygulanır",P167="Kanıt yetersiz",U167&lt;&gt;""),IF(AND(R167&lt;&gt;"",R167&lt;&gt;Q167,ISNUMBER(S167),S167&gt;0,S167&gt;=L167),"İnceleme tamam","Gözden geçirme eksik"),IF(NOT(AND(J167&lt;&gt;"",COUNTIFS(Evidence[KanitID],J167,Evidence[Kabul edilen ID],J167)=1,K167&lt;&gt;"",ISNUMBER(L167),L167&gt;0,M167&lt;&gt;"")),"Kanıt / test eksik",IF(NOT(AND(R167&lt;&gt;"",R167&lt;&gt;Q167,ISNUMBER(S167),S167&gt;0,S167&gt;=L167)),"Gözden geçirme eksik",IF(H167="Uygulanmaz","İnceleme tamam",IF(AND(OR(P167="Uygun",P167="Kısmen uygun",P167="Uygunsuz"),OR(N167="Uygun",N167="Kısmen uygun",N167="Uygunsuz"),OR(O167="Uygun",O167="Kısmen uygun",O167="Uygunsuz"),OR(P167&lt;&gt;"Uygun",AND(N167="Uygun",O167="Uygun")),OR(P167="Uygun",AND(T167&lt;&gt;"",COUNTIF(Findings[KayitliBulguID],T167)=1))),"İnceleme tamam","Sonuç / bulgu eksik"))))))))</x:f>
        <x:v>Kimlik / kapsam eksik</x:v>
      </x:c>
      <x:c r="W167" s="14" t="str">
        <x:f>IF(A167="","",IF(V167&lt;&gt;"İnceleme tamam","İncelenmedi",IF(H167="Uygulanmaz","Uygulanmaz",P167)))</x:f>
        <x:v>İncelenmedi</x:v>
      </x:c>
    </x:row>
    <x:row r="168" ht="35" customHeight="1">
      <x:c r="A168" s="12" t="str">
        <x:v>U-0163</x:v>
      </x:c>
      <x:c r="B168" s="12" t="str">
        <x:v>VCT-007</x:v>
      </x:c>
      <x:c r="C168" s="12" t="str">
        <x:v>VMware vCenter</x:v>
      </x:c>
      <x:c r="D168" s="12" t="str"/>
      <x:c r="E168" s="12" t="str"/>
      <x:c r="F168" s="12" t="str"/>
      <x:c r="G168" s="12" t="str"/>
      <x:c r="H168" s="12" t="str">
        <x:v>Belirlenecek</x:v>
      </x:c>
      <x:c r="I168" s="12" t="str"/>
      <x:c r="J168" s="12" t="str"/>
      <x:c r="K168" s="12" t="str"/>
      <x:c r="L168" s="13" t="str"/>
      <x:c r="M168" s="12" t="str"/>
      <x:c r="N168" s="12" t="str">
        <x:v>İncelenmedi</x:v>
      </x:c>
      <x:c r="O168" s="12" t="str">
        <x:v>İncelenmedi</x:v>
      </x:c>
      <x:c r="P168" s="12" t="str">
        <x:v>İncelenmedi</x:v>
      </x:c>
      <x:c r="Q168" s="12" t="str"/>
      <x:c r="R168" s="12" t="str"/>
      <x:c r="S168" s="13" t="str"/>
      <x:c r="T168" s="12" t="str"/>
      <x:c r="U168" s="12" t="str"/>
      <x:c r="V168" s="14" t="str">
        <x:f>IF(A168="","",IF(NOT(AND(COUNTIF(Exec[TestID],A168)=1,COUNTIF(Controls[ID],B168)=1,COUNTIFS(Scope[KapsamID],D168,Scope[OnayliKapsamID],D168,Scope[Ürün],C168)=1,OR(COUNTIFS(Controls[ID],B168,Controls[Ürün],C168)=1,COUNTIFS(Controls[ID],B168,Controls[Ürün],"MSP Genel")=1),E168&lt;&gt;"",F168&lt;&gt;"",G168&lt;&gt;"",I168&lt;&gt;"",Q168&lt;&gt;"")),"Kimlik / kapsam eksik",IF(NOT(OR(H168="Uygulanır",H168="Uygulanmaz")),"Uygulanabilirlik eksik",IF(AND(H168="Uygulanır",P168="Kanıt yetersiz",U168&lt;&gt;""),IF(AND(R168&lt;&gt;"",R168&lt;&gt;Q168,ISNUMBER(S168),S168&gt;0,S168&gt;=L168),"İnceleme tamam","Gözden geçirme eksik"),IF(NOT(AND(J168&lt;&gt;"",COUNTIFS(Evidence[KanitID],J168,Evidence[Kabul edilen ID],J168)=1,K168&lt;&gt;"",ISNUMBER(L168),L168&gt;0,M168&lt;&gt;"")),"Kanıt / test eksik",IF(NOT(AND(R168&lt;&gt;"",R168&lt;&gt;Q168,ISNUMBER(S168),S168&gt;0,S168&gt;=L168)),"Gözden geçirme eksik",IF(H168="Uygulanmaz","İnceleme tamam",IF(AND(OR(P168="Uygun",P168="Kısmen uygun",P168="Uygunsuz"),OR(N168="Uygun",N168="Kısmen uygun",N168="Uygunsuz"),OR(O168="Uygun",O168="Kısmen uygun",O168="Uygunsuz"),OR(P168&lt;&gt;"Uygun",AND(N168="Uygun",O168="Uygun")),OR(P168="Uygun",AND(T168&lt;&gt;"",COUNTIF(Findings[KayitliBulguID],T168)=1))),"İnceleme tamam","Sonuç / bulgu eksik"))))))))</x:f>
        <x:v>Kimlik / kapsam eksik</x:v>
      </x:c>
      <x:c r="W168" s="14" t="str">
        <x:f>IF(A168="","",IF(V168&lt;&gt;"İnceleme tamam","İncelenmedi",IF(H168="Uygulanmaz","Uygulanmaz",P168)))</x:f>
        <x:v>İncelenmedi</x:v>
      </x:c>
    </x:row>
    <x:row r="169" ht="35" customHeight="1">
      <x:c r="A169" s="12" t="str">
        <x:v>U-0164</x:v>
      </x:c>
      <x:c r="B169" s="12" t="str">
        <x:v>VCT-008</x:v>
      </x:c>
      <x:c r="C169" s="12" t="str">
        <x:v>VMware vCenter</x:v>
      </x:c>
      <x:c r="D169" s="12" t="str"/>
      <x:c r="E169" s="12" t="str"/>
      <x:c r="F169" s="12" t="str"/>
      <x:c r="G169" s="12" t="str"/>
      <x:c r="H169" s="12" t="str">
        <x:v>Belirlenecek</x:v>
      </x:c>
      <x:c r="I169" s="12" t="str"/>
      <x:c r="J169" s="12" t="str"/>
      <x:c r="K169" s="12" t="str"/>
      <x:c r="L169" s="13" t="str"/>
      <x:c r="M169" s="12" t="str"/>
      <x:c r="N169" s="12" t="str">
        <x:v>İncelenmedi</x:v>
      </x:c>
      <x:c r="O169" s="12" t="str">
        <x:v>İncelenmedi</x:v>
      </x:c>
      <x:c r="P169" s="12" t="str">
        <x:v>İncelenmedi</x:v>
      </x:c>
      <x:c r="Q169" s="12" t="str"/>
      <x:c r="R169" s="12" t="str"/>
      <x:c r="S169" s="13" t="str"/>
      <x:c r="T169" s="12" t="str"/>
      <x:c r="U169" s="12" t="str"/>
      <x:c r="V169" s="14" t="str">
        <x:f>IF(A169="","",IF(NOT(AND(COUNTIF(Exec[TestID],A169)=1,COUNTIF(Controls[ID],B169)=1,COUNTIFS(Scope[KapsamID],D169,Scope[OnayliKapsamID],D169,Scope[Ürün],C169)=1,OR(COUNTIFS(Controls[ID],B169,Controls[Ürün],C169)=1,COUNTIFS(Controls[ID],B169,Controls[Ürün],"MSP Genel")=1),E169&lt;&gt;"",F169&lt;&gt;"",G169&lt;&gt;"",I169&lt;&gt;"",Q169&lt;&gt;"")),"Kimlik / kapsam eksik",IF(NOT(OR(H169="Uygulanır",H169="Uygulanmaz")),"Uygulanabilirlik eksik",IF(AND(H169="Uygulanır",P169="Kanıt yetersiz",U169&lt;&gt;""),IF(AND(R169&lt;&gt;"",R169&lt;&gt;Q169,ISNUMBER(S169),S169&gt;0,S169&gt;=L169),"İnceleme tamam","Gözden geçirme eksik"),IF(NOT(AND(J169&lt;&gt;"",COUNTIFS(Evidence[KanitID],J169,Evidence[Kabul edilen ID],J169)=1,K169&lt;&gt;"",ISNUMBER(L169),L169&gt;0,M169&lt;&gt;"")),"Kanıt / test eksik",IF(NOT(AND(R169&lt;&gt;"",R169&lt;&gt;Q169,ISNUMBER(S169),S169&gt;0,S169&gt;=L169)),"Gözden geçirme eksik",IF(H169="Uygulanmaz","İnceleme tamam",IF(AND(OR(P169="Uygun",P169="Kısmen uygun",P169="Uygunsuz"),OR(N169="Uygun",N169="Kısmen uygun",N169="Uygunsuz"),OR(O169="Uygun",O169="Kısmen uygun",O169="Uygunsuz"),OR(P169&lt;&gt;"Uygun",AND(N169="Uygun",O169="Uygun")),OR(P169="Uygun",AND(T169&lt;&gt;"",COUNTIF(Findings[KayitliBulguID],T169)=1))),"İnceleme tamam","Sonuç / bulgu eksik"))))))))</x:f>
        <x:v>Kimlik / kapsam eksik</x:v>
      </x:c>
      <x:c r="W169" s="14" t="str">
        <x:f>IF(A169="","",IF(V169&lt;&gt;"İnceleme tamam","İncelenmedi",IF(H169="Uygulanmaz","Uygulanmaz",P169)))</x:f>
        <x:v>İncelenmedi</x:v>
      </x:c>
    </x:row>
    <x:row r="170" ht="35" customHeight="1">
      <x:c r="A170" s="12" t="str">
        <x:v>U-0165</x:v>
      </x:c>
      <x:c r="B170" s="12" t="str">
        <x:v>VCT-009</x:v>
      </x:c>
      <x:c r="C170" s="12" t="str">
        <x:v>VMware vCenter</x:v>
      </x:c>
      <x:c r="D170" s="12" t="str"/>
      <x:c r="E170" s="12" t="str"/>
      <x:c r="F170" s="12" t="str"/>
      <x:c r="G170" s="12" t="str"/>
      <x:c r="H170" s="12" t="str">
        <x:v>Belirlenecek</x:v>
      </x:c>
      <x:c r="I170" s="12" t="str"/>
      <x:c r="J170" s="12" t="str"/>
      <x:c r="K170" s="12" t="str"/>
      <x:c r="L170" s="13" t="str"/>
      <x:c r="M170" s="12" t="str"/>
      <x:c r="N170" s="12" t="str">
        <x:v>İncelenmedi</x:v>
      </x:c>
      <x:c r="O170" s="12" t="str">
        <x:v>İncelenmedi</x:v>
      </x:c>
      <x:c r="P170" s="12" t="str">
        <x:v>İncelenmedi</x:v>
      </x:c>
      <x:c r="Q170" s="12" t="str"/>
      <x:c r="R170" s="12" t="str"/>
      <x:c r="S170" s="13" t="str"/>
      <x:c r="T170" s="12" t="str"/>
      <x:c r="U170" s="12" t="str"/>
      <x:c r="V170" s="14" t="str">
        <x:f>IF(A170="","",IF(NOT(AND(COUNTIF(Exec[TestID],A170)=1,COUNTIF(Controls[ID],B170)=1,COUNTIFS(Scope[KapsamID],D170,Scope[OnayliKapsamID],D170,Scope[Ürün],C170)=1,OR(COUNTIFS(Controls[ID],B170,Controls[Ürün],C170)=1,COUNTIFS(Controls[ID],B170,Controls[Ürün],"MSP Genel")=1),E170&lt;&gt;"",F170&lt;&gt;"",G170&lt;&gt;"",I170&lt;&gt;"",Q170&lt;&gt;"")),"Kimlik / kapsam eksik",IF(NOT(OR(H170="Uygulanır",H170="Uygulanmaz")),"Uygulanabilirlik eksik",IF(AND(H170="Uygulanır",P170="Kanıt yetersiz",U170&lt;&gt;""),IF(AND(R170&lt;&gt;"",R170&lt;&gt;Q170,ISNUMBER(S170),S170&gt;0,S170&gt;=L170),"İnceleme tamam","Gözden geçirme eksik"),IF(NOT(AND(J170&lt;&gt;"",COUNTIFS(Evidence[KanitID],J170,Evidence[Kabul edilen ID],J170)=1,K170&lt;&gt;"",ISNUMBER(L170),L170&gt;0,M170&lt;&gt;"")),"Kanıt / test eksik",IF(NOT(AND(R170&lt;&gt;"",R170&lt;&gt;Q170,ISNUMBER(S170),S170&gt;0,S170&gt;=L170)),"Gözden geçirme eksik",IF(H170="Uygulanmaz","İnceleme tamam",IF(AND(OR(P170="Uygun",P170="Kısmen uygun",P170="Uygunsuz"),OR(N170="Uygun",N170="Kısmen uygun",N170="Uygunsuz"),OR(O170="Uygun",O170="Kısmen uygun",O170="Uygunsuz"),OR(P170&lt;&gt;"Uygun",AND(N170="Uygun",O170="Uygun")),OR(P170="Uygun",AND(T170&lt;&gt;"",COUNTIF(Findings[KayitliBulguID],T170)=1))),"İnceleme tamam","Sonuç / bulgu eksik"))))))))</x:f>
        <x:v>Kimlik / kapsam eksik</x:v>
      </x:c>
      <x:c r="W170" s="14" t="str">
        <x:f>IF(A170="","",IF(V170&lt;&gt;"İnceleme tamam","İncelenmedi",IF(H170="Uygulanmaz","Uygulanmaz",P170)))</x:f>
        <x:v>İncelenmedi</x:v>
      </x:c>
    </x:row>
    <x:row r="171" ht="35" customHeight="1">
      <x:c r="A171" s="12" t="str">
        <x:v>U-0166</x:v>
      </x:c>
      <x:c r="B171" s="12" t="str">
        <x:v>VCT-011</x:v>
      </x:c>
      <x:c r="C171" s="12" t="str">
        <x:v>VMware vCenter</x:v>
      </x:c>
      <x:c r="D171" s="12" t="str"/>
      <x:c r="E171" s="12" t="str"/>
      <x:c r="F171" s="12" t="str"/>
      <x:c r="G171" s="12" t="str"/>
      <x:c r="H171" s="12" t="str">
        <x:v>Belirlenecek</x:v>
      </x:c>
      <x:c r="I171" s="12" t="str"/>
      <x:c r="J171" s="12" t="str"/>
      <x:c r="K171" s="12" t="str"/>
      <x:c r="L171" s="13" t="str"/>
      <x:c r="M171" s="12" t="str"/>
      <x:c r="N171" s="12" t="str">
        <x:v>İncelenmedi</x:v>
      </x:c>
      <x:c r="O171" s="12" t="str">
        <x:v>İncelenmedi</x:v>
      </x:c>
      <x:c r="P171" s="12" t="str">
        <x:v>İncelenmedi</x:v>
      </x:c>
      <x:c r="Q171" s="12" t="str"/>
      <x:c r="R171" s="12" t="str"/>
      <x:c r="S171" s="13" t="str"/>
      <x:c r="T171" s="12" t="str"/>
      <x:c r="U171" s="12" t="str"/>
      <x:c r="V171" s="14" t="str">
        <x:f>IF(A171="","",IF(NOT(AND(COUNTIF(Exec[TestID],A171)=1,COUNTIF(Controls[ID],B171)=1,COUNTIFS(Scope[KapsamID],D171,Scope[OnayliKapsamID],D171,Scope[Ürün],C171)=1,OR(COUNTIFS(Controls[ID],B171,Controls[Ürün],C171)=1,COUNTIFS(Controls[ID],B171,Controls[Ürün],"MSP Genel")=1),E171&lt;&gt;"",F171&lt;&gt;"",G171&lt;&gt;"",I171&lt;&gt;"",Q171&lt;&gt;"")),"Kimlik / kapsam eksik",IF(NOT(OR(H171="Uygulanır",H171="Uygulanmaz")),"Uygulanabilirlik eksik",IF(AND(H171="Uygulanır",P171="Kanıt yetersiz",U171&lt;&gt;""),IF(AND(R171&lt;&gt;"",R171&lt;&gt;Q171,ISNUMBER(S171),S171&gt;0,S171&gt;=L171),"İnceleme tamam","Gözden geçirme eksik"),IF(NOT(AND(J171&lt;&gt;"",COUNTIFS(Evidence[KanitID],J171,Evidence[Kabul edilen ID],J171)=1,K171&lt;&gt;"",ISNUMBER(L171),L171&gt;0,M171&lt;&gt;"")),"Kanıt / test eksik",IF(NOT(AND(R171&lt;&gt;"",R171&lt;&gt;Q171,ISNUMBER(S171),S171&gt;0,S171&gt;=L171)),"Gözden geçirme eksik",IF(H171="Uygulanmaz","İnceleme tamam",IF(AND(OR(P171="Uygun",P171="Kısmen uygun",P171="Uygunsuz"),OR(N171="Uygun",N171="Kısmen uygun",N171="Uygunsuz"),OR(O171="Uygun",O171="Kısmen uygun",O171="Uygunsuz"),OR(P171&lt;&gt;"Uygun",AND(N171="Uygun",O171="Uygun")),OR(P171="Uygun",AND(T171&lt;&gt;"",COUNTIF(Findings[KayitliBulguID],T171)=1))),"İnceleme tamam","Sonuç / bulgu eksik"))))))))</x:f>
        <x:v>Kimlik / kapsam eksik</x:v>
      </x:c>
      <x:c r="W171" s="14" t="str">
        <x:f>IF(A171="","",IF(V171&lt;&gt;"İnceleme tamam","İncelenmedi",IF(H171="Uygulanmaz","Uygulanmaz",P171)))</x:f>
        <x:v>İncelenmedi</x:v>
      </x:c>
    </x:row>
    <x:row r="172" ht="35" customHeight="1">
      <x:c r="A172" s="12" t="str">
        <x:v>U-0167</x:v>
      </x:c>
      <x:c r="B172" s="12" t="str">
        <x:v>VMW-V01-01</x:v>
      </x:c>
      <x:c r="C172" s="12" t="str">
        <x:v>VMware vCenter</x:v>
      </x:c>
      <x:c r="D172" s="12" t="str"/>
      <x:c r="E172" s="12" t="str"/>
      <x:c r="F172" s="12" t="str"/>
      <x:c r="G172" s="12" t="str"/>
      <x:c r="H172" s="12" t="str">
        <x:v>Belirlenecek</x:v>
      </x:c>
      <x:c r="I172" s="12" t="str"/>
      <x:c r="J172" s="12" t="str"/>
      <x:c r="K172" s="12" t="str"/>
      <x:c r="L172" s="13" t="str"/>
      <x:c r="M172" s="12" t="str"/>
      <x:c r="N172" s="12" t="str">
        <x:v>İncelenmedi</x:v>
      </x:c>
      <x:c r="O172" s="12" t="str">
        <x:v>İncelenmedi</x:v>
      </x:c>
      <x:c r="P172" s="12" t="str">
        <x:v>İncelenmedi</x:v>
      </x:c>
      <x:c r="Q172" s="12" t="str"/>
      <x:c r="R172" s="12" t="str"/>
      <x:c r="S172" s="13" t="str"/>
      <x:c r="T172" s="12" t="str"/>
      <x:c r="U172" s="12" t="str"/>
      <x:c r="V172" s="14" t="str">
        <x:f>IF(A172="","",IF(NOT(AND(COUNTIF(Exec[TestID],A172)=1,COUNTIF(Controls[ID],B172)=1,COUNTIFS(Scope[KapsamID],D172,Scope[OnayliKapsamID],D172,Scope[Ürün],C172)=1,OR(COUNTIFS(Controls[ID],B172,Controls[Ürün],C172)=1,COUNTIFS(Controls[ID],B172,Controls[Ürün],"MSP Genel")=1),E172&lt;&gt;"",F172&lt;&gt;"",G172&lt;&gt;"",I172&lt;&gt;"",Q172&lt;&gt;"")),"Kimlik / kapsam eksik",IF(NOT(OR(H172="Uygulanır",H172="Uygulanmaz")),"Uygulanabilirlik eksik",IF(AND(H172="Uygulanır",P172="Kanıt yetersiz",U172&lt;&gt;""),IF(AND(R172&lt;&gt;"",R172&lt;&gt;Q172,ISNUMBER(S172),S172&gt;0,S172&gt;=L172),"İnceleme tamam","Gözden geçirme eksik"),IF(NOT(AND(J172&lt;&gt;"",COUNTIFS(Evidence[KanitID],J172,Evidence[Kabul edilen ID],J172)=1,K172&lt;&gt;"",ISNUMBER(L172),L172&gt;0,M172&lt;&gt;"")),"Kanıt / test eksik",IF(NOT(AND(R172&lt;&gt;"",R172&lt;&gt;Q172,ISNUMBER(S172),S172&gt;0,S172&gt;=L172)),"Gözden geçirme eksik",IF(H172="Uygulanmaz","İnceleme tamam",IF(AND(OR(P172="Uygun",P172="Kısmen uygun",P172="Uygunsuz"),OR(N172="Uygun",N172="Kısmen uygun",N172="Uygunsuz"),OR(O172="Uygun",O172="Kısmen uygun",O172="Uygunsuz"),OR(P172&lt;&gt;"Uygun",AND(N172="Uygun",O172="Uygun")),OR(P172="Uygun",AND(T172&lt;&gt;"",COUNTIF(Findings[KayitliBulguID],T172)=1))),"İnceleme tamam","Sonuç / bulgu eksik"))))))))</x:f>
        <x:v>Kimlik / kapsam eksik</x:v>
      </x:c>
      <x:c r="W172" s="14" t="str">
        <x:f>IF(A172="","",IF(V172&lt;&gt;"İnceleme tamam","İncelenmedi",IF(H172="Uygulanmaz","Uygulanmaz",P172)))</x:f>
        <x:v>İncelenmedi</x:v>
      </x:c>
    </x:row>
    <x:row r="173" ht="35" customHeight="1">
      <x:c r="A173" s="12" t="str">
        <x:v>U-0168</x:v>
      </x:c>
      <x:c r="B173" s="12" t="str">
        <x:v>VMW-V11-01</x:v>
      </x:c>
      <x:c r="C173" s="12" t="str">
        <x:v>VMware vCenter</x:v>
      </x:c>
      <x:c r="D173" s="12" t="str"/>
      <x:c r="E173" s="12" t="str"/>
      <x:c r="F173" s="12" t="str"/>
      <x:c r="G173" s="12" t="str"/>
      <x:c r="H173" s="12" t="str">
        <x:v>Belirlenecek</x:v>
      </x:c>
      <x:c r="I173" s="12" t="str"/>
      <x:c r="J173" s="12" t="str"/>
      <x:c r="K173" s="12" t="str"/>
      <x:c r="L173" s="13" t="str"/>
      <x:c r="M173" s="12" t="str"/>
      <x:c r="N173" s="12" t="str">
        <x:v>İncelenmedi</x:v>
      </x:c>
      <x:c r="O173" s="12" t="str">
        <x:v>İncelenmedi</x:v>
      </x:c>
      <x:c r="P173" s="12" t="str">
        <x:v>İncelenmedi</x:v>
      </x:c>
      <x:c r="Q173" s="12" t="str"/>
      <x:c r="R173" s="12" t="str"/>
      <x:c r="S173" s="13" t="str"/>
      <x:c r="T173" s="12" t="str"/>
      <x:c r="U173" s="12" t="str"/>
      <x:c r="V173" s="14" t="str">
        <x:f>IF(A173="","",IF(NOT(AND(COUNTIF(Exec[TestID],A173)=1,COUNTIF(Controls[ID],B173)=1,COUNTIFS(Scope[KapsamID],D173,Scope[OnayliKapsamID],D173,Scope[Ürün],C173)=1,OR(COUNTIFS(Controls[ID],B173,Controls[Ürün],C173)=1,COUNTIFS(Controls[ID],B173,Controls[Ürün],"MSP Genel")=1),E173&lt;&gt;"",F173&lt;&gt;"",G173&lt;&gt;"",I173&lt;&gt;"",Q173&lt;&gt;"")),"Kimlik / kapsam eksik",IF(NOT(OR(H173="Uygulanır",H173="Uygulanmaz")),"Uygulanabilirlik eksik",IF(AND(H173="Uygulanır",P173="Kanıt yetersiz",U173&lt;&gt;""),IF(AND(R173&lt;&gt;"",R173&lt;&gt;Q173,ISNUMBER(S173),S173&gt;0,S173&gt;=L173),"İnceleme tamam","Gözden geçirme eksik"),IF(NOT(AND(J173&lt;&gt;"",COUNTIFS(Evidence[KanitID],J173,Evidence[Kabul edilen ID],J173)=1,K173&lt;&gt;"",ISNUMBER(L173),L173&gt;0,M173&lt;&gt;"")),"Kanıt / test eksik",IF(NOT(AND(R173&lt;&gt;"",R173&lt;&gt;Q173,ISNUMBER(S173),S173&gt;0,S173&gt;=L173)),"Gözden geçirme eksik",IF(H173="Uygulanmaz","İnceleme tamam",IF(AND(OR(P173="Uygun",P173="Kısmen uygun",P173="Uygunsuz"),OR(N173="Uygun",N173="Kısmen uygun",N173="Uygunsuz"),OR(O173="Uygun",O173="Kısmen uygun",O173="Uygunsuz"),OR(P173&lt;&gt;"Uygun",AND(N173="Uygun",O173="Uygun")),OR(P173="Uygun",AND(T173&lt;&gt;"",COUNTIF(Findings[KayitliBulguID],T173)=1))),"İnceleme tamam","Sonuç / bulgu eksik"))))))))</x:f>
        <x:v>Kimlik / kapsam eksik</x:v>
      </x:c>
      <x:c r="W173" s="14" t="str">
        <x:f>IF(A173="","",IF(V173&lt;&gt;"İnceleme tamam","İncelenmedi",IF(H173="Uygulanmaz","Uygulanmaz",P173)))</x:f>
        <x:v>İncelenmedi</x:v>
      </x:c>
    </x:row>
    <x:row r="174" ht="35" customHeight="1">
      <x:c r="A174" s="12" t="str">
        <x:v>U-0169</x:v>
      </x:c>
      <x:c r="B174" s="12" t="str">
        <x:v>VMW-V07-02</x:v>
      </x:c>
      <x:c r="C174" s="12" t="str">
        <x:v>VMware vSAN</x:v>
      </x:c>
      <x:c r="D174" s="12" t="str"/>
      <x:c r="E174" s="12" t="str"/>
      <x:c r="F174" s="12" t="str"/>
      <x:c r="G174" s="12" t="str"/>
      <x:c r="H174" s="12" t="str">
        <x:v>Belirlenecek</x:v>
      </x:c>
      <x:c r="I174" s="12" t="str"/>
      <x:c r="J174" s="12" t="str"/>
      <x:c r="K174" s="12" t="str"/>
      <x:c r="L174" s="13" t="str"/>
      <x:c r="M174" s="12" t="str"/>
      <x:c r="N174" s="12" t="str">
        <x:v>İncelenmedi</x:v>
      </x:c>
      <x:c r="O174" s="12" t="str">
        <x:v>İncelenmedi</x:v>
      </x:c>
      <x:c r="P174" s="12" t="str">
        <x:v>İncelenmedi</x:v>
      </x:c>
      <x:c r="Q174" s="12" t="str"/>
      <x:c r="R174" s="12" t="str"/>
      <x:c r="S174" s="13" t="str"/>
      <x:c r="T174" s="12" t="str"/>
      <x:c r="U174" s="12" t="str"/>
      <x:c r="V174" s="14" t="str">
        <x:f>IF(A174="","",IF(NOT(AND(COUNTIF(Exec[TestID],A174)=1,COUNTIF(Controls[ID],B174)=1,COUNTIFS(Scope[KapsamID],D174,Scope[OnayliKapsamID],D174,Scope[Ürün],C174)=1,OR(COUNTIFS(Controls[ID],B174,Controls[Ürün],C174)=1,COUNTIFS(Controls[ID],B174,Controls[Ürün],"MSP Genel")=1),E174&lt;&gt;"",F174&lt;&gt;"",G174&lt;&gt;"",I174&lt;&gt;"",Q174&lt;&gt;"")),"Kimlik / kapsam eksik",IF(NOT(OR(H174="Uygulanır",H174="Uygulanmaz")),"Uygulanabilirlik eksik",IF(AND(H174="Uygulanır",P174="Kanıt yetersiz",U174&lt;&gt;""),IF(AND(R174&lt;&gt;"",R174&lt;&gt;Q174,ISNUMBER(S174),S174&gt;0,S174&gt;=L174),"İnceleme tamam","Gözden geçirme eksik"),IF(NOT(AND(J174&lt;&gt;"",COUNTIFS(Evidence[KanitID],J174,Evidence[Kabul edilen ID],J174)=1,K174&lt;&gt;"",ISNUMBER(L174),L174&gt;0,M174&lt;&gt;"")),"Kanıt / test eksik",IF(NOT(AND(R174&lt;&gt;"",R174&lt;&gt;Q174,ISNUMBER(S174),S174&gt;0,S174&gt;=L174)),"Gözden geçirme eksik",IF(H174="Uygulanmaz","İnceleme tamam",IF(AND(OR(P174="Uygun",P174="Kısmen uygun",P174="Uygunsuz"),OR(N174="Uygun",N174="Kısmen uygun",N174="Uygunsuz"),OR(O174="Uygun",O174="Kısmen uygun",O174="Uygunsuz"),OR(P174&lt;&gt;"Uygun",AND(N174="Uygun",O174="Uygun")),OR(P174="Uygun",AND(T174&lt;&gt;"",COUNTIF(Findings[KayitliBulguID],T174)=1))),"İnceleme tamam","Sonuç / bulgu eksik"))))))))</x:f>
        <x:v>Kimlik / kapsam eksik</x:v>
      </x:c>
      <x:c r="W174" s="14" t="str">
        <x:f>IF(A174="","",IF(V174&lt;&gt;"İnceleme tamam","İncelenmedi",IF(H174="Uygulanmaz","Uygulanmaz",P174)))</x:f>
        <x:v>İncelenmedi</x:v>
      </x:c>
    </x:row>
    <x:row r="175" ht="35" customHeight="1">
      <x:c r="A175" s="12" t="str">
        <x:v>U-0170</x:v>
      </x:c>
      <x:c r="B175" s="12" t="str">
        <x:v>VSN-007</x:v>
      </x:c>
      <x:c r="C175" s="12" t="str">
        <x:v>VMware vSAN</x:v>
      </x:c>
      <x:c r="D175" s="12" t="str"/>
      <x:c r="E175" s="12" t="str"/>
      <x:c r="F175" s="12" t="str"/>
      <x:c r="G175" s="12" t="str"/>
      <x:c r="H175" s="12" t="str">
        <x:v>Belirlenecek</x:v>
      </x:c>
      <x:c r="I175" s="12" t="str"/>
      <x:c r="J175" s="12" t="str"/>
      <x:c r="K175" s="12" t="str"/>
      <x:c r="L175" s="13" t="str"/>
      <x:c r="M175" s="12" t="str"/>
      <x:c r="N175" s="12" t="str">
        <x:v>İncelenmedi</x:v>
      </x:c>
      <x:c r="O175" s="12" t="str">
        <x:v>İncelenmedi</x:v>
      </x:c>
      <x:c r="P175" s="12" t="str">
        <x:v>İncelenmedi</x:v>
      </x:c>
      <x:c r="Q175" s="12" t="str"/>
      <x:c r="R175" s="12" t="str"/>
      <x:c r="S175" s="13" t="str"/>
      <x:c r="T175" s="12" t="str"/>
      <x:c r="U175" s="12" t="str"/>
      <x:c r="V175" s="14" t="str">
        <x:f>IF(A175="","",IF(NOT(AND(COUNTIF(Exec[TestID],A175)=1,COUNTIF(Controls[ID],B175)=1,COUNTIFS(Scope[KapsamID],D175,Scope[OnayliKapsamID],D175,Scope[Ürün],C175)=1,OR(COUNTIFS(Controls[ID],B175,Controls[Ürün],C175)=1,COUNTIFS(Controls[ID],B175,Controls[Ürün],"MSP Genel")=1),E175&lt;&gt;"",F175&lt;&gt;"",G175&lt;&gt;"",I175&lt;&gt;"",Q175&lt;&gt;"")),"Kimlik / kapsam eksik",IF(NOT(OR(H175="Uygulanır",H175="Uygulanmaz")),"Uygulanabilirlik eksik",IF(AND(H175="Uygulanır",P175="Kanıt yetersiz",U175&lt;&gt;""),IF(AND(R175&lt;&gt;"",R175&lt;&gt;Q175,ISNUMBER(S175),S175&gt;0,S175&gt;=L175),"İnceleme tamam","Gözden geçirme eksik"),IF(NOT(AND(J175&lt;&gt;"",COUNTIFS(Evidence[KanitID],J175,Evidence[Kabul edilen ID],J175)=1,K175&lt;&gt;"",ISNUMBER(L175),L175&gt;0,M175&lt;&gt;"")),"Kanıt / test eksik",IF(NOT(AND(R175&lt;&gt;"",R175&lt;&gt;Q175,ISNUMBER(S175),S175&gt;0,S175&gt;=L175)),"Gözden geçirme eksik",IF(H175="Uygulanmaz","İnceleme tamam",IF(AND(OR(P175="Uygun",P175="Kısmen uygun",P175="Uygunsuz"),OR(N175="Uygun",N175="Kısmen uygun",N175="Uygunsuz"),OR(O175="Uygun",O175="Kısmen uygun",O175="Uygunsuz"),OR(P175&lt;&gt;"Uygun",AND(N175="Uygun",O175="Uygun")),OR(P175="Uygun",AND(T175&lt;&gt;"",COUNTIF(Findings[KayitliBulguID],T175)=1))),"İnceleme tamam","Sonuç / bulgu eksik"))))))))</x:f>
        <x:v>Kimlik / kapsam eksik</x:v>
      </x:c>
      <x:c r="W175" s="14" t="str">
        <x:f>IF(A175="","",IF(V175&lt;&gt;"İnceleme tamam","İncelenmedi",IF(H175="Uygulanmaz","Uygulanmaz",P175)))</x:f>
        <x:v>İncelenmedi</x:v>
      </x:c>
    </x:row>
    <x:row r="176" ht="35" customHeight="1">
      <x:c r="A176" s="12" t="str">
        <x:v>U-0171</x:v>
      </x:c>
      <x:c r="B176" s="12" t="str">
        <x:v>VSN-008</x:v>
      </x:c>
      <x:c r="C176" s="12" t="str">
        <x:v>VMware vSAN</x:v>
      </x:c>
      <x:c r="D176" s="12" t="str"/>
      <x:c r="E176" s="12" t="str"/>
      <x:c r="F176" s="12" t="str"/>
      <x:c r="G176" s="12" t="str"/>
      <x:c r="H176" s="12" t="str">
        <x:v>Belirlenecek</x:v>
      </x:c>
      <x:c r="I176" s="12" t="str"/>
      <x:c r="J176" s="12" t="str"/>
      <x:c r="K176" s="12" t="str"/>
      <x:c r="L176" s="13" t="str"/>
      <x:c r="M176" s="12" t="str"/>
      <x:c r="N176" s="12" t="str">
        <x:v>İncelenmedi</x:v>
      </x:c>
      <x:c r="O176" s="12" t="str">
        <x:v>İncelenmedi</x:v>
      </x:c>
      <x:c r="P176" s="12" t="str">
        <x:v>İncelenmedi</x:v>
      </x:c>
      <x:c r="Q176" s="12" t="str"/>
      <x:c r="R176" s="12" t="str"/>
      <x:c r="S176" s="13" t="str"/>
      <x:c r="T176" s="12" t="str"/>
      <x:c r="U176" s="12" t="str"/>
      <x:c r="V176" s="14" t="str">
        <x:f>IF(A176="","",IF(NOT(AND(COUNTIF(Exec[TestID],A176)=1,COUNTIF(Controls[ID],B176)=1,COUNTIFS(Scope[KapsamID],D176,Scope[OnayliKapsamID],D176,Scope[Ürün],C176)=1,OR(COUNTIFS(Controls[ID],B176,Controls[Ürün],C176)=1,COUNTIFS(Controls[ID],B176,Controls[Ürün],"MSP Genel")=1),E176&lt;&gt;"",F176&lt;&gt;"",G176&lt;&gt;"",I176&lt;&gt;"",Q176&lt;&gt;"")),"Kimlik / kapsam eksik",IF(NOT(OR(H176="Uygulanır",H176="Uygulanmaz")),"Uygulanabilirlik eksik",IF(AND(H176="Uygulanır",P176="Kanıt yetersiz",U176&lt;&gt;""),IF(AND(R176&lt;&gt;"",R176&lt;&gt;Q176,ISNUMBER(S176),S176&gt;0,S176&gt;=L176),"İnceleme tamam","Gözden geçirme eksik"),IF(NOT(AND(J176&lt;&gt;"",COUNTIFS(Evidence[KanitID],J176,Evidence[Kabul edilen ID],J176)=1,K176&lt;&gt;"",ISNUMBER(L176),L176&gt;0,M176&lt;&gt;"")),"Kanıt / test eksik",IF(NOT(AND(R176&lt;&gt;"",R176&lt;&gt;Q176,ISNUMBER(S176),S176&gt;0,S176&gt;=L176)),"Gözden geçirme eksik",IF(H176="Uygulanmaz","İnceleme tamam",IF(AND(OR(P176="Uygun",P176="Kısmen uygun",P176="Uygunsuz"),OR(N176="Uygun",N176="Kısmen uygun",N176="Uygunsuz"),OR(O176="Uygun",O176="Kısmen uygun",O176="Uygunsuz"),OR(P176&lt;&gt;"Uygun",AND(N176="Uygun",O176="Uygun")),OR(P176="Uygun",AND(T176&lt;&gt;"",COUNTIF(Findings[KayitliBulguID],T176)=1))),"İnceleme tamam","Sonuç / bulgu eksik"))))))))</x:f>
        <x:v>Kimlik / kapsam eksik</x:v>
      </x:c>
      <x:c r="W176" s="14" t="str">
        <x:f>IF(A176="","",IF(V176&lt;&gt;"İnceleme tamam","İncelenmedi",IF(H176="Uygulanmaz","Uygulanmaz",P176)))</x:f>
        <x:v>İncelenmedi</x:v>
      </x:c>
    </x:row>
    <x:row r="177" ht="35" customHeight="1">
      <x:c r="A177" s="12" t="str">
        <x:v>U-0172</x:v>
      </x:c>
      <x:c r="B177" s="12" t="str">
        <x:v>VSN-009</x:v>
      </x:c>
      <x:c r="C177" s="12" t="str">
        <x:v>VMware vSAN</x:v>
      </x:c>
      <x:c r="D177" s="12" t="str"/>
      <x:c r="E177" s="12" t="str"/>
      <x:c r="F177" s="12" t="str"/>
      <x:c r="G177" s="12" t="str"/>
      <x:c r="H177" s="12" t="str">
        <x:v>Belirlenecek</x:v>
      </x:c>
      <x:c r="I177" s="12" t="str"/>
      <x:c r="J177" s="12" t="str"/>
      <x:c r="K177" s="12" t="str"/>
      <x:c r="L177" s="13" t="str"/>
      <x:c r="M177" s="12" t="str"/>
      <x:c r="N177" s="12" t="str">
        <x:v>İncelenmedi</x:v>
      </x:c>
      <x:c r="O177" s="12" t="str">
        <x:v>İncelenmedi</x:v>
      </x:c>
      <x:c r="P177" s="12" t="str">
        <x:v>İncelenmedi</x:v>
      </x:c>
      <x:c r="Q177" s="12" t="str"/>
      <x:c r="R177" s="12" t="str"/>
      <x:c r="S177" s="13" t="str"/>
      <x:c r="T177" s="12" t="str"/>
      <x:c r="U177" s="12" t="str"/>
      <x:c r="V177" s="14" t="str">
        <x:f>IF(A177="","",IF(NOT(AND(COUNTIF(Exec[TestID],A177)=1,COUNTIF(Controls[ID],B177)=1,COUNTIFS(Scope[KapsamID],D177,Scope[OnayliKapsamID],D177,Scope[Ürün],C177)=1,OR(COUNTIFS(Controls[ID],B177,Controls[Ürün],C177)=1,COUNTIFS(Controls[ID],B177,Controls[Ürün],"MSP Genel")=1),E177&lt;&gt;"",F177&lt;&gt;"",G177&lt;&gt;"",I177&lt;&gt;"",Q177&lt;&gt;"")),"Kimlik / kapsam eksik",IF(NOT(OR(H177="Uygulanır",H177="Uygulanmaz")),"Uygulanabilirlik eksik",IF(AND(H177="Uygulanır",P177="Kanıt yetersiz",U177&lt;&gt;""),IF(AND(R177&lt;&gt;"",R177&lt;&gt;Q177,ISNUMBER(S177),S177&gt;0,S177&gt;=L177),"İnceleme tamam","Gözden geçirme eksik"),IF(NOT(AND(J177&lt;&gt;"",COUNTIFS(Evidence[KanitID],J177,Evidence[Kabul edilen ID],J177)=1,K177&lt;&gt;"",ISNUMBER(L177),L177&gt;0,M177&lt;&gt;"")),"Kanıt / test eksik",IF(NOT(AND(R177&lt;&gt;"",R177&lt;&gt;Q177,ISNUMBER(S177),S177&gt;0,S177&gt;=L177)),"Gözden geçirme eksik",IF(H177="Uygulanmaz","İnceleme tamam",IF(AND(OR(P177="Uygun",P177="Kısmen uygun",P177="Uygunsuz"),OR(N177="Uygun",N177="Kısmen uygun",N177="Uygunsuz"),OR(O177="Uygun",O177="Kısmen uygun",O177="Uygunsuz"),OR(P177&lt;&gt;"Uygun",AND(N177="Uygun",O177="Uygun")),OR(P177="Uygun",AND(T177&lt;&gt;"",COUNTIF(Findings[KayitliBulguID],T177)=1))),"İnceleme tamam","Sonuç / bulgu eksik"))))))))</x:f>
        <x:v>Kimlik / kapsam eksik</x:v>
      </x:c>
      <x:c r="W177" s="14" t="str">
        <x:f>IF(A177="","",IF(V177&lt;&gt;"İnceleme tamam","İncelenmedi",IF(H177="Uygulanmaz","Uygulanmaz",P177)))</x:f>
        <x:v>İncelenmedi</x:v>
      </x:c>
    </x:row>
    <x:row r="178" ht="35" customHeight="1">
      <x:c r="A178" s="12" t="str">
        <x:v>U-0173</x:v>
      </x:c>
      <x:c r="B178" s="12" t="str">
        <x:v>VSN-010</x:v>
      </x:c>
      <x:c r="C178" s="12" t="str">
        <x:v>VMware vSAN</x:v>
      </x:c>
      <x:c r="D178" s="12" t="str"/>
      <x:c r="E178" s="12" t="str"/>
      <x:c r="F178" s="12" t="str"/>
      <x:c r="G178" s="12" t="str"/>
      <x:c r="H178" s="12" t="str">
        <x:v>Belirlenecek</x:v>
      </x:c>
      <x:c r="I178" s="12" t="str"/>
      <x:c r="J178" s="12" t="str"/>
      <x:c r="K178" s="12" t="str"/>
      <x:c r="L178" s="13" t="str"/>
      <x:c r="M178" s="12" t="str"/>
      <x:c r="N178" s="12" t="str">
        <x:v>İncelenmedi</x:v>
      </x:c>
      <x:c r="O178" s="12" t="str">
        <x:v>İncelenmedi</x:v>
      </x:c>
      <x:c r="P178" s="12" t="str">
        <x:v>İncelenmedi</x:v>
      </x:c>
      <x:c r="Q178" s="12" t="str"/>
      <x:c r="R178" s="12" t="str"/>
      <x:c r="S178" s="13" t="str"/>
      <x:c r="T178" s="12" t="str"/>
      <x:c r="U178" s="12" t="str"/>
      <x:c r="V178" s="14" t="str">
        <x:f>IF(A178="","",IF(NOT(AND(COUNTIF(Exec[TestID],A178)=1,COUNTIF(Controls[ID],B178)=1,COUNTIFS(Scope[KapsamID],D178,Scope[OnayliKapsamID],D178,Scope[Ürün],C178)=1,OR(COUNTIFS(Controls[ID],B178,Controls[Ürün],C178)=1,COUNTIFS(Controls[ID],B178,Controls[Ürün],"MSP Genel")=1),E178&lt;&gt;"",F178&lt;&gt;"",G178&lt;&gt;"",I178&lt;&gt;"",Q178&lt;&gt;"")),"Kimlik / kapsam eksik",IF(NOT(OR(H178="Uygulanır",H178="Uygulanmaz")),"Uygulanabilirlik eksik",IF(AND(H178="Uygulanır",P178="Kanıt yetersiz",U178&lt;&gt;""),IF(AND(R178&lt;&gt;"",R178&lt;&gt;Q178,ISNUMBER(S178),S178&gt;0,S178&gt;=L178),"İnceleme tamam","Gözden geçirme eksik"),IF(NOT(AND(J178&lt;&gt;"",COUNTIFS(Evidence[KanitID],J178,Evidence[Kabul edilen ID],J178)=1,K178&lt;&gt;"",ISNUMBER(L178),L178&gt;0,M178&lt;&gt;"")),"Kanıt / test eksik",IF(NOT(AND(R178&lt;&gt;"",R178&lt;&gt;Q178,ISNUMBER(S178),S178&gt;0,S178&gt;=L178)),"Gözden geçirme eksik",IF(H178="Uygulanmaz","İnceleme tamam",IF(AND(OR(P178="Uygun",P178="Kısmen uygun",P178="Uygunsuz"),OR(N178="Uygun",N178="Kısmen uygun",N178="Uygunsuz"),OR(O178="Uygun",O178="Kısmen uygun",O178="Uygunsuz"),OR(P178&lt;&gt;"Uygun",AND(N178="Uygun",O178="Uygun")),OR(P178="Uygun",AND(T178&lt;&gt;"",COUNTIF(Findings[KayitliBulguID],T178)=1))),"İnceleme tamam","Sonuç / bulgu eksik"))))))))</x:f>
        <x:v>Kimlik / kapsam eksik</x:v>
      </x:c>
      <x:c r="W178" s="14" t="str">
        <x:f>IF(A178="","",IF(V178&lt;&gt;"İnceleme tamam","İncelenmedi",IF(H178="Uygulanmaz","Uygulanmaz",P178)))</x:f>
        <x:v>İncelenmedi</x:v>
      </x:c>
    </x:row>
    <x:row r="179" ht="35" customHeight="1">
      <x:c r="A179" s="12" t="str">
        <x:v>U-0174</x:v>
      </x:c>
      <x:c r="B179" s="12" t="str">
        <x:v>VSN-011</x:v>
      </x:c>
      <x:c r="C179" s="12" t="str">
        <x:v>VMware vSAN</x:v>
      </x:c>
      <x:c r="D179" s="12" t="str"/>
      <x:c r="E179" s="12" t="str"/>
      <x:c r="F179" s="12" t="str"/>
      <x:c r="G179" s="12" t="str"/>
      <x:c r="H179" s="12" t="str">
        <x:v>Belirlenecek</x:v>
      </x:c>
      <x:c r="I179" s="12" t="str"/>
      <x:c r="J179" s="12" t="str"/>
      <x:c r="K179" s="12" t="str"/>
      <x:c r="L179" s="13" t="str"/>
      <x:c r="M179" s="12" t="str"/>
      <x:c r="N179" s="12" t="str">
        <x:v>İncelenmedi</x:v>
      </x:c>
      <x:c r="O179" s="12" t="str">
        <x:v>İncelenmedi</x:v>
      </x:c>
      <x:c r="P179" s="12" t="str">
        <x:v>İncelenmedi</x:v>
      </x:c>
      <x:c r="Q179" s="12" t="str"/>
      <x:c r="R179" s="12" t="str"/>
      <x:c r="S179" s="13" t="str"/>
      <x:c r="T179" s="12" t="str"/>
      <x:c r="U179" s="12" t="str"/>
      <x:c r="V179" s="14" t="str">
        <x:f>IF(A179="","",IF(NOT(AND(COUNTIF(Exec[TestID],A179)=1,COUNTIF(Controls[ID],B179)=1,COUNTIFS(Scope[KapsamID],D179,Scope[OnayliKapsamID],D179,Scope[Ürün],C179)=1,OR(COUNTIFS(Controls[ID],B179,Controls[Ürün],C179)=1,COUNTIFS(Controls[ID],B179,Controls[Ürün],"MSP Genel")=1),E179&lt;&gt;"",F179&lt;&gt;"",G179&lt;&gt;"",I179&lt;&gt;"",Q179&lt;&gt;"")),"Kimlik / kapsam eksik",IF(NOT(OR(H179="Uygulanır",H179="Uygulanmaz")),"Uygulanabilirlik eksik",IF(AND(H179="Uygulanır",P179="Kanıt yetersiz",U179&lt;&gt;""),IF(AND(R179&lt;&gt;"",R179&lt;&gt;Q179,ISNUMBER(S179),S179&gt;0,S179&gt;=L179),"İnceleme tamam","Gözden geçirme eksik"),IF(NOT(AND(J179&lt;&gt;"",COUNTIFS(Evidence[KanitID],J179,Evidence[Kabul edilen ID],J179)=1,K179&lt;&gt;"",ISNUMBER(L179),L179&gt;0,M179&lt;&gt;"")),"Kanıt / test eksik",IF(NOT(AND(R179&lt;&gt;"",R179&lt;&gt;Q179,ISNUMBER(S179),S179&gt;0,S179&gt;=L179)),"Gözden geçirme eksik",IF(H179="Uygulanmaz","İnceleme tamam",IF(AND(OR(P179="Uygun",P179="Kısmen uygun",P179="Uygunsuz"),OR(N179="Uygun",N179="Kısmen uygun",N179="Uygunsuz"),OR(O179="Uygun",O179="Kısmen uygun",O179="Uygunsuz"),OR(P179&lt;&gt;"Uygun",AND(N179="Uygun",O179="Uygun")),OR(P179="Uygun",AND(T179&lt;&gt;"",COUNTIF(Findings[KayitliBulguID],T179)=1))),"İnceleme tamam","Sonuç / bulgu eksik"))))))))</x:f>
        <x:v>Kimlik / kapsam eksik</x:v>
      </x:c>
      <x:c r="W179" s="14" t="str">
        <x:f>IF(A179="","",IF(V179&lt;&gt;"İnceleme tamam","İncelenmedi",IF(H179="Uygulanmaz","Uygulanmaz",P179)))</x:f>
        <x:v>İncelenmedi</x:v>
      </x:c>
    </x:row>
    <x:row r="180" ht="35" customHeight="1">
      <x:c r="A180" s="12" t="str">
        <x:v>U-0175</x:v>
      </x:c>
      <x:c r="B180" s="12" t="str">
        <x:v>NSX-007</x:v>
      </x:c>
      <x:c r="C180" s="12" t="str">
        <x:v>VMware NSX</x:v>
      </x:c>
      <x:c r="D180" s="12" t="str"/>
      <x:c r="E180" s="12" t="str"/>
      <x:c r="F180" s="12" t="str"/>
      <x:c r="G180" s="12" t="str"/>
      <x:c r="H180" s="12" t="str">
        <x:v>Belirlenecek</x:v>
      </x:c>
      <x:c r="I180" s="12" t="str"/>
      <x:c r="J180" s="12" t="str"/>
      <x:c r="K180" s="12" t="str"/>
      <x:c r="L180" s="13" t="str"/>
      <x:c r="M180" s="12" t="str"/>
      <x:c r="N180" s="12" t="str">
        <x:v>İncelenmedi</x:v>
      </x:c>
      <x:c r="O180" s="12" t="str">
        <x:v>İncelenmedi</x:v>
      </x:c>
      <x:c r="P180" s="12" t="str">
        <x:v>İncelenmedi</x:v>
      </x:c>
      <x:c r="Q180" s="12" t="str"/>
      <x:c r="R180" s="12" t="str"/>
      <x:c r="S180" s="13" t="str"/>
      <x:c r="T180" s="12" t="str"/>
      <x:c r="U180" s="12" t="str"/>
      <x:c r="V180" s="14" t="str">
        <x:f>IF(A180="","",IF(NOT(AND(COUNTIF(Exec[TestID],A180)=1,COUNTIF(Controls[ID],B180)=1,COUNTIFS(Scope[KapsamID],D180,Scope[OnayliKapsamID],D180,Scope[Ürün],C180)=1,OR(COUNTIFS(Controls[ID],B180,Controls[Ürün],C180)=1,COUNTIFS(Controls[ID],B180,Controls[Ürün],"MSP Genel")=1),E180&lt;&gt;"",F180&lt;&gt;"",G180&lt;&gt;"",I180&lt;&gt;"",Q180&lt;&gt;"")),"Kimlik / kapsam eksik",IF(NOT(OR(H180="Uygulanır",H180="Uygulanmaz")),"Uygulanabilirlik eksik",IF(AND(H180="Uygulanır",P180="Kanıt yetersiz",U180&lt;&gt;""),IF(AND(R180&lt;&gt;"",R180&lt;&gt;Q180,ISNUMBER(S180),S180&gt;0,S180&gt;=L180),"İnceleme tamam","Gözden geçirme eksik"),IF(NOT(AND(J180&lt;&gt;"",COUNTIFS(Evidence[KanitID],J180,Evidence[Kabul edilen ID],J180)=1,K180&lt;&gt;"",ISNUMBER(L180),L180&gt;0,M180&lt;&gt;"")),"Kanıt / test eksik",IF(NOT(AND(R180&lt;&gt;"",R180&lt;&gt;Q180,ISNUMBER(S180),S180&gt;0,S180&gt;=L180)),"Gözden geçirme eksik",IF(H180="Uygulanmaz","İnceleme tamam",IF(AND(OR(P180="Uygun",P180="Kısmen uygun",P180="Uygunsuz"),OR(N180="Uygun",N180="Kısmen uygun",N180="Uygunsuz"),OR(O180="Uygun",O180="Kısmen uygun",O180="Uygunsuz"),OR(P180&lt;&gt;"Uygun",AND(N180="Uygun",O180="Uygun")),OR(P180="Uygun",AND(T180&lt;&gt;"",COUNTIF(Findings[KayitliBulguID],T180)=1))),"İnceleme tamam","Sonuç / bulgu eksik"))))))))</x:f>
        <x:v>Kimlik / kapsam eksik</x:v>
      </x:c>
      <x:c r="W180" s="14" t="str">
        <x:f>IF(A180="","",IF(V180&lt;&gt;"İnceleme tamam","İncelenmedi",IF(H180="Uygulanmaz","Uygulanmaz",P180)))</x:f>
        <x:v>İncelenmedi</x:v>
      </x:c>
    </x:row>
    <x:row r="181" ht="35" customHeight="1">
      <x:c r="A181" s="12" t="str">
        <x:v>U-0176</x:v>
      </x:c>
      <x:c r="B181" s="12" t="str">
        <x:v>NSX-008</x:v>
      </x:c>
      <x:c r="C181" s="12" t="str">
        <x:v>VMware NSX</x:v>
      </x:c>
      <x:c r="D181" s="12" t="str"/>
      <x:c r="E181" s="12" t="str"/>
      <x:c r="F181" s="12" t="str"/>
      <x:c r="G181" s="12" t="str"/>
      <x:c r="H181" s="12" t="str">
        <x:v>Belirlenecek</x:v>
      </x:c>
      <x:c r="I181" s="12" t="str"/>
      <x:c r="J181" s="12" t="str"/>
      <x:c r="K181" s="12" t="str"/>
      <x:c r="L181" s="13" t="str"/>
      <x:c r="M181" s="12" t="str"/>
      <x:c r="N181" s="12" t="str">
        <x:v>İncelenmedi</x:v>
      </x:c>
      <x:c r="O181" s="12" t="str">
        <x:v>İncelenmedi</x:v>
      </x:c>
      <x:c r="P181" s="12" t="str">
        <x:v>İncelenmedi</x:v>
      </x:c>
      <x:c r="Q181" s="12" t="str"/>
      <x:c r="R181" s="12" t="str"/>
      <x:c r="S181" s="13" t="str"/>
      <x:c r="T181" s="12" t="str"/>
      <x:c r="U181" s="12" t="str"/>
      <x:c r="V181" s="14" t="str">
        <x:f>IF(A181="","",IF(NOT(AND(COUNTIF(Exec[TestID],A181)=1,COUNTIF(Controls[ID],B181)=1,COUNTIFS(Scope[KapsamID],D181,Scope[OnayliKapsamID],D181,Scope[Ürün],C181)=1,OR(COUNTIFS(Controls[ID],B181,Controls[Ürün],C181)=1,COUNTIFS(Controls[ID],B181,Controls[Ürün],"MSP Genel")=1),E181&lt;&gt;"",F181&lt;&gt;"",G181&lt;&gt;"",I181&lt;&gt;"",Q181&lt;&gt;"")),"Kimlik / kapsam eksik",IF(NOT(OR(H181="Uygulanır",H181="Uygulanmaz")),"Uygulanabilirlik eksik",IF(AND(H181="Uygulanır",P181="Kanıt yetersiz",U181&lt;&gt;""),IF(AND(R181&lt;&gt;"",R181&lt;&gt;Q181,ISNUMBER(S181),S181&gt;0,S181&gt;=L181),"İnceleme tamam","Gözden geçirme eksik"),IF(NOT(AND(J181&lt;&gt;"",COUNTIFS(Evidence[KanitID],J181,Evidence[Kabul edilen ID],J181)=1,K181&lt;&gt;"",ISNUMBER(L181),L181&gt;0,M181&lt;&gt;"")),"Kanıt / test eksik",IF(NOT(AND(R181&lt;&gt;"",R181&lt;&gt;Q181,ISNUMBER(S181),S181&gt;0,S181&gt;=L181)),"Gözden geçirme eksik",IF(H181="Uygulanmaz","İnceleme tamam",IF(AND(OR(P181="Uygun",P181="Kısmen uygun",P181="Uygunsuz"),OR(N181="Uygun",N181="Kısmen uygun",N181="Uygunsuz"),OR(O181="Uygun",O181="Kısmen uygun",O181="Uygunsuz"),OR(P181&lt;&gt;"Uygun",AND(N181="Uygun",O181="Uygun")),OR(P181="Uygun",AND(T181&lt;&gt;"",COUNTIF(Findings[KayitliBulguID],T181)=1))),"İnceleme tamam","Sonuç / bulgu eksik"))))))))</x:f>
        <x:v>Kimlik / kapsam eksik</x:v>
      </x:c>
      <x:c r="W181" s="14" t="str">
        <x:f>IF(A181="","",IF(V181&lt;&gt;"İnceleme tamam","İncelenmedi",IF(H181="Uygulanmaz","Uygulanmaz",P181)))</x:f>
        <x:v>İncelenmedi</x:v>
      </x:c>
    </x:row>
    <x:row r="182" ht="35" customHeight="1">
      <x:c r="A182" s="12" t="str">
        <x:v>U-0177</x:v>
      </x:c>
      <x:c r="B182" s="12" t="str">
        <x:v>NSX-009</x:v>
      </x:c>
      <x:c r="C182" s="12" t="str">
        <x:v>VMware NSX</x:v>
      </x:c>
      <x:c r="D182" s="12" t="str"/>
      <x:c r="E182" s="12" t="str"/>
      <x:c r="F182" s="12" t="str"/>
      <x:c r="G182" s="12" t="str"/>
      <x:c r="H182" s="12" t="str">
        <x:v>Belirlenecek</x:v>
      </x:c>
      <x:c r="I182" s="12" t="str"/>
      <x:c r="J182" s="12" t="str"/>
      <x:c r="K182" s="12" t="str"/>
      <x:c r="L182" s="13" t="str"/>
      <x:c r="M182" s="12" t="str"/>
      <x:c r="N182" s="12" t="str">
        <x:v>İncelenmedi</x:v>
      </x:c>
      <x:c r="O182" s="12" t="str">
        <x:v>İncelenmedi</x:v>
      </x:c>
      <x:c r="P182" s="12" t="str">
        <x:v>İncelenmedi</x:v>
      </x:c>
      <x:c r="Q182" s="12" t="str"/>
      <x:c r="R182" s="12" t="str"/>
      <x:c r="S182" s="13" t="str"/>
      <x:c r="T182" s="12" t="str"/>
      <x:c r="U182" s="12" t="str"/>
      <x:c r="V182" s="14" t="str">
        <x:f>IF(A182="","",IF(NOT(AND(COUNTIF(Exec[TestID],A182)=1,COUNTIF(Controls[ID],B182)=1,COUNTIFS(Scope[KapsamID],D182,Scope[OnayliKapsamID],D182,Scope[Ürün],C182)=1,OR(COUNTIFS(Controls[ID],B182,Controls[Ürün],C182)=1,COUNTIFS(Controls[ID],B182,Controls[Ürün],"MSP Genel")=1),E182&lt;&gt;"",F182&lt;&gt;"",G182&lt;&gt;"",I182&lt;&gt;"",Q182&lt;&gt;"")),"Kimlik / kapsam eksik",IF(NOT(OR(H182="Uygulanır",H182="Uygulanmaz")),"Uygulanabilirlik eksik",IF(AND(H182="Uygulanır",P182="Kanıt yetersiz",U182&lt;&gt;""),IF(AND(R182&lt;&gt;"",R182&lt;&gt;Q182,ISNUMBER(S182),S182&gt;0,S182&gt;=L182),"İnceleme tamam","Gözden geçirme eksik"),IF(NOT(AND(J182&lt;&gt;"",COUNTIFS(Evidence[KanitID],J182,Evidence[Kabul edilen ID],J182)=1,K182&lt;&gt;"",ISNUMBER(L182),L182&gt;0,M182&lt;&gt;"")),"Kanıt / test eksik",IF(NOT(AND(R182&lt;&gt;"",R182&lt;&gt;Q182,ISNUMBER(S182),S182&gt;0,S182&gt;=L182)),"Gözden geçirme eksik",IF(H182="Uygulanmaz","İnceleme tamam",IF(AND(OR(P182="Uygun",P182="Kısmen uygun",P182="Uygunsuz"),OR(N182="Uygun",N182="Kısmen uygun",N182="Uygunsuz"),OR(O182="Uygun",O182="Kısmen uygun",O182="Uygunsuz"),OR(P182&lt;&gt;"Uygun",AND(N182="Uygun",O182="Uygun")),OR(P182="Uygun",AND(T182&lt;&gt;"",COUNTIF(Findings[KayitliBulguID],T182)=1))),"İnceleme tamam","Sonuç / bulgu eksik"))))))))</x:f>
        <x:v>Kimlik / kapsam eksik</x:v>
      </x:c>
      <x:c r="W182" s="14" t="str">
        <x:f>IF(A182="","",IF(V182&lt;&gt;"İnceleme tamam","İncelenmedi",IF(H182="Uygulanmaz","Uygulanmaz",P182)))</x:f>
        <x:v>İncelenmedi</x:v>
      </x:c>
    </x:row>
    <x:row r="183" ht="35" customHeight="1">
      <x:c r="A183" s="12" t="str">
        <x:v>U-0178</x:v>
      </x:c>
      <x:c r="B183" s="12" t="str">
        <x:v>NSX-010</x:v>
      </x:c>
      <x:c r="C183" s="12" t="str">
        <x:v>VMware NSX</x:v>
      </x:c>
      <x:c r="D183" s="12" t="str"/>
      <x:c r="E183" s="12" t="str"/>
      <x:c r="F183" s="12" t="str"/>
      <x:c r="G183" s="12" t="str"/>
      <x:c r="H183" s="12" t="str">
        <x:v>Belirlenecek</x:v>
      </x:c>
      <x:c r="I183" s="12" t="str"/>
      <x:c r="J183" s="12" t="str"/>
      <x:c r="K183" s="12" t="str"/>
      <x:c r="L183" s="13" t="str"/>
      <x:c r="M183" s="12" t="str"/>
      <x:c r="N183" s="12" t="str">
        <x:v>İncelenmedi</x:v>
      </x:c>
      <x:c r="O183" s="12" t="str">
        <x:v>İncelenmedi</x:v>
      </x:c>
      <x:c r="P183" s="12" t="str">
        <x:v>İncelenmedi</x:v>
      </x:c>
      <x:c r="Q183" s="12" t="str"/>
      <x:c r="R183" s="12" t="str"/>
      <x:c r="S183" s="13" t="str"/>
      <x:c r="T183" s="12" t="str"/>
      <x:c r="U183" s="12" t="str"/>
      <x:c r="V183" s="14" t="str">
        <x:f>IF(A183="","",IF(NOT(AND(COUNTIF(Exec[TestID],A183)=1,COUNTIF(Controls[ID],B183)=1,COUNTIFS(Scope[KapsamID],D183,Scope[OnayliKapsamID],D183,Scope[Ürün],C183)=1,OR(COUNTIFS(Controls[ID],B183,Controls[Ürün],C183)=1,COUNTIFS(Controls[ID],B183,Controls[Ürün],"MSP Genel")=1),E183&lt;&gt;"",F183&lt;&gt;"",G183&lt;&gt;"",I183&lt;&gt;"",Q183&lt;&gt;"")),"Kimlik / kapsam eksik",IF(NOT(OR(H183="Uygulanır",H183="Uygulanmaz")),"Uygulanabilirlik eksik",IF(AND(H183="Uygulanır",P183="Kanıt yetersiz",U183&lt;&gt;""),IF(AND(R183&lt;&gt;"",R183&lt;&gt;Q183,ISNUMBER(S183),S183&gt;0,S183&gt;=L183),"İnceleme tamam","Gözden geçirme eksik"),IF(NOT(AND(J183&lt;&gt;"",COUNTIFS(Evidence[KanitID],J183,Evidence[Kabul edilen ID],J183)=1,K183&lt;&gt;"",ISNUMBER(L183),L183&gt;0,M183&lt;&gt;"")),"Kanıt / test eksik",IF(NOT(AND(R183&lt;&gt;"",R183&lt;&gt;Q183,ISNUMBER(S183),S183&gt;0,S183&gt;=L183)),"Gözden geçirme eksik",IF(H183="Uygulanmaz","İnceleme tamam",IF(AND(OR(P183="Uygun",P183="Kısmen uygun",P183="Uygunsuz"),OR(N183="Uygun",N183="Kısmen uygun",N183="Uygunsuz"),OR(O183="Uygun",O183="Kısmen uygun",O183="Uygunsuz"),OR(P183&lt;&gt;"Uygun",AND(N183="Uygun",O183="Uygun")),OR(P183="Uygun",AND(T183&lt;&gt;"",COUNTIF(Findings[KayitliBulguID],T183)=1))),"İnceleme tamam","Sonuç / bulgu eksik"))))))))</x:f>
        <x:v>Kimlik / kapsam eksik</x:v>
      </x:c>
      <x:c r="W183" s="14" t="str">
        <x:f>IF(A183="","",IF(V183&lt;&gt;"İnceleme tamam","İncelenmedi",IF(H183="Uygulanmaz","Uygulanmaz",P183)))</x:f>
        <x:v>İncelenmedi</x:v>
      </x:c>
    </x:row>
    <x:row r="184" ht="35" customHeight="1">
      <x:c r="A184" s="12" t="str">
        <x:v>U-0179</x:v>
      </x:c>
      <x:c r="B184" s="12" t="str">
        <x:v>NSX-011</x:v>
      </x:c>
      <x:c r="C184" s="12" t="str">
        <x:v>VMware NSX</x:v>
      </x:c>
      <x:c r="D184" s="12" t="str"/>
      <x:c r="E184" s="12" t="str"/>
      <x:c r="F184" s="12" t="str"/>
      <x:c r="G184" s="12" t="str"/>
      <x:c r="H184" s="12" t="str">
        <x:v>Belirlenecek</x:v>
      </x:c>
      <x:c r="I184" s="12" t="str"/>
      <x:c r="J184" s="12" t="str"/>
      <x:c r="K184" s="12" t="str"/>
      <x:c r="L184" s="13" t="str"/>
      <x:c r="M184" s="12" t="str"/>
      <x:c r="N184" s="12" t="str">
        <x:v>İncelenmedi</x:v>
      </x:c>
      <x:c r="O184" s="12" t="str">
        <x:v>İncelenmedi</x:v>
      </x:c>
      <x:c r="P184" s="12" t="str">
        <x:v>İncelenmedi</x:v>
      </x:c>
      <x:c r="Q184" s="12" t="str"/>
      <x:c r="R184" s="12" t="str"/>
      <x:c r="S184" s="13" t="str"/>
      <x:c r="T184" s="12" t="str"/>
      <x:c r="U184" s="12" t="str"/>
      <x:c r="V184" s="14" t="str">
        <x:f>IF(A184="","",IF(NOT(AND(COUNTIF(Exec[TestID],A184)=1,COUNTIF(Controls[ID],B184)=1,COUNTIFS(Scope[KapsamID],D184,Scope[OnayliKapsamID],D184,Scope[Ürün],C184)=1,OR(COUNTIFS(Controls[ID],B184,Controls[Ürün],C184)=1,COUNTIFS(Controls[ID],B184,Controls[Ürün],"MSP Genel")=1),E184&lt;&gt;"",F184&lt;&gt;"",G184&lt;&gt;"",I184&lt;&gt;"",Q184&lt;&gt;"")),"Kimlik / kapsam eksik",IF(NOT(OR(H184="Uygulanır",H184="Uygulanmaz")),"Uygulanabilirlik eksik",IF(AND(H184="Uygulanır",P184="Kanıt yetersiz",U184&lt;&gt;""),IF(AND(R184&lt;&gt;"",R184&lt;&gt;Q184,ISNUMBER(S184),S184&gt;0,S184&gt;=L184),"İnceleme tamam","Gözden geçirme eksik"),IF(NOT(AND(J184&lt;&gt;"",COUNTIFS(Evidence[KanitID],J184,Evidence[Kabul edilen ID],J184)=1,K184&lt;&gt;"",ISNUMBER(L184),L184&gt;0,M184&lt;&gt;"")),"Kanıt / test eksik",IF(NOT(AND(R184&lt;&gt;"",R184&lt;&gt;Q184,ISNUMBER(S184),S184&gt;0,S184&gt;=L184)),"Gözden geçirme eksik",IF(H184="Uygulanmaz","İnceleme tamam",IF(AND(OR(P184="Uygun",P184="Kısmen uygun",P184="Uygunsuz"),OR(N184="Uygun",N184="Kısmen uygun",N184="Uygunsuz"),OR(O184="Uygun",O184="Kısmen uygun",O184="Uygunsuz"),OR(P184&lt;&gt;"Uygun",AND(N184="Uygun",O184="Uygun")),OR(P184="Uygun",AND(T184&lt;&gt;"",COUNTIF(Findings[KayitliBulguID],T184)=1))),"İnceleme tamam","Sonuç / bulgu eksik"))))))))</x:f>
        <x:v>Kimlik / kapsam eksik</x:v>
      </x:c>
      <x:c r="W184" s="14" t="str">
        <x:f>IF(A184="","",IF(V184&lt;&gt;"İnceleme tamam","İncelenmedi",IF(H184="Uygulanmaz","Uygulanmaz",P184)))</x:f>
        <x:v>İncelenmedi</x:v>
      </x:c>
    </x:row>
    <x:row r="185" ht="35" customHeight="1">
      <x:c r="A185" s="12" t="str">
        <x:v>U-0180</x:v>
      </x:c>
      <x:c r="B185" s="12" t="str">
        <x:v>NSX-012</x:v>
      </x:c>
      <x:c r="C185" s="12" t="str">
        <x:v>VMware NSX</x:v>
      </x:c>
      <x:c r="D185" s="12" t="str"/>
      <x:c r="E185" s="12" t="str"/>
      <x:c r="F185" s="12" t="str"/>
      <x:c r="G185" s="12" t="str"/>
      <x:c r="H185" s="12" t="str">
        <x:v>Belirlenecek</x:v>
      </x:c>
      <x:c r="I185" s="12" t="str"/>
      <x:c r="J185" s="12" t="str"/>
      <x:c r="K185" s="12" t="str"/>
      <x:c r="L185" s="13" t="str"/>
      <x:c r="M185" s="12" t="str"/>
      <x:c r="N185" s="12" t="str">
        <x:v>İncelenmedi</x:v>
      </x:c>
      <x:c r="O185" s="12" t="str">
        <x:v>İncelenmedi</x:v>
      </x:c>
      <x:c r="P185" s="12" t="str">
        <x:v>İncelenmedi</x:v>
      </x:c>
      <x:c r="Q185" s="12" t="str"/>
      <x:c r="R185" s="12" t="str"/>
      <x:c r="S185" s="13" t="str"/>
      <x:c r="T185" s="12" t="str"/>
      <x:c r="U185" s="12" t="str"/>
      <x:c r="V185" s="14" t="str">
        <x:f>IF(A185="","",IF(NOT(AND(COUNTIF(Exec[TestID],A185)=1,COUNTIF(Controls[ID],B185)=1,COUNTIFS(Scope[KapsamID],D185,Scope[OnayliKapsamID],D185,Scope[Ürün],C185)=1,OR(COUNTIFS(Controls[ID],B185,Controls[Ürün],C185)=1,COUNTIFS(Controls[ID],B185,Controls[Ürün],"MSP Genel")=1),E185&lt;&gt;"",F185&lt;&gt;"",G185&lt;&gt;"",I185&lt;&gt;"",Q185&lt;&gt;"")),"Kimlik / kapsam eksik",IF(NOT(OR(H185="Uygulanır",H185="Uygulanmaz")),"Uygulanabilirlik eksik",IF(AND(H185="Uygulanır",P185="Kanıt yetersiz",U185&lt;&gt;""),IF(AND(R185&lt;&gt;"",R185&lt;&gt;Q185,ISNUMBER(S185),S185&gt;0,S185&gt;=L185),"İnceleme tamam","Gözden geçirme eksik"),IF(NOT(AND(J185&lt;&gt;"",COUNTIFS(Evidence[KanitID],J185,Evidence[Kabul edilen ID],J185)=1,K185&lt;&gt;"",ISNUMBER(L185),L185&gt;0,M185&lt;&gt;"")),"Kanıt / test eksik",IF(NOT(AND(R185&lt;&gt;"",R185&lt;&gt;Q185,ISNUMBER(S185),S185&gt;0,S185&gt;=L185)),"Gözden geçirme eksik",IF(H185="Uygulanmaz","İnceleme tamam",IF(AND(OR(P185="Uygun",P185="Kısmen uygun",P185="Uygunsuz"),OR(N185="Uygun",N185="Kısmen uygun",N185="Uygunsuz"),OR(O185="Uygun",O185="Kısmen uygun",O185="Uygunsuz"),OR(P185&lt;&gt;"Uygun",AND(N185="Uygun",O185="Uygun")),OR(P185="Uygun",AND(T185&lt;&gt;"",COUNTIF(Findings[KayitliBulguID],T185)=1))),"İnceleme tamam","Sonuç / bulgu eksik"))))))))</x:f>
        <x:v>Kimlik / kapsam eksik</x:v>
      </x:c>
      <x:c r="W185" s="14" t="str">
        <x:f>IF(A185="","",IF(V185&lt;&gt;"İnceleme tamam","İncelenmedi",IF(H185="Uygulanmaz","Uygulanmaz",P185)))</x:f>
        <x:v>İncelenmedi</x:v>
      </x:c>
    </x:row>
    <x:row r="186" ht="35" customHeight="1">
      <x:c r="A186" s="12" t="str">
        <x:v>U-0181</x:v>
      </x:c>
      <x:c r="B186" s="12" t="str">
        <x:v>VMW-V06-06</x:v>
      </x:c>
      <x:c r="C186" s="12" t="str">
        <x:v>VMware NSX</x:v>
      </x:c>
      <x:c r="D186" s="12" t="str"/>
      <x:c r="E186" s="12" t="str"/>
      <x:c r="F186" s="12" t="str"/>
      <x:c r="G186" s="12" t="str"/>
      <x:c r="H186" s="12" t="str">
        <x:v>Belirlenecek</x:v>
      </x:c>
      <x:c r="I186" s="12" t="str"/>
      <x:c r="J186" s="12" t="str"/>
      <x:c r="K186" s="12" t="str"/>
      <x:c r="L186" s="13" t="str"/>
      <x:c r="M186" s="12" t="str"/>
      <x:c r="N186" s="12" t="str">
        <x:v>İncelenmedi</x:v>
      </x:c>
      <x:c r="O186" s="12" t="str">
        <x:v>İncelenmedi</x:v>
      </x:c>
      <x:c r="P186" s="12" t="str">
        <x:v>İncelenmedi</x:v>
      </x:c>
      <x:c r="Q186" s="12" t="str"/>
      <x:c r="R186" s="12" t="str"/>
      <x:c r="S186" s="13" t="str"/>
      <x:c r="T186" s="12" t="str"/>
      <x:c r="U186" s="12" t="str"/>
      <x:c r="V186" s="14" t="str">
        <x:f>IF(A186="","",IF(NOT(AND(COUNTIF(Exec[TestID],A186)=1,COUNTIF(Controls[ID],B186)=1,COUNTIFS(Scope[KapsamID],D186,Scope[OnayliKapsamID],D186,Scope[Ürün],C186)=1,OR(COUNTIFS(Controls[ID],B186,Controls[Ürün],C186)=1,COUNTIFS(Controls[ID],B186,Controls[Ürün],"MSP Genel")=1),E186&lt;&gt;"",F186&lt;&gt;"",G186&lt;&gt;"",I186&lt;&gt;"",Q186&lt;&gt;"")),"Kimlik / kapsam eksik",IF(NOT(OR(H186="Uygulanır",H186="Uygulanmaz")),"Uygulanabilirlik eksik",IF(AND(H186="Uygulanır",P186="Kanıt yetersiz",U186&lt;&gt;""),IF(AND(R186&lt;&gt;"",R186&lt;&gt;Q186,ISNUMBER(S186),S186&gt;0,S186&gt;=L186),"İnceleme tamam","Gözden geçirme eksik"),IF(NOT(AND(J186&lt;&gt;"",COUNTIFS(Evidence[KanitID],J186,Evidence[Kabul edilen ID],J186)=1,K186&lt;&gt;"",ISNUMBER(L186),L186&gt;0,M186&lt;&gt;"")),"Kanıt / test eksik",IF(NOT(AND(R186&lt;&gt;"",R186&lt;&gt;Q186,ISNUMBER(S186),S186&gt;0,S186&gt;=L186)),"Gözden geçirme eksik",IF(H186="Uygulanmaz","İnceleme tamam",IF(AND(OR(P186="Uygun",P186="Kısmen uygun",P186="Uygunsuz"),OR(N186="Uygun",N186="Kısmen uygun",N186="Uygunsuz"),OR(O186="Uygun",O186="Kısmen uygun",O186="Uygunsuz"),OR(P186&lt;&gt;"Uygun",AND(N186="Uygun",O186="Uygun")),OR(P186="Uygun",AND(T186&lt;&gt;"",COUNTIF(Findings[KayitliBulguID],T186)=1))),"İnceleme tamam","Sonuç / bulgu eksik"))))))))</x:f>
        <x:v>Kimlik / kapsam eksik</x:v>
      </x:c>
      <x:c r="W186" s="14" t="str">
        <x:f>IF(A186="","",IF(V186&lt;&gt;"İnceleme tamam","İncelenmedi",IF(H186="Uygulanmaz","Uygulanmaz",P186)))</x:f>
        <x:v>İncelenmedi</x:v>
      </x:c>
    </x:row>
    <x:row r="187" ht="35" customHeight="1">
      <x:c r="A187" s="12" t="str">
        <x:v>U-0182</x:v>
      </x:c>
      <x:c r="B187" s="12" t="str">
        <x:v>VDS-007</x:v>
      </x:c>
      <x:c r="C187" s="12" t="str">
        <x:v>VMware Distributed Switch</x:v>
      </x:c>
      <x:c r="D187" s="12" t="str"/>
      <x:c r="E187" s="12" t="str"/>
      <x:c r="F187" s="12" t="str"/>
      <x:c r="G187" s="12" t="str"/>
      <x:c r="H187" s="12" t="str">
        <x:v>Belirlenecek</x:v>
      </x:c>
      <x:c r="I187" s="12" t="str"/>
      <x:c r="J187" s="12" t="str"/>
      <x:c r="K187" s="12" t="str"/>
      <x:c r="L187" s="13" t="str"/>
      <x:c r="M187" s="12" t="str"/>
      <x:c r="N187" s="12" t="str">
        <x:v>İncelenmedi</x:v>
      </x:c>
      <x:c r="O187" s="12" t="str">
        <x:v>İncelenmedi</x:v>
      </x:c>
      <x:c r="P187" s="12" t="str">
        <x:v>İncelenmedi</x:v>
      </x:c>
      <x:c r="Q187" s="12" t="str"/>
      <x:c r="R187" s="12" t="str"/>
      <x:c r="S187" s="13" t="str"/>
      <x:c r="T187" s="12" t="str"/>
      <x:c r="U187" s="12" t="str"/>
      <x:c r="V187" s="14" t="str">
        <x:f>IF(A187="","",IF(NOT(AND(COUNTIF(Exec[TestID],A187)=1,COUNTIF(Controls[ID],B187)=1,COUNTIFS(Scope[KapsamID],D187,Scope[OnayliKapsamID],D187,Scope[Ürün],C187)=1,OR(COUNTIFS(Controls[ID],B187,Controls[Ürün],C187)=1,COUNTIFS(Controls[ID],B187,Controls[Ürün],"MSP Genel")=1),E187&lt;&gt;"",F187&lt;&gt;"",G187&lt;&gt;"",I187&lt;&gt;"",Q187&lt;&gt;"")),"Kimlik / kapsam eksik",IF(NOT(OR(H187="Uygulanır",H187="Uygulanmaz")),"Uygulanabilirlik eksik",IF(AND(H187="Uygulanır",P187="Kanıt yetersiz",U187&lt;&gt;""),IF(AND(R187&lt;&gt;"",R187&lt;&gt;Q187,ISNUMBER(S187),S187&gt;0,S187&gt;=L187),"İnceleme tamam","Gözden geçirme eksik"),IF(NOT(AND(J187&lt;&gt;"",COUNTIFS(Evidence[KanitID],J187,Evidence[Kabul edilen ID],J187)=1,K187&lt;&gt;"",ISNUMBER(L187),L187&gt;0,M187&lt;&gt;"")),"Kanıt / test eksik",IF(NOT(AND(R187&lt;&gt;"",R187&lt;&gt;Q187,ISNUMBER(S187),S187&gt;0,S187&gt;=L187)),"Gözden geçirme eksik",IF(H187="Uygulanmaz","İnceleme tamam",IF(AND(OR(P187="Uygun",P187="Kısmen uygun",P187="Uygunsuz"),OR(N187="Uygun",N187="Kısmen uygun",N187="Uygunsuz"),OR(O187="Uygun",O187="Kısmen uygun",O187="Uygunsuz"),OR(P187&lt;&gt;"Uygun",AND(N187="Uygun",O187="Uygun")),OR(P187="Uygun",AND(T187&lt;&gt;"",COUNTIF(Findings[KayitliBulguID],T187)=1))),"İnceleme tamam","Sonuç / bulgu eksik"))))))))</x:f>
        <x:v>Kimlik / kapsam eksik</x:v>
      </x:c>
      <x:c r="W187" s="14" t="str">
        <x:f>IF(A187="","",IF(V187&lt;&gt;"İnceleme tamam","İncelenmedi",IF(H187="Uygulanmaz","Uygulanmaz",P187)))</x:f>
        <x:v>İncelenmedi</x:v>
      </x:c>
    </x:row>
    <x:row r="188" ht="35" customHeight="1">
      <x:c r="A188" s="12" t="str">
        <x:v>U-0183</x:v>
      </x:c>
      <x:c r="B188" s="12" t="str">
        <x:v>VDS-008</x:v>
      </x:c>
      <x:c r="C188" s="12" t="str">
        <x:v>VMware Distributed Switch</x:v>
      </x:c>
      <x:c r="D188" s="12" t="str"/>
      <x:c r="E188" s="12" t="str"/>
      <x:c r="F188" s="12" t="str"/>
      <x:c r="G188" s="12" t="str"/>
      <x:c r="H188" s="12" t="str">
        <x:v>Belirlenecek</x:v>
      </x:c>
      <x:c r="I188" s="12" t="str"/>
      <x:c r="J188" s="12" t="str"/>
      <x:c r="K188" s="12" t="str"/>
      <x:c r="L188" s="13" t="str"/>
      <x:c r="M188" s="12" t="str"/>
      <x:c r="N188" s="12" t="str">
        <x:v>İncelenmedi</x:v>
      </x:c>
      <x:c r="O188" s="12" t="str">
        <x:v>İncelenmedi</x:v>
      </x:c>
      <x:c r="P188" s="12" t="str">
        <x:v>İncelenmedi</x:v>
      </x:c>
      <x:c r="Q188" s="12" t="str"/>
      <x:c r="R188" s="12" t="str"/>
      <x:c r="S188" s="13" t="str"/>
      <x:c r="T188" s="12" t="str"/>
      <x:c r="U188" s="12" t="str"/>
      <x:c r="V188" s="14" t="str">
        <x:f>IF(A188="","",IF(NOT(AND(COUNTIF(Exec[TestID],A188)=1,COUNTIF(Controls[ID],B188)=1,COUNTIFS(Scope[KapsamID],D188,Scope[OnayliKapsamID],D188,Scope[Ürün],C188)=1,OR(COUNTIFS(Controls[ID],B188,Controls[Ürün],C188)=1,COUNTIFS(Controls[ID],B188,Controls[Ürün],"MSP Genel")=1),E188&lt;&gt;"",F188&lt;&gt;"",G188&lt;&gt;"",I188&lt;&gt;"",Q188&lt;&gt;"")),"Kimlik / kapsam eksik",IF(NOT(OR(H188="Uygulanır",H188="Uygulanmaz")),"Uygulanabilirlik eksik",IF(AND(H188="Uygulanır",P188="Kanıt yetersiz",U188&lt;&gt;""),IF(AND(R188&lt;&gt;"",R188&lt;&gt;Q188,ISNUMBER(S188),S188&gt;0,S188&gt;=L188),"İnceleme tamam","Gözden geçirme eksik"),IF(NOT(AND(J188&lt;&gt;"",COUNTIFS(Evidence[KanitID],J188,Evidence[Kabul edilen ID],J188)=1,K188&lt;&gt;"",ISNUMBER(L188),L188&gt;0,M188&lt;&gt;"")),"Kanıt / test eksik",IF(NOT(AND(R188&lt;&gt;"",R188&lt;&gt;Q188,ISNUMBER(S188),S188&gt;0,S188&gt;=L188)),"Gözden geçirme eksik",IF(H188="Uygulanmaz","İnceleme tamam",IF(AND(OR(P188="Uygun",P188="Kısmen uygun",P188="Uygunsuz"),OR(N188="Uygun",N188="Kısmen uygun",N188="Uygunsuz"),OR(O188="Uygun",O188="Kısmen uygun",O188="Uygunsuz"),OR(P188&lt;&gt;"Uygun",AND(N188="Uygun",O188="Uygun")),OR(P188="Uygun",AND(T188&lt;&gt;"",COUNTIF(Findings[KayitliBulguID],T188)=1))),"İnceleme tamam","Sonuç / bulgu eksik"))))))))</x:f>
        <x:v>Kimlik / kapsam eksik</x:v>
      </x:c>
      <x:c r="W188" s="14" t="str">
        <x:f>IF(A188="","",IF(V188&lt;&gt;"İnceleme tamam","İncelenmedi",IF(H188="Uygulanmaz","Uygulanmaz",P188)))</x:f>
        <x:v>İncelenmedi</x:v>
      </x:c>
    </x:row>
    <x:row r="189" ht="35" customHeight="1">
      <x:c r="A189" s="12" t="str">
        <x:v>U-0184</x:v>
      </x:c>
      <x:c r="B189" s="12" t="str">
        <x:v>VDS-009</x:v>
      </x:c>
      <x:c r="C189" s="12" t="str">
        <x:v>VMware Distributed Switch</x:v>
      </x:c>
      <x:c r="D189" s="12" t="str"/>
      <x:c r="E189" s="12" t="str"/>
      <x:c r="F189" s="12" t="str"/>
      <x:c r="G189" s="12" t="str"/>
      <x:c r="H189" s="12" t="str">
        <x:v>Belirlenecek</x:v>
      </x:c>
      <x:c r="I189" s="12" t="str"/>
      <x:c r="J189" s="12" t="str"/>
      <x:c r="K189" s="12" t="str"/>
      <x:c r="L189" s="13" t="str"/>
      <x:c r="M189" s="12" t="str"/>
      <x:c r="N189" s="12" t="str">
        <x:v>İncelenmedi</x:v>
      </x:c>
      <x:c r="O189" s="12" t="str">
        <x:v>İncelenmedi</x:v>
      </x:c>
      <x:c r="P189" s="12" t="str">
        <x:v>İncelenmedi</x:v>
      </x:c>
      <x:c r="Q189" s="12" t="str"/>
      <x:c r="R189" s="12" t="str"/>
      <x:c r="S189" s="13" t="str"/>
      <x:c r="T189" s="12" t="str"/>
      <x:c r="U189" s="12" t="str"/>
      <x:c r="V189" s="14" t="str">
        <x:f>IF(A189="","",IF(NOT(AND(COUNTIF(Exec[TestID],A189)=1,COUNTIF(Controls[ID],B189)=1,COUNTIFS(Scope[KapsamID],D189,Scope[OnayliKapsamID],D189,Scope[Ürün],C189)=1,OR(COUNTIFS(Controls[ID],B189,Controls[Ürün],C189)=1,COUNTIFS(Controls[ID],B189,Controls[Ürün],"MSP Genel")=1),E189&lt;&gt;"",F189&lt;&gt;"",G189&lt;&gt;"",I189&lt;&gt;"",Q189&lt;&gt;"")),"Kimlik / kapsam eksik",IF(NOT(OR(H189="Uygulanır",H189="Uygulanmaz")),"Uygulanabilirlik eksik",IF(AND(H189="Uygulanır",P189="Kanıt yetersiz",U189&lt;&gt;""),IF(AND(R189&lt;&gt;"",R189&lt;&gt;Q189,ISNUMBER(S189),S189&gt;0,S189&gt;=L189),"İnceleme tamam","Gözden geçirme eksik"),IF(NOT(AND(J189&lt;&gt;"",COUNTIFS(Evidence[KanitID],J189,Evidence[Kabul edilen ID],J189)=1,K189&lt;&gt;"",ISNUMBER(L189),L189&gt;0,M189&lt;&gt;"")),"Kanıt / test eksik",IF(NOT(AND(R189&lt;&gt;"",R189&lt;&gt;Q189,ISNUMBER(S189),S189&gt;0,S189&gt;=L189)),"Gözden geçirme eksik",IF(H189="Uygulanmaz","İnceleme tamam",IF(AND(OR(P189="Uygun",P189="Kısmen uygun",P189="Uygunsuz"),OR(N189="Uygun",N189="Kısmen uygun",N189="Uygunsuz"),OR(O189="Uygun",O189="Kısmen uygun",O189="Uygunsuz"),OR(P189&lt;&gt;"Uygun",AND(N189="Uygun",O189="Uygun")),OR(P189="Uygun",AND(T189&lt;&gt;"",COUNTIF(Findings[KayitliBulguID],T189)=1))),"İnceleme tamam","Sonuç / bulgu eksik"))))))))</x:f>
        <x:v>Kimlik / kapsam eksik</x:v>
      </x:c>
      <x:c r="W189" s="14" t="str">
        <x:f>IF(A189="","",IF(V189&lt;&gt;"İnceleme tamam","İncelenmedi",IF(H189="Uygulanmaz","Uygulanmaz",P189)))</x:f>
        <x:v>İncelenmedi</x:v>
      </x:c>
    </x:row>
    <x:row r="190" ht="35" customHeight="1">
      <x:c r="A190" s="12" t="str">
        <x:v>U-0185</x:v>
      </x:c>
      <x:c r="B190" s="12" t="str">
        <x:v>VDS-010</x:v>
      </x:c>
      <x:c r="C190" s="12" t="str">
        <x:v>VMware Distributed Switch</x:v>
      </x:c>
      <x:c r="D190" s="12" t="str"/>
      <x:c r="E190" s="12" t="str"/>
      <x:c r="F190" s="12" t="str"/>
      <x:c r="G190" s="12" t="str"/>
      <x:c r="H190" s="12" t="str">
        <x:v>Belirlenecek</x:v>
      </x:c>
      <x:c r="I190" s="12" t="str"/>
      <x:c r="J190" s="12" t="str"/>
      <x:c r="K190" s="12" t="str"/>
      <x:c r="L190" s="13" t="str"/>
      <x:c r="M190" s="12" t="str"/>
      <x:c r="N190" s="12" t="str">
        <x:v>İncelenmedi</x:v>
      </x:c>
      <x:c r="O190" s="12" t="str">
        <x:v>İncelenmedi</x:v>
      </x:c>
      <x:c r="P190" s="12" t="str">
        <x:v>İncelenmedi</x:v>
      </x:c>
      <x:c r="Q190" s="12" t="str"/>
      <x:c r="R190" s="12" t="str"/>
      <x:c r="S190" s="13" t="str"/>
      <x:c r="T190" s="12" t="str"/>
      <x:c r="U190" s="12" t="str"/>
      <x:c r="V190" s="14" t="str">
        <x:f>IF(A190="","",IF(NOT(AND(COUNTIF(Exec[TestID],A190)=1,COUNTIF(Controls[ID],B190)=1,COUNTIFS(Scope[KapsamID],D190,Scope[OnayliKapsamID],D190,Scope[Ürün],C190)=1,OR(COUNTIFS(Controls[ID],B190,Controls[Ürün],C190)=1,COUNTIFS(Controls[ID],B190,Controls[Ürün],"MSP Genel")=1),E190&lt;&gt;"",F190&lt;&gt;"",G190&lt;&gt;"",I190&lt;&gt;"",Q190&lt;&gt;"")),"Kimlik / kapsam eksik",IF(NOT(OR(H190="Uygulanır",H190="Uygulanmaz")),"Uygulanabilirlik eksik",IF(AND(H190="Uygulanır",P190="Kanıt yetersiz",U190&lt;&gt;""),IF(AND(R190&lt;&gt;"",R190&lt;&gt;Q190,ISNUMBER(S190),S190&gt;0,S190&gt;=L190),"İnceleme tamam","Gözden geçirme eksik"),IF(NOT(AND(J190&lt;&gt;"",COUNTIFS(Evidence[KanitID],J190,Evidence[Kabul edilen ID],J190)=1,K190&lt;&gt;"",ISNUMBER(L190),L190&gt;0,M190&lt;&gt;"")),"Kanıt / test eksik",IF(NOT(AND(R190&lt;&gt;"",R190&lt;&gt;Q190,ISNUMBER(S190),S190&gt;0,S190&gt;=L190)),"Gözden geçirme eksik",IF(H190="Uygulanmaz","İnceleme tamam",IF(AND(OR(P190="Uygun",P190="Kısmen uygun",P190="Uygunsuz"),OR(N190="Uygun",N190="Kısmen uygun",N190="Uygunsuz"),OR(O190="Uygun",O190="Kısmen uygun",O190="Uygunsuz"),OR(P190&lt;&gt;"Uygun",AND(N190="Uygun",O190="Uygun")),OR(P190="Uygun",AND(T190&lt;&gt;"",COUNTIF(Findings[KayitliBulguID],T190)=1))),"İnceleme tamam","Sonuç / bulgu eksik"))))))))</x:f>
        <x:v>Kimlik / kapsam eksik</x:v>
      </x:c>
      <x:c r="W190" s="14" t="str">
        <x:f>IF(A190="","",IF(V190&lt;&gt;"İnceleme tamam","İncelenmedi",IF(H190="Uygulanmaz","Uygulanmaz",P190)))</x:f>
        <x:v>İncelenmedi</x:v>
      </x:c>
    </x:row>
    <x:row r="191" ht="35" customHeight="1">
      <x:c r="A191" s="12" t="str">
        <x:v>U-0186</x:v>
      </x:c>
      <x:c r="B191" s="12" t="str">
        <x:v>VDS-011</x:v>
      </x:c>
      <x:c r="C191" s="12" t="str">
        <x:v>VMware Distributed Switch</x:v>
      </x:c>
      <x:c r="D191" s="12" t="str"/>
      <x:c r="E191" s="12" t="str"/>
      <x:c r="F191" s="12" t="str"/>
      <x:c r="G191" s="12" t="str"/>
      <x:c r="H191" s="12" t="str">
        <x:v>Belirlenecek</x:v>
      </x:c>
      <x:c r="I191" s="12" t="str"/>
      <x:c r="J191" s="12" t="str"/>
      <x:c r="K191" s="12" t="str"/>
      <x:c r="L191" s="13" t="str"/>
      <x:c r="M191" s="12" t="str"/>
      <x:c r="N191" s="12" t="str">
        <x:v>İncelenmedi</x:v>
      </x:c>
      <x:c r="O191" s="12" t="str">
        <x:v>İncelenmedi</x:v>
      </x:c>
      <x:c r="P191" s="12" t="str">
        <x:v>İncelenmedi</x:v>
      </x:c>
      <x:c r="Q191" s="12" t="str"/>
      <x:c r="R191" s="12" t="str"/>
      <x:c r="S191" s="13" t="str"/>
      <x:c r="T191" s="12" t="str"/>
      <x:c r="U191" s="12" t="str"/>
      <x:c r="V191" s="14" t="str">
        <x:f>IF(A191="","",IF(NOT(AND(COUNTIF(Exec[TestID],A191)=1,COUNTIF(Controls[ID],B191)=1,COUNTIFS(Scope[KapsamID],D191,Scope[OnayliKapsamID],D191,Scope[Ürün],C191)=1,OR(COUNTIFS(Controls[ID],B191,Controls[Ürün],C191)=1,COUNTIFS(Controls[ID],B191,Controls[Ürün],"MSP Genel")=1),E191&lt;&gt;"",F191&lt;&gt;"",G191&lt;&gt;"",I191&lt;&gt;"",Q191&lt;&gt;"")),"Kimlik / kapsam eksik",IF(NOT(OR(H191="Uygulanır",H191="Uygulanmaz")),"Uygulanabilirlik eksik",IF(AND(H191="Uygulanır",P191="Kanıt yetersiz",U191&lt;&gt;""),IF(AND(R191&lt;&gt;"",R191&lt;&gt;Q191,ISNUMBER(S191),S191&gt;0,S191&gt;=L191),"İnceleme tamam","Gözden geçirme eksik"),IF(NOT(AND(J191&lt;&gt;"",COUNTIFS(Evidence[KanitID],J191,Evidence[Kabul edilen ID],J191)=1,K191&lt;&gt;"",ISNUMBER(L191),L191&gt;0,M191&lt;&gt;"")),"Kanıt / test eksik",IF(NOT(AND(R191&lt;&gt;"",R191&lt;&gt;Q191,ISNUMBER(S191),S191&gt;0,S191&gt;=L191)),"Gözden geçirme eksik",IF(H191="Uygulanmaz","İnceleme tamam",IF(AND(OR(P191="Uygun",P191="Kısmen uygun",P191="Uygunsuz"),OR(N191="Uygun",N191="Kısmen uygun",N191="Uygunsuz"),OR(O191="Uygun",O191="Kısmen uygun",O191="Uygunsuz"),OR(P191&lt;&gt;"Uygun",AND(N191="Uygun",O191="Uygun")),OR(P191="Uygun",AND(T191&lt;&gt;"",COUNTIF(Findings[KayitliBulguID],T191)=1))),"İnceleme tamam","Sonuç / bulgu eksik"))))))))</x:f>
        <x:v>Kimlik / kapsam eksik</x:v>
      </x:c>
      <x:c r="W191" s="14" t="str">
        <x:f>IF(A191="","",IF(V191&lt;&gt;"İnceleme tamam","İncelenmedi",IF(H191="Uygulanmaz","Uygulanmaz",P191)))</x:f>
        <x:v>İncelenmedi</x:v>
      </x:c>
    </x:row>
    <x:row r="192" ht="35" customHeight="1">
      <x:c r="A192" s="12" t="str">
        <x:v>U-0187</x:v>
      </x:c>
      <x:c r="B192" s="12" t="str">
        <x:v>VDS-012</x:v>
      </x:c>
      <x:c r="C192" s="12" t="str">
        <x:v>VMware Distributed Switch</x:v>
      </x:c>
      <x:c r="D192" s="12" t="str"/>
      <x:c r="E192" s="12" t="str"/>
      <x:c r="F192" s="12" t="str"/>
      <x:c r="G192" s="12" t="str"/>
      <x:c r="H192" s="12" t="str">
        <x:v>Belirlenecek</x:v>
      </x:c>
      <x:c r="I192" s="12" t="str"/>
      <x:c r="J192" s="12" t="str"/>
      <x:c r="K192" s="12" t="str"/>
      <x:c r="L192" s="13" t="str"/>
      <x:c r="M192" s="12" t="str"/>
      <x:c r="N192" s="12" t="str">
        <x:v>İncelenmedi</x:v>
      </x:c>
      <x:c r="O192" s="12" t="str">
        <x:v>İncelenmedi</x:v>
      </x:c>
      <x:c r="P192" s="12" t="str">
        <x:v>İncelenmedi</x:v>
      </x:c>
      <x:c r="Q192" s="12" t="str"/>
      <x:c r="R192" s="12" t="str"/>
      <x:c r="S192" s="13" t="str"/>
      <x:c r="T192" s="12" t="str"/>
      <x:c r="U192" s="12" t="str"/>
      <x:c r="V192" s="14" t="str">
        <x:f>IF(A192="","",IF(NOT(AND(COUNTIF(Exec[TestID],A192)=1,COUNTIF(Controls[ID],B192)=1,COUNTIFS(Scope[KapsamID],D192,Scope[OnayliKapsamID],D192,Scope[Ürün],C192)=1,OR(COUNTIFS(Controls[ID],B192,Controls[Ürün],C192)=1,COUNTIFS(Controls[ID],B192,Controls[Ürün],"MSP Genel")=1),E192&lt;&gt;"",F192&lt;&gt;"",G192&lt;&gt;"",I192&lt;&gt;"",Q192&lt;&gt;"")),"Kimlik / kapsam eksik",IF(NOT(OR(H192="Uygulanır",H192="Uygulanmaz")),"Uygulanabilirlik eksik",IF(AND(H192="Uygulanır",P192="Kanıt yetersiz",U192&lt;&gt;""),IF(AND(R192&lt;&gt;"",R192&lt;&gt;Q192,ISNUMBER(S192),S192&gt;0,S192&gt;=L192),"İnceleme tamam","Gözden geçirme eksik"),IF(NOT(AND(J192&lt;&gt;"",COUNTIFS(Evidence[KanitID],J192,Evidence[Kabul edilen ID],J192)=1,K192&lt;&gt;"",ISNUMBER(L192),L192&gt;0,M192&lt;&gt;"")),"Kanıt / test eksik",IF(NOT(AND(R192&lt;&gt;"",R192&lt;&gt;Q192,ISNUMBER(S192),S192&gt;0,S192&gt;=L192)),"Gözden geçirme eksik",IF(H192="Uygulanmaz","İnceleme tamam",IF(AND(OR(P192="Uygun",P192="Kısmen uygun",P192="Uygunsuz"),OR(N192="Uygun",N192="Kısmen uygun",N192="Uygunsuz"),OR(O192="Uygun",O192="Kısmen uygun",O192="Uygunsuz"),OR(P192&lt;&gt;"Uygun",AND(N192="Uygun",O192="Uygun")),OR(P192="Uygun",AND(T192&lt;&gt;"",COUNTIF(Findings[KayitliBulguID],T192)=1))),"İnceleme tamam","Sonuç / bulgu eksik"))))))))</x:f>
        <x:v>Kimlik / kapsam eksik</x:v>
      </x:c>
      <x:c r="W192" s="14" t="str">
        <x:f>IF(A192="","",IF(V192&lt;&gt;"İnceleme tamam","İncelenmedi",IF(H192="Uygulanmaz","Uygulanmaz",P192)))</x:f>
        <x:v>İncelenmedi</x:v>
      </x:c>
    </x:row>
    <x:row r="193" ht="35" customHeight="1">
      <x:c r="A193" s="12" t="str">
        <x:v>U-0188</x:v>
      </x:c>
      <x:c r="B193" s="12" t="str">
        <x:v>VDS-C01</x:v>
      </x:c>
      <x:c r="C193" s="12" t="str">
        <x:v>VMware Distributed Switch</x:v>
      </x:c>
      <x:c r="D193" s="12" t="str"/>
      <x:c r="E193" s="12" t="str"/>
      <x:c r="F193" s="12" t="str"/>
      <x:c r="G193" s="12" t="str"/>
      <x:c r="H193" s="12" t="str">
        <x:v>Belirlenecek</x:v>
      </x:c>
      <x:c r="I193" s="12" t="str"/>
      <x:c r="J193" s="12" t="str"/>
      <x:c r="K193" s="12" t="str"/>
      <x:c r="L193" s="13" t="str"/>
      <x:c r="M193" s="12" t="str"/>
      <x:c r="N193" s="12" t="str">
        <x:v>İncelenmedi</x:v>
      </x:c>
      <x:c r="O193" s="12" t="str">
        <x:v>İncelenmedi</x:v>
      </x:c>
      <x:c r="P193" s="12" t="str">
        <x:v>İncelenmedi</x:v>
      </x:c>
      <x:c r="Q193" s="12" t="str"/>
      <x:c r="R193" s="12" t="str"/>
      <x:c r="S193" s="13" t="str"/>
      <x:c r="T193" s="12" t="str"/>
      <x:c r="U193" s="12" t="str"/>
      <x:c r="V193" s="14" t="str">
        <x:f>IF(A193="","",IF(NOT(AND(COUNTIF(Exec[TestID],A193)=1,COUNTIF(Controls[ID],B193)=1,COUNTIFS(Scope[KapsamID],D193,Scope[OnayliKapsamID],D193,Scope[Ürün],C193)=1,OR(COUNTIFS(Controls[ID],B193,Controls[Ürün],C193)=1,COUNTIFS(Controls[ID],B193,Controls[Ürün],"MSP Genel")=1),E193&lt;&gt;"",F193&lt;&gt;"",G193&lt;&gt;"",I193&lt;&gt;"",Q193&lt;&gt;"")),"Kimlik / kapsam eksik",IF(NOT(OR(H193="Uygulanır",H193="Uygulanmaz")),"Uygulanabilirlik eksik",IF(AND(H193="Uygulanır",P193="Kanıt yetersiz",U193&lt;&gt;""),IF(AND(R193&lt;&gt;"",R193&lt;&gt;Q193,ISNUMBER(S193),S193&gt;0,S193&gt;=L193),"İnceleme tamam","Gözden geçirme eksik"),IF(NOT(AND(J193&lt;&gt;"",COUNTIFS(Evidence[KanitID],J193,Evidence[Kabul edilen ID],J193)=1,K193&lt;&gt;"",ISNUMBER(L193),L193&gt;0,M193&lt;&gt;"")),"Kanıt / test eksik",IF(NOT(AND(R193&lt;&gt;"",R193&lt;&gt;Q193,ISNUMBER(S193),S193&gt;0,S193&gt;=L193)),"Gözden geçirme eksik",IF(H193="Uygulanmaz","İnceleme tamam",IF(AND(OR(P193="Uygun",P193="Kısmen uygun",P193="Uygunsuz"),OR(N193="Uygun",N193="Kısmen uygun",N193="Uygunsuz"),OR(O193="Uygun",O193="Kısmen uygun",O193="Uygunsuz"),OR(P193&lt;&gt;"Uygun",AND(N193="Uygun",O193="Uygun")),OR(P193="Uygun",AND(T193&lt;&gt;"",COUNTIF(Findings[KayitliBulguID],T193)=1))),"İnceleme tamam","Sonuç / bulgu eksik"))))))))</x:f>
        <x:v>Kimlik / kapsam eksik</x:v>
      </x:c>
      <x:c r="W193" s="14" t="str">
        <x:f>IF(A193="","",IF(V193&lt;&gt;"İnceleme tamam","İncelenmedi",IF(H193="Uygulanmaz","Uygulanmaz",P193)))</x:f>
        <x:v>İncelenmedi</x:v>
      </x:c>
    </x:row>
    <x:row r="194" ht="35" customHeight="1">
      <x:c r="A194" s="12" t="str">
        <x:v>U-0189</x:v>
      </x:c>
      <x:c r="B194" s="12" t="str">
        <x:v>VDS-C02</x:v>
      </x:c>
      <x:c r="C194" s="12" t="str">
        <x:v>VMware Distributed Switch</x:v>
      </x:c>
      <x:c r="D194" s="12" t="str"/>
      <x:c r="E194" s="12" t="str"/>
      <x:c r="F194" s="12" t="str"/>
      <x:c r="G194" s="12" t="str"/>
      <x:c r="H194" s="12" t="str">
        <x:v>Belirlenecek</x:v>
      </x:c>
      <x:c r="I194" s="12" t="str"/>
      <x:c r="J194" s="12" t="str"/>
      <x:c r="K194" s="12" t="str"/>
      <x:c r="L194" s="13" t="str"/>
      <x:c r="M194" s="12" t="str"/>
      <x:c r="N194" s="12" t="str">
        <x:v>İncelenmedi</x:v>
      </x:c>
      <x:c r="O194" s="12" t="str">
        <x:v>İncelenmedi</x:v>
      </x:c>
      <x:c r="P194" s="12" t="str">
        <x:v>İncelenmedi</x:v>
      </x:c>
      <x:c r="Q194" s="12" t="str"/>
      <x:c r="R194" s="12" t="str"/>
      <x:c r="S194" s="13" t="str"/>
      <x:c r="T194" s="12" t="str"/>
      <x:c r="U194" s="12" t="str"/>
      <x:c r="V194" s="14" t="str">
        <x:f>IF(A194="","",IF(NOT(AND(COUNTIF(Exec[TestID],A194)=1,COUNTIF(Controls[ID],B194)=1,COUNTIFS(Scope[KapsamID],D194,Scope[OnayliKapsamID],D194,Scope[Ürün],C194)=1,OR(COUNTIFS(Controls[ID],B194,Controls[Ürün],C194)=1,COUNTIFS(Controls[ID],B194,Controls[Ürün],"MSP Genel")=1),E194&lt;&gt;"",F194&lt;&gt;"",G194&lt;&gt;"",I194&lt;&gt;"",Q194&lt;&gt;"")),"Kimlik / kapsam eksik",IF(NOT(OR(H194="Uygulanır",H194="Uygulanmaz")),"Uygulanabilirlik eksik",IF(AND(H194="Uygulanır",P194="Kanıt yetersiz",U194&lt;&gt;""),IF(AND(R194&lt;&gt;"",R194&lt;&gt;Q194,ISNUMBER(S194),S194&gt;0,S194&gt;=L194),"İnceleme tamam","Gözden geçirme eksik"),IF(NOT(AND(J194&lt;&gt;"",COUNTIFS(Evidence[KanitID],J194,Evidence[Kabul edilen ID],J194)=1,K194&lt;&gt;"",ISNUMBER(L194),L194&gt;0,M194&lt;&gt;"")),"Kanıt / test eksik",IF(NOT(AND(R194&lt;&gt;"",R194&lt;&gt;Q194,ISNUMBER(S194),S194&gt;0,S194&gt;=L194)),"Gözden geçirme eksik",IF(H194="Uygulanmaz","İnceleme tamam",IF(AND(OR(P194="Uygun",P194="Kısmen uygun",P194="Uygunsuz"),OR(N194="Uygun",N194="Kısmen uygun",N194="Uygunsuz"),OR(O194="Uygun",O194="Kısmen uygun",O194="Uygunsuz"),OR(P194&lt;&gt;"Uygun",AND(N194="Uygun",O194="Uygun")),OR(P194="Uygun",AND(T194&lt;&gt;"",COUNTIF(Findings[KayitliBulguID],T194)=1))),"İnceleme tamam","Sonuç / bulgu eksik"))))))))</x:f>
        <x:v>Kimlik / kapsam eksik</x:v>
      </x:c>
      <x:c r="W194" s="14" t="str">
        <x:f>IF(A194="","",IF(V194&lt;&gt;"İnceleme tamam","İncelenmedi",IF(H194="Uygulanmaz","Uygulanmaz",P194)))</x:f>
        <x:v>İncelenmedi</x:v>
      </x:c>
    </x:row>
    <x:row r="195" ht="35" customHeight="1">
      <x:c r="A195" s="12" t="str">
        <x:v>U-0190</x:v>
      </x:c>
      <x:c r="B195" s="12" t="str">
        <x:v>VMO-008</x:v>
      </x:c>
      <x:c r="C195" s="12" t="str">
        <x:v>VMware vMotion</x:v>
      </x:c>
      <x:c r="D195" s="12" t="str"/>
      <x:c r="E195" s="12" t="str"/>
      <x:c r="F195" s="12" t="str"/>
      <x:c r="G195" s="12" t="str"/>
      <x:c r="H195" s="12" t="str">
        <x:v>Belirlenecek</x:v>
      </x:c>
      <x:c r="I195" s="12" t="str"/>
      <x:c r="J195" s="12" t="str"/>
      <x:c r="K195" s="12" t="str"/>
      <x:c r="L195" s="13" t="str"/>
      <x:c r="M195" s="12" t="str"/>
      <x:c r="N195" s="12" t="str">
        <x:v>İncelenmedi</x:v>
      </x:c>
      <x:c r="O195" s="12" t="str">
        <x:v>İncelenmedi</x:v>
      </x:c>
      <x:c r="P195" s="12" t="str">
        <x:v>İncelenmedi</x:v>
      </x:c>
      <x:c r="Q195" s="12" t="str"/>
      <x:c r="R195" s="12" t="str"/>
      <x:c r="S195" s="13" t="str"/>
      <x:c r="T195" s="12" t="str"/>
      <x:c r="U195" s="12" t="str"/>
      <x:c r="V195" s="14" t="str">
        <x:f>IF(A195="","",IF(NOT(AND(COUNTIF(Exec[TestID],A195)=1,COUNTIF(Controls[ID],B195)=1,COUNTIFS(Scope[KapsamID],D195,Scope[OnayliKapsamID],D195,Scope[Ürün],C195)=1,OR(COUNTIFS(Controls[ID],B195,Controls[Ürün],C195)=1,COUNTIFS(Controls[ID],B195,Controls[Ürün],"MSP Genel")=1),E195&lt;&gt;"",F195&lt;&gt;"",G195&lt;&gt;"",I195&lt;&gt;"",Q195&lt;&gt;"")),"Kimlik / kapsam eksik",IF(NOT(OR(H195="Uygulanır",H195="Uygulanmaz")),"Uygulanabilirlik eksik",IF(AND(H195="Uygulanır",P195="Kanıt yetersiz",U195&lt;&gt;""),IF(AND(R195&lt;&gt;"",R195&lt;&gt;Q195,ISNUMBER(S195),S195&gt;0,S195&gt;=L195),"İnceleme tamam","Gözden geçirme eksik"),IF(NOT(AND(J195&lt;&gt;"",COUNTIFS(Evidence[KanitID],J195,Evidence[Kabul edilen ID],J195)=1,K195&lt;&gt;"",ISNUMBER(L195),L195&gt;0,M195&lt;&gt;"")),"Kanıt / test eksik",IF(NOT(AND(R195&lt;&gt;"",R195&lt;&gt;Q195,ISNUMBER(S195),S195&gt;0,S195&gt;=L195)),"Gözden geçirme eksik",IF(H195="Uygulanmaz","İnceleme tamam",IF(AND(OR(P195="Uygun",P195="Kısmen uygun",P195="Uygunsuz"),OR(N195="Uygun",N195="Kısmen uygun",N195="Uygunsuz"),OR(O195="Uygun",O195="Kısmen uygun",O195="Uygunsuz"),OR(P195&lt;&gt;"Uygun",AND(N195="Uygun",O195="Uygun")),OR(P195="Uygun",AND(T195&lt;&gt;"",COUNTIF(Findings[KayitliBulguID],T195)=1))),"İnceleme tamam","Sonuç / bulgu eksik"))))))))</x:f>
        <x:v>Kimlik / kapsam eksik</x:v>
      </x:c>
      <x:c r="W195" s="14" t="str">
        <x:f>IF(A195="","",IF(V195&lt;&gt;"İnceleme tamam","İncelenmedi",IF(H195="Uygulanmaz","Uygulanmaz",P195)))</x:f>
        <x:v>İncelenmedi</x:v>
      </x:c>
    </x:row>
    <x:row r="196" ht="35" customHeight="1">
      <x:c r="A196" s="12" t="str">
        <x:v>U-0191</x:v>
      </x:c>
      <x:c r="B196" s="12" t="str">
        <x:v>VMO-009</x:v>
      </x:c>
      <x:c r="C196" s="12" t="str">
        <x:v>VMware vMotion</x:v>
      </x:c>
      <x:c r="D196" s="12" t="str"/>
      <x:c r="E196" s="12" t="str"/>
      <x:c r="F196" s="12" t="str"/>
      <x:c r="G196" s="12" t="str"/>
      <x:c r="H196" s="12" t="str">
        <x:v>Belirlenecek</x:v>
      </x:c>
      <x:c r="I196" s="12" t="str"/>
      <x:c r="J196" s="12" t="str"/>
      <x:c r="K196" s="12" t="str"/>
      <x:c r="L196" s="13" t="str"/>
      <x:c r="M196" s="12" t="str"/>
      <x:c r="N196" s="12" t="str">
        <x:v>İncelenmedi</x:v>
      </x:c>
      <x:c r="O196" s="12" t="str">
        <x:v>İncelenmedi</x:v>
      </x:c>
      <x:c r="P196" s="12" t="str">
        <x:v>İncelenmedi</x:v>
      </x:c>
      <x:c r="Q196" s="12" t="str"/>
      <x:c r="R196" s="12" t="str"/>
      <x:c r="S196" s="13" t="str"/>
      <x:c r="T196" s="12" t="str"/>
      <x:c r="U196" s="12" t="str"/>
      <x:c r="V196" s="14" t="str">
        <x:f>IF(A196="","",IF(NOT(AND(COUNTIF(Exec[TestID],A196)=1,COUNTIF(Controls[ID],B196)=1,COUNTIFS(Scope[KapsamID],D196,Scope[OnayliKapsamID],D196,Scope[Ürün],C196)=1,OR(COUNTIFS(Controls[ID],B196,Controls[Ürün],C196)=1,COUNTIFS(Controls[ID],B196,Controls[Ürün],"MSP Genel")=1),E196&lt;&gt;"",F196&lt;&gt;"",G196&lt;&gt;"",I196&lt;&gt;"",Q196&lt;&gt;"")),"Kimlik / kapsam eksik",IF(NOT(OR(H196="Uygulanır",H196="Uygulanmaz")),"Uygulanabilirlik eksik",IF(AND(H196="Uygulanır",P196="Kanıt yetersiz",U196&lt;&gt;""),IF(AND(R196&lt;&gt;"",R196&lt;&gt;Q196,ISNUMBER(S196),S196&gt;0,S196&gt;=L196),"İnceleme tamam","Gözden geçirme eksik"),IF(NOT(AND(J196&lt;&gt;"",COUNTIFS(Evidence[KanitID],J196,Evidence[Kabul edilen ID],J196)=1,K196&lt;&gt;"",ISNUMBER(L196),L196&gt;0,M196&lt;&gt;"")),"Kanıt / test eksik",IF(NOT(AND(R196&lt;&gt;"",R196&lt;&gt;Q196,ISNUMBER(S196),S196&gt;0,S196&gt;=L196)),"Gözden geçirme eksik",IF(H196="Uygulanmaz","İnceleme tamam",IF(AND(OR(P196="Uygun",P196="Kısmen uygun",P196="Uygunsuz"),OR(N196="Uygun",N196="Kısmen uygun",N196="Uygunsuz"),OR(O196="Uygun",O196="Kısmen uygun",O196="Uygunsuz"),OR(P196&lt;&gt;"Uygun",AND(N196="Uygun",O196="Uygun")),OR(P196="Uygun",AND(T196&lt;&gt;"",COUNTIF(Findings[KayitliBulguID],T196)=1))),"İnceleme tamam","Sonuç / bulgu eksik"))))))))</x:f>
        <x:v>Kimlik / kapsam eksik</x:v>
      </x:c>
      <x:c r="W196" s="14" t="str">
        <x:f>IF(A196="","",IF(V196&lt;&gt;"İnceleme tamam","İncelenmedi",IF(H196="Uygulanmaz","Uygulanmaz",P196)))</x:f>
        <x:v>İncelenmedi</x:v>
      </x:c>
    </x:row>
    <x:row r="197" ht="35" customHeight="1">
      <x:c r="A197" s="12" t="str">
        <x:v>U-0192</x:v>
      </x:c>
      <x:c r="B197" s="12" t="str">
        <x:v>VMO-010</x:v>
      </x:c>
      <x:c r="C197" s="12" t="str">
        <x:v>VMware vMotion</x:v>
      </x:c>
      <x:c r="D197" s="12" t="str"/>
      <x:c r="E197" s="12" t="str"/>
      <x:c r="F197" s="12" t="str"/>
      <x:c r="G197" s="12" t="str"/>
      <x:c r="H197" s="12" t="str">
        <x:v>Belirlenecek</x:v>
      </x:c>
      <x:c r="I197" s="12" t="str"/>
      <x:c r="J197" s="12" t="str"/>
      <x:c r="K197" s="12" t="str"/>
      <x:c r="L197" s="13" t="str"/>
      <x:c r="M197" s="12" t="str"/>
      <x:c r="N197" s="12" t="str">
        <x:v>İncelenmedi</x:v>
      </x:c>
      <x:c r="O197" s="12" t="str">
        <x:v>İncelenmedi</x:v>
      </x:c>
      <x:c r="P197" s="12" t="str">
        <x:v>İncelenmedi</x:v>
      </x:c>
      <x:c r="Q197" s="12" t="str"/>
      <x:c r="R197" s="12" t="str"/>
      <x:c r="S197" s="13" t="str"/>
      <x:c r="T197" s="12" t="str"/>
      <x:c r="U197" s="12" t="str"/>
      <x:c r="V197" s="14" t="str">
        <x:f>IF(A197="","",IF(NOT(AND(COUNTIF(Exec[TestID],A197)=1,COUNTIF(Controls[ID],B197)=1,COUNTIFS(Scope[KapsamID],D197,Scope[OnayliKapsamID],D197,Scope[Ürün],C197)=1,OR(COUNTIFS(Controls[ID],B197,Controls[Ürün],C197)=1,COUNTIFS(Controls[ID],B197,Controls[Ürün],"MSP Genel")=1),E197&lt;&gt;"",F197&lt;&gt;"",G197&lt;&gt;"",I197&lt;&gt;"",Q197&lt;&gt;"")),"Kimlik / kapsam eksik",IF(NOT(OR(H197="Uygulanır",H197="Uygulanmaz")),"Uygulanabilirlik eksik",IF(AND(H197="Uygulanır",P197="Kanıt yetersiz",U197&lt;&gt;""),IF(AND(R197&lt;&gt;"",R197&lt;&gt;Q197,ISNUMBER(S197),S197&gt;0,S197&gt;=L197),"İnceleme tamam","Gözden geçirme eksik"),IF(NOT(AND(J197&lt;&gt;"",COUNTIFS(Evidence[KanitID],J197,Evidence[Kabul edilen ID],J197)=1,K197&lt;&gt;"",ISNUMBER(L197),L197&gt;0,M197&lt;&gt;"")),"Kanıt / test eksik",IF(NOT(AND(R197&lt;&gt;"",R197&lt;&gt;Q197,ISNUMBER(S197),S197&gt;0,S197&gt;=L197)),"Gözden geçirme eksik",IF(H197="Uygulanmaz","İnceleme tamam",IF(AND(OR(P197="Uygun",P197="Kısmen uygun",P197="Uygunsuz"),OR(N197="Uygun",N197="Kısmen uygun",N197="Uygunsuz"),OR(O197="Uygun",O197="Kısmen uygun",O197="Uygunsuz"),OR(P197&lt;&gt;"Uygun",AND(N197="Uygun",O197="Uygun")),OR(P197="Uygun",AND(T197&lt;&gt;"",COUNTIF(Findings[KayitliBulguID],T197)=1))),"İnceleme tamam","Sonuç / bulgu eksik"))))))))</x:f>
        <x:v>Kimlik / kapsam eksik</x:v>
      </x:c>
      <x:c r="W197" s="14" t="str">
        <x:f>IF(A197="","",IF(V197&lt;&gt;"İnceleme tamam","İncelenmedi",IF(H197="Uygulanmaz","Uygulanmaz",P197)))</x:f>
        <x:v>İncelenmedi</x:v>
      </x:c>
    </x:row>
    <x:row r="198" ht="35" customHeight="1">
      <x:c r="A198" s="12" t="str">
        <x:v>U-0193</x:v>
      </x:c>
      <x:c r="B198" s="12" t="str">
        <x:v>VMO-C01</x:v>
      </x:c>
      <x:c r="C198" s="12" t="str">
        <x:v>VMware vMotion</x:v>
      </x:c>
      <x:c r="D198" s="12" t="str"/>
      <x:c r="E198" s="12" t="str"/>
      <x:c r="F198" s="12" t="str"/>
      <x:c r="G198" s="12" t="str"/>
      <x:c r="H198" s="12" t="str">
        <x:v>Belirlenecek</x:v>
      </x:c>
      <x:c r="I198" s="12" t="str"/>
      <x:c r="J198" s="12" t="str"/>
      <x:c r="K198" s="12" t="str"/>
      <x:c r="L198" s="13" t="str"/>
      <x:c r="M198" s="12" t="str"/>
      <x:c r="N198" s="12" t="str">
        <x:v>İncelenmedi</x:v>
      </x:c>
      <x:c r="O198" s="12" t="str">
        <x:v>İncelenmedi</x:v>
      </x:c>
      <x:c r="P198" s="12" t="str">
        <x:v>İncelenmedi</x:v>
      </x:c>
      <x:c r="Q198" s="12" t="str"/>
      <x:c r="R198" s="12" t="str"/>
      <x:c r="S198" s="13" t="str"/>
      <x:c r="T198" s="12" t="str"/>
      <x:c r="U198" s="12" t="str"/>
      <x:c r="V198" s="14" t="str">
        <x:f>IF(A198="","",IF(NOT(AND(COUNTIF(Exec[TestID],A198)=1,COUNTIF(Controls[ID],B198)=1,COUNTIFS(Scope[KapsamID],D198,Scope[OnayliKapsamID],D198,Scope[Ürün],C198)=1,OR(COUNTIFS(Controls[ID],B198,Controls[Ürün],C198)=1,COUNTIFS(Controls[ID],B198,Controls[Ürün],"MSP Genel")=1),E198&lt;&gt;"",F198&lt;&gt;"",G198&lt;&gt;"",I198&lt;&gt;"",Q198&lt;&gt;"")),"Kimlik / kapsam eksik",IF(NOT(OR(H198="Uygulanır",H198="Uygulanmaz")),"Uygulanabilirlik eksik",IF(AND(H198="Uygulanır",P198="Kanıt yetersiz",U198&lt;&gt;""),IF(AND(R198&lt;&gt;"",R198&lt;&gt;Q198,ISNUMBER(S198),S198&gt;0,S198&gt;=L198),"İnceleme tamam","Gözden geçirme eksik"),IF(NOT(AND(J198&lt;&gt;"",COUNTIFS(Evidence[KanitID],J198,Evidence[Kabul edilen ID],J198)=1,K198&lt;&gt;"",ISNUMBER(L198),L198&gt;0,M198&lt;&gt;"")),"Kanıt / test eksik",IF(NOT(AND(R198&lt;&gt;"",R198&lt;&gt;Q198,ISNUMBER(S198),S198&gt;0,S198&gt;=L198)),"Gözden geçirme eksik",IF(H198="Uygulanmaz","İnceleme tamam",IF(AND(OR(P198="Uygun",P198="Kısmen uygun",P198="Uygunsuz"),OR(N198="Uygun",N198="Kısmen uygun",N198="Uygunsuz"),OR(O198="Uygun",O198="Kısmen uygun",O198="Uygunsuz"),OR(P198&lt;&gt;"Uygun",AND(N198="Uygun",O198="Uygun")),OR(P198="Uygun",AND(T198&lt;&gt;"",COUNTIF(Findings[KayitliBulguID],T198)=1))),"İnceleme tamam","Sonuç / bulgu eksik"))))))))</x:f>
        <x:v>Kimlik / kapsam eksik</x:v>
      </x:c>
      <x:c r="W198" s="14" t="str">
        <x:f>IF(A198="","",IF(V198&lt;&gt;"İnceleme tamam","İncelenmedi",IF(H198="Uygulanmaz","Uygulanmaz",P198)))</x:f>
        <x:v>İncelenmedi</x:v>
      </x:c>
    </x:row>
    <x:row r="199" ht="35" customHeight="1">
      <x:c r="A199" s="12" t="str">
        <x:v>U-0194</x:v>
      </x:c>
      <x:c r="B199" s="12" t="str">
        <x:v>VCD-007</x:v>
      </x:c>
      <x:c r="C199" s="12" t="str">
        <x:v>VMware Cloud Director</x:v>
      </x:c>
      <x:c r="D199" s="12" t="str"/>
      <x:c r="E199" s="12" t="str"/>
      <x:c r="F199" s="12" t="str"/>
      <x:c r="G199" s="12" t="str"/>
      <x:c r="H199" s="12" t="str">
        <x:v>Belirlenecek</x:v>
      </x:c>
      <x:c r="I199" s="12" t="str"/>
      <x:c r="J199" s="12" t="str"/>
      <x:c r="K199" s="12" t="str"/>
      <x:c r="L199" s="13" t="str"/>
      <x:c r="M199" s="12" t="str"/>
      <x:c r="N199" s="12" t="str">
        <x:v>İncelenmedi</x:v>
      </x:c>
      <x:c r="O199" s="12" t="str">
        <x:v>İncelenmedi</x:v>
      </x:c>
      <x:c r="P199" s="12" t="str">
        <x:v>İncelenmedi</x:v>
      </x:c>
      <x:c r="Q199" s="12" t="str"/>
      <x:c r="R199" s="12" t="str"/>
      <x:c r="S199" s="13" t="str"/>
      <x:c r="T199" s="12" t="str"/>
      <x:c r="U199" s="12" t="str"/>
      <x:c r="V199" s="14" t="str">
        <x:f>IF(A199="","",IF(NOT(AND(COUNTIF(Exec[TestID],A199)=1,COUNTIF(Controls[ID],B199)=1,COUNTIFS(Scope[KapsamID],D199,Scope[OnayliKapsamID],D199,Scope[Ürün],C199)=1,OR(COUNTIFS(Controls[ID],B199,Controls[Ürün],C199)=1,COUNTIFS(Controls[ID],B199,Controls[Ürün],"MSP Genel")=1),E199&lt;&gt;"",F199&lt;&gt;"",G199&lt;&gt;"",I199&lt;&gt;"",Q199&lt;&gt;"")),"Kimlik / kapsam eksik",IF(NOT(OR(H199="Uygulanır",H199="Uygulanmaz")),"Uygulanabilirlik eksik",IF(AND(H199="Uygulanır",P199="Kanıt yetersiz",U199&lt;&gt;""),IF(AND(R199&lt;&gt;"",R199&lt;&gt;Q199,ISNUMBER(S199),S199&gt;0,S199&gt;=L199),"İnceleme tamam","Gözden geçirme eksik"),IF(NOT(AND(J199&lt;&gt;"",COUNTIFS(Evidence[KanitID],J199,Evidence[Kabul edilen ID],J199)=1,K199&lt;&gt;"",ISNUMBER(L199),L199&gt;0,M199&lt;&gt;"")),"Kanıt / test eksik",IF(NOT(AND(R199&lt;&gt;"",R199&lt;&gt;Q199,ISNUMBER(S199),S199&gt;0,S199&gt;=L199)),"Gözden geçirme eksik",IF(H199="Uygulanmaz","İnceleme tamam",IF(AND(OR(P199="Uygun",P199="Kısmen uygun",P199="Uygunsuz"),OR(N199="Uygun",N199="Kısmen uygun",N199="Uygunsuz"),OR(O199="Uygun",O199="Kısmen uygun",O199="Uygunsuz"),OR(P199&lt;&gt;"Uygun",AND(N199="Uygun",O199="Uygun")),OR(P199="Uygun",AND(T199&lt;&gt;"",COUNTIF(Findings[KayitliBulguID],T199)=1))),"İnceleme tamam","Sonuç / bulgu eksik"))))))))</x:f>
        <x:v>Kimlik / kapsam eksik</x:v>
      </x:c>
      <x:c r="W199" s="14" t="str">
        <x:f>IF(A199="","",IF(V199&lt;&gt;"İnceleme tamam","İncelenmedi",IF(H199="Uygulanmaz","Uygulanmaz",P199)))</x:f>
        <x:v>İncelenmedi</x:v>
      </x:c>
    </x:row>
    <x:row r="200" ht="35" customHeight="1">
      <x:c r="A200" s="12" t="str">
        <x:v>U-0195</x:v>
      </x:c>
      <x:c r="B200" s="12" t="str">
        <x:v>VCD-008</x:v>
      </x:c>
      <x:c r="C200" s="12" t="str">
        <x:v>VMware Cloud Director</x:v>
      </x:c>
      <x:c r="D200" s="12" t="str"/>
      <x:c r="E200" s="12" t="str"/>
      <x:c r="F200" s="12" t="str"/>
      <x:c r="G200" s="12" t="str"/>
      <x:c r="H200" s="12" t="str">
        <x:v>Belirlenecek</x:v>
      </x:c>
      <x:c r="I200" s="12" t="str"/>
      <x:c r="J200" s="12" t="str"/>
      <x:c r="K200" s="12" t="str"/>
      <x:c r="L200" s="13" t="str"/>
      <x:c r="M200" s="12" t="str"/>
      <x:c r="N200" s="12" t="str">
        <x:v>İncelenmedi</x:v>
      </x:c>
      <x:c r="O200" s="12" t="str">
        <x:v>İncelenmedi</x:v>
      </x:c>
      <x:c r="P200" s="12" t="str">
        <x:v>İncelenmedi</x:v>
      </x:c>
      <x:c r="Q200" s="12" t="str"/>
      <x:c r="R200" s="12" t="str"/>
      <x:c r="S200" s="13" t="str"/>
      <x:c r="T200" s="12" t="str"/>
      <x:c r="U200" s="12" t="str"/>
      <x:c r="V200" s="14" t="str">
        <x:f>IF(A200="","",IF(NOT(AND(COUNTIF(Exec[TestID],A200)=1,COUNTIF(Controls[ID],B200)=1,COUNTIFS(Scope[KapsamID],D200,Scope[OnayliKapsamID],D200,Scope[Ürün],C200)=1,OR(COUNTIFS(Controls[ID],B200,Controls[Ürün],C200)=1,COUNTIFS(Controls[ID],B200,Controls[Ürün],"MSP Genel")=1),E200&lt;&gt;"",F200&lt;&gt;"",G200&lt;&gt;"",I200&lt;&gt;"",Q200&lt;&gt;"")),"Kimlik / kapsam eksik",IF(NOT(OR(H200="Uygulanır",H200="Uygulanmaz")),"Uygulanabilirlik eksik",IF(AND(H200="Uygulanır",P200="Kanıt yetersiz",U200&lt;&gt;""),IF(AND(R200&lt;&gt;"",R200&lt;&gt;Q200,ISNUMBER(S200),S200&gt;0,S200&gt;=L200),"İnceleme tamam","Gözden geçirme eksik"),IF(NOT(AND(J200&lt;&gt;"",COUNTIFS(Evidence[KanitID],J200,Evidence[Kabul edilen ID],J200)=1,K200&lt;&gt;"",ISNUMBER(L200),L200&gt;0,M200&lt;&gt;"")),"Kanıt / test eksik",IF(NOT(AND(R200&lt;&gt;"",R200&lt;&gt;Q200,ISNUMBER(S200),S200&gt;0,S200&gt;=L200)),"Gözden geçirme eksik",IF(H200="Uygulanmaz","İnceleme tamam",IF(AND(OR(P200="Uygun",P200="Kısmen uygun",P200="Uygunsuz"),OR(N200="Uygun",N200="Kısmen uygun",N200="Uygunsuz"),OR(O200="Uygun",O200="Kısmen uygun",O200="Uygunsuz"),OR(P200&lt;&gt;"Uygun",AND(N200="Uygun",O200="Uygun")),OR(P200="Uygun",AND(T200&lt;&gt;"",COUNTIF(Findings[KayitliBulguID],T200)=1))),"İnceleme tamam","Sonuç / bulgu eksik"))))))))</x:f>
        <x:v>Kimlik / kapsam eksik</x:v>
      </x:c>
      <x:c r="W200" s="14" t="str">
        <x:f>IF(A200="","",IF(V200&lt;&gt;"İnceleme tamam","İncelenmedi",IF(H200="Uygulanmaz","Uygulanmaz",P200)))</x:f>
        <x:v>İncelenmedi</x:v>
      </x:c>
    </x:row>
    <x:row r="201" ht="35" customHeight="1">
      <x:c r="A201" s="12" t="str">
        <x:v>U-0196</x:v>
      </x:c>
      <x:c r="B201" s="12" t="str">
        <x:v>VCD-009</x:v>
      </x:c>
      <x:c r="C201" s="12" t="str">
        <x:v>VMware Cloud Director</x:v>
      </x:c>
      <x:c r="D201" s="12" t="str"/>
      <x:c r="E201" s="12" t="str"/>
      <x:c r="F201" s="12" t="str"/>
      <x:c r="G201" s="12" t="str"/>
      <x:c r="H201" s="12" t="str">
        <x:v>Belirlenecek</x:v>
      </x:c>
      <x:c r="I201" s="12" t="str"/>
      <x:c r="J201" s="12" t="str"/>
      <x:c r="K201" s="12" t="str"/>
      <x:c r="L201" s="13" t="str"/>
      <x:c r="M201" s="12" t="str"/>
      <x:c r="N201" s="12" t="str">
        <x:v>İncelenmedi</x:v>
      </x:c>
      <x:c r="O201" s="12" t="str">
        <x:v>İncelenmedi</x:v>
      </x:c>
      <x:c r="P201" s="12" t="str">
        <x:v>İncelenmedi</x:v>
      </x:c>
      <x:c r="Q201" s="12" t="str"/>
      <x:c r="R201" s="12" t="str"/>
      <x:c r="S201" s="13" t="str"/>
      <x:c r="T201" s="12" t="str"/>
      <x:c r="U201" s="12" t="str"/>
      <x:c r="V201" s="14" t="str">
        <x:f>IF(A201="","",IF(NOT(AND(COUNTIF(Exec[TestID],A201)=1,COUNTIF(Controls[ID],B201)=1,COUNTIFS(Scope[KapsamID],D201,Scope[OnayliKapsamID],D201,Scope[Ürün],C201)=1,OR(COUNTIFS(Controls[ID],B201,Controls[Ürün],C201)=1,COUNTIFS(Controls[ID],B201,Controls[Ürün],"MSP Genel")=1),E201&lt;&gt;"",F201&lt;&gt;"",G201&lt;&gt;"",I201&lt;&gt;"",Q201&lt;&gt;"")),"Kimlik / kapsam eksik",IF(NOT(OR(H201="Uygulanır",H201="Uygulanmaz")),"Uygulanabilirlik eksik",IF(AND(H201="Uygulanır",P201="Kanıt yetersiz",U201&lt;&gt;""),IF(AND(R201&lt;&gt;"",R201&lt;&gt;Q201,ISNUMBER(S201),S201&gt;0,S201&gt;=L201),"İnceleme tamam","Gözden geçirme eksik"),IF(NOT(AND(J201&lt;&gt;"",COUNTIFS(Evidence[KanitID],J201,Evidence[Kabul edilen ID],J201)=1,K201&lt;&gt;"",ISNUMBER(L201),L201&gt;0,M201&lt;&gt;"")),"Kanıt / test eksik",IF(NOT(AND(R201&lt;&gt;"",R201&lt;&gt;Q201,ISNUMBER(S201),S201&gt;0,S201&gt;=L201)),"Gözden geçirme eksik",IF(H201="Uygulanmaz","İnceleme tamam",IF(AND(OR(P201="Uygun",P201="Kısmen uygun",P201="Uygunsuz"),OR(N201="Uygun",N201="Kısmen uygun",N201="Uygunsuz"),OR(O201="Uygun",O201="Kısmen uygun",O201="Uygunsuz"),OR(P201&lt;&gt;"Uygun",AND(N201="Uygun",O201="Uygun")),OR(P201="Uygun",AND(T201&lt;&gt;"",COUNTIF(Findings[KayitliBulguID],T201)=1))),"İnceleme tamam","Sonuç / bulgu eksik"))))))))</x:f>
        <x:v>Kimlik / kapsam eksik</x:v>
      </x:c>
      <x:c r="W201" s="14" t="str">
        <x:f>IF(A201="","",IF(V201&lt;&gt;"İnceleme tamam","İncelenmedi",IF(H201="Uygulanmaz","Uygulanmaz",P201)))</x:f>
        <x:v>İncelenmedi</x:v>
      </x:c>
    </x:row>
    <x:row r="202" ht="35" customHeight="1">
      <x:c r="A202" s="12" t="str">
        <x:v>U-0197</x:v>
      </x:c>
      <x:c r="B202" s="12" t="str">
        <x:v>VCD-010</x:v>
      </x:c>
      <x:c r="C202" s="12" t="str">
        <x:v>VMware Cloud Director</x:v>
      </x:c>
      <x:c r="D202" s="12" t="str"/>
      <x:c r="E202" s="12" t="str"/>
      <x:c r="F202" s="12" t="str"/>
      <x:c r="G202" s="12" t="str"/>
      <x:c r="H202" s="12" t="str">
        <x:v>Belirlenecek</x:v>
      </x:c>
      <x:c r="I202" s="12" t="str"/>
      <x:c r="J202" s="12" t="str"/>
      <x:c r="K202" s="12" t="str"/>
      <x:c r="L202" s="13" t="str"/>
      <x:c r="M202" s="12" t="str"/>
      <x:c r="N202" s="12" t="str">
        <x:v>İncelenmedi</x:v>
      </x:c>
      <x:c r="O202" s="12" t="str">
        <x:v>İncelenmedi</x:v>
      </x:c>
      <x:c r="P202" s="12" t="str">
        <x:v>İncelenmedi</x:v>
      </x:c>
      <x:c r="Q202" s="12" t="str"/>
      <x:c r="R202" s="12" t="str"/>
      <x:c r="S202" s="13" t="str"/>
      <x:c r="T202" s="12" t="str"/>
      <x:c r="U202" s="12" t="str"/>
      <x:c r="V202" s="14" t="str">
        <x:f>IF(A202="","",IF(NOT(AND(COUNTIF(Exec[TestID],A202)=1,COUNTIF(Controls[ID],B202)=1,COUNTIFS(Scope[KapsamID],D202,Scope[OnayliKapsamID],D202,Scope[Ürün],C202)=1,OR(COUNTIFS(Controls[ID],B202,Controls[Ürün],C202)=1,COUNTIFS(Controls[ID],B202,Controls[Ürün],"MSP Genel")=1),E202&lt;&gt;"",F202&lt;&gt;"",G202&lt;&gt;"",I202&lt;&gt;"",Q202&lt;&gt;"")),"Kimlik / kapsam eksik",IF(NOT(OR(H202="Uygulanır",H202="Uygulanmaz")),"Uygulanabilirlik eksik",IF(AND(H202="Uygulanır",P202="Kanıt yetersiz",U202&lt;&gt;""),IF(AND(R202&lt;&gt;"",R202&lt;&gt;Q202,ISNUMBER(S202),S202&gt;0,S202&gt;=L202),"İnceleme tamam","Gözden geçirme eksik"),IF(NOT(AND(J202&lt;&gt;"",COUNTIFS(Evidence[KanitID],J202,Evidence[Kabul edilen ID],J202)=1,K202&lt;&gt;"",ISNUMBER(L202),L202&gt;0,M202&lt;&gt;"")),"Kanıt / test eksik",IF(NOT(AND(R202&lt;&gt;"",R202&lt;&gt;Q202,ISNUMBER(S202),S202&gt;0,S202&gt;=L202)),"Gözden geçirme eksik",IF(H202="Uygulanmaz","İnceleme tamam",IF(AND(OR(P202="Uygun",P202="Kısmen uygun",P202="Uygunsuz"),OR(N202="Uygun",N202="Kısmen uygun",N202="Uygunsuz"),OR(O202="Uygun",O202="Kısmen uygun",O202="Uygunsuz"),OR(P202&lt;&gt;"Uygun",AND(N202="Uygun",O202="Uygun")),OR(P202="Uygun",AND(T202&lt;&gt;"",COUNTIF(Findings[KayitliBulguID],T202)=1))),"İnceleme tamam","Sonuç / bulgu eksik"))))))))</x:f>
        <x:v>Kimlik / kapsam eksik</x:v>
      </x:c>
      <x:c r="W202" s="14" t="str">
        <x:f>IF(A202="","",IF(V202&lt;&gt;"İnceleme tamam","İncelenmedi",IF(H202="Uygulanmaz","Uygulanmaz",P202)))</x:f>
        <x:v>İncelenmedi</x:v>
      </x:c>
    </x:row>
    <x:row r="203" ht="35" customHeight="1">
      <x:c r="A203" s="12" t="str">
        <x:v>U-0198</x:v>
      </x:c>
      <x:c r="B203" s="12" t="str">
        <x:v>VCD-011</x:v>
      </x:c>
      <x:c r="C203" s="12" t="str">
        <x:v>VMware Cloud Director</x:v>
      </x:c>
      <x:c r="D203" s="12" t="str"/>
      <x:c r="E203" s="12" t="str"/>
      <x:c r="F203" s="12" t="str"/>
      <x:c r="G203" s="12" t="str"/>
      <x:c r="H203" s="12" t="str">
        <x:v>Belirlenecek</x:v>
      </x:c>
      <x:c r="I203" s="12" t="str"/>
      <x:c r="J203" s="12" t="str"/>
      <x:c r="K203" s="12" t="str"/>
      <x:c r="L203" s="13" t="str"/>
      <x:c r="M203" s="12" t="str"/>
      <x:c r="N203" s="12" t="str">
        <x:v>İncelenmedi</x:v>
      </x:c>
      <x:c r="O203" s="12" t="str">
        <x:v>İncelenmedi</x:v>
      </x:c>
      <x:c r="P203" s="12" t="str">
        <x:v>İncelenmedi</x:v>
      </x:c>
      <x:c r="Q203" s="12" t="str"/>
      <x:c r="R203" s="12" t="str"/>
      <x:c r="S203" s="13" t="str"/>
      <x:c r="T203" s="12" t="str"/>
      <x:c r="U203" s="12" t="str"/>
      <x:c r="V203" s="14" t="str">
        <x:f>IF(A203="","",IF(NOT(AND(COUNTIF(Exec[TestID],A203)=1,COUNTIF(Controls[ID],B203)=1,COUNTIFS(Scope[KapsamID],D203,Scope[OnayliKapsamID],D203,Scope[Ürün],C203)=1,OR(COUNTIFS(Controls[ID],B203,Controls[Ürün],C203)=1,COUNTIFS(Controls[ID],B203,Controls[Ürün],"MSP Genel")=1),E203&lt;&gt;"",F203&lt;&gt;"",G203&lt;&gt;"",I203&lt;&gt;"",Q203&lt;&gt;"")),"Kimlik / kapsam eksik",IF(NOT(OR(H203="Uygulanır",H203="Uygulanmaz")),"Uygulanabilirlik eksik",IF(AND(H203="Uygulanır",P203="Kanıt yetersiz",U203&lt;&gt;""),IF(AND(R203&lt;&gt;"",R203&lt;&gt;Q203,ISNUMBER(S203),S203&gt;0,S203&gt;=L203),"İnceleme tamam","Gözden geçirme eksik"),IF(NOT(AND(J203&lt;&gt;"",COUNTIFS(Evidence[KanitID],J203,Evidence[Kabul edilen ID],J203)=1,K203&lt;&gt;"",ISNUMBER(L203),L203&gt;0,M203&lt;&gt;"")),"Kanıt / test eksik",IF(NOT(AND(R203&lt;&gt;"",R203&lt;&gt;Q203,ISNUMBER(S203),S203&gt;0,S203&gt;=L203)),"Gözden geçirme eksik",IF(H203="Uygulanmaz","İnceleme tamam",IF(AND(OR(P203="Uygun",P203="Kısmen uygun",P203="Uygunsuz"),OR(N203="Uygun",N203="Kısmen uygun",N203="Uygunsuz"),OR(O203="Uygun",O203="Kısmen uygun",O203="Uygunsuz"),OR(P203&lt;&gt;"Uygun",AND(N203="Uygun",O203="Uygun")),OR(P203="Uygun",AND(T203&lt;&gt;"",COUNTIF(Findings[KayitliBulguID],T203)=1))),"İnceleme tamam","Sonuç / bulgu eksik"))))))))</x:f>
        <x:v>Kimlik / kapsam eksik</x:v>
      </x:c>
      <x:c r="W203" s="14" t="str">
        <x:f>IF(A203="","",IF(V203&lt;&gt;"İnceleme tamam","İncelenmedi",IF(H203="Uygulanmaz","Uygulanmaz",P203)))</x:f>
        <x:v>İncelenmedi</x:v>
      </x:c>
    </x:row>
    <x:row r="204" ht="35" customHeight="1">
      <x:c r="A204" s="12" t="str">
        <x:v>U-0199</x:v>
      </x:c>
      <x:c r="B204" s="12" t="str">
        <x:v>VCD-012</x:v>
      </x:c>
      <x:c r="C204" s="12" t="str">
        <x:v>VMware Cloud Director</x:v>
      </x:c>
      <x:c r="D204" s="12" t="str"/>
      <x:c r="E204" s="12" t="str"/>
      <x:c r="F204" s="12" t="str"/>
      <x:c r="G204" s="12" t="str"/>
      <x:c r="H204" s="12" t="str">
        <x:v>Belirlenecek</x:v>
      </x:c>
      <x:c r="I204" s="12" t="str"/>
      <x:c r="J204" s="12" t="str"/>
      <x:c r="K204" s="12" t="str"/>
      <x:c r="L204" s="13" t="str"/>
      <x:c r="M204" s="12" t="str"/>
      <x:c r="N204" s="12" t="str">
        <x:v>İncelenmedi</x:v>
      </x:c>
      <x:c r="O204" s="12" t="str">
        <x:v>İncelenmedi</x:v>
      </x:c>
      <x:c r="P204" s="12" t="str">
        <x:v>İncelenmedi</x:v>
      </x:c>
      <x:c r="Q204" s="12" t="str"/>
      <x:c r="R204" s="12" t="str"/>
      <x:c r="S204" s="13" t="str"/>
      <x:c r="T204" s="12" t="str"/>
      <x:c r="U204" s="12" t="str"/>
      <x:c r="V204" s="14" t="str">
        <x:f>IF(A204="","",IF(NOT(AND(COUNTIF(Exec[TestID],A204)=1,COUNTIF(Controls[ID],B204)=1,COUNTIFS(Scope[KapsamID],D204,Scope[OnayliKapsamID],D204,Scope[Ürün],C204)=1,OR(COUNTIFS(Controls[ID],B204,Controls[Ürün],C204)=1,COUNTIFS(Controls[ID],B204,Controls[Ürün],"MSP Genel")=1),E204&lt;&gt;"",F204&lt;&gt;"",G204&lt;&gt;"",I204&lt;&gt;"",Q204&lt;&gt;"")),"Kimlik / kapsam eksik",IF(NOT(OR(H204="Uygulanır",H204="Uygulanmaz")),"Uygulanabilirlik eksik",IF(AND(H204="Uygulanır",P204="Kanıt yetersiz",U204&lt;&gt;""),IF(AND(R204&lt;&gt;"",R204&lt;&gt;Q204,ISNUMBER(S204),S204&gt;0,S204&gt;=L204),"İnceleme tamam","Gözden geçirme eksik"),IF(NOT(AND(J204&lt;&gt;"",COUNTIFS(Evidence[KanitID],J204,Evidence[Kabul edilen ID],J204)=1,K204&lt;&gt;"",ISNUMBER(L204),L204&gt;0,M204&lt;&gt;"")),"Kanıt / test eksik",IF(NOT(AND(R204&lt;&gt;"",R204&lt;&gt;Q204,ISNUMBER(S204),S204&gt;0,S204&gt;=L204)),"Gözden geçirme eksik",IF(H204="Uygulanmaz","İnceleme tamam",IF(AND(OR(P204="Uygun",P204="Kısmen uygun",P204="Uygunsuz"),OR(N204="Uygun",N204="Kısmen uygun",N204="Uygunsuz"),OR(O204="Uygun",O204="Kısmen uygun",O204="Uygunsuz"),OR(P204&lt;&gt;"Uygun",AND(N204="Uygun",O204="Uygun")),OR(P204="Uygun",AND(T204&lt;&gt;"",COUNTIF(Findings[KayitliBulguID],T204)=1))),"İnceleme tamam","Sonuç / bulgu eksik"))))))))</x:f>
        <x:v>Kimlik / kapsam eksik</x:v>
      </x:c>
      <x:c r="W204" s="14" t="str">
        <x:f>IF(A204="","",IF(V204&lt;&gt;"İnceleme tamam","İncelenmedi",IF(H204="Uygulanmaz","Uygulanmaz",P204)))</x:f>
        <x:v>İncelenmedi</x:v>
      </x:c>
    </x:row>
    <x:row r="205" ht="35" customHeight="1">
      <x:c r="A205" s="12" t="str">
        <x:v>U-0200</x:v>
      </x:c>
      <x:c r="B205" s="12" t="str">
        <x:v>VMW-V08-04</x:v>
      </x:c>
      <x:c r="C205" s="12" t="str">
        <x:v>VMware Cloud Director</x:v>
      </x:c>
      <x:c r="D205" s="12" t="str"/>
      <x:c r="E205" s="12" t="str"/>
      <x:c r="F205" s="12" t="str"/>
      <x:c r="G205" s="12" t="str"/>
      <x:c r="H205" s="12" t="str">
        <x:v>Belirlenecek</x:v>
      </x:c>
      <x:c r="I205" s="12" t="str"/>
      <x:c r="J205" s="12" t="str"/>
      <x:c r="K205" s="12" t="str"/>
      <x:c r="L205" s="13" t="str"/>
      <x:c r="M205" s="12" t="str"/>
      <x:c r="N205" s="12" t="str">
        <x:v>İncelenmedi</x:v>
      </x:c>
      <x:c r="O205" s="12" t="str">
        <x:v>İncelenmedi</x:v>
      </x:c>
      <x:c r="P205" s="12" t="str">
        <x:v>İncelenmedi</x:v>
      </x:c>
      <x:c r="Q205" s="12" t="str"/>
      <x:c r="R205" s="12" t="str"/>
      <x:c r="S205" s="13" t="str"/>
      <x:c r="T205" s="12" t="str"/>
      <x:c r="U205" s="12" t="str"/>
      <x:c r="V205" s="14" t="str">
        <x:f>IF(A205="","",IF(NOT(AND(COUNTIF(Exec[TestID],A205)=1,COUNTIF(Controls[ID],B205)=1,COUNTIFS(Scope[KapsamID],D205,Scope[OnayliKapsamID],D205,Scope[Ürün],C205)=1,OR(COUNTIFS(Controls[ID],B205,Controls[Ürün],C205)=1,COUNTIFS(Controls[ID],B205,Controls[Ürün],"MSP Genel")=1),E205&lt;&gt;"",F205&lt;&gt;"",G205&lt;&gt;"",I205&lt;&gt;"",Q205&lt;&gt;"")),"Kimlik / kapsam eksik",IF(NOT(OR(H205="Uygulanır",H205="Uygulanmaz")),"Uygulanabilirlik eksik",IF(AND(H205="Uygulanır",P205="Kanıt yetersiz",U205&lt;&gt;""),IF(AND(R205&lt;&gt;"",R205&lt;&gt;Q205,ISNUMBER(S205),S205&gt;0,S205&gt;=L205),"İnceleme tamam","Gözden geçirme eksik"),IF(NOT(AND(J205&lt;&gt;"",COUNTIFS(Evidence[KanitID],J205,Evidence[Kabul edilen ID],J205)=1,K205&lt;&gt;"",ISNUMBER(L205),L205&gt;0,M205&lt;&gt;"")),"Kanıt / test eksik",IF(NOT(AND(R205&lt;&gt;"",R205&lt;&gt;Q205,ISNUMBER(S205),S205&gt;0,S205&gt;=L205)),"Gözden geçirme eksik",IF(H205="Uygulanmaz","İnceleme tamam",IF(AND(OR(P205="Uygun",P205="Kısmen uygun",P205="Uygunsuz"),OR(N205="Uygun",N205="Kısmen uygun",N205="Uygunsuz"),OR(O205="Uygun",O205="Kısmen uygun",O205="Uygunsuz"),OR(P205&lt;&gt;"Uygun",AND(N205="Uygun",O205="Uygun")),OR(P205="Uygun",AND(T205&lt;&gt;"",COUNTIF(Findings[KayitliBulguID],T205)=1))),"İnceleme tamam","Sonuç / bulgu eksik"))))))))</x:f>
        <x:v>Kimlik / kapsam eksik</x:v>
      </x:c>
      <x:c r="W205" s="14" t="str">
        <x:f>IF(A205="","",IF(V205&lt;&gt;"İnceleme tamam","İncelenmedi",IF(H205="Uygulanmaz","Uygulanmaz",P205)))</x:f>
        <x:v>İncelenmedi</x:v>
      </x:c>
    </x:row>
    <x:row r="206" ht="35" customHeight="1">
      <x:c r="A206" s="12" t="str">
        <x:v>U-0201</x:v>
      </x:c>
      <x:c r="B206" s="12" t="str">
        <x:v>VEE-007</x:v>
      </x:c>
      <x:c r="C206" s="12" t="str">
        <x:v>Veeam</x:v>
      </x:c>
      <x:c r="D206" s="12" t="str"/>
      <x:c r="E206" s="12" t="str"/>
      <x:c r="F206" s="12" t="str"/>
      <x:c r="G206" s="12" t="str"/>
      <x:c r="H206" s="12" t="str">
        <x:v>Belirlenecek</x:v>
      </x:c>
      <x:c r="I206" s="12" t="str"/>
      <x:c r="J206" s="12" t="str"/>
      <x:c r="K206" s="12" t="str"/>
      <x:c r="L206" s="13" t="str"/>
      <x:c r="M206" s="12" t="str"/>
      <x:c r="N206" s="12" t="str">
        <x:v>İncelenmedi</x:v>
      </x:c>
      <x:c r="O206" s="12" t="str">
        <x:v>İncelenmedi</x:v>
      </x:c>
      <x:c r="P206" s="12" t="str">
        <x:v>İncelenmedi</x:v>
      </x:c>
      <x:c r="Q206" s="12" t="str"/>
      <x:c r="R206" s="12" t="str"/>
      <x:c r="S206" s="13" t="str"/>
      <x:c r="T206" s="12" t="str"/>
      <x:c r="U206" s="12" t="str"/>
      <x:c r="V206" s="14" t="str">
        <x:f>IF(A206="","",IF(NOT(AND(COUNTIF(Exec[TestID],A206)=1,COUNTIF(Controls[ID],B206)=1,COUNTIFS(Scope[KapsamID],D206,Scope[OnayliKapsamID],D206,Scope[Ürün],C206)=1,OR(COUNTIFS(Controls[ID],B206,Controls[Ürün],C206)=1,COUNTIFS(Controls[ID],B206,Controls[Ürün],"MSP Genel")=1),E206&lt;&gt;"",F206&lt;&gt;"",G206&lt;&gt;"",I206&lt;&gt;"",Q206&lt;&gt;"")),"Kimlik / kapsam eksik",IF(NOT(OR(H206="Uygulanır",H206="Uygulanmaz")),"Uygulanabilirlik eksik",IF(AND(H206="Uygulanır",P206="Kanıt yetersiz",U206&lt;&gt;""),IF(AND(R206&lt;&gt;"",R206&lt;&gt;Q206,ISNUMBER(S206),S206&gt;0,S206&gt;=L206),"İnceleme tamam","Gözden geçirme eksik"),IF(NOT(AND(J206&lt;&gt;"",COUNTIFS(Evidence[KanitID],J206,Evidence[Kabul edilen ID],J206)=1,K206&lt;&gt;"",ISNUMBER(L206),L206&gt;0,M206&lt;&gt;"")),"Kanıt / test eksik",IF(NOT(AND(R206&lt;&gt;"",R206&lt;&gt;Q206,ISNUMBER(S206),S206&gt;0,S206&gt;=L206)),"Gözden geçirme eksik",IF(H206="Uygulanmaz","İnceleme tamam",IF(AND(OR(P206="Uygun",P206="Kısmen uygun",P206="Uygunsuz"),OR(N206="Uygun",N206="Kısmen uygun",N206="Uygunsuz"),OR(O206="Uygun",O206="Kısmen uygun",O206="Uygunsuz"),OR(P206&lt;&gt;"Uygun",AND(N206="Uygun",O206="Uygun")),OR(P206="Uygun",AND(T206&lt;&gt;"",COUNTIF(Findings[KayitliBulguID],T206)=1))),"İnceleme tamam","Sonuç / bulgu eksik"))))))))</x:f>
        <x:v>Kimlik / kapsam eksik</x:v>
      </x:c>
      <x:c r="W206" s="14" t="str">
        <x:f>IF(A206="","",IF(V206&lt;&gt;"İnceleme tamam","İncelenmedi",IF(H206="Uygulanmaz","Uygulanmaz",P206)))</x:f>
        <x:v>İncelenmedi</x:v>
      </x:c>
    </x:row>
    <x:row r="207" ht="35" customHeight="1">
      <x:c r="A207" s="12" t="str">
        <x:v>U-0202</x:v>
      </x:c>
      <x:c r="B207" s="12" t="str">
        <x:v>VEE-008</x:v>
      </x:c>
      <x:c r="C207" s="12" t="str">
        <x:v>Veeam</x:v>
      </x:c>
      <x:c r="D207" s="12" t="str"/>
      <x:c r="E207" s="12" t="str"/>
      <x:c r="F207" s="12" t="str"/>
      <x:c r="G207" s="12" t="str"/>
      <x:c r="H207" s="12" t="str">
        <x:v>Belirlenecek</x:v>
      </x:c>
      <x:c r="I207" s="12" t="str"/>
      <x:c r="J207" s="12" t="str"/>
      <x:c r="K207" s="12" t="str"/>
      <x:c r="L207" s="13" t="str"/>
      <x:c r="M207" s="12" t="str"/>
      <x:c r="N207" s="12" t="str">
        <x:v>İncelenmedi</x:v>
      </x:c>
      <x:c r="O207" s="12" t="str">
        <x:v>İncelenmedi</x:v>
      </x:c>
      <x:c r="P207" s="12" t="str">
        <x:v>İncelenmedi</x:v>
      </x:c>
      <x:c r="Q207" s="12" t="str"/>
      <x:c r="R207" s="12" t="str"/>
      <x:c r="S207" s="13" t="str"/>
      <x:c r="T207" s="12" t="str"/>
      <x:c r="U207" s="12" t="str"/>
      <x:c r="V207" s="14" t="str">
        <x:f>IF(A207="","",IF(NOT(AND(COUNTIF(Exec[TestID],A207)=1,COUNTIF(Controls[ID],B207)=1,COUNTIFS(Scope[KapsamID],D207,Scope[OnayliKapsamID],D207,Scope[Ürün],C207)=1,OR(COUNTIFS(Controls[ID],B207,Controls[Ürün],C207)=1,COUNTIFS(Controls[ID],B207,Controls[Ürün],"MSP Genel")=1),E207&lt;&gt;"",F207&lt;&gt;"",G207&lt;&gt;"",I207&lt;&gt;"",Q207&lt;&gt;"")),"Kimlik / kapsam eksik",IF(NOT(OR(H207="Uygulanır",H207="Uygulanmaz")),"Uygulanabilirlik eksik",IF(AND(H207="Uygulanır",P207="Kanıt yetersiz",U207&lt;&gt;""),IF(AND(R207&lt;&gt;"",R207&lt;&gt;Q207,ISNUMBER(S207),S207&gt;0,S207&gt;=L207),"İnceleme tamam","Gözden geçirme eksik"),IF(NOT(AND(J207&lt;&gt;"",COUNTIFS(Evidence[KanitID],J207,Evidence[Kabul edilen ID],J207)=1,K207&lt;&gt;"",ISNUMBER(L207),L207&gt;0,M207&lt;&gt;"")),"Kanıt / test eksik",IF(NOT(AND(R207&lt;&gt;"",R207&lt;&gt;Q207,ISNUMBER(S207),S207&gt;0,S207&gt;=L207)),"Gözden geçirme eksik",IF(H207="Uygulanmaz","İnceleme tamam",IF(AND(OR(P207="Uygun",P207="Kısmen uygun",P207="Uygunsuz"),OR(N207="Uygun",N207="Kısmen uygun",N207="Uygunsuz"),OR(O207="Uygun",O207="Kısmen uygun",O207="Uygunsuz"),OR(P207&lt;&gt;"Uygun",AND(N207="Uygun",O207="Uygun")),OR(P207="Uygun",AND(T207&lt;&gt;"",COUNTIF(Findings[KayitliBulguID],T207)=1))),"İnceleme tamam","Sonuç / bulgu eksik"))))))))</x:f>
        <x:v>Kimlik / kapsam eksik</x:v>
      </x:c>
      <x:c r="W207" s="14" t="str">
        <x:f>IF(A207="","",IF(V207&lt;&gt;"İnceleme tamam","İncelenmedi",IF(H207="Uygulanmaz","Uygulanmaz",P207)))</x:f>
        <x:v>İncelenmedi</x:v>
      </x:c>
    </x:row>
    <x:row r="208" ht="35" customHeight="1">
      <x:c r="A208" s="12" t="str">
        <x:v>U-0203</x:v>
      </x:c>
      <x:c r="B208" s="12" t="str">
        <x:v>VEE-009</x:v>
      </x:c>
      <x:c r="C208" s="12" t="str">
        <x:v>Veeam</x:v>
      </x:c>
      <x:c r="D208" s="12" t="str"/>
      <x:c r="E208" s="12" t="str"/>
      <x:c r="F208" s="12" t="str"/>
      <x:c r="G208" s="12" t="str"/>
      <x:c r="H208" s="12" t="str">
        <x:v>Belirlenecek</x:v>
      </x:c>
      <x:c r="I208" s="12" t="str"/>
      <x:c r="J208" s="12" t="str"/>
      <x:c r="K208" s="12" t="str"/>
      <x:c r="L208" s="13" t="str"/>
      <x:c r="M208" s="12" t="str"/>
      <x:c r="N208" s="12" t="str">
        <x:v>İncelenmedi</x:v>
      </x:c>
      <x:c r="O208" s="12" t="str">
        <x:v>İncelenmedi</x:v>
      </x:c>
      <x:c r="P208" s="12" t="str">
        <x:v>İncelenmedi</x:v>
      </x:c>
      <x:c r="Q208" s="12" t="str"/>
      <x:c r="R208" s="12" t="str"/>
      <x:c r="S208" s="13" t="str"/>
      <x:c r="T208" s="12" t="str"/>
      <x:c r="U208" s="12" t="str"/>
      <x:c r="V208" s="14" t="str">
        <x:f>IF(A208="","",IF(NOT(AND(COUNTIF(Exec[TestID],A208)=1,COUNTIF(Controls[ID],B208)=1,COUNTIFS(Scope[KapsamID],D208,Scope[OnayliKapsamID],D208,Scope[Ürün],C208)=1,OR(COUNTIFS(Controls[ID],B208,Controls[Ürün],C208)=1,COUNTIFS(Controls[ID],B208,Controls[Ürün],"MSP Genel")=1),E208&lt;&gt;"",F208&lt;&gt;"",G208&lt;&gt;"",I208&lt;&gt;"",Q208&lt;&gt;"")),"Kimlik / kapsam eksik",IF(NOT(OR(H208="Uygulanır",H208="Uygulanmaz")),"Uygulanabilirlik eksik",IF(AND(H208="Uygulanır",P208="Kanıt yetersiz",U208&lt;&gt;""),IF(AND(R208&lt;&gt;"",R208&lt;&gt;Q208,ISNUMBER(S208),S208&gt;0,S208&gt;=L208),"İnceleme tamam","Gözden geçirme eksik"),IF(NOT(AND(J208&lt;&gt;"",COUNTIFS(Evidence[KanitID],J208,Evidence[Kabul edilen ID],J208)=1,K208&lt;&gt;"",ISNUMBER(L208),L208&gt;0,M208&lt;&gt;"")),"Kanıt / test eksik",IF(NOT(AND(R208&lt;&gt;"",R208&lt;&gt;Q208,ISNUMBER(S208),S208&gt;0,S208&gt;=L208)),"Gözden geçirme eksik",IF(H208="Uygulanmaz","İnceleme tamam",IF(AND(OR(P208="Uygun",P208="Kısmen uygun",P208="Uygunsuz"),OR(N208="Uygun",N208="Kısmen uygun",N208="Uygunsuz"),OR(O208="Uygun",O208="Kısmen uygun",O208="Uygunsuz"),OR(P208&lt;&gt;"Uygun",AND(N208="Uygun",O208="Uygun")),OR(P208="Uygun",AND(T208&lt;&gt;"",COUNTIF(Findings[KayitliBulguID],T208)=1))),"İnceleme tamam","Sonuç / bulgu eksik"))))))))</x:f>
        <x:v>Kimlik / kapsam eksik</x:v>
      </x:c>
      <x:c r="W208" s="14" t="str">
        <x:f>IF(A208="","",IF(V208&lt;&gt;"İnceleme tamam","İncelenmedi",IF(H208="Uygulanmaz","Uygulanmaz",P208)))</x:f>
        <x:v>İncelenmedi</x:v>
      </x:c>
    </x:row>
    <x:row r="209" ht="35" customHeight="1">
      <x:c r="A209" s="12" t="str">
        <x:v>U-0204</x:v>
      </x:c>
      <x:c r="B209" s="12" t="str">
        <x:v>VEE-010</x:v>
      </x:c>
      <x:c r="C209" s="12" t="str">
        <x:v>Veeam</x:v>
      </x:c>
      <x:c r="D209" s="12" t="str"/>
      <x:c r="E209" s="12" t="str"/>
      <x:c r="F209" s="12" t="str"/>
      <x:c r="G209" s="12" t="str"/>
      <x:c r="H209" s="12" t="str">
        <x:v>Belirlenecek</x:v>
      </x:c>
      <x:c r="I209" s="12" t="str"/>
      <x:c r="J209" s="12" t="str"/>
      <x:c r="K209" s="12" t="str"/>
      <x:c r="L209" s="13" t="str"/>
      <x:c r="M209" s="12" t="str"/>
      <x:c r="N209" s="12" t="str">
        <x:v>İncelenmedi</x:v>
      </x:c>
      <x:c r="O209" s="12" t="str">
        <x:v>İncelenmedi</x:v>
      </x:c>
      <x:c r="P209" s="12" t="str">
        <x:v>İncelenmedi</x:v>
      </x:c>
      <x:c r="Q209" s="12" t="str"/>
      <x:c r="R209" s="12" t="str"/>
      <x:c r="S209" s="13" t="str"/>
      <x:c r="T209" s="12" t="str"/>
      <x:c r="U209" s="12" t="str"/>
      <x:c r="V209" s="14" t="str">
        <x:f>IF(A209="","",IF(NOT(AND(COUNTIF(Exec[TestID],A209)=1,COUNTIF(Controls[ID],B209)=1,COUNTIFS(Scope[KapsamID],D209,Scope[OnayliKapsamID],D209,Scope[Ürün],C209)=1,OR(COUNTIFS(Controls[ID],B209,Controls[Ürün],C209)=1,COUNTIFS(Controls[ID],B209,Controls[Ürün],"MSP Genel")=1),E209&lt;&gt;"",F209&lt;&gt;"",G209&lt;&gt;"",I209&lt;&gt;"",Q209&lt;&gt;"")),"Kimlik / kapsam eksik",IF(NOT(OR(H209="Uygulanır",H209="Uygulanmaz")),"Uygulanabilirlik eksik",IF(AND(H209="Uygulanır",P209="Kanıt yetersiz",U209&lt;&gt;""),IF(AND(R209&lt;&gt;"",R209&lt;&gt;Q209,ISNUMBER(S209),S209&gt;0,S209&gt;=L209),"İnceleme tamam","Gözden geçirme eksik"),IF(NOT(AND(J209&lt;&gt;"",COUNTIFS(Evidence[KanitID],J209,Evidence[Kabul edilen ID],J209)=1,K209&lt;&gt;"",ISNUMBER(L209),L209&gt;0,M209&lt;&gt;"")),"Kanıt / test eksik",IF(NOT(AND(R209&lt;&gt;"",R209&lt;&gt;Q209,ISNUMBER(S209),S209&gt;0,S209&gt;=L209)),"Gözden geçirme eksik",IF(H209="Uygulanmaz","İnceleme tamam",IF(AND(OR(P209="Uygun",P209="Kısmen uygun",P209="Uygunsuz"),OR(N209="Uygun",N209="Kısmen uygun",N209="Uygunsuz"),OR(O209="Uygun",O209="Kısmen uygun",O209="Uygunsuz"),OR(P209&lt;&gt;"Uygun",AND(N209="Uygun",O209="Uygun")),OR(P209="Uygun",AND(T209&lt;&gt;"",COUNTIF(Findings[KayitliBulguID],T209)=1))),"İnceleme tamam","Sonuç / bulgu eksik"))))))))</x:f>
        <x:v>Kimlik / kapsam eksik</x:v>
      </x:c>
      <x:c r="W209" s="14" t="str">
        <x:f>IF(A209="","",IF(V209&lt;&gt;"İnceleme tamam","İncelenmedi",IF(H209="Uygulanmaz","Uygulanmaz",P209)))</x:f>
        <x:v>İncelenmedi</x:v>
      </x:c>
    </x:row>
    <x:row r="210" ht="35" customHeight="1">
      <x:c r="A210" s="12" t="str">
        <x:v>U-0205</x:v>
      </x:c>
      <x:c r="B210" s="12" t="str">
        <x:v>VEE-011</x:v>
      </x:c>
      <x:c r="C210" s="12" t="str">
        <x:v>Veeam</x:v>
      </x:c>
      <x:c r="D210" s="12" t="str"/>
      <x:c r="E210" s="12" t="str"/>
      <x:c r="F210" s="12" t="str"/>
      <x:c r="G210" s="12" t="str"/>
      <x:c r="H210" s="12" t="str">
        <x:v>Belirlenecek</x:v>
      </x:c>
      <x:c r="I210" s="12" t="str"/>
      <x:c r="J210" s="12" t="str"/>
      <x:c r="K210" s="12" t="str"/>
      <x:c r="L210" s="13" t="str"/>
      <x:c r="M210" s="12" t="str"/>
      <x:c r="N210" s="12" t="str">
        <x:v>İncelenmedi</x:v>
      </x:c>
      <x:c r="O210" s="12" t="str">
        <x:v>İncelenmedi</x:v>
      </x:c>
      <x:c r="P210" s="12" t="str">
        <x:v>İncelenmedi</x:v>
      </x:c>
      <x:c r="Q210" s="12" t="str"/>
      <x:c r="R210" s="12" t="str"/>
      <x:c r="S210" s="13" t="str"/>
      <x:c r="T210" s="12" t="str"/>
      <x:c r="U210" s="12" t="str"/>
      <x:c r="V210" s="14" t="str">
        <x:f>IF(A210="","",IF(NOT(AND(COUNTIF(Exec[TestID],A210)=1,COUNTIF(Controls[ID],B210)=1,COUNTIFS(Scope[KapsamID],D210,Scope[OnayliKapsamID],D210,Scope[Ürün],C210)=1,OR(COUNTIFS(Controls[ID],B210,Controls[Ürün],C210)=1,COUNTIFS(Controls[ID],B210,Controls[Ürün],"MSP Genel")=1),E210&lt;&gt;"",F210&lt;&gt;"",G210&lt;&gt;"",I210&lt;&gt;"",Q210&lt;&gt;"")),"Kimlik / kapsam eksik",IF(NOT(OR(H210="Uygulanır",H210="Uygulanmaz")),"Uygulanabilirlik eksik",IF(AND(H210="Uygulanır",P210="Kanıt yetersiz",U210&lt;&gt;""),IF(AND(R210&lt;&gt;"",R210&lt;&gt;Q210,ISNUMBER(S210),S210&gt;0,S210&gt;=L210),"İnceleme tamam","Gözden geçirme eksik"),IF(NOT(AND(J210&lt;&gt;"",COUNTIFS(Evidence[KanitID],J210,Evidence[Kabul edilen ID],J210)=1,K210&lt;&gt;"",ISNUMBER(L210),L210&gt;0,M210&lt;&gt;"")),"Kanıt / test eksik",IF(NOT(AND(R210&lt;&gt;"",R210&lt;&gt;Q210,ISNUMBER(S210),S210&gt;0,S210&gt;=L210)),"Gözden geçirme eksik",IF(H210="Uygulanmaz","İnceleme tamam",IF(AND(OR(P210="Uygun",P210="Kısmen uygun",P210="Uygunsuz"),OR(N210="Uygun",N210="Kısmen uygun",N210="Uygunsuz"),OR(O210="Uygun",O210="Kısmen uygun",O210="Uygunsuz"),OR(P210&lt;&gt;"Uygun",AND(N210="Uygun",O210="Uygun")),OR(P210="Uygun",AND(T210&lt;&gt;"",COUNTIF(Findings[KayitliBulguID],T210)=1))),"İnceleme tamam","Sonuç / bulgu eksik"))))))))</x:f>
        <x:v>Kimlik / kapsam eksik</x:v>
      </x:c>
      <x:c r="W210" s="14" t="str">
        <x:f>IF(A210="","",IF(V210&lt;&gt;"İnceleme tamam","İncelenmedi",IF(H210="Uygulanmaz","Uygulanmaz",P210)))</x:f>
        <x:v>İncelenmedi</x:v>
      </x:c>
    </x:row>
    <x:row r="211" ht="35" customHeight="1">
      <x:c r="A211" s="12" t="str">
        <x:v>U-0206</x:v>
      </x:c>
      <x:c r="B211" s="12" t="str">
        <x:v>VEE-012</x:v>
      </x:c>
      <x:c r="C211" s="12" t="str">
        <x:v>Veeam</x:v>
      </x:c>
      <x:c r="D211" s="12" t="str"/>
      <x:c r="E211" s="12" t="str"/>
      <x:c r="F211" s="12" t="str"/>
      <x:c r="G211" s="12" t="str"/>
      <x:c r="H211" s="12" t="str">
        <x:v>Belirlenecek</x:v>
      </x:c>
      <x:c r="I211" s="12" t="str"/>
      <x:c r="J211" s="12" t="str"/>
      <x:c r="K211" s="12" t="str"/>
      <x:c r="L211" s="13" t="str"/>
      <x:c r="M211" s="12" t="str"/>
      <x:c r="N211" s="12" t="str">
        <x:v>İncelenmedi</x:v>
      </x:c>
      <x:c r="O211" s="12" t="str">
        <x:v>İncelenmedi</x:v>
      </x:c>
      <x:c r="P211" s="12" t="str">
        <x:v>İncelenmedi</x:v>
      </x:c>
      <x:c r="Q211" s="12" t="str"/>
      <x:c r="R211" s="12" t="str"/>
      <x:c r="S211" s="13" t="str"/>
      <x:c r="T211" s="12" t="str"/>
      <x:c r="U211" s="12" t="str"/>
      <x:c r="V211" s="14" t="str">
        <x:f>IF(A211="","",IF(NOT(AND(COUNTIF(Exec[TestID],A211)=1,COUNTIF(Controls[ID],B211)=1,COUNTIFS(Scope[KapsamID],D211,Scope[OnayliKapsamID],D211,Scope[Ürün],C211)=1,OR(COUNTIFS(Controls[ID],B211,Controls[Ürün],C211)=1,COUNTIFS(Controls[ID],B211,Controls[Ürün],"MSP Genel")=1),E211&lt;&gt;"",F211&lt;&gt;"",G211&lt;&gt;"",I211&lt;&gt;"",Q211&lt;&gt;"")),"Kimlik / kapsam eksik",IF(NOT(OR(H211="Uygulanır",H211="Uygulanmaz")),"Uygulanabilirlik eksik",IF(AND(H211="Uygulanır",P211="Kanıt yetersiz",U211&lt;&gt;""),IF(AND(R211&lt;&gt;"",R211&lt;&gt;Q211,ISNUMBER(S211),S211&gt;0,S211&gt;=L211),"İnceleme tamam","Gözden geçirme eksik"),IF(NOT(AND(J211&lt;&gt;"",COUNTIFS(Evidence[KanitID],J211,Evidence[Kabul edilen ID],J211)=1,K211&lt;&gt;"",ISNUMBER(L211),L211&gt;0,M211&lt;&gt;"")),"Kanıt / test eksik",IF(NOT(AND(R211&lt;&gt;"",R211&lt;&gt;Q211,ISNUMBER(S211),S211&gt;0,S211&gt;=L211)),"Gözden geçirme eksik",IF(H211="Uygulanmaz","İnceleme tamam",IF(AND(OR(P211="Uygun",P211="Kısmen uygun",P211="Uygunsuz"),OR(N211="Uygun",N211="Kısmen uygun",N211="Uygunsuz"),OR(O211="Uygun",O211="Kısmen uygun",O211="Uygunsuz"),OR(P211&lt;&gt;"Uygun",AND(N211="Uygun",O211="Uygun")),OR(P211="Uygun",AND(T211&lt;&gt;"",COUNTIF(Findings[KayitliBulguID],T211)=1))),"İnceleme tamam","Sonuç / bulgu eksik"))))))))</x:f>
        <x:v>Kimlik / kapsam eksik</x:v>
      </x:c>
      <x:c r="W211" s="14" t="str">
        <x:f>IF(A211="","",IF(V211&lt;&gt;"İnceleme tamam","İncelenmedi",IF(H211="Uygulanmaz","Uygulanmaz",P211)))</x:f>
        <x:v>İncelenmedi</x:v>
      </x:c>
    </x:row>
    <x:row r="212" ht="35" customHeight="1">
      <x:c r="A212" s="12" t="str">
        <x:v>U-0207</x:v>
      </x:c>
      <x:c r="B212" s="12" t="str">
        <x:v>VEE-013</x:v>
      </x:c>
      <x:c r="C212" s="12" t="str">
        <x:v>Veeam</x:v>
      </x:c>
      <x:c r="D212" s="12" t="str"/>
      <x:c r="E212" s="12" t="str"/>
      <x:c r="F212" s="12" t="str"/>
      <x:c r="G212" s="12" t="str"/>
      <x:c r="H212" s="12" t="str">
        <x:v>Belirlenecek</x:v>
      </x:c>
      <x:c r="I212" s="12" t="str"/>
      <x:c r="J212" s="12" t="str"/>
      <x:c r="K212" s="12" t="str"/>
      <x:c r="L212" s="13" t="str"/>
      <x:c r="M212" s="12" t="str"/>
      <x:c r="N212" s="12" t="str">
        <x:v>İncelenmedi</x:v>
      </x:c>
      <x:c r="O212" s="12" t="str">
        <x:v>İncelenmedi</x:v>
      </x:c>
      <x:c r="P212" s="12" t="str">
        <x:v>İncelenmedi</x:v>
      </x:c>
      <x:c r="Q212" s="12" t="str"/>
      <x:c r="R212" s="12" t="str"/>
      <x:c r="S212" s="13" t="str"/>
      <x:c r="T212" s="12" t="str"/>
      <x:c r="U212" s="12" t="str"/>
      <x:c r="V212" s="14" t="str">
        <x:f>IF(A212="","",IF(NOT(AND(COUNTIF(Exec[TestID],A212)=1,COUNTIF(Controls[ID],B212)=1,COUNTIFS(Scope[KapsamID],D212,Scope[OnayliKapsamID],D212,Scope[Ürün],C212)=1,OR(COUNTIFS(Controls[ID],B212,Controls[Ürün],C212)=1,COUNTIFS(Controls[ID],B212,Controls[Ürün],"MSP Genel")=1),E212&lt;&gt;"",F212&lt;&gt;"",G212&lt;&gt;"",I212&lt;&gt;"",Q212&lt;&gt;"")),"Kimlik / kapsam eksik",IF(NOT(OR(H212="Uygulanır",H212="Uygulanmaz")),"Uygulanabilirlik eksik",IF(AND(H212="Uygulanır",P212="Kanıt yetersiz",U212&lt;&gt;""),IF(AND(R212&lt;&gt;"",R212&lt;&gt;Q212,ISNUMBER(S212),S212&gt;0,S212&gt;=L212),"İnceleme tamam","Gözden geçirme eksik"),IF(NOT(AND(J212&lt;&gt;"",COUNTIFS(Evidence[KanitID],J212,Evidence[Kabul edilen ID],J212)=1,K212&lt;&gt;"",ISNUMBER(L212),L212&gt;0,M212&lt;&gt;"")),"Kanıt / test eksik",IF(NOT(AND(R212&lt;&gt;"",R212&lt;&gt;Q212,ISNUMBER(S212),S212&gt;0,S212&gt;=L212)),"Gözden geçirme eksik",IF(H212="Uygulanmaz","İnceleme tamam",IF(AND(OR(P212="Uygun",P212="Kısmen uygun",P212="Uygunsuz"),OR(N212="Uygun",N212="Kısmen uygun",N212="Uygunsuz"),OR(O212="Uygun",O212="Kısmen uygun",O212="Uygunsuz"),OR(P212&lt;&gt;"Uygun",AND(N212="Uygun",O212="Uygun")),OR(P212="Uygun",AND(T212&lt;&gt;"",COUNTIF(Findings[KayitliBulguID],T212)=1))),"İnceleme tamam","Sonuç / bulgu eksik"))))))))</x:f>
        <x:v>Kimlik / kapsam eksik</x:v>
      </x:c>
      <x:c r="W212" s="14" t="str">
        <x:f>IF(A212="","",IF(V212&lt;&gt;"İnceleme tamam","İncelenmedi",IF(H212="Uygulanmaz","Uygulanmaz",P212)))</x:f>
        <x:v>İncelenmedi</x:v>
      </x:c>
    </x:row>
    <x:row r="213" ht="35" customHeight="1">
      <x:c r="A213" s="12" t="str">
        <x:v>U-0208</x:v>
      </x:c>
      <x:c r="B213" s="12" t="str">
        <x:v>VEE-014</x:v>
      </x:c>
      <x:c r="C213" s="12" t="str">
        <x:v>Veeam</x:v>
      </x:c>
      <x:c r="D213" s="12" t="str"/>
      <x:c r="E213" s="12" t="str"/>
      <x:c r="F213" s="12" t="str"/>
      <x:c r="G213" s="12" t="str"/>
      <x:c r="H213" s="12" t="str">
        <x:v>Belirlenecek</x:v>
      </x:c>
      <x:c r="I213" s="12" t="str"/>
      <x:c r="J213" s="12" t="str"/>
      <x:c r="K213" s="12" t="str"/>
      <x:c r="L213" s="13" t="str"/>
      <x:c r="M213" s="12" t="str"/>
      <x:c r="N213" s="12" t="str">
        <x:v>İncelenmedi</x:v>
      </x:c>
      <x:c r="O213" s="12" t="str">
        <x:v>İncelenmedi</x:v>
      </x:c>
      <x:c r="P213" s="12" t="str">
        <x:v>İncelenmedi</x:v>
      </x:c>
      <x:c r="Q213" s="12" t="str"/>
      <x:c r="R213" s="12" t="str"/>
      <x:c r="S213" s="13" t="str"/>
      <x:c r="T213" s="12" t="str"/>
      <x:c r="U213" s="12" t="str"/>
      <x:c r="V213" s="14" t="str">
        <x:f>IF(A213="","",IF(NOT(AND(COUNTIF(Exec[TestID],A213)=1,COUNTIF(Controls[ID],B213)=1,COUNTIFS(Scope[KapsamID],D213,Scope[OnayliKapsamID],D213,Scope[Ürün],C213)=1,OR(COUNTIFS(Controls[ID],B213,Controls[Ürün],C213)=1,COUNTIFS(Controls[ID],B213,Controls[Ürün],"MSP Genel")=1),E213&lt;&gt;"",F213&lt;&gt;"",G213&lt;&gt;"",I213&lt;&gt;"",Q213&lt;&gt;"")),"Kimlik / kapsam eksik",IF(NOT(OR(H213="Uygulanır",H213="Uygulanmaz")),"Uygulanabilirlik eksik",IF(AND(H213="Uygulanır",P213="Kanıt yetersiz",U213&lt;&gt;""),IF(AND(R213&lt;&gt;"",R213&lt;&gt;Q213,ISNUMBER(S213),S213&gt;0,S213&gt;=L213),"İnceleme tamam","Gözden geçirme eksik"),IF(NOT(AND(J213&lt;&gt;"",COUNTIFS(Evidence[KanitID],J213,Evidence[Kabul edilen ID],J213)=1,K213&lt;&gt;"",ISNUMBER(L213),L213&gt;0,M213&lt;&gt;"")),"Kanıt / test eksik",IF(NOT(AND(R213&lt;&gt;"",R213&lt;&gt;Q213,ISNUMBER(S213),S213&gt;0,S213&gt;=L213)),"Gözden geçirme eksik",IF(H213="Uygulanmaz","İnceleme tamam",IF(AND(OR(P213="Uygun",P213="Kısmen uygun",P213="Uygunsuz"),OR(N213="Uygun",N213="Kısmen uygun",N213="Uygunsuz"),OR(O213="Uygun",O213="Kısmen uygun",O213="Uygunsuz"),OR(P213&lt;&gt;"Uygun",AND(N213="Uygun",O213="Uygun")),OR(P213="Uygun",AND(T213&lt;&gt;"",COUNTIF(Findings[KayitliBulguID],T213)=1))),"İnceleme tamam","Sonuç / bulgu eksik"))))))))</x:f>
        <x:v>Kimlik / kapsam eksik</x:v>
      </x:c>
      <x:c r="W213" s="14" t="str">
        <x:f>IF(A213="","",IF(V213&lt;&gt;"İnceleme tamam","İncelenmedi",IF(H213="Uygulanmaz","Uygulanmaz",P213)))</x:f>
        <x:v>İncelenmedi</x:v>
      </x:c>
    </x:row>
    <x:row r="214" ht="35" customHeight="1">
      <x:c r="A214" s="12" t="str">
        <x:v>U-0209</x:v>
      </x:c>
      <x:c r="B214" s="12" t="str">
        <x:v>VEE-V02-03</x:v>
      </x:c>
      <x:c r="C214" s="12" t="str">
        <x:v>Veeam</x:v>
      </x:c>
      <x:c r="D214" s="12" t="str"/>
      <x:c r="E214" s="12" t="str"/>
      <x:c r="F214" s="12" t="str"/>
      <x:c r="G214" s="12" t="str"/>
      <x:c r="H214" s="12" t="str">
        <x:v>Belirlenecek</x:v>
      </x:c>
      <x:c r="I214" s="12" t="str"/>
      <x:c r="J214" s="12" t="str"/>
      <x:c r="K214" s="12" t="str"/>
      <x:c r="L214" s="13" t="str"/>
      <x:c r="M214" s="12" t="str"/>
      <x:c r="N214" s="12" t="str">
        <x:v>İncelenmedi</x:v>
      </x:c>
      <x:c r="O214" s="12" t="str">
        <x:v>İncelenmedi</x:v>
      </x:c>
      <x:c r="P214" s="12" t="str">
        <x:v>İncelenmedi</x:v>
      </x:c>
      <x:c r="Q214" s="12" t="str"/>
      <x:c r="R214" s="12" t="str"/>
      <x:c r="S214" s="13" t="str"/>
      <x:c r="T214" s="12" t="str"/>
      <x:c r="U214" s="12" t="str"/>
      <x:c r="V214" s="14" t="str">
        <x:f>IF(A214="","",IF(NOT(AND(COUNTIF(Exec[TestID],A214)=1,COUNTIF(Controls[ID],B214)=1,COUNTIFS(Scope[KapsamID],D214,Scope[OnayliKapsamID],D214,Scope[Ürün],C214)=1,OR(COUNTIFS(Controls[ID],B214,Controls[Ürün],C214)=1,COUNTIFS(Controls[ID],B214,Controls[Ürün],"MSP Genel")=1),E214&lt;&gt;"",F214&lt;&gt;"",G214&lt;&gt;"",I214&lt;&gt;"",Q214&lt;&gt;"")),"Kimlik / kapsam eksik",IF(NOT(OR(H214="Uygulanır",H214="Uygulanmaz")),"Uygulanabilirlik eksik",IF(AND(H214="Uygulanır",P214="Kanıt yetersiz",U214&lt;&gt;""),IF(AND(R214&lt;&gt;"",R214&lt;&gt;Q214,ISNUMBER(S214),S214&gt;0,S214&gt;=L214),"İnceleme tamam","Gözden geçirme eksik"),IF(NOT(AND(J214&lt;&gt;"",COUNTIFS(Evidence[KanitID],J214,Evidence[Kabul edilen ID],J214)=1,K214&lt;&gt;"",ISNUMBER(L214),L214&gt;0,M214&lt;&gt;"")),"Kanıt / test eksik",IF(NOT(AND(R214&lt;&gt;"",R214&lt;&gt;Q214,ISNUMBER(S214),S214&gt;0,S214&gt;=L214)),"Gözden geçirme eksik",IF(H214="Uygulanmaz","İnceleme tamam",IF(AND(OR(P214="Uygun",P214="Kısmen uygun",P214="Uygunsuz"),OR(N214="Uygun",N214="Kısmen uygun",N214="Uygunsuz"),OR(O214="Uygun",O214="Kısmen uygun",O214="Uygunsuz"),OR(P214&lt;&gt;"Uygun",AND(N214="Uygun",O214="Uygun")),OR(P214="Uygun",AND(T214&lt;&gt;"",COUNTIF(Findings[KayitliBulguID],T214)=1))),"İnceleme tamam","Sonuç / bulgu eksik"))))))))</x:f>
        <x:v>Kimlik / kapsam eksik</x:v>
      </x:c>
      <x:c r="W214" s="14" t="str">
        <x:f>IF(A214="","",IF(V214&lt;&gt;"İnceleme tamam","İncelenmedi",IF(H214="Uygulanmaz","Uygulanmaz",P214)))</x:f>
        <x:v>İncelenmedi</x:v>
      </x:c>
    </x:row>
    <x:row r="215" ht="35" customHeight="1">
      <x:c r="A215" s="12" t="str">
        <x:v>U-0210</x:v>
      </x:c>
      <x:c r="B215" s="12" t="str">
        <x:v>VEE-V04-01</x:v>
      </x:c>
      <x:c r="C215" s="12" t="str">
        <x:v>Veeam</x:v>
      </x:c>
      <x:c r="D215" s="12" t="str"/>
      <x:c r="E215" s="12" t="str"/>
      <x:c r="F215" s="12" t="str"/>
      <x:c r="G215" s="12" t="str"/>
      <x:c r="H215" s="12" t="str">
        <x:v>Belirlenecek</x:v>
      </x:c>
      <x:c r="I215" s="12" t="str"/>
      <x:c r="J215" s="12" t="str"/>
      <x:c r="K215" s="12" t="str"/>
      <x:c r="L215" s="13" t="str"/>
      <x:c r="M215" s="12" t="str"/>
      <x:c r="N215" s="12" t="str">
        <x:v>İncelenmedi</x:v>
      </x:c>
      <x:c r="O215" s="12" t="str">
        <x:v>İncelenmedi</x:v>
      </x:c>
      <x:c r="P215" s="12" t="str">
        <x:v>İncelenmedi</x:v>
      </x:c>
      <x:c r="Q215" s="12" t="str"/>
      <x:c r="R215" s="12" t="str"/>
      <x:c r="S215" s="13" t="str"/>
      <x:c r="T215" s="12" t="str"/>
      <x:c r="U215" s="12" t="str"/>
      <x:c r="V215" s="14" t="str">
        <x:f>IF(A215="","",IF(NOT(AND(COUNTIF(Exec[TestID],A215)=1,COUNTIF(Controls[ID],B215)=1,COUNTIFS(Scope[KapsamID],D215,Scope[OnayliKapsamID],D215,Scope[Ürün],C215)=1,OR(COUNTIFS(Controls[ID],B215,Controls[Ürün],C215)=1,COUNTIFS(Controls[ID],B215,Controls[Ürün],"MSP Genel")=1),E215&lt;&gt;"",F215&lt;&gt;"",G215&lt;&gt;"",I215&lt;&gt;"",Q215&lt;&gt;"")),"Kimlik / kapsam eksik",IF(NOT(OR(H215="Uygulanır",H215="Uygulanmaz")),"Uygulanabilirlik eksik",IF(AND(H215="Uygulanır",P215="Kanıt yetersiz",U215&lt;&gt;""),IF(AND(R215&lt;&gt;"",R215&lt;&gt;Q215,ISNUMBER(S215),S215&gt;0,S215&gt;=L215),"İnceleme tamam","Gözden geçirme eksik"),IF(NOT(AND(J215&lt;&gt;"",COUNTIFS(Evidence[KanitID],J215,Evidence[Kabul edilen ID],J215)=1,K215&lt;&gt;"",ISNUMBER(L215),L215&gt;0,M215&lt;&gt;"")),"Kanıt / test eksik",IF(NOT(AND(R215&lt;&gt;"",R215&lt;&gt;Q215,ISNUMBER(S215),S215&gt;0,S215&gt;=L215)),"Gözden geçirme eksik",IF(H215="Uygulanmaz","İnceleme tamam",IF(AND(OR(P215="Uygun",P215="Kısmen uygun",P215="Uygunsuz"),OR(N215="Uygun",N215="Kısmen uygun",N215="Uygunsuz"),OR(O215="Uygun",O215="Kısmen uygun",O215="Uygunsuz"),OR(P215&lt;&gt;"Uygun",AND(N215="Uygun",O215="Uygun")),OR(P215="Uygun",AND(T215&lt;&gt;"",COUNTIF(Findings[KayitliBulguID],T215)=1))),"İnceleme tamam","Sonuç / bulgu eksik"))))))))</x:f>
        <x:v>Kimlik / kapsam eksik</x:v>
      </x:c>
      <x:c r="W215" s="14" t="str">
        <x:f>IF(A215="","",IF(V215&lt;&gt;"İnceleme tamam","İncelenmedi",IF(H215="Uygulanmaz","Uygulanmaz",P215)))</x:f>
        <x:v>İncelenmedi</x:v>
      </x:c>
    </x:row>
    <x:row r="216" ht="35" customHeight="1">
      <x:c r="A216" s="12" t="str">
        <x:v>U-0211</x:v>
      </x:c>
      <x:c r="B216" s="12" t="str">
        <x:v>VEE-V04-02</x:v>
      </x:c>
      <x:c r="C216" s="12" t="str">
        <x:v>Veeam</x:v>
      </x:c>
      <x:c r="D216" s="12" t="str"/>
      <x:c r="E216" s="12" t="str"/>
      <x:c r="F216" s="12" t="str"/>
      <x:c r="G216" s="12" t="str"/>
      <x:c r="H216" s="12" t="str">
        <x:v>Belirlenecek</x:v>
      </x:c>
      <x:c r="I216" s="12" t="str"/>
      <x:c r="J216" s="12" t="str"/>
      <x:c r="K216" s="12" t="str"/>
      <x:c r="L216" s="13" t="str"/>
      <x:c r="M216" s="12" t="str"/>
      <x:c r="N216" s="12" t="str">
        <x:v>İncelenmedi</x:v>
      </x:c>
      <x:c r="O216" s="12" t="str">
        <x:v>İncelenmedi</x:v>
      </x:c>
      <x:c r="P216" s="12" t="str">
        <x:v>İncelenmedi</x:v>
      </x:c>
      <x:c r="Q216" s="12" t="str"/>
      <x:c r="R216" s="12" t="str"/>
      <x:c r="S216" s="13" t="str"/>
      <x:c r="T216" s="12" t="str"/>
      <x:c r="U216" s="12" t="str"/>
      <x:c r="V216" s="14" t="str">
        <x:f>IF(A216="","",IF(NOT(AND(COUNTIF(Exec[TestID],A216)=1,COUNTIF(Controls[ID],B216)=1,COUNTIFS(Scope[KapsamID],D216,Scope[OnayliKapsamID],D216,Scope[Ürün],C216)=1,OR(COUNTIFS(Controls[ID],B216,Controls[Ürün],C216)=1,COUNTIFS(Controls[ID],B216,Controls[Ürün],"MSP Genel")=1),E216&lt;&gt;"",F216&lt;&gt;"",G216&lt;&gt;"",I216&lt;&gt;"",Q216&lt;&gt;"")),"Kimlik / kapsam eksik",IF(NOT(OR(H216="Uygulanır",H216="Uygulanmaz")),"Uygulanabilirlik eksik",IF(AND(H216="Uygulanır",P216="Kanıt yetersiz",U216&lt;&gt;""),IF(AND(R216&lt;&gt;"",R216&lt;&gt;Q216,ISNUMBER(S216),S216&gt;0,S216&gt;=L216),"İnceleme tamam","Gözden geçirme eksik"),IF(NOT(AND(J216&lt;&gt;"",COUNTIFS(Evidence[KanitID],J216,Evidence[Kabul edilen ID],J216)=1,K216&lt;&gt;"",ISNUMBER(L216),L216&gt;0,M216&lt;&gt;"")),"Kanıt / test eksik",IF(NOT(AND(R216&lt;&gt;"",R216&lt;&gt;Q216,ISNUMBER(S216),S216&gt;0,S216&gt;=L216)),"Gözden geçirme eksik",IF(H216="Uygulanmaz","İnceleme tamam",IF(AND(OR(P216="Uygun",P216="Kısmen uygun",P216="Uygunsuz"),OR(N216="Uygun",N216="Kısmen uygun",N216="Uygunsuz"),OR(O216="Uygun",O216="Kısmen uygun",O216="Uygunsuz"),OR(P216&lt;&gt;"Uygun",AND(N216="Uygun",O216="Uygun")),OR(P216="Uygun",AND(T216&lt;&gt;"",COUNTIF(Findings[KayitliBulguID],T216)=1))),"İnceleme tamam","Sonuç / bulgu eksik"))))))))</x:f>
        <x:v>Kimlik / kapsam eksik</x:v>
      </x:c>
      <x:c r="W216" s="14" t="str">
        <x:f>IF(A216="","",IF(V216&lt;&gt;"İnceleme tamam","İncelenmedi",IF(H216="Uygulanmaz","Uygulanmaz",P216)))</x:f>
        <x:v>İncelenmedi</x:v>
      </x:c>
    </x:row>
    <x:row r="217" ht="35" customHeight="1">
      <x:c r="A217" s="12" t="str">
        <x:v>U-0212</x:v>
      </x:c>
      <x:c r="B217" s="12" t="str">
        <x:v>VEE-V04-05</x:v>
      </x:c>
      <x:c r="C217" s="12" t="str">
        <x:v>Veeam</x:v>
      </x:c>
      <x:c r="D217" s="12" t="str"/>
      <x:c r="E217" s="12" t="str"/>
      <x:c r="F217" s="12" t="str"/>
      <x:c r="G217" s="12" t="str"/>
      <x:c r="H217" s="12" t="str">
        <x:v>Belirlenecek</x:v>
      </x:c>
      <x:c r="I217" s="12" t="str"/>
      <x:c r="J217" s="12" t="str"/>
      <x:c r="K217" s="12" t="str"/>
      <x:c r="L217" s="13" t="str"/>
      <x:c r="M217" s="12" t="str"/>
      <x:c r="N217" s="12" t="str">
        <x:v>İncelenmedi</x:v>
      </x:c>
      <x:c r="O217" s="12" t="str">
        <x:v>İncelenmedi</x:v>
      </x:c>
      <x:c r="P217" s="12" t="str">
        <x:v>İncelenmedi</x:v>
      </x:c>
      <x:c r="Q217" s="12" t="str"/>
      <x:c r="R217" s="12" t="str"/>
      <x:c r="S217" s="13" t="str"/>
      <x:c r="T217" s="12" t="str"/>
      <x:c r="U217" s="12" t="str"/>
      <x:c r="V217" s="14" t="str">
        <x:f>IF(A217="","",IF(NOT(AND(COUNTIF(Exec[TestID],A217)=1,COUNTIF(Controls[ID],B217)=1,COUNTIFS(Scope[KapsamID],D217,Scope[OnayliKapsamID],D217,Scope[Ürün],C217)=1,OR(COUNTIFS(Controls[ID],B217,Controls[Ürün],C217)=1,COUNTIFS(Controls[ID],B217,Controls[Ürün],"MSP Genel")=1),E217&lt;&gt;"",F217&lt;&gt;"",G217&lt;&gt;"",I217&lt;&gt;"",Q217&lt;&gt;"")),"Kimlik / kapsam eksik",IF(NOT(OR(H217="Uygulanır",H217="Uygulanmaz")),"Uygulanabilirlik eksik",IF(AND(H217="Uygulanır",P217="Kanıt yetersiz",U217&lt;&gt;""),IF(AND(R217&lt;&gt;"",R217&lt;&gt;Q217,ISNUMBER(S217),S217&gt;0,S217&gt;=L217),"İnceleme tamam","Gözden geçirme eksik"),IF(NOT(AND(J217&lt;&gt;"",COUNTIFS(Evidence[KanitID],J217,Evidence[Kabul edilen ID],J217)=1,K217&lt;&gt;"",ISNUMBER(L217),L217&gt;0,M217&lt;&gt;"")),"Kanıt / test eksik",IF(NOT(AND(R217&lt;&gt;"",R217&lt;&gt;Q217,ISNUMBER(S217),S217&gt;0,S217&gt;=L217)),"Gözden geçirme eksik",IF(H217="Uygulanmaz","İnceleme tamam",IF(AND(OR(P217="Uygun",P217="Kısmen uygun",P217="Uygunsuz"),OR(N217="Uygun",N217="Kısmen uygun",N217="Uygunsuz"),OR(O217="Uygun",O217="Kısmen uygun",O217="Uygunsuz"),OR(P217&lt;&gt;"Uygun",AND(N217="Uygun",O217="Uygun")),OR(P217="Uygun",AND(T217&lt;&gt;"",COUNTIF(Findings[KayitliBulguID],T217)=1))),"İnceleme tamam","Sonuç / bulgu eksik"))))))))</x:f>
        <x:v>Kimlik / kapsam eksik</x:v>
      </x:c>
      <x:c r="W217" s="14" t="str">
        <x:f>IF(A217="","",IF(V217&lt;&gt;"İnceleme tamam","İncelenmedi",IF(H217="Uygulanmaz","Uygulanmaz",P217)))</x:f>
        <x:v>İncelenmedi</x:v>
      </x:c>
    </x:row>
    <x:row r="218" ht="35" customHeight="1">
      <x:c r="A218" s="12" t="str">
        <x:v>U-0213</x:v>
      </x:c>
      <x:c r="B218" s="12" t="str">
        <x:v>VEE-V05-03</x:v>
      </x:c>
      <x:c r="C218" s="12" t="str">
        <x:v>Veeam</x:v>
      </x:c>
      <x:c r="D218" s="12" t="str"/>
      <x:c r="E218" s="12" t="str"/>
      <x:c r="F218" s="12" t="str"/>
      <x:c r="G218" s="12" t="str"/>
      <x:c r="H218" s="12" t="str">
        <x:v>Belirlenecek</x:v>
      </x:c>
      <x:c r="I218" s="12" t="str"/>
      <x:c r="J218" s="12" t="str"/>
      <x:c r="K218" s="12" t="str"/>
      <x:c r="L218" s="13" t="str"/>
      <x:c r="M218" s="12" t="str"/>
      <x:c r="N218" s="12" t="str">
        <x:v>İncelenmedi</x:v>
      </x:c>
      <x:c r="O218" s="12" t="str">
        <x:v>İncelenmedi</x:v>
      </x:c>
      <x:c r="P218" s="12" t="str">
        <x:v>İncelenmedi</x:v>
      </x:c>
      <x:c r="Q218" s="12" t="str"/>
      <x:c r="R218" s="12" t="str"/>
      <x:c r="S218" s="13" t="str"/>
      <x:c r="T218" s="12" t="str"/>
      <x:c r="U218" s="12" t="str"/>
      <x:c r="V218" s="14" t="str">
        <x:f>IF(A218="","",IF(NOT(AND(COUNTIF(Exec[TestID],A218)=1,COUNTIF(Controls[ID],B218)=1,COUNTIFS(Scope[KapsamID],D218,Scope[OnayliKapsamID],D218,Scope[Ürün],C218)=1,OR(COUNTIFS(Controls[ID],B218,Controls[Ürün],C218)=1,COUNTIFS(Controls[ID],B218,Controls[Ürün],"MSP Genel")=1),E218&lt;&gt;"",F218&lt;&gt;"",G218&lt;&gt;"",I218&lt;&gt;"",Q218&lt;&gt;"")),"Kimlik / kapsam eksik",IF(NOT(OR(H218="Uygulanır",H218="Uygulanmaz")),"Uygulanabilirlik eksik",IF(AND(H218="Uygulanır",P218="Kanıt yetersiz",U218&lt;&gt;""),IF(AND(R218&lt;&gt;"",R218&lt;&gt;Q218,ISNUMBER(S218),S218&gt;0,S218&gt;=L218),"İnceleme tamam","Gözden geçirme eksik"),IF(NOT(AND(J218&lt;&gt;"",COUNTIFS(Evidence[KanitID],J218,Evidence[Kabul edilen ID],J218)=1,K218&lt;&gt;"",ISNUMBER(L218),L218&gt;0,M218&lt;&gt;"")),"Kanıt / test eksik",IF(NOT(AND(R218&lt;&gt;"",R218&lt;&gt;Q218,ISNUMBER(S218),S218&gt;0,S218&gt;=L218)),"Gözden geçirme eksik",IF(H218="Uygulanmaz","İnceleme tamam",IF(AND(OR(P218="Uygun",P218="Kısmen uygun",P218="Uygunsuz"),OR(N218="Uygun",N218="Kısmen uygun",N218="Uygunsuz"),OR(O218="Uygun",O218="Kısmen uygun",O218="Uygunsuz"),OR(P218&lt;&gt;"Uygun",AND(N218="Uygun",O218="Uygun")),OR(P218="Uygun",AND(T218&lt;&gt;"",COUNTIF(Findings[KayitliBulguID],T218)=1))),"İnceleme tamam","Sonuç / bulgu eksik"))))))))</x:f>
        <x:v>Kimlik / kapsam eksik</x:v>
      </x:c>
      <x:c r="W218" s="14" t="str">
        <x:f>IF(A218="","",IF(V218&lt;&gt;"İnceleme tamam","İncelenmedi",IF(H218="Uygulanmaz","Uygulanmaz",P218)))</x:f>
        <x:v>İncelenmedi</x:v>
      </x:c>
    </x:row>
    <x:row r="219" ht="35" customHeight="1">
      <x:c r="A219" s="12" t="str">
        <x:v>U-0214</x:v>
      </x:c>
      <x:c r="B219" s="12" t="str">
        <x:v>VEE-V05-04</x:v>
      </x:c>
      <x:c r="C219" s="12" t="str">
        <x:v>Veeam</x:v>
      </x:c>
      <x:c r="D219" s="12" t="str"/>
      <x:c r="E219" s="12" t="str"/>
      <x:c r="F219" s="12" t="str"/>
      <x:c r="G219" s="12" t="str"/>
      <x:c r="H219" s="12" t="str">
        <x:v>Belirlenecek</x:v>
      </x:c>
      <x:c r="I219" s="12" t="str"/>
      <x:c r="J219" s="12" t="str"/>
      <x:c r="K219" s="12" t="str"/>
      <x:c r="L219" s="13" t="str"/>
      <x:c r="M219" s="12" t="str"/>
      <x:c r="N219" s="12" t="str">
        <x:v>İncelenmedi</x:v>
      </x:c>
      <x:c r="O219" s="12" t="str">
        <x:v>İncelenmedi</x:v>
      </x:c>
      <x:c r="P219" s="12" t="str">
        <x:v>İncelenmedi</x:v>
      </x:c>
      <x:c r="Q219" s="12" t="str"/>
      <x:c r="R219" s="12" t="str"/>
      <x:c r="S219" s="13" t="str"/>
      <x:c r="T219" s="12" t="str"/>
      <x:c r="U219" s="12" t="str"/>
      <x:c r="V219" s="14" t="str">
        <x:f>IF(A219="","",IF(NOT(AND(COUNTIF(Exec[TestID],A219)=1,COUNTIF(Controls[ID],B219)=1,COUNTIFS(Scope[KapsamID],D219,Scope[OnayliKapsamID],D219,Scope[Ürün],C219)=1,OR(COUNTIFS(Controls[ID],B219,Controls[Ürün],C219)=1,COUNTIFS(Controls[ID],B219,Controls[Ürün],"MSP Genel")=1),E219&lt;&gt;"",F219&lt;&gt;"",G219&lt;&gt;"",I219&lt;&gt;"",Q219&lt;&gt;"")),"Kimlik / kapsam eksik",IF(NOT(OR(H219="Uygulanır",H219="Uygulanmaz")),"Uygulanabilirlik eksik",IF(AND(H219="Uygulanır",P219="Kanıt yetersiz",U219&lt;&gt;""),IF(AND(R219&lt;&gt;"",R219&lt;&gt;Q219,ISNUMBER(S219),S219&gt;0,S219&gt;=L219),"İnceleme tamam","Gözden geçirme eksik"),IF(NOT(AND(J219&lt;&gt;"",COUNTIFS(Evidence[KanitID],J219,Evidence[Kabul edilen ID],J219)=1,K219&lt;&gt;"",ISNUMBER(L219),L219&gt;0,M219&lt;&gt;"")),"Kanıt / test eksik",IF(NOT(AND(R219&lt;&gt;"",R219&lt;&gt;Q219,ISNUMBER(S219),S219&gt;0,S219&gt;=L219)),"Gözden geçirme eksik",IF(H219="Uygulanmaz","İnceleme tamam",IF(AND(OR(P219="Uygun",P219="Kısmen uygun",P219="Uygunsuz"),OR(N219="Uygun",N219="Kısmen uygun",N219="Uygunsuz"),OR(O219="Uygun",O219="Kısmen uygun",O219="Uygunsuz"),OR(P219&lt;&gt;"Uygun",AND(N219="Uygun",O219="Uygun")),OR(P219="Uygun",AND(T219&lt;&gt;"",COUNTIF(Findings[KayitliBulguID],T219)=1))),"İnceleme tamam","Sonuç / bulgu eksik"))))))))</x:f>
        <x:v>Kimlik / kapsam eksik</x:v>
      </x:c>
      <x:c r="W219" s="14" t="str">
        <x:f>IF(A219="","",IF(V219&lt;&gt;"İnceleme tamam","İncelenmedi",IF(H219="Uygulanmaz","Uygulanmaz",P219)))</x:f>
        <x:v>İncelenmedi</x:v>
      </x:c>
    </x:row>
    <x:row r="220" ht="35" customHeight="1">
      <x:c r="A220" s="12" t="str">
        <x:v>U-0215</x:v>
      </x:c>
      <x:c r="B220" s="12" t="str">
        <x:v>CB-V06-02</x:v>
      </x:c>
      <x:c r="C220" s="12" t="str">
        <x:v>Carbon Black EDRaaS</x:v>
      </x:c>
      <x:c r="D220" s="12" t="str"/>
      <x:c r="E220" s="12" t="str"/>
      <x:c r="F220" s="12" t="str"/>
      <x:c r="G220" s="12" t="str"/>
      <x:c r="H220" s="12" t="str">
        <x:v>Belirlenecek</x:v>
      </x:c>
      <x:c r="I220" s="12" t="str"/>
      <x:c r="J220" s="12" t="str"/>
      <x:c r="K220" s="12" t="str"/>
      <x:c r="L220" s="13" t="str"/>
      <x:c r="M220" s="12" t="str"/>
      <x:c r="N220" s="12" t="str">
        <x:v>İncelenmedi</x:v>
      </x:c>
      <x:c r="O220" s="12" t="str">
        <x:v>İncelenmedi</x:v>
      </x:c>
      <x:c r="P220" s="12" t="str">
        <x:v>İncelenmedi</x:v>
      </x:c>
      <x:c r="Q220" s="12" t="str"/>
      <x:c r="R220" s="12" t="str"/>
      <x:c r="S220" s="13" t="str"/>
      <x:c r="T220" s="12" t="str"/>
      <x:c r="U220" s="12" t="str"/>
      <x:c r="V220" s="14" t="str">
        <x:f>IF(A220="","",IF(NOT(AND(COUNTIF(Exec[TestID],A220)=1,COUNTIF(Controls[ID],B220)=1,COUNTIFS(Scope[KapsamID],D220,Scope[OnayliKapsamID],D220,Scope[Ürün],C220)=1,OR(COUNTIFS(Controls[ID],B220,Controls[Ürün],C220)=1,COUNTIFS(Controls[ID],B220,Controls[Ürün],"MSP Genel")=1),E220&lt;&gt;"",F220&lt;&gt;"",G220&lt;&gt;"",I220&lt;&gt;"",Q220&lt;&gt;"")),"Kimlik / kapsam eksik",IF(NOT(OR(H220="Uygulanır",H220="Uygulanmaz")),"Uygulanabilirlik eksik",IF(AND(H220="Uygulanır",P220="Kanıt yetersiz",U220&lt;&gt;""),IF(AND(R220&lt;&gt;"",R220&lt;&gt;Q220,ISNUMBER(S220),S220&gt;0,S220&gt;=L220),"İnceleme tamam","Gözden geçirme eksik"),IF(NOT(AND(J220&lt;&gt;"",COUNTIFS(Evidence[KanitID],J220,Evidence[Kabul edilen ID],J220)=1,K220&lt;&gt;"",ISNUMBER(L220),L220&gt;0,M220&lt;&gt;"")),"Kanıt / test eksik",IF(NOT(AND(R220&lt;&gt;"",R220&lt;&gt;Q220,ISNUMBER(S220),S220&gt;0,S220&gt;=L220)),"Gözden geçirme eksik",IF(H220="Uygulanmaz","İnceleme tamam",IF(AND(OR(P220="Uygun",P220="Kısmen uygun",P220="Uygunsuz"),OR(N220="Uygun",N220="Kısmen uygun",N220="Uygunsuz"),OR(O220="Uygun",O220="Kısmen uygun",O220="Uygunsuz"),OR(P220&lt;&gt;"Uygun",AND(N220="Uygun",O220="Uygun")),OR(P220="Uygun",AND(T220&lt;&gt;"",COUNTIF(Findings[KayitliBulguID],T220)=1))),"İnceleme tamam","Sonuç / bulgu eksik"))))))))</x:f>
        <x:v>Kimlik / kapsam eksik</x:v>
      </x:c>
      <x:c r="W220" s="14" t="str">
        <x:f>IF(A220="","",IF(V220&lt;&gt;"İnceleme tamam","İncelenmedi",IF(H220="Uygulanmaz","Uygulanmaz",P220)))</x:f>
        <x:v>İncelenmedi</x:v>
      </x:c>
    </x:row>
    <x:row r="221" ht="35" customHeight="1">
      <x:c r="A221" s="12" t="str">
        <x:v>U-0216</x:v>
      </x:c>
      <x:c r="B221" s="12" t="str">
        <x:v>CB-V06-03</x:v>
      </x:c>
      <x:c r="C221" s="12" t="str">
        <x:v>Carbon Black EDRaaS</x:v>
      </x:c>
      <x:c r="D221" s="12" t="str"/>
      <x:c r="E221" s="12" t="str"/>
      <x:c r="F221" s="12" t="str"/>
      <x:c r="G221" s="12" t="str"/>
      <x:c r="H221" s="12" t="str">
        <x:v>Belirlenecek</x:v>
      </x:c>
      <x:c r="I221" s="12" t="str"/>
      <x:c r="J221" s="12" t="str"/>
      <x:c r="K221" s="12" t="str"/>
      <x:c r="L221" s="13" t="str"/>
      <x:c r="M221" s="12" t="str"/>
      <x:c r="N221" s="12" t="str">
        <x:v>İncelenmedi</x:v>
      </x:c>
      <x:c r="O221" s="12" t="str">
        <x:v>İncelenmedi</x:v>
      </x:c>
      <x:c r="P221" s="12" t="str">
        <x:v>İncelenmedi</x:v>
      </x:c>
      <x:c r="Q221" s="12" t="str"/>
      <x:c r="R221" s="12" t="str"/>
      <x:c r="S221" s="13" t="str"/>
      <x:c r="T221" s="12" t="str"/>
      <x:c r="U221" s="12" t="str"/>
      <x:c r="V221" s="14" t="str">
        <x:f>IF(A221="","",IF(NOT(AND(COUNTIF(Exec[TestID],A221)=1,COUNTIF(Controls[ID],B221)=1,COUNTIFS(Scope[KapsamID],D221,Scope[OnayliKapsamID],D221,Scope[Ürün],C221)=1,OR(COUNTIFS(Controls[ID],B221,Controls[Ürün],C221)=1,COUNTIFS(Controls[ID],B221,Controls[Ürün],"MSP Genel")=1),E221&lt;&gt;"",F221&lt;&gt;"",G221&lt;&gt;"",I221&lt;&gt;"",Q221&lt;&gt;"")),"Kimlik / kapsam eksik",IF(NOT(OR(H221="Uygulanır",H221="Uygulanmaz")),"Uygulanabilirlik eksik",IF(AND(H221="Uygulanır",P221="Kanıt yetersiz",U221&lt;&gt;""),IF(AND(R221&lt;&gt;"",R221&lt;&gt;Q221,ISNUMBER(S221),S221&gt;0,S221&gt;=L221),"İnceleme tamam","Gözden geçirme eksik"),IF(NOT(AND(J221&lt;&gt;"",COUNTIFS(Evidence[KanitID],J221,Evidence[Kabul edilen ID],J221)=1,K221&lt;&gt;"",ISNUMBER(L221),L221&gt;0,M221&lt;&gt;"")),"Kanıt / test eksik",IF(NOT(AND(R221&lt;&gt;"",R221&lt;&gt;Q221,ISNUMBER(S221),S221&gt;0,S221&gt;=L221)),"Gözden geçirme eksik",IF(H221="Uygulanmaz","İnceleme tamam",IF(AND(OR(P221="Uygun",P221="Kısmen uygun",P221="Uygunsuz"),OR(N221="Uygun",N221="Kısmen uygun",N221="Uygunsuz"),OR(O221="Uygun",O221="Kısmen uygun",O221="Uygunsuz"),OR(P221&lt;&gt;"Uygun",AND(N221="Uygun",O221="Uygun")),OR(P221="Uygun",AND(T221&lt;&gt;"",COUNTIF(Findings[KayitliBulguID],T221)=1))),"İnceleme tamam","Sonuç / bulgu eksik"))))))))</x:f>
        <x:v>Kimlik / kapsam eksik</x:v>
      </x:c>
      <x:c r="W221" s="14" t="str">
        <x:f>IF(A221="","",IF(V221&lt;&gt;"İnceleme tamam","İncelenmedi",IF(H221="Uygulanmaz","Uygulanmaz",P221)))</x:f>
        <x:v>İncelenmedi</x:v>
      </x:c>
    </x:row>
    <x:row r="222" ht="35" customHeight="1">
      <x:c r="A222" s="12" t="str">
        <x:v>U-0217</x:v>
      </x:c>
      <x:c r="B222" s="12" t="str">
        <x:v>CBR-007</x:v>
      </x:c>
      <x:c r="C222" s="12" t="str">
        <x:v>Carbon Black EDRaaS</x:v>
      </x:c>
      <x:c r="D222" s="12" t="str"/>
      <x:c r="E222" s="12" t="str"/>
      <x:c r="F222" s="12" t="str"/>
      <x:c r="G222" s="12" t="str"/>
      <x:c r="H222" s="12" t="str">
        <x:v>Belirlenecek</x:v>
      </x:c>
      <x:c r="I222" s="12" t="str"/>
      <x:c r="J222" s="12" t="str"/>
      <x:c r="K222" s="12" t="str"/>
      <x:c r="L222" s="13" t="str"/>
      <x:c r="M222" s="12" t="str"/>
      <x:c r="N222" s="12" t="str">
        <x:v>İncelenmedi</x:v>
      </x:c>
      <x:c r="O222" s="12" t="str">
        <x:v>İncelenmedi</x:v>
      </x:c>
      <x:c r="P222" s="12" t="str">
        <x:v>İncelenmedi</x:v>
      </x:c>
      <x:c r="Q222" s="12" t="str"/>
      <x:c r="R222" s="12" t="str"/>
      <x:c r="S222" s="13" t="str"/>
      <x:c r="T222" s="12" t="str"/>
      <x:c r="U222" s="12" t="str"/>
      <x:c r="V222" s="14" t="str">
        <x:f>IF(A222="","",IF(NOT(AND(COUNTIF(Exec[TestID],A222)=1,COUNTIF(Controls[ID],B222)=1,COUNTIFS(Scope[KapsamID],D222,Scope[OnayliKapsamID],D222,Scope[Ürün],C222)=1,OR(COUNTIFS(Controls[ID],B222,Controls[Ürün],C222)=1,COUNTIFS(Controls[ID],B222,Controls[Ürün],"MSP Genel")=1),E222&lt;&gt;"",F222&lt;&gt;"",G222&lt;&gt;"",I222&lt;&gt;"",Q222&lt;&gt;"")),"Kimlik / kapsam eksik",IF(NOT(OR(H222="Uygulanır",H222="Uygulanmaz")),"Uygulanabilirlik eksik",IF(AND(H222="Uygulanır",P222="Kanıt yetersiz",U222&lt;&gt;""),IF(AND(R222&lt;&gt;"",R222&lt;&gt;Q222,ISNUMBER(S222),S222&gt;0,S222&gt;=L222),"İnceleme tamam","Gözden geçirme eksik"),IF(NOT(AND(J222&lt;&gt;"",COUNTIFS(Evidence[KanitID],J222,Evidence[Kabul edilen ID],J222)=1,K222&lt;&gt;"",ISNUMBER(L222),L222&gt;0,M222&lt;&gt;"")),"Kanıt / test eksik",IF(NOT(AND(R222&lt;&gt;"",R222&lt;&gt;Q222,ISNUMBER(S222),S222&gt;0,S222&gt;=L222)),"Gözden geçirme eksik",IF(H222="Uygulanmaz","İnceleme tamam",IF(AND(OR(P222="Uygun",P222="Kısmen uygun",P222="Uygunsuz"),OR(N222="Uygun",N222="Kısmen uygun",N222="Uygunsuz"),OR(O222="Uygun",O222="Kısmen uygun",O222="Uygunsuz"),OR(P222&lt;&gt;"Uygun",AND(N222="Uygun",O222="Uygun")),OR(P222="Uygun",AND(T222&lt;&gt;"",COUNTIF(Findings[KayitliBulguID],T222)=1))),"İnceleme tamam","Sonuç / bulgu eksik"))))))))</x:f>
        <x:v>Kimlik / kapsam eksik</x:v>
      </x:c>
      <x:c r="W222" s="14" t="str">
        <x:f>IF(A222="","",IF(V222&lt;&gt;"İnceleme tamam","İncelenmedi",IF(H222="Uygulanmaz","Uygulanmaz",P222)))</x:f>
        <x:v>İncelenmedi</x:v>
      </x:c>
    </x:row>
    <x:row r="223" ht="35" customHeight="1">
      <x:c r="A223" s="12" t="str">
        <x:v>U-0218</x:v>
      </x:c>
      <x:c r="B223" s="12" t="str">
        <x:v>CBR-008</x:v>
      </x:c>
      <x:c r="C223" s="12" t="str">
        <x:v>Carbon Black EDRaaS</x:v>
      </x:c>
      <x:c r="D223" s="12" t="str"/>
      <x:c r="E223" s="12" t="str"/>
      <x:c r="F223" s="12" t="str"/>
      <x:c r="G223" s="12" t="str"/>
      <x:c r="H223" s="12" t="str">
        <x:v>Belirlenecek</x:v>
      </x:c>
      <x:c r="I223" s="12" t="str"/>
      <x:c r="J223" s="12" t="str"/>
      <x:c r="K223" s="12" t="str"/>
      <x:c r="L223" s="13" t="str"/>
      <x:c r="M223" s="12" t="str"/>
      <x:c r="N223" s="12" t="str">
        <x:v>İncelenmedi</x:v>
      </x:c>
      <x:c r="O223" s="12" t="str">
        <x:v>İncelenmedi</x:v>
      </x:c>
      <x:c r="P223" s="12" t="str">
        <x:v>İncelenmedi</x:v>
      </x:c>
      <x:c r="Q223" s="12" t="str"/>
      <x:c r="R223" s="12" t="str"/>
      <x:c r="S223" s="13" t="str"/>
      <x:c r="T223" s="12" t="str"/>
      <x:c r="U223" s="12" t="str"/>
      <x:c r="V223" s="14" t="str">
        <x:f>IF(A223="","",IF(NOT(AND(COUNTIF(Exec[TestID],A223)=1,COUNTIF(Controls[ID],B223)=1,COUNTIFS(Scope[KapsamID],D223,Scope[OnayliKapsamID],D223,Scope[Ürün],C223)=1,OR(COUNTIFS(Controls[ID],B223,Controls[Ürün],C223)=1,COUNTIFS(Controls[ID],B223,Controls[Ürün],"MSP Genel")=1),E223&lt;&gt;"",F223&lt;&gt;"",G223&lt;&gt;"",I223&lt;&gt;"",Q223&lt;&gt;"")),"Kimlik / kapsam eksik",IF(NOT(OR(H223="Uygulanır",H223="Uygulanmaz")),"Uygulanabilirlik eksik",IF(AND(H223="Uygulanır",P223="Kanıt yetersiz",U223&lt;&gt;""),IF(AND(R223&lt;&gt;"",R223&lt;&gt;Q223,ISNUMBER(S223),S223&gt;0,S223&gt;=L223),"İnceleme tamam","Gözden geçirme eksik"),IF(NOT(AND(J223&lt;&gt;"",COUNTIFS(Evidence[KanitID],J223,Evidence[Kabul edilen ID],J223)=1,K223&lt;&gt;"",ISNUMBER(L223),L223&gt;0,M223&lt;&gt;"")),"Kanıt / test eksik",IF(NOT(AND(R223&lt;&gt;"",R223&lt;&gt;Q223,ISNUMBER(S223),S223&gt;0,S223&gt;=L223)),"Gözden geçirme eksik",IF(H223="Uygulanmaz","İnceleme tamam",IF(AND(OR(P223="Uygun",P223="Kısmen uygun",P223="Uygunsuz"),OR(N223="Uygun",N223="Kısmen uygun",N223="Uygunsuz"),OR(O223="Uygun",O223="Kısmen uygun",O223="Uygunsuz"),OR(P223&lt;&gt;"Uygun",AND(N223="Uygun",O223="Uygun")),OR(P223="Uygun",AND(T223&lt;&gt;"",COUNTIF(Findings[KayitliBulguID],T223)=1))),"İnceleme tamam","Sonuç / bulgu eksik"))))))))</x:f>
        <x:v>Kimlik / kapsam eksik</x:v>
      </x:c>
      <x:c r="W223" s="14" t="str">
        <x:f>IF(A223="","",IF(V223&lt;&gt;"İnceleme tamam","İncelenmedi",IF(H223="Uygulanmaz","Uygulanmaz",P223)))</x:f>
        <x:v>İncelenmedi</x:v>
      </x:c>
    </x:row>
    <x:row r="224" ht="35" customHeight="1">
      <x:c r="A224" s="12" t="str">
        <x:v>U-0219</x:v>
      </x:c>
      <x:c r="B224" s="12" t="str">
        <x:v>CBR-009</x:v>
      </x:c>
      <x:c r="C224" s="12" t="str">
        <x:v>Carbon Black EDRaaS</x:v>
      </x:c>
      <x:c r="D224" s="12" t="str"/>
      <x:c r="E224" s="12" t="str"/>
      <x:c r="F224" s="12" t="str"/>
      <x:c r="G224" s="12" t="str"/>
      <x:c r="H224" s="12" t="str">
        <x:v>Belirlenecek</x:v>
      </x:c>
      <x:c r="I224" s="12" t="str"/>
      <x:c r="J224" s="12" t="str"/>
      <x:c r="K224" s="12" t="str"/>
      <x:c r="L224" s="13" t="str"/>
      <x:c r="M224" s="12" t="str"/>
      <x:c r="N224" s="12" t="str">
        <x:v>İncelenmedi</x:v>
      </x:c>
      <x:c r="O224" s="12" t="str">
        <x:v>İncelenmedi</x:v>
      </x:c>
      <x:c r="P224" s="12" t="str">
        <x:v>İncelenmedi</x:v>
      </x:c>
      <x:c r="Q224" s="12" t="str"/>
      <x:c r="R224" s="12" t="str"/>
      <x:c r="S224" s="13" t="str"/>
      <x:c r="T224" s="12" t="str"/>
      <x:c r="U224" s="12" t="str"/>
      <x:c r="V224" s="14" t="str">
        <x:f>IF(A224="","",IF(NOT(AND(COUNTIF(Exec[TestID],A224)=1,COUNTIF(Controls[ID],B224)=1,COUNTIFS(Scope[KapsamID],D224,Scope[OnayliKapsamID],D224,Scope[Ürün],C224)=1,OR(COUNTIFS(Controls[ID],B224,Controls[Ürün],C224)=1,COUNTIFS(Controls[ID],B224,Controls[Ürün],"MSP Genel")=1),E224&lt;&gt;"",F224&lt;&gt;"",G224&lt;&gt;"",I224&lt;&gt;"",Q224&lt;&gt;"")),"Kimlik / kapsam eksik",IF(NOT(OR(H224="Uygulanır",H224="Uygulanmaz")),"Uygulanabilirlik eksik",IF(AND(H224="Uygulanır",P224="Kanıt yetersiz",U224&lt;&gt;""),IF(AND(R224&lt;&gt;"",R224&lt;&gt;Q224,ISNUMBER(S224),S224&gt;0,S224&gt;=L224),"İnceleme tamam","Gözden geçirme eksik"),IF(NOT(AND(J224&lt;&gt;"",COUNTIFS(Evidence[KanitID],J224,Evidence[Kabul edilen ID],J224)=1,K224&lt;&gt;"",ISNUMBER(L224),L224&gt;0,M224&lt;&gt;"")),"Kanıt / test eksik",IF(NOT(AND(R224&lt;&gt;"",R224&lt;&gt;Q224,ISNUMBER(S224),S224&gt;0,S224&gt;=L224)),"Gözden geçirme eksik",IF(H224="Uygulanmaz","İnceleme tamam",IF(AND(OR(P224="Uygun",P224="Kısmen uygun",P224="Uygunsuz"),OR(N224="Uygun",N224="Kısmen uygun",N224="Uygunsuz"),OR(O224="Uygun",O224="Kısmen uygun",O224="Uygunsuz"),OR(P224&lt;&gt;"Uygun",AND(N224="Uygun",O224="Uygun")),OR(P224="Uygun",AND(T224&lt;&gt;"",COUNTIF(Findings[KayitliBulguID],T224)=1))),"İnceleme tamam","Sonuç / bulgu eksik"))))))))</x:f>
        <x:v>Kimlik / kapsam eksik</x:v>
      </x:c>
      <x:c r="W224" s="14" t="str">
        <x:f>IF(A224="","",IF(V224&lt;&gt;"İnceleme tamam","İncelenmedi",IF(H224="Uygulanmaz","Uygulanmaz",P224)))</x:f>
        <x:v>İncelenmedi</x:v>
      </x:c>
    </x:row>
    <x:row r="225" ht="35" customHeight="1">
      <x:c r="A225" s="12" t="str">
        <x:v>U-0220</x:v>
      </x:c>
      <x:c r="B225" s="12" t="str">
        <x:v>CBR-010</x:v>
      </x:c>
      <x:c r="C225" s="12" t="str">
        <x:v>Carbon Black EDRaaS</x:v>
      </x:c>
      <x:c r="D225" s="12" t="str"/>
      <x:c r="E225" s="12" t="str"/>
      <x:c r="F225" s="12" t="str"/>
      <x:c r="G225" s="12" t="str"/>
      <x:c r="H225" s="12" t="str">
        <x:v>Belirlenecek</x:v>
      </x:c>
      <x:c r="I225" s="12" t="str"/>
      <x:c r="J225" s="12" t="str"/>
      <x:c r="K225" s="12" t="str"/>
      <x:c r="L225" s="13" t="str"/>
      <x:c r="M225" s="12" t="str"/>
      <x:c r="N225" s="12" t="str">
        <x:v>İncelenmedi</x:v>
      </x:c>
      <x:c r="O225" s="12" t="str">
        <x:v>İncelenmedi</x:v>
      </x:c>
      <x:c r="P225" s="12" t="str">
        <x:v>İncelenmedi</x:v>
      </x:c>
      <x:c r="Q225" s="12" t="str"/>
      <x:c r="R225" s="12" t="str"/>
      <x:c r="S225" s="13" t="str"/>
      <x:c r="T225" s="12" t="str"/>
      <x:c r="U225" s="12" t="str"/>
      <x:c r="V225" s="14" t="str">
        <x:f>IF(A225="","",IF(NOT(AND(COUNTIF(Exec[TestID],A225)=1,COUNTIF(Controls[ID],B225)=1,COUNTIFS(Scope[KapsamID],D225,Scope[OnayliKapsamID],D225,Scope[Ürün],C225)=1,OR(COUNTIFS(Controls[ID],B225,Controls[Ürün],C225)=1,COUNTIFS(Controls[ID],B225,Controls[Ürün],"MSP Genel")=1),E225&lt;&gt;"",F225&lt;&gt;"",G225&lt;&gt;"",I225&lt;&gt;"",Q225&lt;&gt;"")),"Kimlik / kapsam eksik",IF(NOT(OR(H225="Uygulanır",H225="Uygulanmaz")),"Uygulanabilirlik eksik",IF(AND(H225="Uygulanır",P225="Kanıt yetersiz",U225&lt;&gt;""),IF(AND(R225&lt;&gt;"",R225&lt;&gt;Q225,ISNUMBER(S225),S225&gt;0,S225&gt;=L225),"İnceleme tamam","Gözden geçirme eksik"),IF(NOT(AND(J225&lt;&gt;"",COUNTIFS(Evidence[KanitID],J225,Evidence[Kabul edilen ID],J225)=1,K225&lt;&gt;"",ISNUMBER(L225),L225&gt;0,M225&lt;&gt;"")),"Kanıt / test eksik",IF(NOT(AND(R225&lt;&gt;"",R225&lt;&gt;Q225,ISNUMBER(S225),S225&gt;0,S225&gt;=L225)),"Gözden geçirme eksik",IF(H225="Uygulanmaz","İnceleme tamam",IF(AND(OR(P225="Uygun",P225="Kısmen uygun",P225="Uygunsuz"),OR(N225="Uygun",N225="Kısmen uygun",N225="Uygunsuz"),OR(O225="Uygun",O225="Kısmen uygun",O225="Uygunsuz"),OR(P225&lt;&gt;"Uygun",AND(N225="Uygun",O225="Uygun")),OR(P225="Uygun",AND(T225&lt;&gt;"",COUNTIF(Findings[KayitliBulguID],T225)=1))),"İnceleme tamam","Sonuç / bulgu eksik"))))))))</x:f>
        <x:v>Kimlik / kapsam eksik</x:v>
      </x:c>
      <x:c r="W225" s="14" t="str">
        <x:f>IF(A225="","",IF(V225&lt;&gt;"İnceleme tamam","İncelenmedi",IF(H225="Uygulanmaz","Uygulanmaz",P225)))</x:f>
        <x:v>İncelenmedi</x:v>
      </x:c>
    </x:row>
    <x:row r="226" ht="35" customHeight="1">
      <x:c r="A226" s="12" t="str">
        <x:v>U-0221</x:v>
      </x:c>
      <x:c r="B226" s="12" t="str">
        <x:v>CBR-011</x:v>
      </x:c>
      <x:c r="C226" s="12" t="str">
        <x:v>Carbon Black EDRaaS</x:v>
      </x:c>
      <x:c r="D226" s="12" t="str"/>
      <x:c r="E226" s="12" t="str"/>
      <x:c r="F226" s="12" t="str"/>
      <x:c r="G226" s="12" t="str"/>
      <x:c r="H226" s="12" t="str">
        <x:v>Belirlenecek</x:v>
      </x:c>
      <x:c r="I226" s="12" t="str"/>
      <x:c r="J226" s="12" t="str"/>
      <x:c r="K226" s="12" t="str"/>
      <x:c r="L226" s="13" t="str"/>
      <x:c r="M226" s="12" t="str"/>
      <x:c r="N226" s="12" t="str">
        <x:v>İncelenmedi</x:v>
      </x:c>
      <x:c r="O226" s="12" t="str">
        <x:v>İncelenmedi</x:v>
      </x:c>
      <x:c r="P226" s="12" t="str">
        <x:v>İncelenmedi</x:v>
      </x:c>
      <x:c r="Q226" s="12" t="str"/>
      <x:c r="R226" s="12" t="str"/>
      <x:c r="S226" s="13" t="str"/>
      <x:c r="T226" s="12" t="str"/>
      <x:c r="U226" s="12" t="str"/>
      <x:c r="V226" s="14" t="str">
        <x:f>IF(A226="","",IF(NOT(AND(COUNTIF(Exec[TestID],A226)=1,COUNTIF(Controls[ID],B226)=1,COUNTIFS(Scope[KapsamID],D226,Scope[OnayliKapsamID],D226,Scope[Ürün],C226)=1,OR(COUNTIFS(Controls[ID],B226,Controls[Ürün],C226)=1,COUNTIFS(Controls[ID],B226,Controls[Ürün],"MSP Genel")=1),E226&lt;&gt;"",F226&lt;&gt;"",G226&lt;&gt;"",I226&lt;&gt;"",Q226&lt;&gt;"")),"Kimlik / kapsam eksik",IF(NOT(OR(H226="Uygulanır",H226="Uygulanmaz")),"Uygulanabilirlik eksik",IF(AND(H226="Uygulanır",P226="Kanıt yetersiz",U226&lt;&gt;""),IF(AND(R226&lt;&gt;"",R226&lt;&gt;Q226,ISNUMBER(S226),S226&gt;0,S226&gt;=L226),"İnceleme tamam","Gözden geçirme eksik"),IF(NOT(AND(J226&lt;&gt;"",COUNTIFS(Evidence[KanitID],J226,Evidence[Kabul edilen ID],J226)=1,K226&lt;&gt;"",ISNUMBER(L226),L226&gt;0,M226&lt;&gt;"")),"Kanıt / test eksik",IF(NOT(AND(R226&lt;&gt;"",R226&lt;&gt;Q226,ISNUMBER(S226),S226&gt;0,S226&gt;=L226)),"Gözden geçirme eksik",IF(H226="Uygulanmaz","İnceleme tamam",IF(AND(OR(P226="Uygun",P226="Kısmen uygun",P226="Uygunsuz"),OR(N226="Uygun",N226="Kısmen uygun",N226="Uygunsuz"),OR(O226="Uygun",O226="Kısmen uygun",O226="Uygunsuz"),OR(P226&lt;&gt;"Uygun",AND(N226="Uygun",O226="Uygun")),OR(P226="Uygun",AND(T226&lt;&gt;"",COUNTIF(Findings[KayitliBulguID],T226)=1))),"İnceleme tamam","Sonuç / bulgu eksik"))))))))</x:f>
        <x:v>Kimlik / kapsam eksik</x:v>
      </x:c>
      <x:c r="W226" s="14" t="str">
        <x:f>IF(A226="","",IF(V226&lt;&gt;"İnceleme tamam","İncelenmedi",IF(H226="Uygulanmaz","Uygulanmaz",P226)))</x:f>
        <x:v>İncelenmedi</x:v>
      </x:c>
    </x:row>
    <x:row r="227" ht="35" customHeight="1">
      <x:c r="A227" s="12" t="str">
        <x:v>U-0222</x:v>
      </x:c>
      <x:c r="B227" s="12" t="str">
        <x:v>CBR-012</x:v>
      </x:c>
      <x:c r="C227" s="12" t="str">
        <x:v>Carbon Black EDRaaS</x:v>
      </x:c>
      <x:c r="D227" s="12" t="str"/>
      <x:c r="E227" s="12" t="str"/>
      <x:c r="F227" s="12" t="str"/>
      <x:c r="G227" s="12" t="str"/>
      <x:c r="H227" s="12" t="str">
        <x:v>Belirlenecek</x:v>
      </x:c>
      <x:c r="I227" s="12" t="str"/>
      <x:c r="J227" s="12" t="str"/>
      <x:c r="K227" s="12" t="str"/>
      <x:c r="L227" s="13" t="str"/>
      <x:c r="M227" s="12" t="str"/>
      <x:c r="N227" s="12" t="str">
        <x:v>İncelenmedi</x:v>
      </x:c>
      <x:c r="O227" s="12" t="str">
        <x:v>İncelenmedi</x:v>
      </x:c>
      <x:c r="P227" s="12" t="str">
        <x:v>İncelenmedi</x:v>
      </x:c>
      <x:c r="Q227" s="12" t="str"/>
      <x:c r="R227" s="12" t="str"/>
      <x:c r="S227" s="13" t="str"/>
      <x:c r="T227" s="12" t="str"/>
      <x:c r="U227" s="12" t="str"/>
      <x:c r="V227" s="14" t="str">
        <x:f>IF(A227="","",IF(NOT(AND(COUNTIF(Exec[TestID],A227)=1,COUNTIF(Controls[ID],B227)=1,COUNTIFS(Scope[KapsamID],D227,Scope[OnayliKapsamID],D227,Scope[Ürün],C227)=1,OR(COUNTIFS(Controls[ID],B227,Controls[Ürün],C227)=1,COUNTIFS(Controls[ID],B227,Controls[Ürün],"MSP Genel")=1),E227&lt;&gt;"",F227&lt;&gt;"",G227&lt;&gt;"",I227&lt;&gt;"",Q227&lt;&gt;"")),"Kimlik / kapsam eksik",IF(NOT(OR(H227="Uygulanır",H227="Uygulanmaz")),"Uygulanabilirlik eksik",IF(AND(H227="Uygulanır",P227="Kanıt yetersiz",U227&lt;&gt;""),IF(AND(R227&lt;&gt;"",R227&lt;&gt;Q227,ISNUMBER(S227),S227&gt;0,S227&gt;=L227),"İnceleme tamam","Gözden geçirme eksik"),IF(NOT(AND(J227&lt;&gt;"",COUNTIFS(Evidence[KanitID],J227,Evidence[Kabul edilen ID],J227)=1,K227&lt;&gt;"",ISNUMBER(L227),L227&gt;0,M227&lt;&gt;"")),"Kanıt / test eksik",IF(NOT(AND(R227&lt;&gt;"",R227&lt;&gt;Q227,ISNUMBER(S227),S227&gt;0,S227&gt;=L227)),"Gözden geçirme eksik",IF(H227="Uygulanmaz","İnceleme tamam",IF(AND(OR(P227="Uygun",P227="Kısmen uygun",P227="Uygunsuz"),OR(N227="Uygun",N227="Kısmen uygun",N227="Uygunsuz"),OR(O227="Uygun",O227="Kısmen uygun",O227="Uygunsuz"),OR(P227&lt;&gt;"Uygun",AND(N227="Uygun",O227="Uygun")),OR(P227="Uygun",AND(T227&lt;&gt;"",COUNTIF(Findings[KayitliBulguID],T227)=1))),"İnceleme tamam","Sonuç / bulgu eksik"))))))))</x:f>
        <x:v>Kimlik / kapsam eksik</x:v>
      </x:c>
      <x:c r="W227" s="14" t="str">
        <x:f>IF(A227="","",IF(V227&lt;&gt;"İnceleme tamam","İncelenmedi",IF(H227="Uygulanmaz","Uygulanmaz",P227)))</x:f>
        <x:v>İncelenmedi</x:v>
      </x:c>
    </x:row>
    <x:row r="228" ht="35" customHeight="1">
      <x:c r="A228" s="12" t="str">
        <x:v>U-0223</x:v>
      </x:c>
      <x:c r="B228" s="12" t="str">
        <x:v>CBR-013</x:v>
      </x:c>
      <x:c r="C228" s="12" t="str">
        <x:v>Carbon Black EDRaaS</x:v>
      </x:c>
      <x:c r="D228" s="12" t="str"/>
      <x:c r="E228" s="12" t="str"/>
      <x:c r="F228" s="12" t="str"/>
      <x:c r="G228" s="12" t="str"/>
      <x:c r="H228" s="12" t="str">
        <x:v>Belirlenecek</x:v>
      </x:c>
      <x:c r="I228" s="12" t="str"/>
      <x:c r="J228" s="12" t="str"/>
      <x:c r="K228" s="12" t="str"/>
      <x:c r="L228" s="13" t="str"/>
      <x:c r="M228" s="12" t="str"/>
      <x:c r="N228" s="12" t="str">
        <x:v>İncelenmedi</x:v>
      </x:c>
      <x:c r="O228" s="12" t="str">
        <x:v>İncelenmedi</x:v>
      </x:c>
      <x:c r="P228" s="12" t="str">
        <x:v>İncelenmedi</x:v>
      </x:c>
      <x:c r="Q228" s="12" t="str"/>
      <x:c r="R228" s="12" t="str"/>
      <x:c r="S228" s="13" t="str"/>
      <x:c r="T228" s="12" t="str"/>
      <x:c r="U228" s="12" t="str"/>
      <x:c r="V228" s="14" t="str">
        <x:f>IF(A228="","",IF(NOT(AND(COUNTIF(Exec[TestID],A228)=1,COUNTIF(Controls[ID],B228)=1,COUNTIFS(Scope[KapsamID],D228,Scope[OnayliKapsamID],D228,Scope[Ürün],C228)=1,OR(COUNTIFS(Controls[ID],B228,Controls[Ürün],C228)=1,COUNTIFS(Controls[ID],B228,Controls[Ürün],"MSP Genel")=1),E228&lt;&gt;"",F228&lt;&gt;"",G228&lt;&gt;"",I228&lt;&gt;"",Q228&lt;&gt;"")),"Kimlik / kapsam eksik",IF(NOT(OR(H228="Uygulanır",H228="Uygulanmaz")),"Uygulanabilirlik eksik",IF(AND(H228="Uygulanır",P228="Kanıt yetersiz",U228&lt;&gt;""),IF(AND(R228&lt;&gt;"",R228&lt;&gt;Q228,ISNUMBER(S228),S228&gt;0,S228&gt;=L228),"İnceleme tamam","Gözden geçirme eksik"),IF(NOT(AND(J228&lt;&gt;"",COUNTIFS(Evidence[KanitID],J228,Evidence[Kabul edilen ID],J228)=1,K228&lt;&gt;"",ISNUMBER(L228),L228&gt;0,M228&lt;&gt;"")),"Kanıt / test eksik",IF(NOT(AND(R228&lt;&gt;"",R228&lt;&gt;Q228,ISNUMBER(S228),S228&gt;0,S228&gt;=L228)),"Gözden geçirme eksik",IF(H228="Uygulanmaz","İnceleme tamam",IF(AND(OR(P228="Uygun",P228="Kısmen uygun",P228="Uygunsuz"),OR(N228="Uygun",N228="Kısmen uygun",N228="Uygunsuz"),OR(O228="Uygun",O228="Kısmen uygun",O228="Uygunsuz"),OR(P228&lt;&gt;"Uygun",AND(N228="Uygun",O228="Uygun")),OR(P228="Uygun",AND(T228&lt;&gt;"",COUNTIF(Findings[KayitliBulguID],T228)=1))),"İnceleme tamam","Sonuç / bulgu eksik"))))))))</x:f>
        <x:v>Kimlik / kapsam eksik</x:v>
      </x:c>
      <x:c r="W228" s="14" t="str">
        <x:f>IF(A228="","",IF(V228&lt;&gt;"İnceleme tamam","İncelenmedi",IF(H228="Uygulanmaz","Uygulanmaz",P228)))</x:f>
        <x:v>İncelenmedi</x:v>
      </x:c>
    </x:row>
    <x:row r="229" ht="35" customHeight="1">
      <x:c r="A229" s="12" t="str">
        <x:v>U-0224</x:v>
      </x:c>
      <x:c r="B229" s="12" t="str">
        <x:v>FGC-001</x:v>
      </x:c>
      <x:c r="C229" s="12" t="str">
        <x:v>FortiGate VDOM</x:v>
      </x:c>
      <x:c r="D229" s="12" t="str"/>
      <x:c r="E229" s="12" t="str"/>
      <x:c r="F229" s="12" t="str"/>
      <x:c r="G229" s="12" t="str"/>
      <x:c r="H229" s="12" t="str">
        <x:v>Belirlenecek</x:v>
      </x:c>
      <x:c r="I229" s="12" t="str"/>
      <x:c r="J229" s="12" t="str"/>
      <x:c r="K229" s="12" t="str"/>
      <x:c r="L229" s="13" t="str"/>
      <x:c r="M229" s="12" t="str"/>
      <x:c r="N229" s="12" t="str">
        <x:v>İncelenmedi</x:v>
      </x:c>
      <x:c r="O229" s="12" t="str">
        <x:v>İncelenmedi</x:v>
      </x:c>
      <x:c r="P229" s="12" t="str">
        <x:v>İncelenmedi</x:v>
      </x:c>
      <x:c r="Q229" s="12" t="str"/>
      <x:c r="R229" s="12" t="str"/>
      <x:c r="S229" s="13" t="str"/>
      <x:c r="T229" s="12" t="str"/>
      <x:c r="U229" s="12" t="str"/>
      <x:c r="V229" s="14" t="str">
        <x:f>IF(A229="","",IF(NOT(AND(COUNTIF(Exec[TestID],A229)=1,COUNTIF(Controls[ID],B229)=1,COUNTIFS(Scope[KapsamID],D229,Scope[OnayliKapsamID],D229,Scope[Ürün],C229)=1,OR(COUNTIFS(Controls[ID],B229,Controls[Ürün],C229)=1,COUNTIFS(Controls[ID],B229,Controls[Ürün],"MSP Genel")=1),E229&lt;&gt;"",F229&lt;&gt;"",G229&lt;&gt;"",I229&lt;&gt;"",Q229&lt;&gt;"")),"Kimlik / kapsam eksik",IF(NOT(OR(H229="Uygulanır",H229="Uygulanmaz")),"Uygulanabilirlik eksik",IF(AND(H229="Uygulanır",P229="Kanıt yetersiz",U229&lt;&gt;""),IF(AND(R229&lt;&gt;"",R229&lt;&gt;Q229,ISNUMBER(S229),S229&gt;0,S229&gt;=L229),"İnceleme tamam","Gözden geçirme eksik"),IF(NOT(AND(J229&lt;&gt;"",COUNTIFS(Evidence[KanitID],J229,Evidence[Kabul edilen ID],J229)=1,K229&lt;&gt;"",ISNUMBER(L229),L229&gt;0,M229&lt;&gt;"")),"Kanıt / test eksik",IF(NOT(AND(R229&lt;&gt;"",R229&lt;&gt;Q229,ISNUMBER(S229),S229&gt;0,S229&gt;=L229)),"Gözden geçirme eksik",IF(H229="Uygulanmaz","İnceleme tamam",IF(AND(OR(P229="Uygun",P229="Kısmen uygun",P229="Uygunsuz"),OR(N229="Uygun",N229="Kısmen uygun",N229="Uygunsuz"),OR(O229="Uygun",O229="Kısmen uygun",O229="Uygunsuz"),OR(P229&lt;&gt;"Uygun",AND(N229="Uygun",O229="Uygun")),OR(P229="Uygun",AND(T229&lt;&gt;"",COUNTIF(Findings[KayitliBulguID],T229)=1))),"İnceleme tamam","Sonuç / bulgu eksik"))))))))</x:f>
        <x:v>Kimlik / kapsam eksik</x:v>
      </x:c>
      <x:c r="W229" s="14" t="str">
        <x:f>IF(A229="","",IF(V229&lt;&gt;"İnceleme tamam","İncelenmedi",IF(H229="Uygulanmaz","Uygulanmaz",P229)))</x:f>
        <x:v>İncelenmedi</x:v>
      </x:c>
    </x:row>
    <x:row r="230" ht="35" customHeight="1">
      <x:c r="A230" s="12" t="str">
        <x:v>U-0225</x:v>
      </x:c>
      <x:c r="B230" s="12" t="str">
        <x:v>FGC-002</x:v>
      </x:c>
      <x:c r="C230" s="12" t="str">
        <x:v>FortiGate VDOM</x:v>
      </x:c>
      <x:c r="D230" s="12" t="str"/>
      <x:c r="E230" s="12" t="str"/>
      <x:c r="F230" s="12" t="str"/>
      <x:c r="G230" s="12" t="str"/>
      <x:c r="H230" s="12" t="str">
        <x:v>Belirlenecek</x:v>
      </x:c>
      <x:c r="I230" s="12" t="str"/>
      <x:c r="J230" s="12" t="str"/>
      <x:c r="K230" s="12" t="str"/>
      <x:c r="L230" s="13" t="str"/>
      <x:c r="M230" s="12" t="str"/>
      <x:c r="N230" s="12" t="str">
        <x:v>İncelenmedi</x:v>
      </x:c>
      <x:c r="O230" s="12" t="str">
        <x:v>İncelenmedi</x:v>
      </x:c>
      <x:c r="P230" s="12" t="str">
        <x:v>İncelenmedi</x:v>
      </x:c>
      <x:c r="Q230" s="12" t="str"/>
      <x:c r="R230" s="12" t="str"/>
      <x:c r="S230" s="13" t="str"/>
      <x:c r="T230" s="12" t="str"/>
      <x:c r="U230" s="12" t="str"/>
      <x:c r="V230" s="14" t="str">
        <x:f>IF(A230="","",IF(NOT(AND(COUNTIF(Exec[TestID],A230)=1,COUNTIF(Controls[ID],B230)=1,COUNTIFS(Scope[KapsamID],D230,Scope[OnayliKapsamID],D230,Scope[Ürün],C230)=1,OR(COUNTIFS(Controls[ID],B230,Controls[Ürün],C230)=1,COUNTIFS(Controls[ID],B230,Controls[Ürün],"MSP Genel")=1),E230&lt;&gt;"",F230&lt;&gt;"",G230&lt;&gt;"",I230&lt;&gt;"",Q230&lt;&gt;"")),"Kimlik / kapsam eksik",IF(NOT(OR(H230="Uygulanır",H230="Uygulanmaz")),"Uygulanabilirlik eksik",IF(AND(H230="Uygulanır",P230="Kanıt yetersiz",U230&lt;&gt;""),IF(AND(R230&lt;&gt;"",R230&lt;&gt;Q230,ISNUMBER(S230),S230&gt;0,S230&gt;=L230),"İnceleme tamam","Gözden geçirme eksik"),IF(NOT(AND(J230&lt;&gt;"",COUNTIFS(Evidence[KanitID],J230,Evidence[Kabul edilen ID],J230)=1,K230&lt;&gt;"",ISNUMBER(L230),L230&gt;0,M230&lt;&gt;"")),"Kanıt / test eksik",IF(NOT(AND(R230&lt;&gt;"",R230&lt;&gt;Q230,ISNUMBER(S230),S230&gt;0,S230&gt;=L230)),"Gözden geçirme eksik",IF(H230="Uygulanmaz","İnceleme tamam",IF(AND(OR(P230="Uygun",P230="Kısmen uygun",P230="Uygunsuz"),OR(N230="Uygun",N230="Kısmen uygun",N230="Uygunsuz"),OR(O230="Uygun",O230="Kısmen uygun",O230="Uygunsuz"),OR(P230&lt;&gt;"Uygun",AND(N230="Uygun",O230="Uygun")),OR(P230="Uygun",AND(T230&lt;&gt;"",COUNTIF(Findings[KayitliBulguID],T230)=1))),"İnceleme tamam","Sonuç / bulgu eksik"))))))))</x:f>
        <x:v>Kimlik / kapsam eksik</x:v>
      </x:c>
      <x:c r="W230" s="14" t="str">
        <x:f>IF(A230="","",IF(V230&lt;&gt;"İnceleme tamam","İncelenmedi",IF(H230="Uygulanmaz","Uygulanmaz",P230)))</x:f>
        <x:v>İncelenmedi</x:v>
      </x:c>
    </x:row>
    <x:row r="231" ht="35" customHeight="1">
      <x:c r="A231" s="12" t="str">
        <x:v>U-0226</x:v>
      </x:c>
      <x:c r="B231" s="12" t="str">
        <x:v>FGC-003</x:v>
      </x:c>
      <x:c r="C231" s="12" t="str">
        <x:v>FortiGate VDOM</x:v>
      </x:c>
      <x:c r="D231" s="12" t="str"/>
      <x:c r="E231" s="12" t="str"/>
      <x:c r="F231" s="12" t="str"/>
      <x:c r="G231" s="12" t="str"/>
      <x:c r="H231" s="12" t="str">
        <x:v>Belirlenecek</x:v>
      </x:c>
      <x:c r="I231" s="12" t="str"/>
      <x:c r="J231" s="12" t="str"/>
      <x:c r="K231" s="12" t="str"/>
      <x:c r="L231" s="13" t="str"/>
      <x:c r="M231" s="12" t="str"/>
      <x:c r="N231" s="12" t="str">
        <x:v>İncelenmedi</x:v>
      </x:c>
      <x:c r="O231" s="12" t="str">
        <x:v>İncelenmedi</x:v>
      </x:c>
      <x:c r="P231" s="12" t="str">
        <x:v>İncelenmedi</x:v>
      </x:c>
      <x:c r="Q231" s="12" t="str"/>
      <x:c r="R231" s="12" t="str"/>
      <x:c r="S231" s="13" t="str"/>
      <x:c r="T231" s="12" t="str"/>
      <x:c r="U231" s="12" t="str"/>
      <x:c r="V231" s="14" t="str">
        <x:f>IF(A231="","",IF(NOT(AND(COUNTIF(Exec[TestID],A231)=1,COUNTIF(Controls[ID],B231)=1,COUNTIFS(Scope[KapsamID],D231,Scope[OnayliKapsamID],D231,Scope[Ürün],C231)=1,OR(COUNTIFS(Controls[ID],B231,Controls[Ürün],C231)=1,COUNTIFS(Controls[ID],B231,Controls[Ürün],"MSP Genel")=1),E231&lt;&gt;"",F231&lt;&gt;"",G231&lt;&gt;"",I231&lt;&gt;"",Q231&lt;&gt;"")),"Kimlik / kapsam eksik",IF(NOT(OR(H231="Uygulanır",H231="Uygulanmaz")),"Uygulanabilirlik eksik",IF(AND(H231="Uygulanır",P231="Kanıt yetersiz",U231&lt;&gt;""),IF(AND(R231&lt;&gt;"",R231&lt;&gt;Q231,ISNUMBER(S231),S231&gt;0,S231&gt;=L231),"İnceleme tamam","Gözden geçirme eksik"),IF(NOT(AND(J231&lt;&gt;"",COUNTIFS(Evidence[KanitID],J231,Evidence[Kabul edilen ID],J231)=1,K231&lt;&gt;"",ISNUMBER(L231),L231&gt;0,M231&lt;&gt;"")),"Kanıt / test eksik",IF(NOT(AND(R231&lt;&gt;"",R231&lt;&gt;Q231,ISNUMBER(S231),S231&gt;0,S231&gt;=L231)),"Gözden geçirme eksik",IF(H231="Uygulanmaz","İnceleme tamam",IF(AND(OR(P231="Uygun",P231="Kısmen uygun",P231="Uygunsuz"),OR(N231="Uygun",N231="Kısmen uygun",N231="Uygunsuz"),OR(O231="Uygun",O231="Kısmen uygun",O231="Uygunsuz"),OR(P231&lt;&gt;"Uygun",AND(N231="Uygun",O231="Uygun")),OR(P231="Uygun",AND(T231&lt;&gt;"",COUNTIF(Findings[KayitliBulguID],T231)=1))),"İnceleme tamam","Sonuç / bulgu eksik"))))))))</x:f>
        <x:v>Kimlik / kapsam eksik</x:v>
      </x:c>
      <x:c r="W231" s="14" t="str">
        <x:f>IF(A231="","",IF(V231&lt;&gt;"İnceleme tamam","İncelenmedi",IF(H231="Uygulanmaz","Uygulanmaz",P231)))</x:f>
        <x:v>İncelenmedi</x:v>
      </x:c>
    </x:row>
    <x:row r="232" ht="35" customHeight="1">
      <x:c r="A232" s="12" t="str">
        <x:v>U-0227</x:v>
      </x:c>
      <x:c r="B232" s="12" t="str">
        <x:v>FGC-004</x:v>
      </x:c>
      <x:c r="C232" s="12" t="str">
        <x:v>FortiGate VDOM</x:v>
      </x:c>
      <x:c r="D232" s="12" t="str"/>
      <x:c r="E232" s="12" t="str"/>
      <x:c r="F232" s="12" t="str"/>
      <x:c r="G232" s="12" t="str"/>
      <x:c r="H232" s="12" t="str">
        <x:v>Belirlenecek</x:v>
      </x:c>
      <x:c r="I232" s="12" t="str"/>
      <x:c r="J232" s="12" t="str"/>
      <x:c r="K232" s="12" t="str"/>
      <x:c r="L232" s="13" t="str"/>
      <x:c r="M232" s="12" t="str"/>
      <x:c r="N232" s="12" t="str">
        <x:v>İncelenmedi</x:v>
      </x:c>
      <x:c r="O232" s="12" t="str">
        <x:v>İncelenmedi</x:v>
      </x:c>
      <x:c r="P232" s="12" t="str">
        <x:v>İncelenmedi</x:v>
      </x:c>
      <x:c r="Q232" s="12" t="str"/>
      <x:c r="R232" s="12" t="str"/>
      <x:c r="S232" s="13" t="str"/>
      <x:c r="T232" s="12" t="str"/>
      <x:c r="U232" s="12" t="str"/>
      <x:c r="V232" s="14" t="str">
        <x:f>IF(A232="","",IF(NOT(AND(COUNTIF(Exec[TestID],A232)=1,COUNTIF(Controls[ID],B232)=1,COUNTIFS(Scope[KapsamID],D232,Scope[OnayliKapsamID],D232,Scope[Ürün],C232)=1,OR(COUNTIFS(Controls[ID],B232,Controls[Ürün],C232)=1,COUNTIFS(Controls[ID],B232,Controls[Ürün],"MSP Genel")=1),E232&lt;&gt;"",F232&lt;&gt;"",G232&lt;&gt;"",I232&lt;&gt;"",Q232&lt;&gt;"")),"Kimlik / kapsam eksik",IF(NOT(OR(H232="Uygulanır",H232="Uygulanmaz")),"Uygulanabilirlik eksik",IF(AND(H232="Uygulanır",P232="Kanıt yetersiz",U232&lt;&gt;""),IF(AND(R232&lt;&gt;"",R232&lt;&gt;Q232,ISNUMBER(S232),S232&gt;0,S232&gt;=L232),"İnceleme tamam","Gözden geçirme eksik"),IF(NOT(AND(J232&lt;&gt;"",COUNTIFS(Evidence[KanitID],J232,Evidence[Kabul edilen ID],J232)=1,K232&lt;&gt;"",ISNUMBER(L232),L232&gt;0,M232&lt;&gt;"")),"Kanıt / test eksik",IF(NOT(AND(R232&lt;&gt;"",R232&lt;&gt;Q232,ISNUMBER(S232),S232&gt;0,S232&gt;=L232)),"Gözden geçirme eksik",IF(H232="Uygulanmaz","İnceleme tamam",IF(AND(OR(P232="Uygun",P232="Kısmen uygun",P232="Uygunsuz"),OR(N232="Uygun",N232="Kısmen uygun",N232="Uygunsuz"),OR(O232="Uygun",O232="Kısmen uygun",O232="Uygunsuz"),OR(P232&lt;&gt;"Uygun",AND(N232="Uygun",O232="Uygun")),OR(P232="Uygun",AND(T232&lt;&gt;"",COUNTIF(Findings[KayitliBulguID],T232)=1))),"İnceleme tamam","Sonuç / bulgu eksik"))))))))</x:f>
        <x:v>Kimlik / kapsam eksik</x:v>
      </x:c>
      <x:c r="W232" s="14" t="str">
        <x:f>IF(A232="","",IF(V232&lt;&gt;"İnceleme tamam","İncelenmedi",IF(H232="Uygulanmaz","Uygulanmaz",P232)))</x:f>
        <x:v>İncelenmedi</x:v>
      </x:c>
    </x:row>
    <x:row r="233" ht="35" customHeight="1">
      <x:c r="A233" s="12" t="str">
        <x:v>U-0228</x:v>
      </x:c>
      <x:c r="B233" s="12" t="str">
        <x:v>FGC-005</x:v>
      </x:c>
      <x:c r="C233" s="12" t="str">
        <x:v>FortiGate VDOM</x:v>
      </x:c>
      <x:c r="D233" s="12" t="str"/>
      <x:c r="E233" s="12" t="str"/>
      <x:c r="F233" s="12" t="str"/>
      <x:c r="G233" s="12" t="str"/>
      <x:c r="H233" s="12" t="str">
        <x:v>Belirlenecek</x:v>
      </x:c>
      <x:c r="I233" s="12" t="str"/>
      <x:c r="J233" s="12" t="str"/>
      <x:c r="K233" s="12" t="str"/>
      <x:c r="L233" s="13" t="str"/>
      <x:c r="M233" s="12" t="str"/>
      <x:c r="N233" s="12" t="str">
        <x:v>İncelenmedi</x:v>
      </x:c>
      <x:c r="O233" s="12" t="str">
        <x:v>İncelenmedi</x:v>
      </x:c>
      <x:c r="P233" s="12" t="str">
        <x:v>İncelenmedi</x:v>
      </x:c>
      <x:c r="Q233" s="12" t="str"/>
      <x:c r="R233" s="12" t="str"/>
      <x:c r="S233" s="13" t="str"/>
      <x:c r="T233" s="12" t="str"/>
      <x:c r="U233" s="12" t="str"/>
      <x:c r="V233" s="14" t="str">
        <x:f>IF(A233="","",IF(NOT(AND(COUNTIF(Exec[TestID],A233)=1,COUNTIF(Controls[ID],B233)=1,COUNTIFS(Scope[KapsamID],D233,Scope[OnayliKapsamID],D233,Scope[Ürün],C233)=1,OR(COUNTIFS(Controls[ID],B233,Controls[Ürün],C233)=1,COUNTIFS(Controls[ID],B233,Controls[Ürün],"MSP Genel")=1),E233&lt;&gt;"",F233&lt;&gt;"",G233&lt;&gt;"",I233&lt;&gt;"",Q233&lt;&gt;"")),"Kimlik / kapsam eksik",IF(NOT(OR(H233="Uygulanır",H233="Uygulanmaz")),"Uygulanabilirlik eksik",IF(AND(H233="Uygulanır",P233="Kanıt yetersiz",U233&lt;&gt;""),IF(AND(R233&lt;&gt;"",R233&lt;&gt;Q233,ISNUMBER(S233),S233&gt;0,S233&gt;=L233),"İnceleme tamam","Gözden geçirme eksik"),IF(NOT(AND(J233&lt;&gt;"",COUNTIFS(Evidence[KanitID],J233,Evidence[Kabul edilen ID],J233)=1,K233&lt;&gt;"",ISNUMBER(L233),L233&gt;0,M233&lt;&gt;"")),"Kanıt / test eksik",IF(NOT(AND(R233&lt;&gt;"",R233&lt;&gt;Q233,ISNUMBER(S233),S233&gt;0,S233&gt;=L233)),"Gözden geçirme eksik",IF(H233="Uygulanmaz","İnceleme tamam",IF(AND(OR(P233="Uygun",P233="Kısmen uygun",P233="Uygunsuz"),OR(N233="Uygun",N233="Kısmen uygun",N233="Uygunsuz"),OR(O233="Uygun",O233="Kısmen uygun",O233="Uygunsuz"),OR(P233&lt;&gt;"Uygun",AND(N233="Uygun",O233="Uygun")),OR(P233="Uygun",AND(T233&lt;&gt;"",COUNTIF(Findings[KayitliBulguID],T233)=1))),"İnceleme tamam","Sonuç / bulgu eksik"))))))))</x:f>
        <x:v>Kimlik / kapsam eksik</x:v>
      </x:c>
      <x:c r="W233" s="14" t="str">
        <x:f>IF(A233="","",IF(V233&lt;&gt;"İnceleme tamam","İncelenmedi",IF(H233="Uygulanmaz","Uygulanmaz",P233)))</x:f>
        <x:v>İncelenmedi</x:v>
      </x:c>
    </x:row>
    <x:row r="234" ht="35" customHeight="1">
      <x:c r="A234" s="12" t="str">
        <x:v>U-0229</x:v>
      </x:c>
      <x:c r="B234" s="12" t="str">
        <x:v>FGC-006</x:v>
      </x:c>
      <x:c r="C234" s="12" t="str">
        <x:v>FortiGate VDOM</x:v>
      </x:c>
      <x:c r="D234" s="12" t="str"/>
      <x:c r="E234" s="12" t="str"/>
      <x:c r="F234" s="12" t="str"/>
      <x:c r="G234" s="12" t="str"/>
      <x:c r="H234" s="12" t="str">
        <x:v>Belirlenecek</x:v>
      </x:c>
      <x:c r="I234" s="12" t="str"/>
      <x:c r="J234" s="12" t="str"/>
      <x:c r="K234" s="12" t="str"/>
      <x:c r="L234" s="13" t="str"/>
      <x:c r="M234" s="12" t="str"/>
      <x:c r="N234" s="12" t="str">
        <x:v>İncelenmedi</x:v>
      </x:c>
      <x:c r="O234" s="12" t="str">
        <x:v>İncelenmedi</x:v>
      </x:c>
      <x:c r="P234" s="12" t="str">
        <x:v>İncelenmedi</x:v>
      </x:c>
      <x:c r="Q234" s="12" t="str"/>
      <x:c r="R234" s="12" t="str"/>
      <x:c r="S234" s="13" t="str"/>
      <x:c r="T234" s="12" t="str"/>
      <x:c r="U234" s="12" t="str"/>
      <x:c r="V234" s="14" t="str">
        <x:f>IF(A234="","",IF(NOT(AND(COUNTIF(Exec[TestID],A234)=1,COUNTIF(Controls[ID],B234)=1,COUNTIFS(Scope[KapsamID],D234,Scope[OnayliKapsamID],D234,Scope[Ürün],C234)=1,OR(COUNTIFS(Controls[ID],B234,Controls[Ürün],C234)=1,COUNTIFS(Controls[ID],B234,Controls[Ürün],"MSP Genel")=1),E234&lt;&gt;"",F234&lt;&gt;"",G234&lt;&gt;"",I234&lt;&gt;"",Q234&lt;&gt;"")),"Kimlik / kapsam eksik",IF(NOT(OR(H234="Uygulanır",H234="Uygulanmaz")),"Uygulanabilirlik eksik",IF(AND(H234="Uygulanır",P234="Kanıt yetersiz",U234&lt;&gt;""),IF(AND(R234&lt;&gt;"",R234&lt;&gt;Q234,ISNUMBER(S234),S234&gt;0,S234&gt;=L234),"İnceleme tamam","Gözden geçirme eksik"),IF(NOT(AND(J234&lt;&gt;"",COUNTIFS(Evidence[KanitID],J234,Evidence[Kabul edilen ID],J234)=1,K234&lt;&gt;"",ISNUMBER(L234),L234&gt;0,M234&lt;&gt;"")),"Kanıt / test eksik",IF(NOT(AND(R234&lt;&gt;"",R234&lt;&gt;Q234,ISNUMBER(S234),S234&gt;0,S234&gt;=L234)),"Gözden geçirme eksik",IF(H234="Uygulanmaz","İnceleme tamam",IF(AND(OR(P234="Uygun",P234="Kısmen uygun",P234="Uygunsuz"),OR(N234="Uygun",N234="Kısmen uygun",N234="Uygunsuz"),OR(O234="Uygun",O234="Kısmen uygun",O234="Uygunsuz"),OR(P234&lt;&gt;"Uygun",AND(N234="Uygun",O234="Uygun")),OR(P234="Uygun",AND(T234&lt;&gt;"",COUNTIF(Findings[KayitliBulguID],T234)=1))),"İnceleme tamam","Sonuç / bulgu eksik"))))))))</x:f>
        <x:v>Kimlik / kapsam eksik</x:v>
      </x:c>
      <x:c r="W234" s="14" t="str">
        <x:f>IF(A234="","",IF(V234&lt;&gt;"İnceleme tamam","İncelenmedi",IF(H234="Uygulanmaz","Uygulanmaz",P234)))</x:f>
        <x:v>İncelenmedi</x:v>
      </x:c>
    </x:row>
    <x:row r="235" ht="35" customHeight="1">
      <x:c r="A235" s="12" t="str">
        <x:v>U-0230</x:v>
      </x:c>
      <x:c r="B235" s="12" t="str">
        <x:v>FGC-007</x:v>
      </x:c>
      <x:c r="C235" s="12" t="str">
        <x:v>FortiGate VDOM</x:v>
      </x:c>
      <x:c r="D235" s="12" t="str"/>
      <x:c r="E235" s="12" t="str"/>
      <x:c r="F235" s="12" t="str"/>
      <x:c r="G235" s="12" t="str"/>
      <x:c r="H235" s="12" t="str">
        <x:v>Belirlenecek</x:v>
      </x:c>
      <x:c r="I235" s="12" t="str"/>
      <x:c r="J235" s="12" t="str"/>
      <x:c r="K235" s="12" t="str"/>
      <x:c r="L235" s="13" t="str"/>
      <x:c r="M235" s="12" t="str"/>
      <x:c r="N235" s="12" t="str">
        <x:v>İncelenmedi</x:v>
      </x:c>
      <x:c r="O235" s="12" t="str">
        <x:v>İncelenmedi</x:v>
      </x:c>
      <x:c r="P235" s="12" t="str">
        <x:v>İncelenmedi</x:v>
      </x:c>
      <x:c r="Q235" s="12" t="str"/>
      <x:c r="R235" s="12" t="str"/>
      <x:c r="S235" s="13" t="str"/>
      <x:c r="T235" s="12" t="str"/>
      <x:c r="U235" s="12" t="str"/>
      <x:c r="V235" s="14" t="str">
        <x:f>IF(A235="","",IF(NOT(AND(COUNTIF(Exec[TestID],A235)=1,COUNTIF(Controls[ID],B235)=1,COUNTIFS(Scope[KapsamID],D235,Scope[OnayliKapsamID],D235,Scope[Ürün],C235)=1,OR(COUNTIFS(Controls[ID],B235,Controls[Ürün],C235)=1,COUNTIFS(Controls[ID],B235,Controls[Ürün],"MSP Genel")=1),E235&lt;&gt;"",F235&lt;&gt;"",G235&lt;&gt;"",I235&lt;&gt;"",Q235&lt;&gt;"")),"Kimlik / kapsam eksik",IF(NOT(OR(H235="Uygulanır",H235="Uygulanmaz")),"Uygulanabilirlik eksik",IF(AND(H235="Uygulanır",P235="Kanıt yetersiz",U235&lt;&gt;""),IF(AND(R235&lt;&gt;"",R235&lt;&gt;Q235,ISNUMBER(S235),S235&gt;0,S235&gt;=L235),"İnceleme tamam","Gözden geçirme eksik"),IF(NOT(AND(J235&lt;&gt;"",COUNTIFS(Evidence[KanitID],J235,Evidence[Kabul edilen ID],J235)=1,K235&lt;&gt;"",ISNUMBER(L235),L235&gt;0,M235&lt;&gt;"")),"Kanıt / test eksik",IF(NOT(AND(R235&lt;&gt;"",R235&lt;&gt;Q235,ISNUMBER(S235),S235&gt;0,S235&gt;=L235)),"Gözden geçirme eksik",IF(H235="Uygulanmaz","İnceleme tamam",IF(AND(OR(P235="Uygun",P235="Kısmen uygun",P235="Uygunsuz"),OR(N235="Uygun",N235="Kısmen uygun",N235="Uygunsuz"),OR(O235="Uygun",O235="Kısmen uygun",O235="Uygunsuz"),OR(P235&lt;&gt;"Uygun",AND(N235="Uygun",O235="Uygun")),OR(P235="Uygun",AND(T235&lt;&gt;"",COUNTIF(Findings[KayitliBulguID],T235)=1))),"İnceleme tamam","Sonuç / bulgu eksik"))))))))</x:f>
        <x:v>Kimlik / kapsam eksik</x:v>
      </x:c>
      <x:c r="W235" s="14" t="str">
        <x:f>IF(A235="","",IF(V235&lt;&gt;"İnceleme tamam","İncelenmedi",IF(H235="Uygulanmaz","Uygulanmaz",P235)))</x:f>
        <x:v>İncelenmedi</x:v>
      </x:c>
    </x:row>
    <x:row r="236" ht="35" customHeight="1">
      <x:c r="A236" s="12" t="str">
        <x:v>U-0231</x:v>
      </x:c>
      <x:c r="B236" s="12" t="str">
        <x:v>FGC-008</x:v>
      </x:c>
      <x:c r="C236" s="12" t="str">
        <x:v>FortiGate VDOM</x:v>
      </x:c>
      <x:c r="D236" s="12" t="str"/>
      <x:c r="E236" s="12" t="str"/>
      <x:c r="F236" s="12" t="str"/>
      <x:c r="G236" s="12" t="str"/>
      <x:c r="H236" s="12" t="str">
        <x:v>Belirlenecek</x:v>
      </x:c>
      <x:c r="I236" s="12" t="str"/>
      <x:c r="J236" s="12" t="str"/>
      <x:c r="K236" s="12" t="str"/>
      <x:c r="L236" s="13" t="str"/>
      <x:c r="M236" s="12" t="str"/>
      <x:c r="N236" s="12" t="str">
        <x:v>İncelenmedi</x:v>
      </x:c>
      <x:c r="O236" s="12" t="str">
        <x:v>İncelenmedi</x:v>
      </x:c>
      <x:c r="P236" s="12" t="str">
        <x:v>İncelenmedi</x:v>
      </x:c>
      <x:c r="Q236" s="12" t="str"/>
      <x:c r="R236" s="12" t="str"/>
      <x:c r="S236" s="13" t="str"/>
      <x:c r="T236" s="12" t="str"/>
      <x:c r="U236" s="12" t="str"/>
      <x:c r="V236" s="14" t="str">
        <x:f>IF(A236="","",IF(NOT(AND(COUNTIF(Exec[TestID],A236)=1,COUNTIF(Controls[ID],B236)=1,COUNTIFS(Scope[KapsamID],D236,Scope[OnayliKapsamID],D236,Scope[Ürün],C236)=1,OR(COUNTIFS(Controls[ID],B236,Controls[Ürün],C236)=1,COUNTIFS(Controls[ID],B236,Controls[Ürün],"MSP Genel")=1),E236&lt;&gt;"",F236&lt;&gt;"",G236&lt;&gt;"",I236&lt;&gt;"",Q236&lt;&gt;"")),"Kimlik / kapsam eksik",IF(NOT(OR(H236="Uygulanır",H236="Uygulanmaz")),"Uygulanabilirlik eksik",IF(AND(H236="Uygulanır",P236="Kanıt yetersiz",U236&lt;&gt;""),IF(AND(R236&lt;&gt;"",R236&lt;&gt;Q236,ISNUMBER(S236),S236&gt;0,S236&gt;=L236),"İnceleme tamam","Gözden geçirme eksik"),IF(NOT(AND(J236&lt;&gt;"",COUNTIFS(Evidence[KanitID],J236,Evidence[Kabul edilen ID],J236)=1,K236&lt;&gt;"",ISNUMBER(L236),L236&gt;0,M236&lt;&gt;"")),"Kanıt / test eksik",IF(NOT(AND(R236&lt;&gt;"",R236&lt;&gt;Q236,ISNUMBER(S236),S236&gt;0,S236&gt;=L236)),"Gözden geçirme eksik",IF(H236="Uygulanmaz","İnceleme tamam",IF(AND(OR(P236="Uygun",P236="Kısmen uygun",P236="Uygunsuz"),OR(N236="Uygun",N236="Kısmen uygun",N236="Uygunsuz"),OR(O236="Uygun",O236="Kısmen uygun",O236="Uygunsuz"),OR(P236&lt;&gt;"Uygun",AND(N236="Uygun",O236="Uygun")),OR(P236="Uygun",AND(T236&lt;&gt;"",COUNTIF(Findings[KayitliBulguID],T236)=1))),"İnceleme tamam","Sonuç / bulgu eksik"))))))))</x:f>
        <x:v>Kimlik / kapsam eksik</x:v>
      </x:c>
      <x:c r="W236" s="14" t="str">
        <x:f>IF(A236="","",IF(V236&lt;&gt;"İnceleme tamam","İncelenmedi",IF(H236="Uygulanmaz","Uygulanmaz",P236)))</x:f>
        <x:v>İncelenmedi</x:v>
      </x:c>
    </x:row>
    <x:row r="237" ht="35" customHeight="1">
      <x:c r="A237" s="12" t="str">
        <x:v>U-0232</x:v>
      </x:c>
      <x:c r="B237" s="12" t="str">
        <x:v>FGC-009</x:v>
      </x:c>
      <x:c r="C237" s="12" t="str">
        <x:v>FortiGate VDOM</x:v>
      </x:c>
      <x:c r="D237" s="12" t="str"/>
      <x:c r="E237" s="12" t="str"/>
      <x:c r="F237" s="12" t="str"/>
      <x:c r="G237" s="12" t="str"/>
      <x:c r="H237" s="12" t="str">
        <x:v>Belirlenecek</x:v>
      </x:c>
      <x:c r="I237" s="12" t="str"/>
      <x:c r="J237" s="12" t="str"/>
      <x:c r="K237" s="12" t="str"/>
      <x:c r="L237" s="13" t="str"/>
      <x:c r="M237" s="12" t="str"/>
      <x:c r="N237" s="12" t="str">
        <x:v>İncelenmedi</x:v>
      </x:c>
      <x:c r="O237" s="12" t="str">
        <x:v>İncelenmedi</x:v>
      </x:c>
      <x:c r="P237" s="12" t="str">
        <x:v>İncelenmedi</x:v>
      </x:c>
      <x:c r="Q237" s="12" t="str"/>
      <x:c r="R237" s="12" t="str"/>
      <x:c r="S237" s="13" t="str"/>
      <x:c r="T237" s="12" t="str"/>
      <x:c r="U237" s="12" t="str"/>
      <x:c r="V237" s="14" t="str">
        <x:f>IF(A237="","",IF(NOT(AND(COUNTIF(Exec[TestID],A237)=1,COUNTIF(Controls[ID],B237)=1,COUNTIFS(Scope[KapsamID],D237,Scope[OnayliKapsamID],D237,Scope[Ürün],C237)=1,OR(COUNTIFS(Controls[ID],B237,Controls[Ürün],C237)=1,COUNTIFS(Controls[ID],B237,Controls[Ürün],"MSP Genel")=1),E237&lt;&gt;"",F237&lt;&gt;"",G237&lt;&gt;"",I237&lt;&gt;"",Q237&lt;&gt;"")),"Kimlik / kapsam eksik",IF(NOT(OR(H237="Uygulanır",H237="Uygulanmaz")),"Uygulanabilirlik eksik",IF(AND(H237="Uygulanır",P237="Kanıt yetersiz",U237&lt;&gt;""),IF(AND(R237&lt;&gt;"",R237&lt;&gt;Q237,ISNUMBER(S237),S237&gt;0,S237&gt;=L237),"İnceleme tamam","Gözden geçirme eksik"),IF(NOT(AND(J237&lt;&gt;"",COUNTIFS(Evidence[KanitID],J237,Evidence[Kabul edilen ID],J237)=1,K237&lt;&gt;"",ISNUMBER(L237),L237&gt;0,M237&lt;&gt;"")),"Kanıt / test eksik",IF(NOT(AND(R237&lt;&gt;"",R237&lt;&gt;Q237,ISNUMBER(S237),S237&gt;0,S237&gt;=L237)),"Gözden geçirme eksik",IF(H237="Uygulanmaz","İnceleme tamam",IF(AND(OR(P237="Uygun",P237="Kısmen uygun",P237="Uygunsuz"),OR(N237="Uygun",N237="Kısmen uygun",N237="Uygunsuz"),OR(O237="Uygun",O237="Kısmen uygun",O237="Uygunsuz"),OR(P237&lt;&gt;"Uygun",AND(N237="Uygun",O237="Uygun")),OR(P237="Uygun",AND(T237&lt;&gt;"",COUNTIF(Findings[KayitliBulguID],T237)=1))),"İnceleme tamam","Sonuç / bulgu eksik"))))))))</x:f>
        <x:v>Kimlik / kapsam eksik</x:v>
      </x:c>
      <x:c r="W237" s="14" t="str">
        <x:f>IF(A237="","",IF(V237&lt;&gt;"İnceleme tamam","İncelenmedi",IF(H237="Uygulanmaz","Uygulanmaz",P237)))</x:f>
        <x:v>İncelenmedi</x:v>
      </x:c>
    </x:row>
    <x:row r="238" ht="35" customHeight="1">
      <x:c r="A238" s="12" t="str">
        <x:v>U-0233</x:v>
      </x:c>
      <x:c r="B238" s="12" t="str">
        <x:v>FGC-010</x:v>
      </x:c>
      <x:c r="C238" s="12" t="str">
        <x:v>FortiGate VDOM</x:v>
      </x:c>
      <x:c r="D238" s="12" t="str"/>
      <x:c r="E238" s="12" t="str"/>
      <x:c r="F238" s="12" t="str"/>
      <x:c r="G238" s="12" t="str"/>
      <x:c r="H238" s="12" t="str">
        <x:v>Belirlenecek</x:v>
      </x:c>
      <x:c r="I238" s="12" t="str"/>
      <x:c r="J238" s="12" t="str"/>
      <x:c r="K238" s="12" t="str"/>
      <x:c r="L238" s="13" t="str"/>
      <x:c r="M238" s="12" t="str"/>
      <x:c r="N238" s="12" t="str">
        <x:v>İncelenmedi</x:v>
      </x:c>
      <x:c r="O238" s="12" t="str">
        <x:v>İncelenmedi</x:v>
      </x:c>
      <x:c r="P238" s="12" t="str">
        <x:v>İncelenmedi</x:v>
      </x:c>
      <x:c r="Q238" s="12" t="str"/>
      <x:c r="R238" s="12" t="str"/>
      <x:c r="S238" s="13" t="str"/>
      <x:c r="T238" s="12" t="str"/>
      <x:c r="U238" s="12" t="str"/>
      <x:c r="V238" s="14" t="str">
        <x:f>IF(A238="","",IF(NOT(AND(COUNTIF(Exec[TestID],A238)=1,COUNTIF(Controls[ID],B238)=1,COUNTIFS(Scope[KapsamID],D238,Scope[OnayliKapsamID],D238,Scope[Ürün],C238)=1,OR(COUNTIFS(Controls[ID],B238,Controls[Ürün],C238)=1,COUNTIFS(Controls[ID],B238,Controls[Ürün],"MSP Genel")=1),E238&lt;&gt;"",F238&lt;&gt;"",G238&lt;&gt;"",I238&lt;&gt;"",Q238&lt;&gt;"")),"Kimlik / kapsam eksik",IF(NOT(OR(H238="Uygulanır",H238="Uygulanmaz")),"Uygulanabilirlik eksik",IF(AND(H238="Uygulanır",P238="Kanıt yetersiz",U238&lt;&gt;""),IF(AND(R238&lt;&gt;"",R238&lt;&gt;Q238,ISNUMBER(S238),S238&gt;0,S238&gt;=L238),"İnceleme tamam","Gözden geçirme eksik"),IF(NOT(AND(J238&lt;&gt;"",COUNTIFS(Evidence[KanitID],J238,Evidence[Kabul edilen ID],J238)=1,K238&lt;&gt;"",ISNUMBER(L238),L238&gt;0,M238&lt;&gt;"")),"Kanıt / test eksik",IF(NOT(AND(R238&lt;&gt;"",R238&lt;&gt;Q238,ISNUMBER(S238),S238&gt;0,S238&gt;=L238)),"Gözden geçirme eksik",IF(H238="Uygulanmaz","İnceleme tamam",IF(AND(OR(P238="Uygun",P238="Kısmen uygun",P238="Uygunsuz"),OR(N238="Uygun",N238="Kısmen uygun",N238="Uygunsuz"),OR(O238="Uygun",O238="Kısmen uygun",O238="Uygunsuz"),OR(P238&lt;&gt;"Uygun",AND(N238="Uygun",O238="Uygun")),OR(P238="Uygun",AND(T238&lt;&gt;"",COUNTIF(Findings[KayitliBulguID],T238)=1))),"İnceleme tamam","Sonuç / bulgu eksik"))))))))</x:f>
        <x:v>Kimlik / kapsam eksik</x:v>
      </x:c>
      <x:c r="W238" s="14" t="str">
        <x:f>IF(A238="","",IF(V238&lt;&gt;"İnceleme tamam","İncelenmedi",IF(H238="Uygulanmaz","Uygulanmaz",P238)))</x:f>
        <x:v>İncelenmedi</x:v>
      </x:c>
    </x:row>
    <x:row r="239" ht="35" customHeight="1">
      <x:c r="A239" s="12" t="str">
        <x:v>U-0234</x:v>
      </x:c>
      <x:c r="B239" s="12" t="str">
        <x:v>FGC-011</x:v>
      </x:c>
      <x:c r="C239" s="12" t="str">
        <x:v>FortiGate VDOM</x:v>
      </x:c>
      <x:c r="D239" s="12" t="str"/>
      <x:c r="E239" s="12" t="str"/>
      <x:c r="F239" s="12" t="str"/>
      <x:c r="G239" s="12" t="str"/>
      <x:c r="H239" s="12" t="str">
        <x:v>Belirlenecek</x:v>
      </x:c>
      <x:c r="I239" s="12" t="str"/>
      <x:c r="J239" s="12" t="str"/>
      <x:c r="K239" s="12" t="str"/>
      <x:c r="L239" s="13" t="str"/>
      <x:c r="M239" s="12" t="str"/>
      <x:c r="N239" s="12" t="str">
        <x:v>İncelenmedi</x:v>
      </x:c>
      <x:c r="O239" s="12" t="str">
        <x:v>İncelenmedi</x:v>
      </x:c>
      <x:c r="P239" s="12" t="str">
        <x:v>İncelenmedi</x:v>
      </x:c>
      <x:c r="Q239" s="12" t="str"/>
      <x:c r="R239" s="12" t="str"/>
      <x:c r="S239" s="13" t="str"/>
      <x:c r="T239" s="12" t="str"/>
      <x:c r="U239" s="12" t="str"/>
      <x:c r="V239" s="14" t="str">
        <x:f>IF(A239="","",IF(NOT(AND(COUNTIF(Exec[TestID],A239)=1,COUNTIF(Controls[ID],B239)=1,COUNTIFS(Scope[KapsamID],D239,Scope[OnayliKapsamID],D239,Scope[Ürün],C239)=1,OR(COUNTIFS(Controls[ID],B239,Controls[Ürün],C239)=1,COUNTIFS(Controls[ID],B239,Controls[Ürün],"MSP Genel")=1),E239&lt;&gt;"",F239&lt;&gt;"",G239&lt;&gt;"",I239&lt;&gt;"",Q239&lt;&gt;"")),"Kimlik / kapsam eksik",IF(NOT(OR(H239="Uygulanır",H239="Uygulanmaz")),"Uygulanabilirlik eksik",IF(AND(H239="Uygulanır",P239="Kanıt yetersiz",U239&lt;&gt;""),IF(AND(R239&lt;&gt;"",R239&lt;&gt;Q239,ISNUMBER(S239),S239&gt;0,S239&gt;=L239),"İnceleme tamam","Gözden geçirme eksik"),IF(NOT(AND(J239&lt;&gt;"",COUNTIFS(Evidence[KanitID],J239,Evidence[Kabul edilen ID],J239)=1,K239&lt;&gt;"",ISNUMBER(L239),L239&gt;0,M239&lt;&gt;"")),"Kanıt / test eksik",IF(NOT(AND(R239&lt;&gt;"",R239&lt;&gt;Q239,ISNUMBER(S239),S239&gt;0,S239&gt;=L239)),"Gözden geçirme eksik",IF(H239="Uygulanmaz","İnceleme tamam",IF(AND(OR(P239="Uygun",P239="Kısmen uygun",P239="Uygunsuz"),OR(N239="Uygun",N239="Kısmen uygun",N239="Uygunsuz"),OR(O239="Uygun",O239="Kısmen uygun",O239="Uygunsuz"),OR(P239&lt;&gt;"Uygun",AND(N239="Uygun",O239="Uygun")),OR(P239="Uygun",AND(T239&lt;&gt;"",COUNTIF(Findings[KayitliBulguID],T239)=1))),"İnceleme tamam","Sonuç / bulgu eksik"))))))))</x:f>
        <x:v>Kimlik / kapsam eksik</x:v>
      </x:c>
      <x:c r="W239" s="14" t="str">
        <x:f>IF(A239="","",IF(V239&lt;&gt;"İnceleme tamam","İncelenmedi",IF(H239="Uygulanmaz","Uygulanmaz",P239)))</x:f>
        <x:v>İncelenmedi</x:v>
      </x:c>
    </x:row>
    <x:row r="240" ht="35" customHeight="1">
      <x:c r="A240" s="12" t="str">
        <x:v>U-0235</x:v>
      </x:c>
      <x:c r="B240" s="12" t="str">
        <x:v>FGC-012</x:v>
      </x:c>
      <x:c r="C240" s="12" t="str">
        <x:v>FortiGate VDOM</x:v>
      </x:c>
      <x:c r="D240" s="12" t="str"/>
      <x:c r="E240" s="12" t="str"/>
      <x:c r="F240" s="12" t="str"/>
      <x:c r="G240" s="12" t="str"/>
      <x:c r="H240" s="12" t="str">
        <x:v>Belirlenecek</x:v>
      </x:c>
      <x:c r="I240" s="12" t="str"/>
      <x:c r="J240" s="12" t="str"/>
      <x:c r="K240" s="12" t="str"/>
      <x:c r="L240" s="13" t="str"/>
      <x:c r="M240" s="12" t="str"/>
      <x:c r="N240" s="12" t="str">
        <x:v>İncelenmedi</x:v>
      </x:c>
      <x:c r="O240" s="12" t="str">
        <x:v>İncelenmedi</x:v>
      </x:c>
      <x:c r="P240" s="12" t="str">
        <x:v>İncelenmedi</x:v>
      </x:c>
      <x:c r="Q240" s="12" t="str"/>
      <x:c r="R240" s="12" t="str"/>
      <x:c r="S240" s="13" t="str"/>
      <x:c r="T240" s="12" t="str"/>
      <x:c r="U240" s="12" t="str"/>
      <x:c r="V240" s="14" t="str">
        <x:f>IF(A240="","",IF(NOT(AND(COUNTIF(Exec[TestID],A240)=1,COUNTIF(Controls[ID],B240)=1,COUNTIFS(Scope[KapsamID],D240,Scope[OnayliKapsamID],D240,Scope[Ürün],C240)=1,OR(COUNTIFS(Controls[ID],B240,Controls[Ürün],C240)=1,COUNTIFS(Controls[ID],B240,Controls[Ürün],"MSP Genel")=1),E240&lt;&gt;"",F240&lt;&gt;"",G240&lt;&gt;"",I240&lt;&gt;"",Q240&lt;&gt;"")),"Kimlik / kapsam eksik",IF(NOT(OR(H240="Uygulanır",H240="Uygulanmaz")),"Uygulanabilirlik eksik",IF(AND(H240="Uygulanır",P240="Kanıt yetersiz",U240&lt;&gt;""),IF(AND(R240&lt;&gt;"",R240&lt;&gt;Q240,ISNUMBER(S240),S240&gt;0,S240&gt;=L240),"İnceleme tamam","Gözden geçirme eksik"),IF(NOT(AND(J240&lt;&gt;"",COUNTIFS(Evidence[KanitID],J240,Evidence[Kabul edilen ID],J240)=1,K240&lt;&gt;"",ISNUMBER(L240),L240&gt;0,M240&lt;&gt;"")),"Kanıt / test eksik",IF(NOT(AND(R240&lt;&gt;"",R240&lt;&gt;Q240,ISNUMBER(S240),S240&gt;0,S240&gt;=L240)),"Gözden geçirme eksik",IF(H240="Uygulanmaz","İnceleme tamam",IF(AND(OR(P240="Uygun",P240="Kısmen uygun",P240="Uygunsuz"),OR(N240="Uygun",N240="Kısmen uygun",N240="Uygunsuz"),OR(O240="Uygun",O240="Kısmen uygun",O240="Uygunsuz"),OR(P240&lt;&gt;"Uygun",AND(N240="Uygun",O240="Uygun")),OR(P240="Uygun",AND(T240&lt;&gt;"",COUNTIF(Findings[KayitliBulguID],T240)=1))),"İnceleme tamam","Sonuç / bulgu eksik"))))))))</x:f>
        <x:v>Kimlik / kapsam eksik</x:v>
      </x:c>
      <x:c r="W240" s="14" t="str">
        <x:f>IF(A240="","",IF(V240&lt;&gt;"İnceleme tamam","İncelenmedi",IF(H240="Uygulanmaz","Uygulanmaz",P240)))</x:f>
        <x:v>İncelenmedi</x:v>
      </x:c>
    </x:row>
    <x:row r="241" ht="35" customHeight="1">
      <x:c r="A241" s="12" t="str">
        <x:v>U-0236</x:v>
      </x:c>
      <x:c r="B241" s="12" t="str">
        <x:v>FGC-013</x:v>
      </x:c>
      <x:c r="C241" s="12" t="str">
        <x:v>FortiGate VDOM</x:v>
      </x:c>
      <x:c r="D241" s="12" t="str"/>
      <x:c r="E241" s="12" t="str"/>
      <x:c r="F241" s="12" t="str"/>
      <x:c r="G241" s="12" t="str"/>
      <x:c r="H241" s="12" t="str">
        <x:v>Belirlenecek</x:v>
      </x:c>
      <x:c r="I241" s="12" t="str"/>
      <x:c r="J241" s="12" t="str"/>
      <x:c r="K241" s="12" t="str"/>
      <x:c r="L241" s="13" t="str"/>
      <x:c r="M241" s="12" t="str"/>
      <x:c r="N241" s="12" t="str">
        <x:v>İncelenmedi</x:v>
      </x:c>
      <x:c r="O241" s="12" t="str">
        <x:v>İncelenmedi</x:v>
      </x:c>
      <x:c r="P241" s="12" t="str">
        <x:v>İncelenmedi</x:v>
      </x:c>
      <x:c r="Q241" s="12" t="str"/>
      <x:c r="R241" s="12" t="str"/>
      <x:c r="S241" s="13" t="str"/>
      <x:c r="T241" s="12" t="str"/>
      <x:c r="U241" s="12" t="str"/>
      <x:c r="V241" s="14" t="str">
        <x:f>IF(A241="","",IF(NOT(AND(COUNTIF(Exec[TestID],A241)=1,COUNTIF(Controls[ID],B241)=1,COUNTIFS(Scope[KapsamID],D241,Scope[OnayliKapsamID],D241,Scope[Ürün],C241)=1,OR(COUNTIFS(Controls[ID],B241,Controls[Ürün],C241)=1,COUNTIFS(Controls[ID],B241,Controls[Ürün],"MSP Genel")=1),E241&lt;&gt;"",F241&lt;&gt;"",G241&lt;&gt;"",I241&lt;&gt;"",Q241&lt;&gt;"")),"Kimlik / kapsam eksik",IF(NOT(OR(H241="Uygulanır",H241="Uygulanmaz")),"Uygulanabilirlik eksik",IF(AND(H241="Uygulanır",P241="Kanıt yetersiz",U241&lt;&gt;""),IF(AND(R241&lt;&gt;"",R241&lt;&gt;Q241,ISNUMBER(S241),S241&gt;0,S241&gt;=L241),"İnceleme tamam","Gözden geçirme eksik"),IF(NOT(AND(J241&lt;&gt;"",COUNTIFS(Evidence[KanitID],J241,Evidence[Kabul edilen ID],J241)=1,K241&lt;&gt;"",ISNUMBER(L241),L241&gt;0,M241&lt;&gt;"")),"Kanıt / test eksik",IF(NOT(AND(R241&lt;&gt;"",R241&lt;&gt;Q241,ISNUMBER(S241),S241&gt;0,S241&gt;=L241)),"Gözden geçirme eksik",IF(H241="Uygulanmaz","İnceleme tamam",IF(AND(OR(P241="Uygun",P241="Kısmen uygun",P241="Uygunsuz"),OR(N241="Uygun",N241="Kısmen uygun",N241="Uygunsuz"),OR(O241="Uygun",O241="Kısmen uygun",O241="Uygunsuz"),OR(P241&lt;&gt;"Uygun",AND(N241="Uygun",O241="Uygun")),OR(P241="Uygun",AND(T241&lt;&gt;"",COUNTIF(Findings[KayitliBulguID],T241)=1))),"İnceleme tamam","Sonuç / bulgu eksik"))))))))</x:f>
        <x:v>Kimlik / kapsam eksik</x:v>
      </x:c>
      <x:c r="W241" s="14" t="str">
        <x:f>IF(A241="","",IF(V241&lt;&gt;"İnceleme tamam","İncelenmedi",IF(H241="Uygulanmaz","Uygulanmaz",P241)))</x:f>
        <x:v>İncelenmedi</x:v>
      </x:c>
    </x:row>
    <x:row r="242" ht="35" customHeight="1">
      <x:c r="A242" s="12" t="str">
        <x:v>U-0237</x:v>
      </x:c>
      <x:c r="B242" s="12" t="str">
        <x:v>FGC-014</x:v>
      </x:c>
      <x:c r="C242" s="12" t="str">
        <x:v>FortiGate VDOM</x:v>
      </x:c>
      <x:c r="D242" s="12" t="str"/>
      <x:c r="E242" s="12" t="str"/>
      <x:c r="F242" s="12" t="str"/>
      <x:c r="G242" s="12" t="str"/>
      <x:c r="H242" s="12" t="str">
        <x:v>Belirlenecek</x:v>
      </x:c>
      <x:c r="I242" s="12" t="str"/>
      <x:c r="J242" s="12" t="str"/>
      <x:c r="K242" s="12" t="str"/>
      <x:c r="L242" s="13" t="str"/>
      <x:c r="M242" s="12" t="str"/>
      <x:c r="N242" s="12" t="str">
        <x:v>İncelenmedi</x:v>
      </x:c>
      <x:c r="O242" s="12" t="str">
        <x:v>İncelenmedi</x:v>
      </x:c>
      <x:c r="P242" s="12" t="str">
        <x:v>İncelenmedi</x:v>
      </x:c>
      <x:c r="Q242" s="12" t="str"/>
      <x:c r="R242" s="12" t="str"/>
      <x:c r="S242" s="13" t="str"/>
      <x:c r="T242" s="12" t="str"/>
      <x:c r="U242" s="12" t="str"/>
      <x:c r="V242" s="14" t="str">
        <x:f>IF(A242="","",IF(NOT(AND(COUNTIF(Exec[TestID],A242)=1,COUNTIF(Controls[ID],B242)=1,COUNTIFS(Scope[KapsamID],D242,Scope[OnayliKapsamID],D242,Scope[Ürün],C242)=1,OR(COUNTIFS(Controls[ID],B242,Controls[Ürün],C242)=1,COUNTIFS(Controls[ID],B242,Controls[Ürün],"MSP Genel")=1),E242&lt;&gt;"",F242&lt;&gt;"",G242&lt;&gt;"",I242&lt;&gt;"",Q242&lt;&gt;"")),"Kimlik / kapsam eksik",IF(NOT(OR(H242="Uygulanır",H242="Uygulanmaz")),"Uygulanabilirlik eksik",IF(AND(H242="Uygulanır",P242="Kanıt yetersiz",U242&lt;&gt;""),IF(AND(R242&lt;&gt;"",R242&lt;&gt;Q242,ISNUMBER(S242),S242&gt;0,S242&gt;=L242),"İnceleme tamam","Gözden geçirme eksik"),IF(NOT(AND(J242&lt;&gt;"",COUNTIFS(Evidence[KanitID],J242,Evidence[Kabul edilen ID],J242)=1,K242&lt;&gt;"",ISNUMBER(L242),L242&gt;0,M242&lt;&gt;"")),"Kanıt / test eksik",IF(NOT(AND(R242&lt;&gt;"",R242&lt;&gt;Q242,ISNUMBER(S242),S242&gt;0,S242&gt;=L242)),"Gözden geçirme eksik",IF(H242="Uygulanmaz","İnceleme tamam",IF(AND(OR(P242="Uygun",P242="Kısmen uygun",P242="Uygunsuz"),OR(N242="Uygun",N242="Kısmen uygun",N242="Uygunsuz"),OR(O242="Uygun",O242="Kısmen uygun",O242="Uygunsuz"),OR(P242&lt;&gt;"Uygun",AND(N242="Uygun",O242="Uygun")),OR(P242="Uygun",AND(T242&lt;&gt;"",COUNTIF(Findings[KayitliBulguID],T242)=1))),"İnceleme tamam","Sonuç / bulgu eksik"))))))))</x:f>
        <x:v>Kimlik / kapsam eksik</x:v>
      </x:c>
      <x:c r="W242" s="14" t="str">
        <x:f>IF(A242="","",IF(V242&lt;&gt;"İnceleme tamam","İncelenmedi",IF(H242="Uygulanmaz","Uygulanmaz",P242)))</x:f>
        <x:v>İncelenmedi</x:v>
      </x:c>
    </x:row>
    <x:row r="243" ht="35" customHeight="1">
      <x:c r="A243" s="12" t="str">
        <x:v>U-0238</x:v>
      </x:c>
      <x:c r="B243" s="12" t="str">
        <x:v>FGC-015</x:v>
      </x:c>
      <x:c r="C243" s="12" t="str">
        <x:v>FortiGate VDOM</x:v>
      </x:c>
      <x:c r="D243" s="12" t="str"/>
      <x:c r="E243" s="12" t="str"/>
      <x:c r="F243" s="12" t="str"/>
      <x:c r="G243" s="12" t="str"/>
      <x:c r="H243" s="12" t="str">
        <x:v>Belirlenecek</x:v>
      </x:c>
      <x:c r="I243" s="12" t="str"/>
      <x:c r="J243" s="12" t="str"/>
      <x:c r="K243" s="12" t="str"/>
      <x:c r="L243" s="13" t="str"/>
      <x:c r="M243" s="12" t="str"/>
      <x:c r="N243" s="12" t="str">
        <x:v>İncelenmedi</x:v>
      </x:c>
      <x:c r="O243" s="12" t="str">
        <x:v>İncelenmedi</x:v>
      </x:c>
      <x:c r="P243" s="12" t="str">
        <x:v>İncelenmedi</x:v>
      </x:c>
      <x:c r="Q243" s="12" t="str"/>
      <x:c r="R243" s="12" t="str"/>
      <x:c r="S243" s="13" t="str"/>
      <x:c r="T243" s="12" t="str"/>
      <x:c r="U243" s="12" t="str"/>
      <x:c r="V243" s="14" t="str">
        <x:f>IF(A243="","",IF(NOT(AND(COUNTIF(Exec[TestID],A243)=1,COUNTIF(Controls[ID],B243)=1,COUNTIFS(Scope[KapsamID],D243,Scope[OnayliKapsamID],D243,Scope[Ürün],C243)=1,OR(COUNTIFS(Controls[ID],B243,Controls[Ürün],C243)=1,COUNTIFS(Controls[ID],B243,Controls[Ürün],"MSP Genel")=1),E243&lt;&gt;"",F243&lt;&gt;"",G243&lt;&gt;"",I243&lt;&gt;"",Q243&lt;&gt;"")),"Kimlik / kapsam eksik",IF(NOT(OR(H243="Uygulanır",H243="Uygulanmaz")),"Uygulanabilirlik eksik",IF(AND(H243="Uygulanır",P243="Kanıt yetersiz",U243&lt;&gt;""),IF(AND(R243&lt;&gt;"",R243&lt;&gt;Q243,ISNUMBER(S243),S243&gt;0,S243&gt;=L243),"İnceleme tamam","Gözden geçirme eksik"),IF(NOT(AND(J243&lt;&gt;"",COUNTIFS(Evidence[KanitID],J243,Evidence[Kabul edilen ID],J243)=1,K243&lt;&gt;"",ISNUMBER(L243),L243&gt;0,M243&lt;&gt;"")),"Kanıt / test eksik",IF(NOT(AND(R243&lt;&gt;"",R243&lt;&gt;Q243,ISNUMBER(S243),S243&gt;0,S243&gt;=L243)),"Gözden geçirme eksik",IF(H243="Uygulanmaz","İnceleme tamam",IF(AND(OR(P243="Uygun",P243="Kısmen uygun",P243="Uygunsuz"),OR(N243="Uygun",N243="Kısmen uygun",N243="Uygunsuz"),OR(O243="Uygun",O243="Kısmen uygun",O243="Uygunsuz"),OR(P243&lt;&gt;"Uygun",AND(N243="Uygun",O243="Uygun")),OR(P243="Uygun",AND(T243&lt;&gt;"",COUNTIF(Findings[KayitliBulguID],T243)=1))),"İnceleme tamam","Sonuç / bulgu eksik"))))))))</x:f>
        <x:v>Kimlik / kapsam eksik</x:v>
      </x:c>
      <x:c r="W243" s="14" t="str">
        <x:f>IF(A243="","",IF(V243&lt;&gt;"İnceleme tamam","İncelenmedi",IF(H243="Uygulanmaz","Uygulanmaz",P243)))</x:f>
        <x:v>İncelenmedi</x:v>
      </x:c>
    </x:row>
    <x:row r="244" ht="35" customHeight="1">
      <x:c r="A244" s="12" t="str">
        <x:v>U-0239</x:v>
      </x:c>
      <x:c r="B244" s="12" t="str">
        <x:v>FGC-016</x:v>
      </x:c>
      <x:c r="C244" s="12" t="str">
        <x:v>FortiGate VDOM</x:v>
      </x:c>
      <x:c r="D244" s="12" t="str"/>
      <x:c r="E244" s="12" t="str"/>
      <x:c r="F244" s="12" t="str"/>
      <x:c r="G244" s="12" t="str"/>
      <x:c r="H244" s="12" t="str">
        <x:v>Belirlenecek</x:v>
      </x:c>
      <x:c r="I244" s="12" t="str"/>
      <x:c r="J244" s="12" t="str"/>
      <x:c r="K244" s="12" t="str"/>
      <x:c r="L244" s="13" t="str"/>
      <x:c r="M244" s="12" t="str"/>
      <x:c r="N244" s="12" t="str">
        <x:v>İncelenmedi</x:v>
      </x:c>
      <x:c r="O244" s="12" t="str">
        <x:v>İncelenmedi</x:v>
      </x:c>
      <x:c r="P244" s="12" t="str">
        <x:v>İncelenmedi</x:v>
      </x:c>
      <x:c r="Q244" s="12" t="str"/>
      <x:c r="R244" s="12" t="str"/>
      <x:c r="S244" s="13" t="str"/>
      <x:c r="T244" s="12" t="str"/>
      <x:c r="U244" s="12" t="str"/>
      <x:c r="V244" s="14" t="str">
        <x:f>IF(A244="","",IF(NOT(AND(COUNTIF(Exec[TestID],A244)=1,COUNTIF(Controls[ID],B244)=1,COUNTIFS(Scope[KapsamID],D244,Scope[OnayliKapsamID],D244,Scope[Ürün],C244)=1,OR(COUNTIFS(Controls[ID],B244,Controls[Ürün],C244)=1,COUNTIFS(Controls[ID],B244,Controls[Ürün],"MSP Genel")=1),E244&lt;&gt;"",F244&lt;&gt;"",G244&lt;&gt;"",I244&lt;&gt;"",Q244&lt;&gt;"")),"Kimlik / kapsam eksik",IF(NOT(OR(H244="Uygulanır",H244="Uygulanmaz")),"Uygulanabilirlik eksik",IF(AND(H244="Uygulanır",P244="Kanıt yetersiz",U244&lt;&gt;""),IF(AND(R244&lt;&gt;"",R244&lt;&gt;Q244,ISNUMBER(S244),S244&gt;0,S244&gt;=L244),"İnceleme tamam","Gözden geçirme eksik"),IF(NOT(AND(J244&lt;&gt;"",COUNTIFS(Evidence[KanitID],J244,Evidence[Kabul edilen ID],J244)=1,K244&lt;&gt;"",ISNUMBER(L244),L244&gt;0,M244&lt;&gt;"")),"Kanıt / test eksik",IF(NOT(AND(R244&lt;&gt;"",R244&lt;&gt;Q244,ISNUMBER(S244),S244&gt;0,S244&gt;=L244)),"Gözden geçirme eksik",IF(H244="Uygulanmaz","İnceleme tamam",IF(AND(OR(P244="Uygun",P244="Kısmen uygun",P244="Uygunsuz"),OR(N244="Uygun",N244="Kısmen uygun",N244="Uygunsuz"),OR(O244="Uygun",O244="Kısmen uygun",O244="Uygunsuz"),OR(P244&lt;&gt;"Uygun",AND(N244="Uygun",O244="Uygun")),OR(P244="Uygun",AND(T244&lt;&gt;"",COUNTIF(Findings[KayitliBulguID],T244)=1))),"İnceleme tamam","Sonuç / bulgu eksik"))))))))</x:f>
        <x:v>Kimlik / kapsam eksik</x:v>
      </x:c>
      <x:c r="W244" s="14" t="str">
        <x:f>IF(A244="","",IF(V244&lt;&gt;"İnceleme tamam","İncelenmedi",IF(H244="Uygulanmaz","Uygulanmaz",P244)))</x:f>
        <x:v>İncelenmedi</x:v>
      </x:c>
    </x:row>
    <x:row r="245" ht="35" customHeight="1">
      <x:c r="A245" s="12" t="str">
        <x:v>U-0240</x:v>
      </x:c>
      <x:c r="B245" s="12" t="str">
        <x:v>FGC-017</x:v>
      </x:c>
      <x:c r="C245" s="12" t="str">
        <x:v>FortiGate VDOM</x:v>
      </x:c>
      <x:c r="D245" s="12" t="str"/>
      <x:c r="E245" s="12" t="str"/>
      <x:c r="F245" s="12" t="str"/>
      <x:c r="G245" s="12" t="str"/>
      <x:c r="H245" s="12" t="str">
        <x:v>Belirlenecek</x:v>
      </x:c>
      <x:c r="I245" s="12" t="str"/>
      <x:c r="J245" s="12" t="str"/>
      <x:c r="K245" s="12" t="str"/>
      <x:c r="L245" s="13" t="str"/>
      <x:c r="M245" s="12" t="str"/>
      <x:c r="N245" s="12" t="str">
        <x:v>İncelenmedi</x:v>
      </x:c>
      <x:c r="O245" s="12" t="str">
        <x:v>İncelenmedi</x:v>
      </x:c>
      <x:c r="P245" s="12" t="str">
        <x:v>İncelenmedi</x:v>
      </x:c>
      <x:c r="Q245" s="12" t="str"/>
      <x:c r="R245" s="12" t="str"/>
      <x:c r="S245" s="13" t="str"/>
      <x:c r="T245" s="12" t="str"/>
      <x:c r="U245" s="12" t="str"/>
      <x:c r="V245" s="14" t="str">
        <x:f>IF(A245="","",IF(NOT(AND(COUNTIF(Exec[TestID],A245)=1,COUNTIF(Controls[ID],B245)=1,COUNTIFS(Scope[KapsamID],D245,Scope[OnayliKapsamID],D245,Scope[Ürün],C245)=1,OR(COUNTIFS(Controls[ID],B245,Controls[Ürün],C245)=1,COUNTIFS(Controls[ID],B245,Controls[Ürün],"MSP Genel")=1),E245&lt;&gt;"",F245&lt;&gt;"",G245&lt;&gt;"",I245&lt;&gt;"",Q245&lt;&gt;"")),"Kimlik / kapsam eksik",IF(NOT(OR(H245="Uygulanır",H245="Uygulanmaz")),"Uygulanabilirlik eksik",IF(AND(H245="Uygulanır",P245="Kanıt yetersiz",U245&lt;&gt;""),IF(AND(R245&lt;&gt;"",R245&lt;&gt;Q245,ISNUMBER(S245),S245&gt;0,S245&gt;=L245),"İnceleme tamam","Gözden geçirme eksik"),IF(NOT(AND(J245&lt;&gt;"",COUNTIFS(Evidence[KanitID],J245,Evidence[Kabul edilen ID],J245)=1,K245&lt;&gt;"",ISNUMBER(L245),L245&gt;0,M245&lt;&gt;"")),"Kanıt / test eksik",IF(NOT(AND(R245&lt;&gt;"",R245&lt;&gt;Q245,ISNUMBER(S245),S245&gt;0,S245&gt;=L245)),"Gözden geçirme eksik",IF(H245="Uygulanmaz","İnceleme tamam",IF(AND(OR(P245="Uygun",P245="Kısmen uygun",P245="Uygunsuz"),OR(N245="Uygun",N245="Kısmen uygun",N245="Uygunsuz"),OR(O245="Uygun",O245="Kısmen uygun",O245="Uygunsuz"),OR(P245&lt;&gt;"Uygun",AND(N245="Uygun",O245="Uygun")),OR(P245="Uygun",AND(T245&lt;&gt;"",COUNTIF(Findings[KayitliBulguID],T245)=1))),"İnceleme tamam","Sonuç / bulgu eksik"))))))))</x:f>
        <x:v>Kimlik / kapsam eksik</x:v>
      </x:c>
      <x:c r="W245" s="14" t="str">
        <x:f>IF(A245="","",IF(V245&lt;&gt;"İnceleme tamam","İncelenmedi",IF(H245="Uygulanmaz","Uygulanmaz",P245)))</x:f>
        <x:v>İncelenmedi</x:v>
      </x:c>
    </x:row>
    <x:row r="246" ht="35" customHeight="1">
      <x:c r="A246" s="12" t="str">
        <x:v>U-0241</x:v>
      </x:c>
      <x:c r="B246" s="12" t="str">
        <x:v>FGC-018</x:v>
      </x:c>
      <x:c r="C246" s="12" t="str">
        <x:v>FortiGate VDOM</x:v>
      </x:c>
      <x:c r="D246" s="12" t="str"/>
      <x:c r="E246" s="12" t="str"/>
      <x:c r="F246" s="12" t="str"/>
      <x:c r="G246" s="12" t="str"/>
      <x:c r="H246" s="12" t="str">
        <x:v>Belirlenecek</x:v>
      </x:c>
      <x:c r="I246" s="12" t="str"/>
      <x:c r="J246" s="12" t="str"/>
      <x:c r="K246" s="12" t="str"/>
      <x:c r="L246" s="13" t="str"/>
      <x:c r="M246" s="12" t="str"/>
      <x:c r="N246" s="12" t="str">
        <x:v>İncelenmedi</x:v>
      </x:c>
      <x:c r="O246" s="12" t="str">
        <x:v>İncelenmedi</x:v>
      </x:c>
      <x:c r="P246" s="12" t="str">
        <x:v>İncelenmedi</x:v>
      </x:c>
      <x:c r="Q246" s="12" t="str"/>
      <x:c r="R246" s="12" t="str"/>
      <x:c r="S246" s="13" t="str"/>
      <x:c r="T246" s="12" t="str"/>
      <x:c r="U246" s="12" t="str"/>
      <x:c r="V246" s="14" t="str">
        <x:f>IF(A246="","",IF(NOT(AND(COUNTIF(Exec[TestID],A246)=1,COUNTIF(Controls[ID],B246)=1,COUNTIFS(Scope[KapsamID],D246,Scope[OnayliKapsamID],D246,Scope[Ürün],C246)=1,OR(COUNTIFS(Controls[ID],B246,Controls[Ürün],C246)=1,COUNTIFS(Controls[ID],B246,Controls[Ürün],"MSP Genel")=1),E246&lt;&gt;"",F246&lt;&gt;"",G246&lt;&gt;"",I246&lt;&gt;"",Q246&lt;&gt;"")),"Kimlik / kapsam eksik",IF(NOT(OR(H246="Uygulanır",H246="Uygulanmaz")),"Uygulanabilirlik eksik",IF(AND(H246="Uygulanır",P246="Kanıt yetersiz",U246&lt;&gt;""),IF(AND(R246&lt;&gt;"",R246&lt;&gt;Q246,ISNUMBER(S246),S246&gt;0,S246&gt;=L246),"İnceleme tamam","Gözden geçirme eksik"),IF(NOT(AND(J246&lt;&gt;"",COUNTIFS(Evidence[KanitID],J246,Evidence[Kabul edilen ID],J246)=1,K246&lt;&gt;"",ISNUMBER(L246),L246&gt;0,M246&lt;&gt;"")),"Kanıt / test eksik",IF(NOT(AND(R246&lt;&gt;"",R246&lt;&gt;Q246,ISNUMBER(S246),S246&gt;0,S246&gt;=L246)),"Gözden geçirme eksik",IF(H246="Uygulanmaz","İnceleme tamam",IF(AND(OR(P246="Uygun",P246="Kısmen uygun",P246="Uygunsuz"),OR(N246="Uygun",N246="Kısmen uygun",N246="Uygunsuz"),OR(O246="Uygun",O246="Kısmen uygun",O246="Uygunsuz"),OR(P246&lt;&gt;"Uygun",AND(N246="Uygun",O246="Uygun")),OR(P246="Uygun",AND(T246&lt;&gt;"",COUNTIF(Findings[KayitliBulguID],T246)=1))),"İnceleme tamam","Sonuç / bulgu eksik"))))))))</x:f>
        <x:v>Kimlik / kapsam eksik</x:v>
      </x:c>
      <x:c r="W246" s="14" t="str">
        <x:f>IF(A246="","",IF(V246&lt;&gt;"İnceleme tamam","İncelenmedi",IF(H246="Uygulanmaz","Uygulanmaz",P246)))</x:f>
        <x:v>İncelenmedi</x:v>
      </x:c>
    </x:row>
    <x:row r="247" ht="35" customHeight="1">
      <x:c r="A247" s="12" t="str">
        <x:v>U-0242</x:v>
      </x:c>
      <x:c r="B247" s="12" t="str">
        <x:v>FGC-019</x:v>
      </x:c>
      <x:c r="C247" s="12" t="str">
        <x:v>FortiGate VDOM</x:v>
      </x:c>
      <x:c r="D247" s="12" t="str"/>
      <x:c r="E247" s="12" t="str"/>
      <x:c r="F247" s="12" t="str"/>
      <x:c r="G247" s="12" t="str"/>
      <x:c r="H247" s="12" t="str">
        <x:v>Belirlenecek</x:v>
      </x:c>
      <x:c r="I247" s="12" t="str"/>
      <x:c r="J247" s="12" t="str"/>
      <x:c r="K247" s="12" t="str"/>
      <x:c r="L247" s="13" t="str"/>
      <x:c r="M247" s="12" t="str"/>
      <x:c r="N247" s="12" t="str">
        <x:v>İncelenmedi</x:v>
      </x:c>
      <x:c r="O247" s="12" t="str">
        <x:v>İncelenmedi</x:v>
      </x:c>
      <x:c r="P247" s="12" t="str">
        <x:v>İncelenmedi</x:v>
      </x:c>
      <x:c r="Q247" s="12" t="str"/>
      <x:c r="R247" s="12" t="str"/>
      <x:c r="S247" s="13" t="str"/>
      <x:c r="T247" s="12" t="str"/>
      <x:c r="U247" s="12" t="str"/>
      <x:c r="V247" s="14" t="str">
        <x:f>IF(A247="","",IF(NOT(AND(COUNTIF(Exec[TestID],A247)=1,COUNTIF(Controls[ID],B247)=1,COUNTIFS(Scope[KapsamID],D247,Scope[OnayliKapsamID],D247,Scope[Ürün],C247)=1,OR(COUNTIFS(Controls[ID],B247,Controls[Ürün],C247)=1,COUNTIFS(Controls[ID],B247,Controls[Ürün],"MSP Genel")=1),E247&lt;&gt;"",F247&lt;&gt;"",G247&lt;&gt;"",I247&lt;&gt;"",Q247&lt;&gt;"")),"Kimlik / kapsam eksik",IF(NOT(OR(H247="Uygulanır",H247="Uygulanmaz")),"Uygulanabilirlik eksik",IF(AND(H247="Uygulanır",P247="Kanıt yetersiz",U247&lt;&gt;""),IF(AND(R247&lt;&gt;"",R247&lt;&gt;Q247,ISNUMBER(S247),S247&gt;0,S247&gt;=L247),"İnceleme tamam","Gözden geçirme eksik"),IF(NOT(AND(J247&lt;&gt;"",COUNTIFS(Evidence[KanitID],J247,Evidence[Kabul edilen ID],J247)=1,K247&lt;&gt;"",ISNUMBER(L247),L247&gt;0,M247&lt;&gt;"")),"Kanıt / test eksik",IF(NOT(AND(R247&lt;&gt;"",R247&lt;&gt;Q247,ISNUMBER(S247),S247&gt;0,S247&gt;=L247)),"Gözden geçirme eksik",IF(H247="Uygulanmaz","İnceleme tamam",IF(AND(OR(P247="Uygun",P247="Kısmen uygun",P247="Uygunsuz"),OR(N247="Uygun",N247="Kısmen uygun",N247="Uygunsuz"),OR(O247="Uygun",O247="Kısmen uygun",O247="Uygunsuz"),OR(P247&lt;&gt;"Uygun",AND(N247="Uygun",O247="Uygun")),OR(P247="Uygun",AND(T247&lt;&gt;"",COUNTIF(Findings[KayitliBulguID],T247)=1))),"İnceleme tamam","Sonuç / bulgu eksik"))))))))</x:f>
        <x:v>Kimlik / kapsam eksik</x:v>
      </x:c>
      <x:c r="W247" s="14" t="str">
        <x:f>IF(A247="","",IF(V247&lt;&gt;"İnceleme tamam","İncelenmedi",IF(H247="Uygulanmaz","Uygulanmaz",P247)))</x:f>
        <x:v>İncelenmedi</x:v>
      </x:c>
    </x:row>
    <x:row r="248" ht="35" customHeight="1">
      <x:c r="A248" s="12" t="str">
        <x:v>U-0243</x:v>
      </x:c>
      <x:c r="B248" s="12" t="str">
        <x:v>FGC-021</x:v>
      </x:c>
      <x:c r="C248" s="12" t="str">
        <x:v>FortiGate VDOM</x:v>
      </x:c>
      <x:c r="D248" s="12" t="str"/>
      <x:c r="E248" s="12" t="str"/>
      <x:c r="F248" s="12" t="str"/>
      <x:c r="G248" s="12" t="str"/>
      <x:c r="H248" s="12" t="str">
        <x:v>Belirlenecek</x:v>
      </x:c>
      <x:c r="I248" s="12" t="str"/>
      <x:c r="J248" s="12" t="str"/>
      <x:c r="K248" s="12" t="str"/>
      <x:c r="L248" s="13" t="str"/>
      <x:c r="M248" s="12" t="str"/>
      <x:c r="N248" s="12" t="str">
        <x:v>İncelenmedi</x:v>
      </x:c>
      <x:c r="O248" s="12" t="str">
        <x:v>İncelenmedi</x:v>
      </x:c>
      <x:c r="P248" s="12" t="str">
        <x:v>İncelenmedi</x:v>
      </x:c>
      <x:c r="Q248" s="12" t="str"/>
      <x:c r="R248" s="12" t="str"/>
      <x:c r="S248" s="13" t="str"/>
      <x:c r="T248" s="12" t="str"/>
      <x:c r="U248" s="12" t="str"/>
      <x:c r="V248" s="14" t="str">
        <x:f>IF(A248="","",IF(NOT(AND(COUNTIF(Exec[TestID],A248)=1,COUNTIF(Controls[ID],B248)=1,COUNTIFS(Scope[KapsamID],D248,Scope[OnayliKapsamID],D248,Scope[Ürün],C248)=1,OR(COUNTIFS(Controls[ID],B248,Controls[Ürün],C248)=1,COUNTIFS(Controls[ID],B248,Controls[Ürün],"MSP Genel")=1),E248&lt;&gt;"",F248&lt;&gt;"",G248&lt;&gt;"",I248&lt;&gt;"",Q248&lt;&gt;"")),"Kimlik / kapsam eksik",IF(NOT(OR(H248="Uygulanır",H248="Uygulanmaz")),"Uygulanabilirlik eksik",IF(AND(H248="Uygulanır",P248="Kanıt yetersiz",U248&lt;&gt;""),IF(AND(R248&lt;&gt;"",R248&lt;&gt;Q248,ISNUMBER(S248),S248&gt;0,S248&gt;=L248),"İnceleme tamam","Gözden geçirme eksik"),IF(NOT(AND(J248&lt;&gt;"",COUNTIFS(Evidence[KanitID],J248,Evidence[Kabul edilen ID],J248)=1,K248&lt;&gt;"",ISNUMBER(L248),L248&gt;0,M248&lt;&gt;"")),"Kanıt / test eksik",IF(NOT(AND(R248&lt;&gt;"",R248&lt;&gt;Q248,ISNUMBER(S248),S248&gt;0,S248&gt;=L248)),"Gözden geçirme eksik",IF(H248="Uygulanmaz","İnceleme tamam",IF(AND(OR(P248="Uygun",P248="Kısmen uygun",P248="Uygunsuz"),OR(N248="Uygun",N248="Kısmen uygun",N248="Uygunsuz"),OR(O248="Uygun",O248="Kısmen uygun",O248="Uygunsuz"),OR(P248&lt;&gt;"Uygun",AND(N248="Uygun",O248="Uygun")),OR(P248="Uygun",AND(T248&lt;&gt;"",COUNTIF(Findings[KayitliBulguID],T248)=1))),"İnceleme tamam","Sonuç / bulgu eksik"))))))))</x:f>
        <x:v>Kimlik / kapsam eksik</x:v>
      </x:c>
      <x:c r="W248" s="14" t="str">
        <x:f>IF(A248="","",IF(V248&lt;&gt;"İnceleme tamam","İncelenmedi",IF(H248="Uygulanmaz","Uygulanmaz",P248)))</x:f>
        <x:v>İncelenmedi</x:v>
      </x:c>
    </x:row>
    <x:row r="249" ht="35" customHeight="1">
      <x:c r="A249" s="12" t="str">
        <x:v>U-0244</x:v>
      </x:c>
      <x:c r="B249" s="12" t="str">
        <x:v>FGC-022</x:v>
      </x:c>
      <x:c r="C249" s="12" t="str">
        <x:v>FortiGate VDOM</x:v>
      </x:c>
      <x:c r="D249" s="12" t="str"/>
      <x:c r="E249" s="12" t="str"/>
      <x:c r="F249" s="12" t="str"/>
      <x:c r="G249" s="12" t="str"/>
      <x:c r="H249" s="12" t="str">
        <x:v>Belirlenecek</x:v>
      </x:c>
      <x:c r="I249" s="12" t="str"/>
      <x:c r="J249" s="12" t="str"/>
      <x:c r="K249" s="12" t="str"/>
      <x:c r="L249" s="13" t="str"/>
      <x:c r="M249" s="12" t="str"/>
      <x:c r="N249" s="12" t="str">
        <x:v>İncelenmedi</x:v>
      </x:c>
      <x:c r="O249" s="12" t="str">
        <x:v>İncelenmedi</x:v>
      </x:c>
      <x:c r="P249" s="12" t="str">
        <x:v>İncelenmedi</x:v>
      </x:c>
      <x:c r="Q249" s="12" t="str"/>
      <x:c r="R249" s="12" t="str"/>
      <x:c r="S249" s="13" t="str"/>
      <x:c r="T249" s="12" t="str"/>
      <x:c r="U249" s="12" t="str"/>
      <x:c r="V249" s="14" t="str">
        <x:f>IF(A249="","",IF(NOT(AND(COUNTIF(Exec[TestID],A249)=1,COUNTIF(Controls[ID],B249)=1,COUNTIFS(Scope[KapsamID],D249,Scope[OnayliKapsamID],D249,Scope[Ürün],C249)=1,OR(COUNTIFS(Controls[ID],B249,Controls[Ürün],C249)=1,COUNTIFS(Controls[ID],B249,Controls[Ürün],"MSP Genel")=1),E249&lt;&gt;"",F249&lt;&gt;"",G249&lt;&gt;"",I249&lt;&gt;"",Q249&lt;&gt;"")),"Kimlik / kapsam eksik",IF(NOT(OR(H249="Uygulanır",H249="Uygulanmaz")),"Uygulanabilirlik eksik",IF(AND(H249="Uygulanır",P249="Kanıt yetersiz",U249&lt;&gt;""),IF(AND(R249&lt;&gt;"",R249&lt;&gt;Q249,ISNUMBER(S249),S249&gt;0,S249&gt;=L249),"İnceleme tamam","Gözden geçirme eksik"),IF(NOT(AND(J249&lt;&gt;"",COUNTIFS(Evidence[KanitID],J249,Evidence[Kabul edilen ID],J249)=1,K249&lt;&gt;"",ISNUMBER(L249),L249&gt;0,M249&lt;&gt;"")),"Kanıt / test eksik",IF(NOT(AND(R249&lt;&gt;"",R249&lt;&gt;Q249,ISNUMBER(S249),S249&gt;0,S249&gt;=L249)),"Gözden geçirme eksik",IF(H249="Uygulanmaz","İnceleme tamam",IF(AND(OR(P249="Uygun",P249="Kısmen uygun",P249="Uygunsuz"),OR(N249="Uygun",N249="Kısmen uygun",N249="Uygunsuz"),OR(O249="Uygun",O249="Kısmen uygun",O249="Uygunsuz"),OR(P249&lt;&gt;"Uygun",AND(N249="Uygun",O249="Uygun")),OR(P249="Uygun",AND(T249&lt;&gt;"",COUNTIF(Findings[KayitliBulguID],T249)=1))),"İnceleme tamam","Sonuç / bulgu eksik"))))))))</x:f>
        <x:v>Kimlik / kapsam eksik</x:v>
      </x:c>
      <x:c r="W249" s="14" t="str">
        <x:f>IF(A249="","",IF(V249&lt;&gt;"İnceleme tamam","İncelenmedi",IF(H249="Uygulanmaz","Uygulanmaz",P249)))</x:f>
        <x:v>İncelenmedi</x:v>
      </x:c>
    </x:row>
    <x:row r="250" ht="35" customHeight="1">
      <x:c r="A250" s="12" t="str">
        <x:v>U-0245</x:v>
      </x:c>
      <x:c r="B250" s="12" t="str">
        <x:v>FGC-023</x:v>
      </x:c>
      <x:c r="C250" s="12" t="str">
        <x:v>FortiGate VDOM</x:v>
      </x:c>
      <x:c r="D250" s="12" t="str"/>
      <x:c r="E250" s="12" t="str"/>
      <x:c r="F250" s="12" t="str"/>
      <x:c r="G250" s="12" t="str"/>
      <x:c r="H250" s="12" t="str">
        <x:v>Belirlenecek</x:v>
      </x:c>
      <x:c r="I250" s="12" t="str"/>
      <x:c r="J250" s="12" t="str"/>
      <x:c r="K250" s="12" t="str"/>
      <x:c r="L250" s="13" t="str"/>
      <x:c r="M250" s="12" t="str"/>
      <x:c r="N250" s="12" t="str">
        <x:v>İncelenmedi</x:v>
      </x:c>
      <x:c r="O250" s="12" t="str">
        <x:v>İncelenmedi</x:v>
      </x:c>
      <x:c r="P250" s="12" t="str">
        <x:v>İncelenmedi</x:v>
      </x:c>
      <x:c r="Q250" s="12" t="str"/>
      <x:c r="R250" s="12" t="str"/>
      <x:c r="S250" s="13" t="str"/>
      <x:c r="T250" s="12" t="str"/>
      <x:c r="U250" s="12" t="str"/>
      <x:c r="V250" s="14" t="str">
        <x:f>IF(A250="","",IF(NOT(AND(COUNTIF(Exec[TestID],A250)=1,COUNTIF(Controls[ID],B250)=1,COUNTIFS(Scope[KapsamID],D250,Scope[OnayliKapsamID],D250,Scope[Ürün],C250)=1,OR(COUNTIFS(Controls[ID],B250,Controls[Ürün],C250)=1,COUNTIFS(Controls[ID],B250,Controls[Ürün],"MSP Genel")=1),E250&lt;&gt;"",F250&lt;&gt;"",G250&lt;&gt;"",I250&lt;&gt;"",Q250&lt;&gt;"")),"Kimlik / kapsam eksik",IF(NOT(OR(H250="Uygulanır",H250="Uygulanmaz")),"Uygulanabilirlik eksik",IF(AND(H250="Uygulanır",P250="Kanıt yetersiz",U250&lt;&gt;""),IF(AND(R250&lt;&gt;"",R250&lt;&gt;Q250,ISNUMBER(S250),S250&gt;0,S250&gt;=L250),"İnceleme tamam","Gözden geçirme eksik"),IF(NOT(AND(J250&lt;&gt;"",COUNTIFS(Evidence[KanitID],J250,Evidence[Kabul edilen ID],J250)=1,K250&lt;&gt;"",ISNUMBER(L250),L250&gt;0,M250&lt;&gt;"")),"Kanıt / test eksik",IF(NOT(AND(R250&lt;&gt;"",R250&lt;&gt;Q250,ISNUMBER(S250),S250&gt;0,S250&gt;=L250)),"Gözden geçirme eksik",IF(H250="Uygulanmaz","İnceleme tamam",IF(AND(OR(P250="Uygun",P250="Kısmen uygun",P250="Uygunsuz"),OR(N250="Uygun",N250="Kısmen uygun",N250="Uygunsuz"),OR(O250="Uygun",O250="Kısmen uygun",O250="Uygunsuz"),OR(P250&lt;&gt;"Uygun",AND(N250="Uygun",O250="Uygun")),OR(P250="Uygun",AND(T250&lt;&gt;"",COUNTIF(Findings[KayitliBulguID],T250)=1))),"İnceleme tamam","Sonuç / bulgu eksik"))))))))</x:f>
        <x:v>Kimlik / kapsam eksik</x:v>
      </x:c>
      <x:c r="W250" s="14" t="str">
        <x:f>IF(A250="","",IF(V250&lt;&gt;"İnceleme tamam","İncelenmedi",IF(H250="Uygulanmaz","Uygulanmaz",P250)))</x:f>
        <x:v>İncelenmedi</x:v>
      </x:c>
    </x:row>
    <x:row r="251" ht="35" customHeight="1">
      <x:c r="A251" s="12" t="str">
        <x:v>U-0246</x:v>
      </x:c>
      <x:c r="B251" s="12" t="str">
        <x:v>FGC-024</x:v>
      </x:c>
      <x:c r="C251" s="12" t="str">
        <x:v>FortiGate VDOM</x:v>
      </x:c>
      <x:c r="D251" s="12" t="str"/>
      <x:c r="E251" s="12" t="str"/>
      <x:c r="F251" s="12" t="str"/>
      <x:c r="G251" s="12" t="str"/>
      <x:c r="H251" s="12" t="str">
        <x:v>Belirlenecek</x:v>
      </x:c>
      <x:c r="I251" s="12" t="str"/>
      <x:c r="J251" s="12" t="str"/>
      <x:c r="K251" s="12" t="str"/>
      <x:c r="L251" s="13" t="str"/>
      <x:c r="M251" s="12" t="str"/>
      <x:c r="N251" s="12" t="str">
        <x:v>İncelenmedi</x:v>
      </x:c>
      <x:c r="O251" s="12" t="str">
        <x:v>İncelenmedi</x:v>
      </x:c>
      <x:c r="P251" s="12" t="str">
        <x:v>İncelenmedi</x:v>
      </x:c>
      <x:c r="Q251" s="12" t="str"/>
      <x:c r="R251" s="12" t="str"/>
      <x:c r="S251" s="13" t="str"/>
      <x:c r="T251" s="12" t="str"/>
      <x:c r="U251" s="12" t="str"/>
      <x:c r="V251" s="14" t="str">
        <x:f>IF(A251="","",IF(NOT(AND(COUNTIF(Exec[TestID],A251)=1,COUNTIF(Controls[ID],B251)=1,COUNTIFS(Scope[KapsamID],D251,Scope[OnayliKapsamID],D251,Scope[Ürün],C251)=1,OR(COUNTIFS(Controls[ID],B251,Controls[Ürün],C251)=1,COUNTIFS(Controls[ID],B251,Controls[Ürün],"MSP Genel")=1),E251&lt;&gt;"",F251&lt;&gt;"",G251&lt;&gt;"",I251&lt;&gt;"",Q251&lt;&gt;"")),"Kimlik / kapsam eksik",IF(NOT(OR(H251="Uygulanır",H251="Uygulanmaz")),"Uygulanabilirlik eksik",IF(AND(H251="Uygulanır",P251="Kanıt yetersiz",U251&lt;&gt;""),IF(AND(R251&lt;&gt;"",R251&lt;&gt;Q251,ISNUMBER(S251),S251&gt;0,S251&gt;=L251),"İnceleme tamam","Gözden geçirme eksik"),IF(NOT(AND(J251&lt;&gt;"",COUNTIFS(Evidence[KanitID],J251,Evidence[Kabul edilen ID],J251)=1,K251&lt;&gt;"",ISNUMBER(L251),L251&gt;0,M251&lt;&gt;"")),"Kanıt / test eksik",IF(NOT(AND(R251&lt;&gt;"",R251&lt;&gt;Q251,ISNUMBER(S251),S251&gt;0,S251&gt;=L251)),"Gözden geçirme eksik",IF(H251="Uygulanmaz","İnceleme tamam",IF(AND(OR(P251="Uygun",P251="Kısmen uygun",P251="Uygunsuz"),OR(N251="Uygun",N251="Kısmen uygun",N251="Uygunsuz"),OR(O251="Uygun",O251="Kısmen uygun",O251="Uygunsuz"),OR(P251&lt;&gt;"Uygun",AND(N251="Uygun",O251="Uygun")),OR(P251="Uygun",AND(T251&lt;&gt;"",COUNTIF(Findings[KayitliBulguID],T251)=1))),"İnceleme tamam","Sonuç / bulgu eksik"))))))))</x:f>
        <x:v>Kimlik / kapsam eksik</x:v>
      </x:c>
      <x:c r="W251" s="14" t="str">
        <x:f>IF(A251="","",IF(V251&lt;&gt;"İnceleme tamam","İncelenmedi",IF(H251="Uygulanmaz","Uygulanmaz",P251)))</x:f>
        <x:v>İncelenmedi</x:v>
      </x:c>
    </x:row>
    <x:row r="252" ht="35" customHeight="1">
      <x:c r="A252" s="12" t="str">
        <x:v>U-0247</x:v>
      </x:c>
      <x:c r="B252" s="12" t="str">
        <x:v>FGC-025</x:v>
      </x:c>
      <x:c r="C252" s="12" t="str">
        <x:v>FortiGate VDOM</x:v>
      </x:c>
      <x:c r="D252" s="12" t="str"/>
      <x:c r="E252" s="12" t="str"/>
      <x:c r="F252" s="12" t="str"/>
      <x:c r="G252" s="12" t="str"/>
      <x:c r="H252" s="12" t="str">
        <x:v>Belirlenecek</x:v>
      </x:c>
      <x:c r="I252" s="12" t="str"/>
      <x:c r="J252" s="12" t="str"/>
      <x:c r="K252" s="12" t="str"/>
      <x:c r="L252" s="13" t="str"/>
      <x:c r="M252" s="12" t="str"/>
      <x:c r="N252" s="12" t="str">
        <x:v>İncelenmedi</x:v>
      </x:c>
      <x:c r="O252" s="12" t="str">
        <x:v>İncelenmedi</x:v>
      </x:c>
      <x:c r="P252" s="12" t="str">
        <x:v>İncelenmedi</x:v>
      </x:c>
      <x:c r="Q252" s="12" t="str"/>
      <x:c r="R252" s="12" t="str"/>
      <x:c r="S252" s="13" t="str"/>
      <x:c r="T252" s="12" t="str"/>
      <x:c r="U252" s="12" t="str"/>
      <x:c r="V252" s="14" t="str">
        <x:f>IF(A252="","",IF(NOT(AND(COUNTIF(Exec[TestID],A252)=1,COUNTIF(Controls[ID],B252)=1,COUNTIFS(Scope[KapsamID],D252,Scope[OnayliKapsamID],D252,Scope[Ürün],C252)=1,OR(COUNTIFS(Controls[ID],B252,Controls[Ürün],C252)=1,COUNTIFS(Controls[ID],B252,Controls[Ürün],"MSP Genel")=1),E252&lt;&gt;"",F252&lt;&gt;"",G252&lt;&gt;"",I252&lt;&gt;"",Q252&lt;&gt;"")),"Kimlik / kapsam eksik",IF(NOT(OR(H252="Uygulanır",H252="Uygulanmaz")),"Uygulanabilirlik eksik",IF(AND(H252="Uygulanır",P252="Kanıt yetersiz",U252&lt;&gt;""),IF(AND(R252&lt;&gt;"",R252&lt;&gt;Q252,ISNUMBER(S252),S252&gt;0,S252&gt;=L252),"İnceleme tamam","Gözden geçirme eksik"),IF(NOT(AND(J252&lt;&gt;"",COUNTIFS(Evidence[KanitID],J252,Evidence[Kabul edilen ID],J252)=1,K252&lt;&gt;"",ISNUMBER(L252),L252&gt;0,M252&lt;&gt;"")),"Kanıt / test eksik",IF(NOT(AND(R252&lt;&gt;"",R252&lt;&gt;Q252,ISNUMBER(S252),S252&gt;0,S252&gt;=L252)),"Gözden geçirme eksik",IF(H252="Uygulanmaz","İnceleme tamam",IF(AND(OR(P252="Uygun",P252="Kısmen uygun",P252="Uygunsuz"),OR(N252="Uygun",N252="Kısmen uygun",N252="Uygunsuz"),OR(O252="Uygun",O252="Kısmen uygun",O252="Uygunsuz"),OR(P252&lt;&gt;"Uygun",AND(N252="Uygun",O252="Uygun")),OR(P252="Uygun",AND(T252&lt;&gt;"",COUNTIF(Findings[KayitliBulguID],T252)=1))),"İnceleme tamam","Sonuç / bulgu eksik"))))))))</x:f>
        <x:v>Kimlik / kapsam eksik</x:v>
      </x:c>
      <x:c r="W252" s="14" t="str">
        <x:f>IF(A252="","",IF(V252&lt;&gt;"İnceleme tamam","İncelenmedi",IF(H252="Uygulanmaz","Uygulanmaz",P252)))</x:f>
        <x:v>İncelenmedi</x:v>
      </x:c>
    </x:row>
    <x:row r="253" ht="35" customHeight="1">
      <x:c r="A253" s="12" t="str">
        <x:v>U-0248</x:v>
      </x:c>
      <x:c r="B253" s="12" t="str">
        <x:v>FGC-026</x:v>
      </x:c>
      <x:c r="C253" s="12" t="str">
        <x:v>FortiGate VDOM</x:v>
      </x:c>
      <x:c r="D253" s="12" t="str"/>
      <x:c r="E253" s="12" t="str"/>
      <x:c r="F253" s="12" t="str"/>
      <x:c r="G253" s="12" t="str"/>
      <x:c r="H253" s="12" t="str">
        <x:v>Belirlenecek</x:v>
      </x:c>
      <x:c r="I253" s="12" t="str"/>
      <x:c r="J253" s="12" t="str"/>
      <x:c r="K253" s="12" t="str"/>
      <x:c r="L253" s="13" t="str"/>
      <x:c r="M253" s="12" t="str"/>
      <x:c r="N253" s="12" t="str">
        <x:v>İncelenmedi</x:v>
      </x:c>
      <x:c r="O253" s="12" t="str">
        <x:v>İncelenmedi</x:v>
      </x:c>
      <x:c r="P253" s="12" t="str">
        <x:v>İncelenmedi</x:v>
      </x:c>
      <x:c r="Q253" s="12" t="str"/>
      <x:c r="R253" s="12" t="str"/>
      <x:c r="S253" s="13" t="str"/>
      <x:c r="T253" s="12" t="str"/>
      <x:c r="U253" s="12" t="str"/>
      <x:c r="V253" s="14" t="str">
        <x:f>IF(A253="","",IF(NOT(AND(COUNTIF(Exec[TestID],A253)=1,COUNTIF(Controls[ID],B253)=1,COUNTIFS(Scope[KapsamID],D253,Scope[OnayliKapsamID],D253,Scope[Ürün],C253)=1,OR(COUNTIFS(Controls[ID],B253,Controls[Ürün],C253)=1,COUNTIFS(Controls[ID],B253,Controls[Ürün],"MSP Genel")=1),E253&lt;&gt;"",F253&lt;&gt;"",G253&lt;&gt;"",I253&lt;&gt;"",Q253&lt;&gt;"")),"Kimlik / kapsam eksik",IF(NOT(OR(H253="Uygulanır",H253="Uygulanmaz")),"Uygulanabilirlik eksik",IF(AND(H253="Uygulanır",P253="Kanıt yetersiz",U253&lt;&gt;""),IF(AND(R253&lt;&gt;"",R253&lt;&gt;Q253,ISNUMBER(S253),S253&gt;0,S253&gt;=L253),"İnceleme tamam","Gözden geçirme eksik"),IF(NOT(AND(J253&lt;&gt;"",COUNTIFS(Evidence[KanitID],J253,Evidence[Kabul edilen ID],J253)=1,K253&lt;&gt;"",ISNUMBER(L253),L253&gt;0,M253&lt;&gt;"")),"Kanıt / test eksik",IF(NOT(AND(R253&lt;&gt;"",R253&lt;&gt;Q253,ISNUMBER(S253),S253&gt;0,S253&gt;=L253)),"Gözden geçirme eksik",IF(H253="Uygulanmaz","İnceleme tamam",IF(AND(OR(P253="Uygun",P253="Kısmen uygun",P253="Uygunsuz"),OR(N253="Uygun",N253="Kısmen uygun",N253="Uygunsuz"),OR(O253="Uygun",O253="Kısmen uygun",O253="Uygunsuz"),OR(P253&lt;&gt;"Uygun",AND(N253="Uygun",O253="Uygun")),OR(P253="Uygun",AND(T253&lt;&gt;"",COUNTIF(Findings[KayitliBulguID],T253)=1))),"İnceleme tamam","Sonuç / bulgu eksik"))))))))</x:f>
        <x:v>Kimlik / kapsam eksik</x:v>
      </x:c>
      <x:c r="W253" s="14" t="str">
        <x:f>IF(A253="","",IF(V253&lt;&gt;"İnceleme tamam","İncelenmedi",IF(H253="Uygulanmaz","Uygulanmaz",P253)))</x:f>
        <x:v>İncelenmedi</x:v>
      </x:c>
    </x:row>
    <x:row r="254" ht="35" customHeight="1">
      <x:c r="A254" s="12" t="str">
        <x:v>U-0249</x:v>
      </x:c>
      <x:c r="B254" s="12" t="str">
        <x:v>FGC-027</x:v>
      </x:c>
      <x:c r="C254" s="12" t="str">
        <x:v>FortiGate VDOM</x:v>
      </x:c>
      <x:c r="D254" s="12" t="str"/>
      <x:c r="E254" s="12" t="str"/>
      <x:c r="F254" s="12" t="str"/>
      <x:c r="G254" s="12" t="str"/>
      <x:c r="H254" s="12" t="str">
        <x:v>Belirlenecek</x:v>
      </x:c>
      <x:c r="I254" s="12" t="str"/>
      <x:c r="J254" s="12" t="str"/>
      <x:c r="K254" s="12" t="str"/>
      <x:c r="L254" s="13" t="str"/>
      <x:c r="M254" s="12" t="str"/>
      <x:c r="N254" s="12" t="str">
        <x:v>İncelenmedi</x:v>
      </x:c>
      <x:c r="O254" s="12" t="str">
        <x:v>İncelenmedi</x:v>
      </x:c>
      <x:c r="P254" s="12" t="str">
        <x:v>İncelenmedi</x:v>
      </x:c>
      <x:c r="Q254" s="12" t="str"/>
      <x:c r="R254" s="12" t="str"/>
      <x:c r="S254" s="13" t="str"/>
      <x:c r="T254" s="12" t="str"/>
      <x:c r="U254" s="12" t="str"/>
      <x:c r="V254" s="14" t="str">
        <x:f>IF(A254="","",IF(NOT(AND(COUNTIF(Exec[TestID],A254)=1,COUNTIF(Controls[ID],B254)=1,COUNTIFS(Scope[KapsamID],D254,Scope[OnayliKapsamID],D254,Scope[Ürün],C254)=1,OR(COUNTIFS(Controls[ID],B254,Controls[Ürün],C254)=1,COUNTIFS(Controls[ID],B254,Controls[Ürün],"MSP Genel")=1),E254&lt;&gt;"",F254&lt;&gt;"",G254&lt;&gt;"",I254&lt;&gt;"",Q254&lt;&gt;"")),"Kimlik / kapsam eksik",IF(NOT(OR(H254="Uygulanır",H254="Uygulanmaz")),"Uygulanabilirlik eksik",IF(AND(H254="Uygulanır",P254="Kanıt yetersiz",U254&lt;&gt;""),IF(AND(R254&lt;&gt;"",R254&lt;&gt;Q254,ISNUMBER(S254),S254&gt;0,S254&gt;=L254),"İnceleme tamam","Gözden geçirme eksik"),IF(NOT(AND(J254&lt;&gt;"",COUNTIFS(Evidence[KanitID],J254,Evidence[Kabul edilen ID],J254)=1,K254&lt;&gt;"",ISNUMBER(L254),L254&gt;0,M254&lt;&gt;"")),"Kanıt / test eksik",IF(NOT(AND(R254&lt;&gt;"",R254&lt;&gt;Q254,ISNUMBER(S254),S254&gt;0,S254&gt;=L254)),"Gözden geçirme eksik",IF(H254="Uygulanmaz","İnceleme tamam",IF(AND(OR(P254="Uygun",P254="Kısmen uygun",P254="Uygunsuz"),OR(N254="Uygun",N254="Kısmen uygun",N254="Uygunsuz"),OR(O254="Uygun",O254="Kısmen uygun",O254="Uygunsuz"),OR(P254&lt;&gt;"Uygun",AND(N254="Uygun",O254="Uygun")),OR(P254="Uygun",AND(T254&lt;&gt;"",COUNTIF(Findings[KayitliBulguID],T254)=1))),"İnceleme tamam","Sonuç / bulgu eksik"))))))))</x:f>
        <x:v>Kimlik / kapsam eksik</x:v>
      </x:c>
      <x:c r="W254" s="14" t="str">
        <x:f>IF(A254="","",IF(V254&lt;&gt;"İnceleme tamam","İncelenmedi",IF(H254="Uygulanmaz","Uygulanmaz",P254)))</x:f>
        <x:v>İncelenmedi</x:v>
      </x:c>
    </x:row>
    <x:row r="255" ht="35" customHeight="1">
      <x:c r="A255" s="12" t="str">
        <x:v>U-0250</x:v>
      </x:c>
      <x:c r="B255" s="12" t="str">
        <x:v>FGC-028</x:v>
      </x:c>
      <x:c r="C255" s="12" t="str">
        <x:v>FortiGate VDOM</x:v>
      </x:c>
      <x:c r="D255" s="12" t="str"/>
      <x:c r="E255" s="12" t="str"/>
      <x:c r="F255" s="12" t="str"/>
      <x:c r="G255" s="12" t="str"/>
      <x:c r="H255" s="12" t="str">
        <x:v>Belirlenecek</x:v>
      </x:c>
      <x:c r="I255" s="12" t="str"/>
      <x:c r="J255" s="12" t="str"/>
      <x:c r="K255" s="12" t="str"/>
      <x:c r="L255" s="13" t="str"/>
      <x:c r="M255" s="12" t="str"/>
      <x:c r="N255" s="12" t="str">
        <x:v>İncelenmedi</x:v>
      </x:c>
      <x:c r="O255" s="12" t="str">
        <x:v>İncelenmedi</x:v>
      </x:c>
      <x:c r="P255" s="12" t="str">
        <x:v>İncelenmedi</x:v>
      </x:c>
      <x:c r="Q255" s="12" t="str"/>
      <x:c r="R255" s="12" t="str"/>
      <x:c r="S255" s="13" t="str"/>
      <x:c r="T255" s="12" t="str"/>
      <x:c r="U255" s="12" t="str"/>
      <x:c r="V255" s="14" t="str">
        <x:f>IF(A255="","",IF(NOT(AND(COUNTIF(Exec[TestID],A255)=1,COUNTIF(Controls[ID],B255)=1,COUNTIFS(Scope[KapsamID],D255,Scope[OnayliKapsamID],D255,Scope[Ürün],C255)=1,OR(COUNTIFS(Controls[ID],B255,Controls[Ürün],C255)=1,COUNTIFS(Controls[ID],B255,Controls[Ürün],"MSP Genel")=1),E255&lt;&gt;"",F255&lt;&gt;"",G255&lt;&gt;"",I255&lt;&gt;"",Q255&lt;&gt;"")),"Kimlik / kapsam eksik",IF(NOT(OR(H255="Uygulanır",H255="Uygulanmaz")),"Uygulanabilirlik eksik",IF(AND(H255="Uygulanır",P255="Kanıt yetersiz",U255&lt;&gt;""),IF(AND(R255&lt;&gt;"",R255&lt;&gt;Q255,ISNUMBER(S255),S255&gt;0,S255&gt;=L255),"İnceleme tamam","Gözden geçirme eksik"),IF(NOT(AND(J255&lt;&gt;"",COUNTIFS(Evidence[KanitID],J255,Evidence[Kabul edilen ID],J255)=1,K255&lt;&gt;"",ISNUMBER(L255),L255&gt;0,M255&lt;&gt;"")),"Kanıt / test eksik",IF(NOT(AND(R255&lt;&gt;"",R255&lt;&gt;Q255,ISNUMBER(S255),S255&gt;0,S255&gt;=L255)),"Gözden geçirme eksik",IF(H255="Uygulanmaz","İnceleme tamam",IF(AND(OR(P255="Uygun",P255="Kısmen uygun",P255="Uygunsuz"),OR(N255="Uygun",N255="Kısmen uygun",N255="Uygunsuz"),OR(O255="Uygun",O255="Kısmen uygun",O255="Uygunsuz"),OR(P255&lt;&gt;"Uygun",AND(N255="Uygun",O255="Uygun")),OR(P255="Uygun",AND(T255&lt;&gt;"",COUNTIF(Findings[KayitliBulguID],T255)=1))),"İnceleme tamam","Sonuç / bulgu eksik"))))))))</x:f>
        <x:v>Kimlik / kapsam eksik</x:v>
      </x:c>
      <x:c r="W255" s="14" t="str">
        <x:f>IF(A255="","",IF(V255&lt;&gt;"İnceleme tamam","İncelenmedi",IF(H255="Uygulanmaz","Uygulanmaz",P255)))</x:f>
        <x:v>İncelenmedi</x:v>
      </x:c>
    </x:row>
    <x:row r="256" ht="35" customHeight="1">
      <x:c r="A256" s="12" t="str">
        <x:v>U-0251</x:v>
      </x:c>
      <x:c r="B256" s="12" t="str">
        <x:v>FGC-029</x:v>
      </x:c>
      <x:c r="C256" s="12" t="str">
        <x:v>FortiGate VDOM</x:v>
      </x:c>
      <x:c r="D256" s="12" t="str"/>
      <x:c r="E256" s="12" t="str"/>
      <x:c r="F256" s="12" t="str"/>
      <x:c r="G256" s="12" t="str"/>
      <x:c r="H256" s="12" t="str">
        <x:v>Belirlenecek</x:v>
      </x:c>
      <x:c r="I256" s="12" t="str"/>
      <x:c r="J256" s="12" t="str"/>
      <x:c r="K256" s="12" t="str"/>
      <x:c r="L256" s="13" t="str"/>
      <x:c r="M256" s="12" t="str"/>
      <x:c r="N256" s="12" t="str">
        <x:v>İncelenmedi</x:v>
      </x:c>
      <x:c r="O256" s="12" t="str">
        <x:v>İncelenmedi</x:v>
      </x:c>
      <x:c r="P256" s="12" t="str">
        <x:v>İncelenmedi</x:v>
      </x:c>
      <x:c r="Q256" s="12" t="str"/>
      <x:c r="R256" s="12" t="str"/>
      <x:c r="S256" s="13" t="str"/>
      <x:c r="T256" s="12" t="str"/>
      <x:c r="U256" s="12" t="str"/>
      <x:c r="V256" s="14" t="str">
        <x:f>IF(A256="","",IF(NOT(AND(COUNTIF(Exec[TestID],A256)=1,COUNTIF(Controls[ID],B256)=1,COUNTIFS(Scope[KapsamID],D256,Scope[OnayliKapsamID],D256,Scope[Ürün],C256)=1,OR(COUNTIFS(Controls[ID],B256,Controls[Ürün],C256)=1,COUNTIFS(Controls[ID],B256,Controls[Ürün],"MSP Genel")=1),E256&lt;&gt;"",F256&lt;&gt;"",G256&lt;&gt;"",I256&lt;&gt;"",Q256&lt;&gt;"")),"Kimlik / kapsam eksik",IF(NOT(OR(H256="Uygulanır",H256="Uygulanmaz")),"Uygulanabilirlik eksik",IF(AND(H256="Uygulanır",P256="Kanıt yetersiz",U256&lt;&gt;""),IF(AND(R256&lt;&gt;"",R256&lt;&gt;Q256,ISNUMBER(S256),S256&gt;0,S256&gt;=L256),"İnceleme tamam","Gözden geçirme eksik"),IF(NOT(AND(J256&lt;&gt;"",COUNTIFS(Evidence[KanitID],J256,Evidence[Kabul edilen ID],J256)=1,K256&lt;&gt;"",ISNUMBER(L256),L256&gt;0,M256&lt;&gt;"")),"Kanıt / test eksik",IF(NOT(AND(R256&lt;&gt;"",R256&lt;&gt;Q256,ISNUMBER(S256),S256&gt;0,S256&gt;=L256)),"Gözden geçirme eksik",IF(H256="Uygulanmaz","İnceleme tamam",IF(AND(OR(P256="Uygun",P256="Kısmen uygun",P256="Uygunsuz"),OR(N256="Uygun",N256="Kısmen uygun",N256="Uygunsuz"),OR(O256="Uygun",O256="Kısmen uygun",O256="Uygunsuz"),OR(P256&lt;&gt;"Uygun",AND(N256="Uygun",O256="Uygun")),OR(P256="Uygun",AND(T256&lt;&gt;"",COUNTIF(Findings[KayitliBulguID],T256)=1))),"İnceleme tamam","Sonuç / bulgu eksik"))))))))</x:f>
        <x:v>Kimlik / kapsam eksik</x:v>
      </x:c>
      <x:c r="W256" s="14" t="str">
        <x:f>IF(A256="","",IF(V256&lt;&gt;"İnceleme tamam","İncelenmedi",IF(H256="Uygulanmaz","Uygulanmaz",P256)))</x:f>
        <x:v>İncelenmedi</x:v>
      </x:c>
    </x:row>
    <x:row r="257" ht="35" customHeight="1">
      <x:c r="A257" s="12" t="str">
        <x:v>U-0252</x:v>
      </x:c>
      <x:c r="B257" s="12" t="str">
        <x:v>FGC-030</x:v>
      </x:c>
      <x:c r="C257" s="12" t="str">
        <x:v>FortiGate VDOM</x:v>
      </x:c>
      <x:c r="D257" s="12" t="str"/>
      <x:c r="E257" s="12" t="str"/>
      <x:c r="F257" s="12" t="str"/>
      <x:c r="G257" s="12" t="str"/>
      <x:c r="H257" s="12" t="str">
        <x:v>Belirlenecek</x:v>
      </x:c>
      <x:c r="I257" s="12" t="str"/>
      <x:c r="J257" s="12" t="str"/>
      <x:c r="K257" s="12" t="str"/>
      <x:c r="L257" s="13" t="str"/>
      <x:c r="M257" s="12" t="str"/>
      <x:c r="N257" s="12" t="str">
        <x:v>İncelenmedi</x:v>
      </x:c>
      <x:c r="O257" s="12" t="str">
        <x:v>İncelenmedi</x:v>
      </x:c>
      <x:c r="P257" s="12" t="str">
        <x:v>İncelenmedi</x:v>
      </x:c>
      <x:c r="Q257" s="12" t="str"/>
      <x:c r="R257" s="12" t="str"/>
      <x:c r="S257" s="13" t="str"/>
      <x:c r="T257" s="12" t="str"/>
      <x:c r="U257" s="12" t="str"/>
      <x:c r="V257" s="14" t="str">
        <x:f>IF(A257="","",IF(NOT(AND(COUNTIF(Exec[TestID],A257)=1,COUNTIF(Controls[ID],B257)=1,COUNTIFS(Scope[KapsamID],D257,Scope[OnayliKapsamID],D257,Scope[Ürün],C257)=1,OR(COUNTIFS(Controls[ID],B257,Controls[Ürün],C257)=1,COUNTIFS(Controls[ID],B257,Controls[Ürün],"MSP Genel")=1),E257&lt;&gt;"",F257&lt;&gt;"",G257&lt;&gt;"",I257&lt;&gt;"",Q257&lt;&gt;"")),"Kimlik / kapsam eksik",IF(NOT(OR(H257="Uygulanır",H257="Uygulanmaz")),"Uygulanabilirlik eksik",IF(AND(H257="Uygulanır",P257="Kanıt yetersiz",U257&lt;&gt;""),IF(AND(R257&lt;&gt;"",R257&lt;&gt;Q257,ISNUMBER(S257),S257&gt;0,S257&gt;=L257),"İnceleme tamam","Gözden geçirme eksik"),IF(NOT(AND(J257&lt;&gt;"",COUNTIFS(Evidence[KanitID],J257,Evidence[Kabul edilen ID],J257)=1,K257&lt;&gt;"",ISNUMBER(L257),L257&gt;0,M257&lt;&gt;"")),"Kanıt / test eksik",IF(NOT(AND(R257&lt;&gt;"",R257&lt;&gt;Q257,ISNUMBER(S257),S257&gt;0,S257&gt;=L257)),"Gözden geçirme eksik",IF(H257="Uygulanmaz","İnceleme tamam",IF(AND(OR(P257="Uygun",P257="Kısmen uygun",P257="Uygunsuz"),OR(N257="Uygun",N257="Kısmen uygun",N257="Uygunsuz"),OR(O257="Uygun",O257="Kısmen uygun",O257="Uygunsuz"),OR(P257&lt;&gt;"Uygun",AND(N257="Uygun",O257="Uygun")),OR(P257="Uygun",AND(T257&lt;&gt;"",COUNTIF(Findings[KayitliBulguID],T257)=1))),"İnceleme tamam","Sonuç / bulgu eksik"))))))))</x:f>
        <x:v>Kimlik / kapsam eksik</x:v>
      </x:c>
      <x:c r="W257" s="14" t="str">
        <x:f>IF(A257="","",IF(V257&lt;&gt;"İnceleme tamam","İncelenmedi",IF(H257="Uygulanmaz","Uygulanmaz",P257)))</x:f>
        <x:v>İncelenmedi</x:v>
      </x:c>
    </x:row>
    <x:row r="258" ht="35" customHeight="1">
      <x:c r="A258" s="12" t="str">
        <x:v>U-0253</x:v>
      </x:c>
      <x:c r="B258" s="12" t="str">
        <x:v>FGC-031</x:v>
      </x:c>
      <x:c r="C258" s="12" t="str">
        <x:v>FortiGate VDOM</x:v>
      </x:c>
      <x:c r="D258" s="12" t="str"/>
      <x:c r="E258" s="12" t="str"/>
      <x:c r="F258" s="12" t="str"/>
      <x:c r="G258" s="12" t="str"/>
      <x:c r="H258" s="12" t="str">
        <x:v>Belirlenecek</x:v>
      </x:c>
      <x:c r="I258" s="12" t="str"/>
      <x:c r="J258" s="12" t="str"/>
      <x:c r="K258" s="12" t="str"/>
      <x:c r="L258" s="13" t="str"/>
      <x:c r="M258" s="12" t="str"/>
      <x:c r="N258" s="12" t="str">
        <x:v>İncelenmedi</x:v>
      </x:c>
      <x:c r="O258" s="12" t="str">
        <x:v>İncelenmedi</x:v>
      </x:c>
      <x:c r="P258" s="12" t="str">
        <x:v>İncelenmedi</x:v>
      </x:c>
      <x:c r="Q258" s="12" t="str"/>
      <x:c r="R258" s="12" t="str"/>
      <x:c r="S258" s="13" t="str"/>
      <x:c r="T258" s="12" t="str"/>
      <x:c r="U258" s="12" t="str"/>
      <x:c r="V258" s="14" t="str">
        <x:f>IF(A258="","",IF(NOT(AND(COUNTIF(Exec[TestID],A258)=1,COUNTIF(Controls[ID],B258)=1,COUNTIFS(Scope[KapsamID],D258,Scope[OnayliKapsamID],D258,Scope[Ürün],C258)=1,OR(COUNTIFS(Controls[ID],B258,Controls[Ürün],C258)=1,COUNTIFS(Controls[ID],B258,Controls[Ürün],"MSP Genel")=1),E258&lt;&gt;"",F258&lt;&gt;"",G258&lt;&gt;"",I258&lt;&gt;"",Q258&lt;&gt;"")),"Kimlik / kapsam eksik",IF(NOT(OR(H258="Uygulanır",H258="Uygulanmaz")),"Uygulanabilirlik eksik",IF(AND(H258="Uygulanır",P258="Kanıt yetersiz",U258&lt;&gt;""),IF(AND(R258&lt;&gt;"",R258&lt;&gt;Q258,ISNUMBER(S258),S258&gt;0,S258&gt;=L258),"İnceleme tamam","Gözden geçirme eksik"),IF(NOT(AND(J258&lt;&gt;"",COUNTIFS(Evidence[KanitID],J258,Evidence[Kabul edilen ID],J258)=1,K258&lt;&gt;"",ISNUMBER(L258),L258&gt;0,M258&lt;&gt;"")),"Kanıt / test eksik",IF(NOT(AND(R258&lt;&gt;"",R258&lt;&gt;Q258,ISNUMBER(S258),S258&gt;0,S258&gt;=L258)),"Gözden geçirme eksik",IF(H258="Uygulanmaz","İnceleme tamam",IF(AND(OR(P258="Uygun",P258="Kısmen uygun",P258="Uygunsuz"),OR(N258="Uygun",N258="Kısmen uygun",N258="Uygunsuz"),OR(O258="Uygun",O258="Kısmen uygun",O258="Uygunsuz"),OR(P258&lt;&gt;"Uygun",AND(N258="Uygun",O258="Uygun")),OR(P258="Uygun",AND(T258&lt;&gt;"",COUNTIF(Findings[KayitliBulguID],T258)=1))),"İnceleme tamam","Sonuç / bulgu eksik"))))))))</x:f>
        <x:v>Kimlik / kapsam eksik</x:v>
      </x:c>
      <x:c r="W258" s="14" t="str">
        <x:f>IF(A258="","",IF(V258&lt;&gt;"İnceleme tamam","İncelenmedi",IF(H258="Uygulanmaz","Uygulanmaz",P258)))</x:f>
        <x:v>İncelenmedi</x:v>
      </x:c>
    </x:row>
    <x:row r="259" ht="35" customHeight="1">
      <x:c r="A259" s="12" t="str">
        <x:v>U-0254</x:v>
      </x:c>
      <x:c r="B259" s="12" t="str">
        <x:v>FGC-032</x:v>
      </x:c>
      <x:c r="C259" s="12" t="str">
        <x:v>FortiGate VDOM</x:v>
      </x:c>
      <x:c r="D259" s="12" t="str"/>
      <x:c r="E259" s="12" t="str"/>
      <x:c r="F259" s="12" t="str"/>
      <x:c r="G259" s="12" t="str"/>
      <x:c r="H259" s="12" t="str">
        <x:v>Belirlenecek</x:v>
      </x:c>
      <x:c r="I259" s="12" t="str"/>
      <x:c r="J259" s="12" t="str"/>
      <x:c r="K259" s="12" t="str"/>
      <x:c r="L259" s="13" t="str"/>
      <x:c r="M259" s="12" t="str"/>
      <x:c r="N259" s="12" t="str">
        <x:v>İncelenmedi</x:v>
      </x:c>
      <x:c r="O259" s="12" t="str">
        <x:v>İncelenmedi</x:v>
      </x:c>
      <x:c r="P259" s="12" t="str">
        <x:v>İncelenmedi</x:v>
      </x:c>
      <x:c r="Q259" s="12" t="str"/>
      <x:c r="R259" s="12" t="str"/>
      <x:c r="S259" s="13" t="str"/>
      <x:c r="T259" s="12" t="str"/>
      <x:c r="U259" s="12" t="str"/>
      <x:c r="V259" s="14" t="str">
        <x:f>IF(A259="","",IF(NOT(AND(COUNTIF(Exec[TestID],A259)=1,COUNTIF(Controls[ID],B259)=1,COUNTIFS(Scope[KapsamID],D259,Scope[OnayliKapsamID],D259,Scope[Ürün],C259)=1,OR(COUNTIFS(Controls[ID],B259,Controls[Ürün],C259)=1,COUNTIFS(Controls[ID],B259,Controls[Ürün],"MSP Genel")=1),E259&lt;&gt;"",F259&lt;&gt;"",G259&lt;&gt;"",I259&lt;&gt;"",Q259&lt;&gt;"")),"Kimlik / kapsam eksik",IF(NOT(OR(H259="Uygulanır",H259="Uygulanmaz")),"Uygulanabilirlik eksik",IF(AND(H259="Uygulanır",P259="Kanıt yetersiz",U259&lt;&gt;""),IF(AND(R259&lt;&gt;"",R259&lt;&gt;Q259,ISNUMBER(S259),S259&gt;0,S259&gt;=L259),"İnceleme tamam","Gözden geçirme eksik"),IF(NOT(AND(J259&lt;&gt;"",COUNTIFS(Evidence[KanitID],J259,Evidence[Kabul edilen ID],J259)=1,K259&lt;&gt;"",ISNUMBER(L259),L259&gt;0,M259&lt;&gt;"")),"Kanıt / test eksik",IF(NOT(AND(R259&lt;&gt;"",R259&lt;&gt;Q259,ISNUMBER(S259),S259&gt;0,S259&gt;=L259)),"Gözden geçirme eksik",IF(H259="Uygulanmaz","İnceleme tamam",IF(AND(OR(P259="Uygun",P259="Kısmen uygun",P259="Uygunsuz"),OR(N259="Uygun",N259="Kısmen uygun",N259="Uygunsuz"),OR(O259="Uygun",O259="Kısmen uygun",O259="Uygunsuz"),OR(P259&lt;&gt;"Uygun",AND(N259="Uygun",O259="Uygun")),OR(P259="Uygun",AND(T259&lt;&gt;"",COUNTIF(Findings[KayitliBulguID],T259)=1))),"İnceleme tamam","Sonuç / bulgu eksik"))))))))</x:f>
        <x:v>Kimlik / kapsam eksik</x:v>
      </x:c>
      <x:c r="W259" s="14" t="str">
        <x:f>IF(A259="","",IF(V259&lt;&gt;"İnceleme tamam","İncelenmedi",IF(H259="Uygulanmaz","Uygulanmaz",P259)))</x:f>
        <x:v>İncelenmedi</x:v>
      </x:c>
    </x:row>
    <x:row r="260" ht="35" customHeight="1">
      <x:c r="A260" s="12" t="str">
        <x:v>U-0255</x:v>
      </x:c>
      <x:c r="B260" s="12" t="str">
        <x:v>FGC-033</x:v>
      </x:c>
      <x:c r="C260" s="12" t="str">
        <x:v>FortiGate VDOM</x:v>
      </x:c>
      <x:c r="D260" s="12" t="str"/>
      <x:c r="E260" s="12" t="str"/>
      <x:c r="F260" s="12" t="str"/>
      <x:c r="G260" s="12" t="str"/>
      <x:c r="H260" s="12" t="str">
        <x:v>Belirlenecek</x:v>
      </x:c>
      <x:c r="I260" s="12" t="str"/>
      <x:c r="J260" s="12" t="str"/>
      <x:c r="K260" s="12" t="str"/>
      <x:c r="L260" s="13" t="str"/>
      <x:c r="M260" s="12" t="str"/>
      <x:c r="N260" s="12" t="str">
        <x:v>İncelenmedi</x:v>
      </x:c>
      <x:c r="O260" s="12" t="str">
        <x:v>İncelenmedi</x:v>
      </x:c>
      <x:c r="P260" s="12" t="str">
        <x:v>İncelenmedi</x:v>
      </x:c>
      <x:c r="Q260" s="12" t="str"/>
      <x:c r="R260" s="12" t="str"/>
      <x:c r="S260" s="13" t="str"/>
      <x:c r="T260" s="12" t="str"/>
      <x:c r="U260" s="12" t="str"/>
      <x:c r="V260" s="14" t="str">
        <x:f>IF(A260="","",IF(NOT(AND(COUNTIF(Exec[TestID],A260)=1,COUNTIF(Controls[ID],B260)=1,COUNTIFS(Scope[KapsamID],D260,Scope[OnayliKapsamID],D260,Scope[Ürün],C260)=1,OR(COUNTIFS(Controls[ID],B260,Controls[Ürün],C260)=1,COUNTIFS(Controls[ID],B260,Controls[Ürün],"MSP Genel")=1),E260&lt;&gt;"",F260&lt;&gt;"",G260&lt;&gt;"",I260&lt;&gt;"",Q260&lt;&gt;"")),"Kimlik / kapsam eksik",IF(NOT(OR(H260="Uygulanır",H260="Uygulanmaz")),"Uygulanabilirlik eksik",IF(AND(H260="Uygulanır",P260="Kanıt yetersiz",U260&lt;&gt;""),IF(AND(R260&lt;&gt;"",R260&lt;&gt;Q260,ISNUMBER(S260),S260&gt;0,S260&gt;=L260),"İnceleme tamam","Gözden geçirme eksik"),IF(NOT(AND(J260&lt;&gt;"",COUNTIFS(Evidence[KanitID],J260,Evidence[Kabul edilen ID],J260)=1,K260&lt;&gt;"",ISNUMBER(L260),L260&gt;0,M260&lt;&gt;"")),"Kanıt / test eksik",IF(NOT(AND(R260&lt;&gt;"",R260&lt;&gt;Q260,ISNUMBER(S260),S260&gt;0,S260&gt;=L260)),"Gözden geçirme eksik",IF(H260="Uygulanmaz","İnceleme tamam",IF(AND(OR(P260="Uygun",P260="Kısmen uygun",P260="Uygunsuz"),OR(N260="Uygun",N260="Kısmen uygun",N260="Uygunsuz"),OR(O260="Uygun",O260="Kısmen uygun",O260="Uygunsuz"),OR(P260&lt;&gt;"Uygun",AND(N260="Uygun",O260="Uygun")),OR(P260="Uygun",AND(T260&lt;&gt;"",COUNTIF(Findings[KayitliBulguID],T260)=1))),"İnceleme tamam","Sonuç / bulgu eksik"))))))))</x:f>
        <x:v>Kimlik / kapsam eksik</x:v>
      </x:c>
      <x:c r="W260" s="14" t="str">
        <x:f>IF(A260="","",IF(V260&lt;&gt;"İnceleme tamam","İncelenmedi",IF(H260="Uygulanmaz","Uygulanmaz",P260)))</x:f>
        <x:v>İncelenmedi</x:v>
      </x:c>
    </x:row>
    <x:row r="261" ht="35" customHeight="1">
      <x:c r="A261" s="12" t="str">
        <x:v>U-0256</x:v>
      </x:c>
      <x:c r="B261" s="12" t="str">
        <x:v>FGT-007</x:v>
      </x:c>
      <x:c r="C261" s="12" t="str">
        <x:v>FortiGate VDOM</x:v>
      </x:c>
      <x:c r="D261" s="12" t="str"/>
      <x:c r="E261" s="12" t="str"/>
      <x:c r="F261" s="12" t="str"/>
      <x:c r="G261" s="12" t="str"/>
      <x:c r="H261" s="12" t="str">
        <x:v>Belirlenecek</x:v>
      </x:c>
      <x:c r="I261" s="12" t="str"/>
      <x:c r="J261" s="12" t="str"/>
      <x:c r="K261" s="12" t="str"/>
      <x:c r="L261" s="13" t="str"/>
      <x:c r="M261" s="12" t="str"/>
      <x:c r="N261" s="12" t="str">
        <x:v>İncelenmedi</x:v>
      </x:c>
      <x:c r="O261" s="12" t="str">
        <x:v>İncelenmedi</x:v>
      </x:c>
      <x:c r="P261" s="12" t="str">
        <x:v>İncelenmedi</x:v>
      </x:c>
      <x:c r="Q261" s="12" t="str"/>
      <x:c r="R261" s="12" t="str"/>
      <x:c r="S261" s="13" t="str"/>
      <x:c r="T261" s="12" t="str"/>
      <x:c r="U261" s="12" t="str"/>
      <x:c r="V261" s="14" t="str">
        <x:f>IF(A261="","",IF(NOT(AND(COUNTIF(Exec[TestID],A261)=1,COUNTIF(Controls[ID],B261)=1,COUNTIFS(Scope[KapsamID],D261,Scope[OnayliKapsamID],D261,Scope[Ürün],C261)=1,OR(COUNTIFS(Controls[ID],B261,Controls[Ürün],C261)=1,COUNTIFS(Controls[ID],B261,Controls[Ürün],"MSP Genel")=1),E261&lt;&gt;"",F261&lt;&gt;"",G261&lt;&gt;"",I261&lt;&gt;"",Q261&lt;&gt;"")),"Kimlik / kapsam eksik",IF(NOT(OR(H261="Uygulanır",H261="Uygulanmaz")),"Uygulanabilirlik eksik",IF(AND(H261="Uygulanır",P261="Kanıt yetersiz",U261&lt;&gt;""),IF(AND(R261&lt;&gt;"",R261&lt;&gt;Q261,ISNUMBER(S261),S261&gt;0,S261&gt;=L261),"İnceleme tamam","Gözden geçirme eksik"),IF(NOT(AND(J261&lt;&gt;"",COUNTIFS(Evidence[KanitID],J261,Evidence[Kabul edilen ID],J261)=1,K261&lt;&gt;"",ISNUMBER(L261),L261&gt;0,M261&lt;&gt;"")),"Kanıt / test eksik",IF(NOT(AND(R261&lt;&gt;"",R261&lt;&gt;Q261,ISNUMBER(S261),S261&gt;0,S261&gt;=L261)),"Gözden geçirme eksik",IF(H261="Uygulanmaz","İnceleme tamam",IF(AND(OR(P261="Uygun",P261="Kısmen uygun",P261="Uygunsuz"),OR(N261="Uygun",N261="Kısmen uygun",N261="Uygunsuz"),OR(O261="Uygun",O261="Kısmen uygun",O261="Uygunsuz"),OR(P261&lt;&gt;"Uygun",AND(N261="Uygun",O261="Uygun")),OR(P261="Uygun",AND(T261&lt;&gt;"",COUNTIF(Findings[KayitliBulguID],T261)=1))),"İnceleme tamam","Sonuç / bulgu eksik"))))))))</x:f>
        <x:v>Kimlik / kapsam eksik</x:v>
      </x:c>
      <x:c r="W261" s="14" t="str">
        <x:f>IF(A261="","",IF(V261&lt;&gt;"İnceleme tamam","İncelenmedi",IF(H261="Uygulanmaz","Uygulanmaz",P261)))</x:f>
        <x:v>İncelenmedi</x:v>
      </x:c>
    </x:row>
    <x:row r="262" ht="35" customHeight="1">
      <x:c r="A262" s="12" t="str">
        <x:v>U-0257</x:v>
      </x:c>
      <x:c r="B262" s="12" t="str">
        <x:v>FGT-008</x:v>
      </x:c>
      <x:c r="C262" s="12" t="str">
        <x:v>FortiGate VDOM</x:v>
      </x:c>
      <x:c r="D262" s="12" t="str"/>
      <x:c r="E262" s="12" t="str"/>
      <x:c r="F262" s="12" t="str"/>
      <x:c r="G262" s="12" t="str"/>
      <x:c r="H262" s="12" t="str">
        <x:v>Belirlenecek</x:v>
      </x:c>
      <x:c r="I262" s="12" t="str"/>
      <x:c r="J262" s="12" t="str"/>
      <x:c r="K262" s="12" t="str"/>
      <x:c r="L262" s="13" t="str"/>
      <x:c r="M262" s="12" t="str"/>
      <x:c r="N262" s="12" t="str">
        <x:v>İncelenmedi</x:v>
      </x:c>
      <x:c r="O262" s="12" t="str">
        <x:v>İncelenmedi</x:v>
      </x:c>
      <x:c r="P262" s="12" t="str">
        <x:v>İncelenmedi</x:v>
      </x:c>
      <x:c r="Q262" s="12" t="str"/>
      <x:c r="R262" s="12" t="str"/>
      <x:c r="S262" s="13" t="str"/>
      <x:c r="T262" s="12" t="str"/>
      <x:c r="U262" s="12" t="str"/>
      <x:c r="V262" s="14" t="str">
        <x:f>IF(A262="","",IF(NOT(AND(COUNTIF(Exec[TestID],A262)=1,COUNTIF(Controls[ID],B262)=1,COUNTIFS(Scope[KapsamID],D262,Scope[OnayliKapsamID],D262,Scope[Ürün],C262)=1,OR(COUNTIFS(Controls[ID],B262,Controls[Ürün],C262)=1,COUNTIFS(Controls[ID],B262,Controls[Ürün],"MSP Genel")=1),E262&lt;&gt;"",F262&lt;&gt;"",G262&lt;&gt;"",I262&lt;&gt;"",Q262&lt;&gt;"")),"Kimlik / kapsam eksik",IF(NOT(OR(H262="Uygulanır",H262="Uygulanmaz")),"Uygulanabilirlik eksik",IF(AND(H262="Uygulanır",P262="Kanıt yetersiz",U262&lt;&gt;""),IF(AND(R262&lt;&gt;"",R262&lt;&gt;Q262,ISNUMBER(S262),S262&gt;0,S262&gt;=L262),"İnceleme tamam","Gözden geçirme eksik"),IF(NOT(AND(J262&lt;&gt;"",COUNTIFS(Evidence[KanitID],J262,Evidence[Kabul edilen ID],J262)=1,K262&lt;&gt;"",ISNUMBER(L262),L262&gt;0,M262&lt;&gt;"")),"Kanıt / test eksik",IF(NOT(AND(R262&lt;&gt;"",R262&lt;&gt;Q262,ISNUMBER(S262),S262&gt;0,S262&gt;=L262)),"Gözden geçirme eksik",IF(H262="Uygulanmaz","İnceleme tamam",IF(AND(OR(P262="Uygun",P262="Kısmen uygun",P262="Uygunsuz"),OR(N262="Uygun",N262="Kısmen uygun",N262="Uygunsuz"),OR(O262="Uygun",O262="Kısmen uygun",O262="Uygunsuz"),OR(P262&lt;&gt;"Uygun",AND(N262="Uygun",O262="Uygun")),OR(P262="Uygun",AND(T262&lt;&gt;"",COUNTIF(Findings[KayitliBulguID],T262)=1))),"İnceleme tamam","Sonuç / bulgu eksik"))))))))</x:f>
        <x:v>Kimlik / kapsam eksik</x:v>
      </x:c>
      <x:c r="W262" s="14" t="str">
        <x:f>IF(A262="","",IF(V262&lt;&gt;"İnceleme tamam","İncelenmedi",IF(H262="Uygulanmaz","Uygulanmaz",P262)))</x:f>
        <x:v>İncelenmedi</x:v>
      </x:c>
    </x:row>
    <x:row r="263" ht="35" customHeight="1">
      <x:c r="A263" s="12" t="str">
        <x:v>U-0258</x:v>
      </x:c>
      <x:c r="B263" s="12" t="str">
        <x:v>FGT-010</x:v>
      </x:c>
      <x:c r="C263" s="12" t="str">
        <x:v>FortiGate VDOM</x:v>
      </x:c>
      <x:c r="D263" s="12" t="str"/>
      <x:c r="E263" s="12" t="str"/>
      <x:c r="F263" s="12" t="str"/>
      <x:c r="G263" s="12" t="str"/>
      <x:c r="H263" s="12" t="str">
        <x:v>Belirlenecek</x:v>
      </x:c>
      <x:c r="I263" s="12" t="str"/>
      <x:c r="J263" s="12" t="str"/>
      <x:c r="K263" s="12" t="str"/>
      <x:c r="L263" s="13" t="str"/>
      <x:c r="M263" s="12" t="str"/>
      <x:c r="N263" s="12" t="str">
        <x:v>İncelenmedi</x:v>
      </x:c>
      <x:c r="O263" s="12" t="str">
        <x:v>İncelenmedi</x:v>
      </x:c>
      <x:c r="P263" s="12" t="str">
        <x:v>İncelenmedi</x:v>
      </x:c>
      <x:c r="Q263" s="12" t="str"/>
      <x:c r="R263" s="12" t="str"/>
      <x:c r="S263" s="13" t="str"/>
      <x:c r="T263" s="12" t="str"/>
      <x:c r="U263" s="12" t="str"/>
      <x:c r="V263" s="14" t="str">
        <x:f>IF(A263="","",IF(NOT(AND(COUNTIF(Exec[TestID],A263)=1,COUNTIF(Controls[ID],B263)=1,COUNTIFS(Scope[KapsamID],D263,Scope[OnayliKapsamID],D263,Scope[Ürün],C263)=1,OR(COUNTIFS(Controls[ID],B263,Controls[Ürün],C263)=1,COUNTIFS(Controls[ID],B263,Controls[Ürün],"MSP Genel")=1),E263&lt;&gt;"",F263&lt;&gt;"",G263&lt;&gt;"",I263&lt;&gt;"",Q263&lt;&gt;"")),"Kimlik / kapsam eksik",IF(NOT(OR(H263="Uygulanır",H263="Uygulanmaz")),"Uygulanabilirlik eksik",IF(AND(H263="Uygulanır",P263="Kanıt yetersiz",U263&lt;&gt;""),IF(AND(R263&lt;&gt;"",R263&lt;&gt;Q263,ISNUMBER(S263),S263&gt;0,S263&gt;=L263),"İnceleme tamam","Gözden geçirme eksik"),IF(NOT(AND(J263&lt;&gt;"",COUNTIFS(Evidence[KanitID],J263,Evidence[Kabul edilen ID],J263)=1,K263&lt;&gt;"",ISNUMBER(L263),L263&gt;0,M263&lt;&gt;"")),"Kanıt / test eksik",IF(NOT(AND(R263&lt;&gt;"",R263&lt;&gt;Q263,ISNUMBER(S263),S263&gt;0,S263&gt;=L263)),"Gözden geçirme eksik",IF(H263="Uygulanmaz","İnceleme tamam",IF(AND(OR(P263="Uygun",P263="Kısmen uygun",P263="Uygunsuz"),OR(N263="Uygun",N263="Kısmen uygun",N263="Uygunsuz"),OR(O263="Uygun",O263="Kısmen uygun",O263="Uygunsuz"),OR(P263&lt;&gt;"Uygun",AND(N263="Uygun",O263="Uygun")),OR(P263="Uygun",AND(T263&lt;&gt;"",COUNTIF(Findings[KayitliBulguID],T263)=1))),"İnceleme tamam","Sonuç / bulgu eksik"))))))))</x:f>
        <x:v>Kimlik / kapsam eksik</x:v>
      </x:c>
      <x:c r="W263" s="14" t="str">
        <x:f>IF(A263="","",IF(V263&lt;&gt;"İnceleme tamam","İncelenmedi",IF(H263="Uygulanmaz","Uygulanmaz",P263)))</x:f>
        <x:v>İncelenmedi</x:v>
      </x:c>
    </x:row>
    <x:row r="264" ht="35" customHeight="1">
      <x:c r="A264" s="12" t="str">
        <x:v>U-0259</x:v>
      </x:c>
      <x:c r="B264" s="12" t="str">
        <x:v>FGT-011</x:v>
      </x:c>
      <x:c r="C264" s="12" t="str">
        <x:v>FortiGate VDOM</x:v>
      </x:c>
      <x:c r="D264" s="12" t="str"/>
      <x:c r="E264" s="12" t="str"/>
      <x:c r="F264" s="12" t="str"/>
      <x:c r="G264" s="12" t="str"/>
      <x:c r="H264" s="12" t="str">
        <x:v>Belirlenecek</x:v>
      </x:c>
      <x:c r="I264" s="12" t="str"/>
      <x:c r="J264" s="12" t="str"/>
      <x:c r="K264" s="12" t="str"/>
      <x:c r="L264" s="13" t="str"/>
      <x:c r="M264" s="12" t="str"/>
      <x:c r="N264" s="12" t="str">
        <x:v>İncelenmedi</x:v>
      </x:c>
      <x:c r="O264" s="12" t="str">
        <x:v>İncelenmedi</x:v>
      </x:c>
      <x:c r="P264" s="12" t="str">
        <x:v>İncelenmedi</x:v>
      </x:c>
      <x:c r="Q264" s="12" t="str"/>
      <x:c r="R264" s="12" t="str"/>
      <x:c r="S264" s="13" t="str"/>
      <x:c r="T264" s="12" t="str"/>
      <x:c r="U264" s="12" t="str"/>
      <x:c r="V264" s="14" t="str">
        <x:f>IF(A264="","",IF(NOT(AND(COUNTIF(Exec[TestID],A264)=1,COUNTIF(Controls[ID],B264)=1,COUNTIFS(Scope[KapsamID],D264,Scope[OnayliKapsamID],D264,Scope[Ürün],C264)=1,OR(COUNTIFS(Controls[ID],B264,Controls[Ürün],C264)=1,COUNTIFS(Controls[ID],B264,Controls[Ürün],"MSP Genel")=1),E264&lt;&gt;"",F264&lt;&gt;"",G264&lt;&gt;"",I264&lt;&gt;"",Q264&lt;&gt;"")),"Kimlik / kapsam eksik",IF(NOT(OR(H264="Uygulanır",H264="Uygulanmaz")),"Uygulanabilirlik eksik",IF(AND(H264="Uygulanır",P264="Kanıt yetersiz",U264&lt;&gt;""),IF(AND(R264&lt;&gt;"",R264&lt;&gt;Q264,ISNUMBER(S264),S264&gt;0,S264&gt;=L264),"İnceleme tamam","Gözden geçirme eksik"),IF(NOT(AND(J264&lt;&gt;"",COUNTIFS(Evidence[KanitID],J264,Evidence[Kabul edilen ID],J264)=1,K264&lt;&gt;"",ISNUMBER(L264),L264&gt;0,M264&lt;&gt;"")),"Kanıt / test eksik",IF(NOT(AND(R264&lt;&gt;"",R264&lt;&gt;Q264,ISNUMBER(S264),S264&gt;0,S264&gt;=L264)),"Gözden geçirme eksik",IF(H264="Uygulanmaz","İnceleme tamam",IF(AND(OR(P264="Uygun",P264="Kısmen uygun",P264="Uygunsuz"),OR(N264="Uygun",N264="Kısmen uygun",N264="Uygunsuz"),OR(O264="Uygun",O264="Kısmen uygun",O264="Uygunsuz"),OR(P264&lt;&gt;"Uygun",AND(N264="Uygun",O264="Uygun")),OR(P264="Uygun",AND(T264&lt;&gt;"",COUNTIF(Findings[KayitliBulguID],T264)=1))),"İnceleme tamam","Sonuç / bulgu eksik"))))))))</x:f>
        <x:v>Kimlik / kapsam eksik</x:v>
      </x:c>
      <x:c r="W264" s="14" t="str">
        <x:f>IF(A264="","",IF(V264&lt;&gt;"İnceleme tamam","İncelenmedi",IF(H264="Uygulanmaz","Uygulanmaz",P264)))</x:f>
        <x:v>İncelenmedi</x:v>
      </x:c>
    </x:row>
    <x:row r="265" ht="35" customHeight="1">
      <x:c r="A265" s="12" t="str">
        <x:v>U-0260</x:v>
      </x:c>
      <x:c r="B265" s="12" t="str">
        <x:v>FGT-013</x:v>
      </x:c>
      <x:c r="C265" s="12" t="str">
        <x:v>FortiGate VDOM</x:v>
      </x:c>
      <x:c r="D265" s="12" t="str"/>
      <x:c r="E265" s="12" t="str"/>
      <x:c r="F265" s="12" t="str"/>
      <x:c r="G265" s="12" t="str"/>
      <x:c r="H265" s="12" t="str">
        <x:v>Belirlenecek</x:v>
      </x:c>
      <x:c r="I265" s="12" t="str"/>
      <x:c r="J265" s="12" t="str"/>
      <x:c r="K265" s="12" t="str"/>
      <x:c r="L265" s="13" t="str"/>
      <x:c r="M265" s="12" t="str"/>
      <x:c r="N265" s="12" t="str">
        <x:v>İncelenmedi</x:v>
      </x:c>
      <x:c r="O265" s="12" t="str">
        <x:v>İncelenmedi</x:v>
      </x:c>
      <x:c r="P265" s="12" t="str">
        <x:v>İncelenmedi</x:v>
      </x:c>
      <x:c r="Q265" s="12" t="str"/>
      <x:c r="R265" s="12" t="str"/>
      <x:c r="S265" s="13" t="str"/>
      <x:c r="T265" s="12" t="str"/>
      <x:c r="U265" s="12" t="str"/>
      <x:c r="V265" s="14" t="str">
        <x:f>IF(A265="","",IF(NOT(AND(COUNTIF(Exec[TestID],A265)=1,COUNTIF(Controls[ID],B265)=1,COUNTIFS(Scope[KapsamID],D265,Scope[OnayliKapsamID],D265,Scope[Ürün],C265)=1,OR(COUNTIFS(Controls[ID],B265,Controls[Ürün],C265)=1,COUNTIFS(Controls[ID],B265,Controls[Ürün],"MSP Genel")=1),E265&lt;&gt;"",F265&lt;&gt;"",G265&lt;&gt;"",I265&lt;&gt;"",Q265&lt;&gt;"")),"Kimlik / kapsam eksik",IF(NOT(OR(H265="Uygulanır",H265="Uygulanmaz")),"Uygulanabilirlik eksik",IF(AND(H265="Uygulanır",P265="Kanıt yetersiz",U265&lt;&gt;""),IF(AND(R265&lt;&gt;"",R265&lt;&gt;Q265,ISNUMBER(S265),S265&gt;0,S265&gt;=L265),"İnceleme tamam","Gözden geçirme eksik"),IF(NOT(AND(J265&lt;&gt;"",COUNTIFS(Evidence[KanitID],J265,Evidence[Kabul edilen ID],J265)=1,K265&lt;&gt;"",ISNUMBER(L265),L265&gt;0,M265&lt;&gt;"")),"Kanıt / test eksik",IF(NOT(AND(R265&lt;&gt;"",R265&lt;&gt;Q265,ISNUMBER(S265),S265&gt;0,S265&gt;=L265)),"Gözden geçirme eksik",IF(H265="Uygulanmaz","İnceleme tamam",IF(AND(OR(P265="Uygun",P265="Kısmen uygun",P265="Uygunsuz"),OR(N265="Uygun",N265="Kısmen uygun",N265="Uygunsuz"),OR(O265="Uygun",O265="Kısmen uygun",O265="Uygunsuz"),OR(P265&lt;&gt;"Uygun",AND(N265="Uygun",O265="Uygun")),OR(P265="Uygun",AND(T265&lt;&gt;"",COUNTIF(Findings[KayitliBulguID],T265)=1))),"İnceleme tamam","Sonuç / bulgu eksik"))))))))</x:f>
        <x:v>Kimlik / kapsam eksik</x:v>
      </x:c>
      <x:c r="W265" s="14" t="str">
        <x:f>IF(A265="","",IF(V265&lt;&gt;"İnceleme tamam","İncelenmedi",IF(H265="Uygulanmaz","Uygulanmaz",P265)))</x:f>
        <x:v>İncelenmedi</x:v>
      </x:c>
    </x:row>
    <x:row r="266" ht="35" customHeight="1">
      <x:c r="A266" s="12" t="str">
        <x:v>U-0261</x:v>
      </x:c>
      <x:c r="B266" s="12" t="str">
        <x:v>FTG-V01-04</x:v>
      </x:c>
      <x:c r="C266" s="12" t="str">
        <x:v>FortiGate VDOM</x:v>
      </x:c>
      <x:c r="D266" s="12" t="str"/>
      <x:c r="E266" s="12" t="str"/>
      <x:c r="F266" s="12" t="str"/>
      <x:c r="G266" s="12" t="str"/>
      <x:c r="H266" s="12" t="str">
        <x:v>Belirlenecek</x:v>
      </x:c>
      <x:c r="I266" s="12" t="str"/>
      <x:c r="J266" s="12" t="str"/>
      <x:c r="K266" s="12" t="str"/>
      <x:c r="L266" s="13" t="str"/>
      <x:c r="M266" s="12" t="str"/>
      <x:c r="N266" s="12" t="str">
        <x:v>İncelenmedi</x:v>
      </x:c>
      <x:c r="O266" s="12" t="str">
        <x:v>İncelenmedi</x:v>
      </x:c>
      <x:c r="P266" s="12" t="str">
        <x:v>İncelenmedi</x:v>
      </x:c>
      <x:c r="Q266" s="12" t="str"/>
      <x:c r="R266" s="12" t="str"/>
      <x:c r="S266" s="13" t="str"/>
      <x:c r="T266" s="12" t="str"/>
      <x:c r="U266" s="12" t="str"/>
      <x:c r="V266" s="14" t="str">
        <x:f>IF(A266="","",IF(NOT(AND(COUNTIF(Exec[TestID],A266)=1,COUNTIF(Controls[ID],B266)=1,COUNTIFS(Scope[KapsamID],D266,Scope[OnayliKapsamID],D266,Scope[Ürün],C266)=1,OR(COUNTIFS(Controls[ID],B266,Controls[Ürün],C266)=1,COUNTIFS(Controls[ID],B266,Controls[Ürün],"MSP Genel")=1),E266&lt;&gt;"",F266&lt;&gt;"",G266&lt;&gt;"",I266&lt;&gt;"",Q266&lt;&gt;"")),"Kimlik / kapsam eksik",IF(NOT(OR(H266="Uygulanır",H266="Uygulanmaz")),"Uygulanabilirlik eksik",IF(AND(H266="Uygulanır",P266="Kanıt yetersiz",U266&lt;&gt;""),IF(AND(R266&lt;&gt;"",R266&lt;&gt;Q266,ISNUMBER(S266),S266&gt;0,S266&gt;=L266),"İnceleme tamam","Gözden geçirme eksik"),IF(NOT(AND(J266&lt;&gt;"",COUNTIFS(Evidence[KanitID],J266,Evidence[Kabul edilen ID],J266)=1,K266&lt;&gt;"",ISNUMBER(L266),L266&gt;0,M266&lt;&gt;"")),"Kanıt / test eksik",IF(NOT(AND(R266&lt;&gt;"",R266&lt;&gt;Q266,ISNUMBER(S266),S266&gt;0,S266&gt;=L266)),"Gözden geçirme eksik",IF(H266="Uygulanmaz","İnceleme tamam",IF(AND(OR(P266="Uygun",P266="Kısmen uygun",P266="Uygunsuz"),OR(N266="Uygun",N266="Kısmen uygun",N266="Uygunsuz"),OR(O266="Uygun",O266="Kısmen uygun",O266="Uygunsuz"),OR(P266&lt;&gt;"Uygun",AND(N266="Uygun",O266="Uygun")),OR(P266="Uygun",AND(T266&lt;&gt;"",COUNTIF(Findings[KayitliBulguID],T266)=1))),"İnceleme tamam","Sonuç / bulgu eksik"))))))))</x:f>
        <x:v>Kimlik / kapsam eksik</x:v>
      </x:c>
      <x:c r="W266" s="14" t="str">
        <x:f>IF(A266="","",IF(V266&lt;&gt;"İnceleme tamam","İncelenmedi",IF(H266="Uygulanmaz","Uygulanmaz",P266)))</x:f>
        <x:v>İncelenmedi</x:v>
      </x:c>
    </x:row>
    <x:row r="267" ht="35" customHeight="1">
      <x:c r="A267" s="12" t="str">
        <x:v>U-0262</x:v>
      </x:c>
      <x:c r="B267" s="12" t="str">
        <x:v>FTG-V02-02</x:v>
      </x:c>
      <x:c r="C267" s="12" t="str">
        <x:v>FortiGate VDOM</x:v>
      </x:c>
      <x:c r="D267" s="12" t="str"/>
      <x:c r="E267" s="12" t="str"/>
      <x:c r="F267" s="12" t="str"/>
      <x:c r="G267" s="12" t="str"/>
      <x:c r="H267" s="12" t="str">
        <x:v>Belirlenecek</x:v>
      </x:c>
      <x:c r="I267" s="12" t="str"/>
      <x:c r="J267" s="12" t="str"/>
      <x:c r="K267" s="12" t="str"/>
      <x:c r="L267" s="13" t="str"/>
      <x:c r="M267" s="12" t="str"/>
      <x:c r="N267" s="12" t="str">
        <x:v>İncelenmedi</x:v>
      </x:c>
      <x:c r="O267" s="12" t="str">
        <x:v>İncelenmedi</x:v>
      </x:c>
      <x:c r="P267" s="12" t="str">
        <x:v>İncelenmedi</x:v>
      </x:c>
      <x:c r="Q267" s="12" t="str"/>
      <x:c r="R267" s="12" t="str"/>
      <x:c r="S267" s="13" t="str"/>
      <x:c r="T267" s="12" t="str"/>
      <x:c r="U267" s="12" t="str"/>
      <x:c r="V267" s="14" t="str">
        <x:f>IF(A267="","",IF(NOT(AND(COUNTIF(Exec[TestID],A267)=1,COUNTIF(Controls[ID],B267)=1,COUNTIFS(Scope[KapsamID],D267,Scope[OnayliKapsamID],D267,Scope[Ürün],C267)=1,OR(COUNTIFS(Controls[ID],B267,Controls[Ürün],C267)=1,COUNTIFS(Controls[ID],B267,Controls[Ürün],"MSP Genel")=1),E267&lt;&gt;"",F267&lt;&gt;"",G267&lt;&gt;"",I267&lt;&gt;"",Q267&lt;&gt;"")),"Kimlik / kapsam eksik",IF(NOT(OR(H267="Uygulanır",H267="Uygulanmaz")),"Uygulanabilirlik eksik",IF(AND(H267="Uygulanır",P267="Kanıt yetersiz",U267&lt;&gt;""),IF(AND(R267&lt;&gt;"",R267&lt;&gt;Q267,ISNUMBER(S267),S267&gt;0,S267&gt;=L267),"İnceleme tamam","Gözden geçirme eksik"),IF(NOT(AND(J267&lt;&gt;"",COUNTIFS(Evidence[KanitID],J267,Evidence[Kabul edilen ID],J267)=1,K267&lt;&gt;"",ISNUMBER(L267),L267&gt;0,M267&lt;&gt;"")),"Kanıt / test eksik",IF(NOT(AND(R267&lt;&gt;"",R267&lt;&gt;Q267,ISNUMBER(S267),S267&gt;0,S267&gt;=L267)),"Gözden geçirme eksik",IF(H267="Uygulanmaz","İnceleme tamam",IF(AND(OR(P267="Uygun",P267="Kısmen uygun",P267="Uygunsuz"),OR(N267="Uygun",N267="Kısmen uygun",N267="Uygunsuz"),OR(O267="Uygun",O267="Kısmen uygun",O267="Uygunsuz"),OR(P267&lt;&gt;"Uygun",AND(N267="Uygun",O267="Uygun")),OR(P267="Uygun",AND(T267&lt;&gt;"",COUNTIF(Findings[KayitliBulguID],T267)=1))),"İnceleme tamam","Sonuç / bulgu eksik"))))))))</x:f>
        <x:v>Kimlik / kapsam eksik</x:v>
      </x:c>
      <x:c r="W267" s="14" t="str">
        <x:f>IF(A267="","",IF(V267&lt;&gt;"İnceleme tamam","İncelenmedi",IF(H267="Uygulanmaz","Uygulanmaz",P267)))</x:f>
        <x:v>İncelenmedi</x:v>
      </x:c>
    </x:row>
    <x:row r="268" ht="35" customHeight="1">
      <x:c r="A268" s="12" t="str">
        <x:v>U-0263</x:v>
      </x:c>
      <x:c r="B268" s="12" t="str">
        <x:v>FTG-V06-01</x:v>
      </x:c>
      <x:c r="C268" s="12" t="str">
        <x:v>FortiGate VDOM</x:v>
      </x:c>
      <x:c r="D268" s="12" t="str"/>
      <x:c r="E268" s="12" t="str"/>
      <x:c r="F268" s="12" t="str"/>
      <x:c r="G268" s="12" t="str"/>
      <x:c r="H268" s="12" t="str">
        <x:v>Belirlenecek</x:v>
      </x:c>
      <x:c r="I268" s="12" t="str"/>
      <x:c r="J268" s="12" t="str"/>
      <x:c r="K268" s="12" t="str"/>
      <x:c r="L268" s="13" t="str"/>
      <x:c r="M268" s="12" t="str"/>
      <x:c r="N268" s="12" t="str">
        <x:v>İncelenmedi</x:v>
      </x:c>
      <x:c r="O268" s="12" t="str">
        <x:v>İncelenmedi</x:v>
      </x:c>
      <x:c r="P268" s="12" t="str">
        <x:v>İncelenmedi</x:v>
      </x:c>
      <x:c r="Q268" s="12" t="str"/>
      <x:c r="R268" s="12" t="str"/>
      <x:c r="S268" s="13" t="str"/>
      <x:c r="T268" s="12" t="str"/>
      <x:c r="U268" s="12" t="str"/>
      <x:c r="V268" s="14" t="str">
        <x:f>IF(A268="","",IF(NOT(AND(COUNTIF(Exec[TestID],A268)=1,COUNTIF(Controls[ID],B268)=1,COUNTIFS(Scope[KapsamID],D268,Scope[OnayliKapsamID],D268,Scope[Ürün],C268)=1,OR(COUNTIFS(Controls[ID],B268,Controls[Ürün],C268)=1,COUNTIFS(Controls[ID],B268,Controls[Ürün],"MSP Genel")=1),E268&lt;&gt;"",F268&lt;&gt;"",G268&lt;&gt;"",I268&lt;&gt;"",Q268&lt;&gt;"")),"Kimlik / kapsam eksik",IF(NOT(OR(H268="Uygulanır",H268="Uygulanmaz")),"Uygulanabilirlik eksik",IF(AND(H268="Uygulanır",P268="Kanıt yetersiz",U268&lt;&gt;""),IF(AND(R268&lt;&gt;"",R268&lt;&gt;Q268,ISNUMBER(S268),S268&gt;0,S268&gt;=L268),"İnceleme tamam","Gözden geçirme eksik"),IF(NOT(AND(J268&lt;&gt;"",COUNTIFS(Evidence[KanitID],J268,Evidence[Kabul edilen ID],J268)=1,K268&lt;&gt;"",ISNUMBER(L268),L268&gt;0,M268&lt;&gt;"")),"Kanıt / test eksik",IF(NOT(AND(R268&lt;&gt;"",R268&lt;&gt;Q268,ISNUMBER(S268),S268&gt;0,S268&gt;=L268)),"Gözden geçirme eksik",IF(H268="Uygulanmaz","İnceleme tamam",IF(AND(OR(P268="Uygun",P268="Kısmen uygun",P268="Uygunsuz"),OR(N268="Uygun",N268="Kısmen uygun",N268="Uygunsuz"),OR(O268="Uygun",O268="Kısmen uygun",O268="Uygunsuz"),OR(P268&lt;&gt;"Uygun",AND(N268="Uygun",O268="Uygun")),OR(P268="Uygun",AND(T268&lt;&gt;"",COUNTIF(Findings[KayitliBulguID],T268)=1))),"İnceleme tamam","Sonuç / bulgu eksik"))))))))</x:f>
        <x:v>Kimlik / kapsam eksik</x:v>
      </x:c>
      <x:c r="W268" s="14" t="str">
        <x:f>IF(A268="","",IF(V268&lt;&gt;"İnceleme tamam","İncelenmedi",IF(H268="Uygulanmaz","Uygulanmaz",P268)))</x:f>
        <x:v>İncelenmedi</x:v>
      </x:c>
    </x:row>
    <x:row r="269" ht="35" customHeight="1">
      <x:c r="A269" s="12" t="str">
        <x:v>U-0264</x:v>
      </x:c>
      <x:c r="B269" s="12" t="str">
        <x:v>FTG-V06-02</x:v>
      </x:c>
      <x:c r="C269" s="12" t="str">
        <x:v>FortiGate VDOM</x:v>
      </x:c>
      <x:c r="D269" s="12" t="str"/>
      <x:c r="E269" s="12" t="str"/>
      <x:c r="F269" s="12" t="str"/>
      <x:c r="G269" s="12" t="str"/>
      <x:c r="H269" s="12" t="str">
        <x:v>Belirlenecek</x:v>
      </x:c>
      <x:c r="I269" s="12" t="str"/>
      <x:c r="J269" s="12" t="str"/>
      <x:c r="K269" s="12" t="str"/>
      <x:c r="L269" s="13" t="str"/>
      <x:c r="M269" s="12" t="str"/>
      <x:c r="N269" s="12" t="str">
        <x:v>İncelenmedi</x:v>
      </x:c>
      <x:c r="O269" s="12" t="str">
        <x:v>İncelenmedi</x:v>
      </x:c>
      <x:c r="P269" s="12" t="str">
        <x:v>İncelenmedi</x:v>
      </x:c>
      <x:c r="Q269" s="12" t="str"/>
      <x:c r="R269" s="12" t="str"/>
      <x:c r="S269" s="13" t="str"/>
      <x:c r="T269" s="12" t="str"/>
      <x:c r="U269" s="12" t="str"/>
      <x:c r="V269" s="14" t="str">
        <x:f>IF(A269="","",IF(NOT(AND(COUNTIF(Exec[TestID],A269)=1,COUNTIF(Controls[ID],B269)=1,COUNTIFS(Scope[KapsamID],D269,Scope[OnayliKapsamID],D269,Scope[Ürün],C269)=1,OR(COUNTIFS(Controls[ID],B269,Controls[Ürün],C269)=1,COUNTIFS(Controls[ID],B269,Controls[Ürün],"MSP Genel")=1),E269&lt;&gt;"",F269&lt;&gt;"",G269&lt;&gt;"",I269&lt;&gt;"",Q269&lt;&gt;"")),"Kimlik / kapsam eksik",IF(NOT(OR(H269="Uygulanır",H269="Uygulanmaz")),"Uygulanabilirlik eksik",IF(AND(H269="Uygulanır",P269="Kanıt yetersiz",U269&lt;&gt;""),IF(AND(R269&lt;&gt;"",R269&lt;&gt;Q269,ISNUMBER(S269),S269&gt;0,S269&gt;=L269),"İnceleme tamam","Gözden geçirme eksik"),IF(NOT(AND(J269&lt;&gt;"",COUNTIFS(Evidence[KanitID],J269,Evidence[Kabul edilen ID],J269)=1,K269&lt;&gt;"",ISNUMBER(L269),L269&gt;0,M269&lt;&gt;"")),"Kanıt / test eksik",IF(NOT(AND(R269&lt;&gt;"",R269&lt;&gt;Q269,ISNUMBER(S269),S269&gt;0,S269&gt;=L269)),"Gözden geçirme eksik",IF(H269="Uygulanmaz","İnceleme tamam",IF(AND(OR(P269="Uygun",P269="Kısmen uygun",P269="Uygunsuz"),OR(N269="Uygun",N269="Kısmen uygun",N269="Uygunsuz"),OR(O269="Uygun",O269="Kısmen uygun",O269="Uygunsuz"),OR(P269&lt;&gt;"Uygun",AND(N269="Uygun",O269="Uygun")),OR(P269="Uygun",AND(T269&lt;&gt;"",COUNTIF(Findings[KayitliBulguID],T269)=1))),"İnceleme tamam","Sonuç / bulgu eksik"))))))))</x:f>
        <x:v>Kimlik / kapsam eksik</x:v>
      </x:c>
      <x:c r="W269" s="14" t="str">
        <x:f>IF(A269="","",IF(V269&lt;&gt;"İnceleme tamam","İncelenmedi",IF(H269="Uygulanmaz","Uygulanmaz",P269)))</x:f>
        <x:v>İncelenmedi</x:v>
      </x:c>
    </x:row>
    <x:row r="270" ht="35" customHeight="1">
      <x:c r="A270" s="12" t="str">
        <x:v>U-0265</x:v>
      </x:c>
      <x:c r="B270" s="12" t="str">
        <x:v>FTG-V06-03</x:v>
      </x:c>
      <x:c r="C270" s="12" t="str">
        <x:v>FortiGate VDOM</x:v>
      </x:c>
      <x:c r="D270" s="12" t="str"/>
      <x:c r="E270" s="12" t="str"/>
      <x:c r="F270" s="12" t="str"/>
      <x:c r="G270" s="12" t="str"/>
      <x:c r="H270" s="12" t="str">
        <x:v>Belirlenecek</x:v>
      </x:c>
      <x:c r="I270" s="12" t="str"/>
      <x:c r="J270" s="12" t="str"/>
      <x:c r="K270" s="12" t="str"/>
      <x:c r="L270" s="13" t="str"/>
      <x:c r="M270" s="12" t="str"/>
      <x:c r="N270" s="12" t="str">
        <x:v>İncelenmedi</x:v>
      </x:c>
      <x:c r="O270" s="12" t="str">
        <x:v>İncelenmedi</x:v>
      </x:c>
      <x:c r="P270" s="12" t="str">
        <x:v>İncelenmedi</x:v>
      </x:c>
      <x:c r="Q270" s="12" t="str"/>
      <x:c r="R270" s="12" t="str"/>
      <x:c r="S270" s="13" t="str"/>
      <x:c r="T270" s="12" t="str"/>
      <x:c r="U270" s="12" t="str"/>
      <x:c r="V270" s="14" t="str">
        <x:f>IF(A270="","",IF(NOT(AND(COUNTIF(Exec[TestID],A270)=1,COUNTIF(Controls[ID],B270)=1,COUNTIFS(Scope[KapsamID],D270,Scope[OnayliKapsamID],D270,Scope[Ürün],C270)=1,OR(COUNTIFS(Controls[ID],B270,Controls[Ürün],C270)=1,COUNTIFS(Controls[ID],B270,Controls[Ürün],"MSP Genel")=1),E270&lt;&gt;"",F270&lt;&gt;"",G270&lt;&gt;"",I270&lt;&gt;"",Q270&lt;&gt;"")),"Kimlik / kapsam eksik",IF(NOT(OR(H270="Uygulanır",H270="Uygulanmaz")),"Uygulanabilirlik eksik",IF(AND(H270="Uygulanır",P270="Kanıt yetersiz",U270&lt;&gt;""),IF(AND(R270&lt;&gt;"",R270&lt;&gt;Q270,ISNUMBER(S270),S270&gt;0,S270&gt;=L270),"İnceleme tamam","Gözden geçirme eksik"),IF(NOT(AND(J270&lt;&gt;"",COUNTIFS(Evidence[KanitID],J270,Evidence[Kabul edilen ID],J270)=1,K270&lt;&gt;"",ISNUMBER(L270),L270&gt;0,M270&lt;&gt;"")),"Kanıt / test eksik",IF(NOT(AND(R270&lt;&gt;"",R270&lt;&gt;Q270,ISNUMBER(S270),S270&gt;0,S270&gt;=L270)),"Gözden geçirme eksik",IF(H270="Uygulanmaz","İnceleme tamam",IF(AND(OR(P270="Uygun",P270="Kısmen uygun",P270="Uygunsuz"),OR(N270="Uygun",N270="Kısmen uygun",N270="Uygunsuz"),OR(O270="Uygun",O270="Kısmen uygun",O270="Uygunsuz"),OR(P270&lt;&gt;"Uygun",AND(N270="Uygun",O270="Uygun")),OR(P270="Uygun",AND(T270&lt;&gt;"",COUNTIF(Findings[KayitliBulguID],T270)=1))),"İnceleme tamam","Sonuç / bulgu eksik"))))))))</x:f>
        <x:v>Kimlik / kapsam eksik</x:v>
      </x:c>
      <x:c r="W270" s="14" t="str">
        <x:f>IF(A270="","",IF(V270&lt;&gt;"İnceleme tamam","İncelenmedi",IF(H270="Uygulanmaz","Uygulanmaz",P270)))</x:f>
        <x:v>İncelenmedi</x:v>
      </x:c>
    </x:row>
    <x:row r="271" ht="35" customHeight="1">
      <x:c r="A271" s="12" t="str">
        <x:v>U-0266</x:v>
      </x:c>
      <x:c r="B271" s="12" t="str">
        <x:v>FTG-V09-02</x:v>
      </x:c>
      <x:c r="C271" s="12" t="str">
        <x:v>FortiGate VDOM</x:v>
      </x:c>
      <x:c r="D271" s="12" t="str"/>
      <x:c r="E271" s="12" t="str"/>
      <x:c r="F271" s="12" t="str"/>
      <x:c r="G271" s="12" t="str"/>
      <x:c r="H271" s="12" t="str">
        <x:v>Belirlenecek</x:v>
      </x:c>
      <x:c r="I271" s="12" t="str"/>
      <x:c r="J271" s="12" t="str"/>
      <x:c r="K271" s="12" t="str"/>
      <x:c r="L271" s="13" t="str"/>
      <x:c r="M271" s="12" t="str"/>
      <x:c r="N271" s="12" t="str">
        <x:v>İncelenmedi</x:v>
      </x:c>
      <x:c r="O271" s="12" t="str">
        <x:v>İncelenmedi</x:v>
      </x:c>
      <x:c r="P271" s="12" t="str">
        <x:v>İncelenmedi</x:v>
      </x:c>
      <x:c r="Q271" s="12" t="str"/>
      <x:c r="R271" s="12" t="str"/>
      <x:c r="S271" s="13" t="str"/>
      <x:c r="T271" s="12" t="str"/>
      <x:c r="U271" s="12" t="str"/>
      <x:c r="V271" s="14" t="str">
        <x:f>IF(A271="","",IF(NOT(AND(COUNTIF(Exec[TestID],A271)=1,COUNTIF(Controls[ID],B271)=1,COUNTIFS(Scope[KapsamID],D271,Scope[OnayliKapsamID],D271,Scope[Ürün],C271)=1,OR(COUNTIFS(Controls[ID],B271,Controls[Ürün],C271)=1,COUNTIFS(Controls[ID],B271,Controls[Ürün],"MSP Genel")=1),E271&lt;&gt;"",F271&lt;&gt;"",G271&lt;&gt;"",I271&lt;&gt;"",Q271&lt;&gt;"")),"Kimlik / kapsam eksik",IF(NOT(OR(H271="Uygulanır",H271="Uygulanmaz")),"Uygulanabilirlik eksik",IF(AND(H271="Uygulanır",P271="Kanıt yetersiz",U271&lt;&gt;""),IF(AND(R271&lt;&gt;"",R271&lt;&gt;Q271,ISNUMBER(S271),S271&gt;0,S271&gt;=L271),"İnceleme tamam","Gözden geçirme eksik"),IF(NOT(AND(J271&lt;&gt;"",COUNTIFS(Evidence[KanitID],J271,Evidence[Kabul edilen ID],J271)=1,K271&lt;&gt;"",ISNUMBER(L271),L271&gt;0,M271&lt;&gt;"")),"Kanıt / test eksik",IF(NOT(AND(R271&lt;&gt;"",R271&lt;&gt;Q271,ISNUMBER(S271),S271&gt;0,S271&gt;=L271)),"Gözden geçirme eksik",IF(H271="Uygulanmaz","İnceleme tamam",IF(AND(OR(P271="Uygun",P271="Kısmen uygun",P271="Uygunsuz"),OR(N271="Uygun",N271="Kısmen uygun",N271="Uygunsuz"),OR(O271="Uygun",O271="Kısmen uygun",O271="Uygunsuz"),OR(P271&lt;&gt;"Uygun",AND(N271="Uygun",O271="Uygun")),OR(P271="Uygun",AND(T271&lt;&gt;"",COUNTIF(Findings[KayitliBulguID],T271)=1))),"İnceleme tamam","Sonuç / bulgu eksik"))))))))</x:f>
        <x:v>Kimlik / kapsam eksik</x:v>
      </x:c>
      <x:c r="W271" s="14" t="str">
        <x:f>IF(A271="","",IF(V271&lt;&gt;"İnceleme tamam","İncelenmedi",IF(H271="Uygulanmaz","Uygulanmaz",P271)))</x:f>
        <x:v>İncelenmedi</x:v>
      </x:c>
    </x:row>
    <x:row r="272" ht="35" customHeight="1">
      <x:c r="A272" s="12" t="str">
        <x:v>U-0267</x:v>
      </x:c>
      <x:c r="B272" s="12" t="str">
        <x:v>FTG-V12-01</x:v>
      </x:c>
      <x:c r="C272" s="12" t="str">
        <x:v>FortiGate VDOM</x:v>
      </x:c>
      <x:c r="D272" s="12" t="str"/>
      <x:c r="E272" s="12" t="str"/>
      <x:c r="F272" s="12" t="str"/>
      <x:c r="G272" s="12" t="str"/>
      <x:c r="H272" s="12" t="str">
        <x:v>Belirlenecek</x:v>
      </x:c>
      <x:c r="I272" s="12" t="str"/>
      <x:c r="J272" s="12" t="str"/>
      <x:c r="K272" s="12" t="str"/>
      <x:c r="L272" s="13" t="str"/>
      <x:c r="M272" s="12" t="str"/>
      <x:c r="N272" s="12" t="str">
        <x:v>İncelenmedi</x:v>
      </x:c>
      <x:c r="O272" s="12" t="str">
        <x:v>İncelenmedi</x:v>
      </x:c>
      <x:c r="P272" s="12" t="str">
        <x:v>İncelenmedi</x:v>
      </x:c>
      <x:c r="Q272" s="12" t="str"/>
      <x:c r="R272" s="12" t="str"/>
      <x:c r="S272" s="13" t="str"/>
      <x:c r="T272" s="12" t="str"/>
      <x:c r="U272" s="12" t="str"/>
      <x:c r="V272" s="14" t="str">
        <x:f>IF(A272="","",IF(NOT(AND(COUNTIF(Exec[TestID],A272)=1,COUNTIF(Controls[ID],B272)=1,COUNTIFS(Scope[KapsamID],D272,Scope[OnayliKapsamID],D272,Scope[Ürün],C272)=1,OR(COUNTIFS(Controls[ID],B272,Controls[Ürün],C272)=1,COUNTIFS(Controls[ID],B272,Controls[Ürün],"MSP Genel")=1),E272&lt;&gt;"",F272&lt;&gt;"",G272&lt;&gt;"",I272&lt;&gt;"",Q272&lt;&gt;"")),"Kimlik / kapsam eksik",IF(NOT(OR(H272="Uygulanır",H272="Uygulanmaz")),"Uygulanabilirlik eksik",IF(AND(H272="Uygulanır",P272="Kanıt yetersiz",U272&lt;&gt;""),IF(AND(R272&lt;&gt;"",R272&lt;&gt;Q272,ISNUMBER(S272),S272&gt;0,S272&gt;=L272),"İnceleme tamam","Gözden geçirme eksik"),IF(NOT(AND(J272&lt;&gt;"",COUNTIFS(Evidence[KanitID],J272,Evidence[Kabul edilen ID],J272)=1,K272&lt;&gt;"",ISNUMBER(L272),L272&gt;0,M272&lt;&gt;"")),"Kanıt / test eksik",IF(NOT(AND(R272&lt;&gt;"",R272&lt;&gt;Q272,ISNUMBER(S272),S272&gt;0,S272&gt;=L272)),"Gözden geçirme eksik",IF(H272="Uygulanmaz","İnceleme tamam",IF(AND(OR(P272="Uygun",P272="Kısmen uygun",P272="Uygunsuz"),OR(N272="Uygun",N272="Kısmen uygun",N272="Uygunsuz"),OR(O272="Uygun",O272="Kısmen uygun",O272="Uygunsuz"),OR(P272&lt;&gt;"Uygun",AND(N272="Uygun",O272="Uygun")),OR(P272="Uygun",AND(T272&lt;&gt;"",COUNTIF(Findings[KayitliBulguID],T272)=1))),"İnceleme tamam","Sonuç / bulgu eksik"))))))))</x:f>
        <x:v>Kimlik / kapsam eksik</x:v>
      </x:c>
      <x:c r="W272" s="14" t="str">
        <x:f>IF(A272="","",IF(V272&lt;&gt;"İnceleme tamam","İncelenmedi",IF(H272="Uygulanmaz","Uygulanmaz",P272)))</x:f>
        <x:v>İncelenmedi</x:v>
      </x:c>
    </x:row>
    <x:row r="273" ht="35" customHeight="1">
      <x:c r="A273" s="12" t="str">
        <x:v>U-0268</x:v>
      </x:c>
      <x:c r="B273" s="12" t="str">
        <x:v>FGC-020</x:v>
      </x:c>
      <x:c r="C273" s="12" t="str">
        <x:v>Forti IPS</x:v>
      </x:c>
      <x:c r="D273" s="12" t="str"/>
      <x:c r="E273" s="12" t="str"/>
      <x:c r="F273" s="12" t="str"/>
      <x:c r="G273" s="12" t="str"/>
      <x:c r="H273" s="12" t="str">
        <x:v>Belirlenecek</x:v>
      </x:c>
      <x:c r="I273" s="12" t="str"/>
      <x:c r="J273" s="12" t="str"/>
      <x:c r="K273" s="12" t="str"/>
      <x:c r="L273" s="13" t="str"/>
      <x:c r="M273" s="12" t="str"/>
      <x:c r="N273" s="12" t="str">
        <x:v>İncelenmedi</x:v>
      </x:c>
      <x:c r="O273" s="12" t="str">
        <x:v>İncelenmedi</x:v>
      </x:c>
      <x:c r="P273" s="12" t="str">
        <x:v>İncelenmedi</x:v>
      </x:c>
      <x:c r="Q273" s="12" t="str"/>
      <x:c r="R273" s="12" t="str"/>
      <x:c r="S273" s="13" t="str"/>
      <x:c r="T273" s="12" t="str"/>
      <x:c r="U273" s="12" t="str"/>
      <x:c r="V273" s="14" t="str">
        <x:f>IF(A273="","",IF(NOT(AND(COUNTIF(Exec[TestID],A273)=1,COUNTIF(Controls[ID],B273)=1,COUNTIFS(Scope[KapsamID],D273,Scope[OnayliKapsamID],D273,Scope[Ürün],C273)=1,OR(COUNTIFS(Controls[ID],B273,Controls[Ürün],C273)=1,COUNTIFS(Controls[ID],B273,Controls[Ürün],"MSP Genel")=1),E273&lt;&gt;"",F273&lt;&gt;"",G273&lt;&gt;"",I273&lt;&gt;"",Q273&lt;&gt;"")),"Kimlik / kapsam eksik",IF(NOT(OR(H273="Uygulanır",H273="Uygulanmaz")),"Uygulanabilirlik eksik",IF(AND(H273="Uygulanır",P273="Kanıt yetersiz",U273&lt;&gt;""),IF(AND(R273&lt;&gt;"",R273&lt;&gt;Q273,ISNUMBER(S273),S273&gt;0,S273&gt;=L273),"İnceleme tamam","Gözden geçirme eksik"),IF(NOT(AND(J273&lt;&gt;"",COUNTIFS(Evidence[KanitID],J273,Evidence[Kabul edilen ID],J273)=1,K273&lt;&gt;"",ISNUMBER(L273),L273&gt;0,M273&lt;&gt;"")),"Kanıt / test eksik",IF(NOT(AND(R273&lt;&gt;"",R273&lt;&gt;Q273,ISNUMBER(S273),S273&gt;0,S273&gt;=L273)),"Gözden geçirme eksik",IF(H273="Uygulanmaz","İnceleme tamam",IF(AND(OR(P273="Uygun",P273="Kısmen uygun",P273="Uygunsuz"),OR(N273="Uygun",N273="Kısmen uygun",N273="Uygunsuz"),OR(O273="Uygun",O273="Kısmen uygun",O273="Uygunsuz"),OR(P273&lt;&gt;"Uygun",AND(N273="Uygun",O273="Uygun")),OR(P273="Uygun",AND(T273&lt;&gt;"",COUNTIF(Findings[KayitliBulguID],T273)=1))),"İnceleme tamam","Sonuç / bulgu eksik"))))))))</x:f>
        <x:v>Kimlik / kapsam eksik</x:v>
      </x:c>
      <x:c r="W273" s="14" t="str">
        <x:f>IF(A273="","",IF(V273&lt;&gt;"İnceleme tamam","İncelenmedi",IF(H273="Uygulanmaz","Uygulanmaz",P273)))</x:f>
        <x:v>İncelenmedi</x:v>
      </x:c>
    </x:row>
    <x:row r="274" ht="35" customHeight="1">
      <x:c r="A274" s="12" t="str">
        <x:v>U-0269</x:v>
      </x:c>
      <x:c r="B274" s="12" t="str">
        <x:v>IPS-009</x:v>
      </x:c>
      <x:c r="C274" s="12" t="str">
        <x:v>Forti IPS</x:v>
      </x:c>
      <x:c r="D274" s="12" t="str"/>
      <x:c r="E274" s="12" t="str"/>
      <x:c r="F274" s="12" t="str"/>
      <x:c r="G274" s="12" t="str"/>
      <x:c r="H274" s="12" t="str">
        <x:v>Belirlenecek</x:v>
      </x:c>
      <x:c r="I274" s="12" t="str"/>
      <x:c r="J274" s="12" t="str"/>
      <x:c r="K274" s="12" t="str"/>
      <x:c r="L274" s="13" t="str"/>
      <x:c r="M274" s="12" t="str"/>
      <x:c r="N274" s="12" t="str">
        <x:v>İncelenmedi</x:v>
      </x:c>
      <x:c r="O274" s="12" t="str">
        <x:v>İncelenmedi</x:v>
      </x:c>
      <x:c r="P274" s="12" t="str">
        <x:v>İncelenmedi</x:v>
      </x:c>
      <x:c r="Q274" s="12" t="str"/>
      <x:c r="R274" s="12" t="str"/>
      <x:c r="S274" s="13" t="str"/>
      <x:c r="T274" s="12" t="str"/>
      <x:c r="U274" s="12" t="str"/>
      <x:c r="V274" s="14" t="str">
        <x:f>IF(A274="","",IF(NOT(AND(COUNTIF(Exec[TestID],A274)=1,COUNTIF(Controls[ID],B274)=1,COUNTIFS(Scope[KapsamID],D274,Scope[OnayliKapsamID],D274,Scope[Ürün],C274)=1,OR(COUNTIFS(Controls[ID],B274,Controls[Ürün],C274)=1,COUNTIFS(Controls[ID],B274,Controls[Ürün],"MSP Genel")=1),E274&lt;&gt;"",F274&lt;&gt;"",G274&lt;&gt;"",I274&lt;&gt;"",Q274&lt;&gt;"")),"Kimlik / kapsam eksik",IF(NOT(OR(H274="Uygulanır",H274="Uygulanmaz")),"Uygulanabilirlik eksik",IF(AND(H274="Uygulanır",P274="Kanıt yetersiz",U274&lt;&gt;""),IF(AND(R274&lt;&gt;"",R274&lt;&gt;Q274,ISNUMBER(S274),S274&gt;0,S274&gt;=L274),"İnceleme tamam","Gözden geçirme eksik"),IF(NOT(AND(J274&lt;&gt;"",COUNTIFS(Evidence[KanitID],J274,Evidence[Kabul edilen ID],J274)=1,K274&lt;&gt;"",ISNUMBER(L274),L274&gt;0,M274&lt;&gt;"")),"Kanıt / test eksik",IF(NOT(AND(R274&lt;&gt;"",R274&lt;&gt;Q274,ISNUMBER(S274),S274&gt;0,S274&gt;=L274)),"Gözden geçirme eksik",IF(H274="Uygulanmaz","İnceleme tamam",IF(AND(OR(P274="Uygun",P274="Kısmen uygun",P274="Uygunsuz"),OR(N274="Uygun",N274="Kısmen uygun",N274="Uygunsuz"),OR(O274="Uygun",O274="Kısmen uygun",O274="Uygunsuz"),OR(P274&lt;&gt;"Uygun",AND(N274="Uygun",O274="Uygun")),OR(P274="Uygun",AND(T274&lt;&gt;"",COUNTIF(Findings[KayitliBulguID],T274)=1))),"İnceleme tamam","Sonuç / bulgu eksik"))))))))</x:f>
        <x:v>Kimlik / kapsam eksik</x:v>
      </x:c>
      <x:c r="W274" s="14" t="str">
        <x:f>IF(A274="","",IF(V274&lt;&gt;"İnceleme tamam","İncelenmedi",IF(H274="Uygulanmaz","Uygulanmaz",P274)))</x:f>
        <x:v>İncelenmedi</x:v>
      </x:c>
    </x:row>
    <x:row r="275" ht="35" customHeight="1">
      <x:c r="A275" s="12" t="str">
        <x:v>U-0270</x:v>
      </x:c>
      <x:c r="B275" s="12" t="str">
        <x:v>IPS-010</x:v>
      </x:c>
      <x:c r="C275" s="12" t="str">
        <x:v>Forti IPS</x:v>
      </x:c>
      <x:c r="D275" s="12" t="str"/>
      <x:c r="E275" s="12" t="str"/>
      <x:c r="F275" s="12" t="str"/>
      <x:c r="G275" s="12" t="str"/>
      <x:c r="H275" s="12" t="str">
        <x:v>Belirlenecek</x:v>
      </x:c>
      <x:c r="I275" s="12" t="str"/>
      <x:c r="J275" s="12" t="str"/>
      <x:c r="K275" s="12" t="str"/>
      <x:c r="L275" s="13" t="str"/>
      <x:c r="M275" s="12" t="str"/>
      <x:c r="N275" s="12" t="str">
        <x:v>İncelenmedi</x:v>
      </x:c>
      <x:c r="O275" s="12" t="str">
        <x:v>İncelenmedi</x:v>
      </x:c>
      <x:c r="P275" s="12" t="str">
        <x:v>İncelenmedi</x:v>
      </x:c>
      <x:c r="Q275" s="12" t="str"/>
      <x:c r="R275" s="12" t="str"/>
      <x:c r="S275" s="13" t="str"/>
      <x:c r="T275" s="12" t="str"/>
      <x:c r="U275" s="12" t="str"/>
      <x:c r="V275" s="14" t="str">
        <x:f>IF(A275="","",IF(NOT(AND(COUNTIF(Exec[TestID],A275)=1,COUNTIF(Controls[ID],B275)=1,COUNTIFS(Scope[KapsamID],D275,Scope[OnayliKapsamID],D275,Scope[Ürün],C275)=1,OR(COUNTIFS(Controls[ID],B275,Controls[Ürün],C275)=1,COUNTIFS(Controls[ID],B275,Controls[Ürün],"MSP Genel")=1),E275&lt;&gt;"",F275&lt;&gt;"",G275&lt;&gt;"",I275&lt;&gt;"",Q275&lt;&gt;"")),"Kimlik / kapsam eksik",IF(NOT(OR(H275="Uygulanır",H275="Uygulanmaz")),"Uygulanabilirlik eksik",IF(AND(H275="Uygulanır",P275="Kanıt yetersiz",U275&lt;&gt;""),IF(AND(R275&lt;&gt;"",R275&lt;&gt;Q275,ISNUMBER(S275),S275&gt;0,S275&gt;=L275),"İnceleme tamam","Gözden geçirme eksik"),IF(NOT(AND(J275&lt;&gt;"",COUNTIFS(Evidence[KanitID],J275,Evidence[Kabul edilen ID],J275)=1,K275&lt;&gt;"",ISNUMBER(L275),L275&gt;0,M275&lt;&gt;"")),"Kanıt / test eksik",IF(NOT(AND(R275&lt;&gt;"",R275&lt;&gt;Q275,ISNUMBER(S275),S275&gt;0,S275&gt;=L275)),"Gözden geçirme eksik",IF(H275="Uygulanmaz","İnceleme tamam",IF(AND(OR(P275="Uygun",P275="Kısmen uygun",P275="Uygunsuz"),OR(N275="Uygun",N275="Kısmen uygun",N275="Uygunsuz"),OR(O275="Uygun",O275="Kısmen uygun",O275="Uygunsuz"),OR(P275&lt;&gt;"Uygun",AND(N275="Uygun",O275="Uygun")),OR(P275="Uygun",AND(T275&lt;&gt;"",COUNTIF(Findings[KayitliBulguID],T275)=1))),"İnceleme tamam","Sonuç / bulgu eksik"))))))))</x:f>
        <x:v>Kimlik / kapsam eksik</x:v>
      </x:c>
      <x:c r="W275" s="14" t="str">
        <x:f>IF(A275="","",IF(V275&lt;&gt;"İnceleme tamam","İncelenmedi",IF(H275="Uygulanmaz","Uygulanmaz",P275)))</x:f>
        <x:v>İncelenmedi</x:v>
      </x:c>
    </x:row>
    <x:row r="276" ht="35" customHeight="1">
      <x:c r="A276" s="12" t="str">
        <x:v>U-0271</x:v>
      </x:c>
      <x:c r="B276" s="12" t="str">
        <x:v>IPS-011</x:v>
      </x:c>
      <x:c r="C276" s="12" t="str">
        <x:v>Forti IPS</x:v>
      </x:c>
      <x:c r="D276" s="12" t="str"/>
      <x:c r="E276" s="12" t="str"/>
      <x:c r="F276" s="12" t="str"/>
      <x:c r="G276" s="12" t="str"/>
      <x:c r="H276" s="12" t="str">
        <x:v>Belirlenecek</x:v>
      </x:c>
      <x:c r="I276" s="12" t="str"/>
      <x:c r="J276" s="12" t="str"/>
      <x:c r="K276" s="12" t="str"/>
      <x:c r="L276" s="13" t="str"/>
      <x:c r="M276" s="12" t="str"/>
      <x:c r="N276" s="12" t="str">
        <x:v>İncelenmedi</x:v>
      </x:c>
      <x:c r="O276" s="12" t="str">
        <x:v>İncelenmedi</x:v>
      </x:c>
      <x:c r="P276" s="12" t="str">
        <x:v>İncelenmedi</x:v>
      </x:c>
      <x:c r="Q276" s="12" t="str"/>
      <x:c r="R276" s="12" t="str"/>
      <x:c r="S276" s="13" t="str"/>
      <x:c r="T276" s="12" t="str"/>
      <x:c r="U276" s="12" t="str"/>
      <x:c r="V276" s="14" t="str">
        <x:f>IF(A276="","",IF(NOT(AND(COUNTIF(Exec[TestID],A276)=1,COUNTIF(Controls[ID],B276)=1,COUNTIFS(Scope[KapsamID],D276,Scope[OnayliKapsamID],D276,Scope[Ürün],C276)=1,OR(COUNTIFS(Controls[ID],B276,Controls[Ürün],C276)=1,COUNTIFS(Controls[ID],B276,Controls[Ürün],"MSP Genel")=1),E276&lt;&gt;"",F276&lt;&gt;"",G276&lt;&gt;"",I276&lt;&gt;"",Q276&lt;&gt;"")),"Kimlik / kapsam eksik",IF(NOT(OR(H276="Uygulanır",H276="Uygulanmaz")),"Uygulanabilirlik eksik",IF(AND(H276="Uygulanır",P276="Kanıt yetersiz",U276&lt;&gt;""),IF(AND(R276&lt;&gt;"",R276&lt;&gt;Q276,ISNUMBER(S276),S276&gt;0,S276&gt;=L276),"İnceleme tamam","Gözden geçirme eksik"),IF(NOT(AND(J276&lt;&gt;"",COUNTIFS(Evidence[KanitID],J276,Evidence[Kabul edilen ID],J276)=1,K276&lt;&gt;"",ISNUMBER(L276),L276&gt;0,M276&lt;&gt;"")),"Kanıt / test eksik",IF(NOT(AND(R276&lt;&gt;"",R276&lt;&gt;Q276,ISNUMBER(S276),S276&gt;0,S276&gt;=L276)),"Gözden geçirme eksik",IF(H276="Uygulanmaz","İnceleme tamam",IF(AND(OR(P276="Uygun",P276="Kısmen uygun",P276="Uygunsuz"),OR(N276="Uygun",N276="Kısmen uygun",N276="Uygunsuz"),OR(O276="Uygun",O276="Kısmen uygun",O276="Uygunsuz"),OR(P276&lt;&gt;"Uygun",AND(N276="Uygun",O276="Uygun")),OR(P276="Uygun",AND(T276&lt;&gt;"",COUNTIF(Findings[KayitliBulguID],T276)=1))),"İnceleme tamam","Sonuç / bulgu eksik"))))))))</x:f>
        <x:v>Kimlik / kapsam eksik</x:v>
      </x:c>
      <x:c r="W276" s="14" t="str">
        <x:f>IF(A276="","",IF(V276&lt;&gt;"İnceleme tamam","İncelenmedi",IF(H276="Uygulanmaz","Uygulanmaz",P276)))</x:f>
        <x:v>İncelenmedi</x:v>
      </x:c>
    </x:row>
    <x:row r="277" ht="35" customHeight="1">
      <x:c r="A277" s="12" t="str">
        <x:v>U-0272</x:v>
      </x:c>
      <x:c r="B277" s="12" t="str">
        <x:v>IPS-012</x:v>
      </x:c>
      <x:c r="C277" s="12" t="str">
        <x:v>Forti IPS</x:v>
      </x:c>
      <x:c r="D277" s="12" t="str"/>
      <x:c r="E277" s="12" t="str"/>
      <x:c r="F277" s="12" t="str"/>
      <x:c r="G277" s="12" t="str"/>
      <x:c r="H277" s="12" t="str">
        <x:v>Belirlenecek</x:v>
      </x:c>
      <x:c r="I277" s="12" t="str"/>
      <x:c r="J277" s="12" t="str"/>
      <x:c r="K277" s="12" t="str"/>
      <x:c r="L277" s="13" t="str"/>
      <x:c r="M277" s="12" t="str"/>
      <x:c r="N277" s="12" t="str">
        <x:v>İncelenmedi</x:v>
      </x:c>
      <x:c r="O277" s="12" t="str">
        <x:v>İncelenmedi</x:v>
      </x:c>
      <x:c r="P277" s="12" t="str">
        <x:v>İncelenmedi</x:v>
      </x:c>
      <x:c r="Q277" s="12" t="str"/>
      <x:c r="R277" s="12" t="str"/>
      <x:c r="S277" s="13" t="str"/>
      <x:c r="T277" s="12" t="str"/>
      <x:c r="U277" s="12" t="str"/>
      <x:c r="V277" s="14" t="str">
        <x:f>IF(A277="","",IF(NOT(AND(COUNTIF(Exec[TestID],A277)=1,COUNTIF(Controls[ID],B277)=1,COUNTIFS(Scope[KapsamID],D277,Scope[OnayliKapsamID],D277,Scope[Ürün],C277)=1,OR(COUNTIFS(Controls[ID],B277,Controls[Ürün],C277)=1,COUNTIFS(Controls[ID],B277,Controls[Ürün],"MSP Genel")=1),E277&lt;&gt;"",F277&lt;&gt;"",G277&lt;&gt;"",I277&lt;&gt;"",Q277&lt;&gt;"")),"Kimlik / kapsam eksik",IF(NOT(OR(H277="Uygulanır",H277="Uygulanmaz")),"Uygulanabilirlik eksik",IF(AND(H277="Uygulanır",P277="Kanıt yetersiz",U277&lt;&gt;""),IF(AND(R277&lt;&gt;"",R277&lt;&gt;Q277,ISNUMBER(S277),S277&gt;0,S277&gt;=L277),"İnceleme tamam","Gözden geçirme eksik"),IF(NOT(AND(J277&lt;&gt;"",COUNTIFS(Evidence[KanitID],J277,Evidence[Kabul edilen ID],J277)=1,K277&lt;&gt;"",ISNUMBER(L277),L277&gt;0,M277&lt;&gt;"")),"Kanıt / test eksik",IF(NOT(AND(R277&lt;&gt;"",R277&lt;&gt;Q277,ISNUMBER(S277),S277&gt;0,S277&gt;=L277)),"Gözden geçirme eksik",IF(H277="Uygulanmaz","İnceleme tamam",IF(AND(OR(P277="Uygun",P277="Kısmen uygun",P277="Uygunsuz"),OR(N277="Uygun",N277="Kısmen uygun",N277="Uygunsuz"),OR(O277="Uygun",O277="Kısmen uygun",O277="Uygunsuz"),OR(P277&lt;&gt;"Uygun",AND(N277="Uygun",O277="Uygun")),OR(P277="Uygun",AND(T277&lt;&gt;"",COUNTIF(Findings[KayitliBulguID],T277)=1))),"İnceleme tamam","Sonuç / bulgu eksik"))))))))</x:f>
        <x:v>Kimlik / kapsam eksik</x:v>
      </x:c>
      <x:c r="W277" s="14" t="str">
        <x:f>IF(A277="","",IF(V277&lt;&gt;"İnceleme tamam","İncelenmedi",IF(H277="Uygulanmaz","Uygulanmaz",P277)))</x:f>
        <x:v>İncelenmedi</x:v>
      </x:c>
    </x:row>
    <x:row r="278" ht="35" customHeight="1">
      <x:c r="A278" s="12" t="str">
        <x:v>U-0273</x:v>
      </x:c>
      <x:c r="B278" s="12" t="str">
        <x:v>SPL-007</x:v>
      </x:c>
      <x:c r="C278" s="12" t="str">
        <x:v>Splunk SIEM</x:v>
      </x:c>
      <x:c r="D278" s="12" t="str"/>
      <x:c r="E278" s="12" t="str"/>
      <x:c r="F278" s="12" t="str"/>
      <x:c r="G278" s="12" t="str"/>
      <x:c r="H278" s="12" t="str">
        <x:v>Belirlenecek</x:v>
      </x:c>
      <x:c r="I278" s="12" t="str"/>
      <x:c r="J278" s="12" t="str"/>
      <x:c r="K278" s="12" t="str"/>
      <x:c r="L278" s="13" t="str"/>
      <x:c r="M278" s="12" t="str"/>
      <x:c r="N278" s="12" t="str">
        <x:v>İncelenmedi</x:v>
      </x:c>
      <x:c r="O278" s="12" t="str">
        <x:v>İncelenmedi</x:v>
      </x:c>
      <x:c r="P278" s="12" t="str">
        <x:v>İncelenmedi</x:v>
      </x:c>
      <x:c r="Q278" s="12" t="str"/>
      <x:c r="R278" s="12" t="str"/>
      <x:c r="S278" s="13" t="str"/>
      <x:c r="T278" s="12" t="str"/>
      <x:c r="U278" s="12" t="str"/>
      <x:c r="V278" s="14" t="str">
        <x:f>IF(A278="","",IF(NOT(AND(COUNTIF(Exec[TestID],A278)=1,COUNTIF(Controls[ID],B278)=1,COUNTIFS(Scope[KapsamID],D278,Scope[OnayliKapsamID],D278,Scope[Ürün],C278)=1,OR(COUNTIFS(Controls[ID],B278,Controls[Ürün],C278)=1,COUNTIFS(Controls[ID],B278,Controls[Ürün],"MSP Genel")=1),E278&lt;&gt;"",F278&lt;&gt;"",G278&lt;&gt;"",I278&lt;&gt;"",Q278&lt;&gt;"")),"Kimlik / kapsam eksik",IF(NOT(OR(H278="Uygulanır",H278="Uygulanmaz")),"Uygulanabilirlik eksik",IF(AND(H278="Uygulanır",P278="Kanıt yetersiz",U278&lt;&gt;""),IF(AND(R278&lt;&gt;"",R278&lt;&gt;Q278,ISNUMBER(S278),S278&gt;0,S278&gt;=L278),"İnceleme tamam","Gözden geçirme eksik"),IF(NOT(AND(J278&lt;&gt;"",COUNTIFS(Evidence[KanitID],J278,Evidence[Kabul edilen ID],J278)=1,K278&lt;&gt;"",ISNUMBER(L278),L278&gt;0,M278&lt;&gt;"")),"Kanıt / test eksik",IF(NOT(AND(R278&lt;&gt;"",R278&lt;&gt;Q278,ISNUMBER(S278),S278&gt;0,S278&gt;=L278)),"Gözden geçirme eksik",IF(H278="Uygulanmaz","İnceleme tamam",IF(AND(OR(P278="Uygun",P278="Kısmen uygun",P278="Uygunsuz"),OR(N278="Uygun",N278="Kısmen uygun",N278="Uygunsuz"),OR(O278="Uygun",O278="Kısmen uygun",O278="Uygunsuz"),OR(P278&lt;&gt;"Uygun",AND(N278="Uygun",O278="Uygun")),OR(P278="Uygun",AND(T278&lt;&gt;"",COUNTIF(Findings[KayitliBulguID],T278)=1))),"İnceleme tamam","Sonuç / bulgu eksik"))))))))</x:f>
        <x:v>Kimlik / kapsam eksik</x:v>
      </x:c>
      <x:c r="W278" s="14" t="str">
        <x:f>IF(A278="","",IF(V278&lt;&gt;"İnceleme tamam","İncelenmedi",IF(H278="Uygulanmaz","Uygulanmaz",P278)))</x:f>
        <x:v>İncelenmedi</x:v>
      </x:c>
    </x:row>
    <x:row r="279" ht="35" customHeight="1">
      <x:c r="A279" s="12" t="str">
        <x:v>U-0274</x:v>
      </x:c>
      <x:c r="B279" s="12" t="str">
        <x:v>SPL-008</x:v>
      </x:c>
      <x:c r="C279" s="12" t="str">
        <x:v>Splunk SIEM</x:v>
      </x:c>
      <x:c r="D279" s="12" t="str"/>
      <x:c r="E279" s="12" t="str"/>
      <x:c r="F279" s="12" t="str"/>
      <x:c r="G279" s="12" t="str"/>
      <x:c r="H279" s="12" t="str">
        <x:v>Belirlenecek</x:v>
      </x:c>
      <x:c r="I279" s="12" t="str"/>
      <x:c r="J279" s="12" t="str"/>
      <x:c r="K279" s="12" t="str"/>
      <x:c r="L279" s="13" t="str"/>
      <x:c r="M279" s="12" t="str"/>
      <x:c r="N279" s="12" t="str">
        <x:v>İncelenmedi</x:v>
      </x:c>
      <x:c r="O279" s="12" t="str">
        <x:v>İncelenmedi</x:v>
      </x:c>
      <x:c r="P279" s="12" t="str">
        <x:v>İncelenmedi</x:v>
      </x:c>
      <x:c r="Q279" s="12" t="str"/>
      <x:c r="R279" s="12" t="str"/>
      <x:c r="S279" s="13" t="str"/>
      <x:c r="T279" s="12" t="str"/>
      <x:c r="U279" s="12" t="str"/>
      <x:c r="V279" s="14" t="str">
        <x:f>IF(A279="","",IF(NOT(AND(COUNTIF(Exec[TestID],A279)=1,COUNTIF(Controls[ID],B279)=1,COUNTIFS(Scope[KapsamID],D279,Scope[OnayliKapsamID],D279,Scope[Ürün],C279)=1,OR(COUNTIFS(Controls[ID],B279,Controls[Ürün],C279)=1,COUNTIFS(Controls[ID],B279,Controls[Ürün],"MSP Genel")=1),E279&lt;&gt;"",F279&lt;&gt;"",G279&lt;&gt;"",I279&lt;&gt;"",Q279&lt;&gt;"")),"Kimlik / kapsam eksik",IF(NOT(OR(H279="Uygulanır",H279="Uygulanmaz")),"Uygulanabilirlik eksik",IF(AND(H279="Uygulanır",P279="Kanıt yetersiz",U279&lt;&gt;""),IF(AND(R279&lt;&gt;"",R279&lt;&gt;Q279,ISNUMBER(S279),S279&gt;0,S279&gt;=L279),"İnceleme tamam","Gözden geçirme eksik"),IF(NOT(AND(J279&lt;&gt;"",COUNTIFS(Evidence[KanitID],J279,Evidence[Kabul edilen ID],J279)=1,K279&lt;&gt;"",ISNUMBER(L279),L279&gt;0,M279&lt;&gt;"")),"Kanıt / test eksik",IF(NOT(AND(R279&lt;&gt;"",R279&lt;&gt;Q279,ISNUMBER(S279),S279&gt;0,S279&gt;=L279)),"Gözden geçirme eksik",IF(H279="Uygulanmaz","İnceleme tamam",IF(AND(OR(P279="Uygun",P279="Kısmen uygun",P279="Uygunsuz"),OR(N279="Uygun",N279="Kısmen uygun",N279="Uygunsuz"),OR(O279="Uygun",O279="Kısmen uygun",O279="Uygunsuz"),OR(P279&lt;&gt;"Uygun",AND(N279="Uygun",O279="Uygun")),OR(P279="Uygun",AND(T279&lt;&gt;"",COUNTIF(Findings[KayitliBulguID],T279)=1))),"İnceleme tamam","Sonuç / bulgu eksik"))))))))</x:f>
        <x:v>Kimlik / kapsam eksik</x:v>
      </x:c>
      <x:c r="W279" s="14" t="str">
        <x:f>IF(A279="","",IF(V279&lt;&gt;"İnceleme tamam","İncelenmedi",IF(H279="Uygulanmaz","Uygulanmaz",P279)))</x:f>
        <x:v>İncelenmedi</x:v>
      </x:c>
    </x:row>
    <x:row r="280" ht="35" customHeight="1">
      <x:c r="A280" s="12" t="str">
        <x:v>U-0275</x:v>
      </x:c>
      <x:c r="B280" s="12" t="str">
        <x:v>SPL-009</x:v>
      </x:c>
      <x:c r="C280" s="12" t="str">
        <x:v>Splunk SIEM</x:v>
      </x:c>
      <x:c r="D280" s="12" t="str"/>
      <x:c r="E280" s="12" t="str"/>
      <x:c r="F280" s="12" t="str"/>
      <x:c r="G280" s="12" t="str"/>
      <x:c r="H280" s="12" t="str">
        <x:v>Belirlenecek</x:v>
      </x:c>
      <x:c r="I280" s="12" t="str"/>
      <x:c r="J280" s="12" t="str"/>
      <x:c r="K280" s="12" t="str"/>
      <x:c r="L280" s="13" t="str"/>
      <x:c r="M280" s="12" t="str"/>
      <x:c r="N280" s="12" t="str">
        <x:v>İncelenmedi</x:v>
      </x:c>
      <x:c r="O280" s="12" t="str">
        <x:v>İncelenmedi</x:v>
      </x:c>
      <x:c r="P280" s="12" t="str">
        <x:v>İncelenmedi</x:v>
      </x:c>
      <x:c r="Q280" s="12" t="str"/>
      <x:c r="R280" s="12" t="str"/>
      <x:c r="S280" s="13" t="str"/>
      <x:c r="T280" s="12" t="str"/>
      <x:c r="U280" s="12" t="str"/>
      <x:c r="V280" s="14" t="str">
        <x:f>IF(A280="","",IF(NOT(AND(COUNTIF(Exec[TestID],A280)=1,COUNTIF(Controls[ID],B280)=1,COUNTIFS(Scope[KapsamID],D280,Scope[OnayliKapsamID],D280,Scope[Ürün],C280)=1,OR(COUNTIFS(Controls[ID],B280,Controls[Ürün],C280)=1,COUNTIFS(Controls[ID],B280,Controls[Ürün],"MSP Genel")=1),E280&lt;&gt;"",F280&lt;&gt;"",G280&lt;&gt;"",I280&lt;&gt;"",Q280&lt;&gt;"")),"Kimlik / kapsam eksik",IF(NOT(OR(H280="Uygulanır",H280="Uygulanmaz")),"Uygulanabilirlik eksik",IF(AND(H280="Uygulanır",P280="Kanıt yetersiz",U280&lt;&gt;""),IF(AND(R280&lt;&gt;"",R280&lt;&gt;Q280,ISNUMBER(S280),S280&gt;0,S280&gt;=L280),"İnceleme tamam","Gözden geçirme eksik"),IF(NOT(AND(J280&lt;&gt;"",COUNTIFS(Evidence[KanitID],J280,Evidence[Kabul edilen ID],J280)=1,K280&lt;&gt;"",ISNUMBER(L280),L280&gt;0,M280&lt;&gt;"")),"Kanıt / test eksik",IF(NOT(AND(R280&lt;&gt;"",R280&lt;&gt;Q280,ISNUMBER(S280),S280&gt;0,S280&gt;=L280)),"Gözden geçirme eksik",IF(H280="Uygulanmaz","İnceleme tamam",IF(AND(OR(P280="Uygun",P280="Kısmen uygun",P280="Uygunsuz"),OR(N280="Uygun",N280="Kısmen uygun",N280="Uygunsuz"),OR(O280="Uygun",O280="Kısmen uygun",O280="Uygunsuz"),OR(P280&lt;&gt;"Uygun",AND(N280="Uygun",O280="Uygun")),OR(P280="Uygun",AND(T280&lt;&gt;"",COUNTIF(Findings[KayitliBulguID],T280)=1))),"İnceleme tamam","Sonuç / bulgu eksik"))))))))</x:f>
        <x:v>Kimlik / kapsam eksik</x:v>
      </x:c>
      <x:c r="W280" s="14" t="str">
        <x:f>IF(A280="","",IF(V280&lt;&gt;"İnceleme tamam","İncelenmedi",IF(H280="Uygulanmaz","Uygulanmaz",P280)))</x:f>
        <x:v>İncelenmedi</x:v>
      </x:c>
    </x:row>
    <x:row r="281" ht="35" customHeight="1">
      <x:c r="A281" s="12" t="str">
        <x:v>U-0276</x:v>
      </x:c>
      <x:c r="B281" s="12" t="str">
        <x:v>SPL-010</x:v>
      </x:c>
      <x:c r="C281" s="12" t="str">
        <x:v>Splunk SIEM</x:v>
      </x:c>
      <x:c r="D281" s="12" t="str"/>
      <x:c r="E281" s="12" t="str"/>
      <x:c r="F281" s="12" t="str"/>
      <x:c r="G281" s="12" t="str"/>
      <x:c r="H281" s="12" t="str">
        <x:v>Belirlenecek</x:v>
      </x:c>
      <x:c r="I281" s="12" t="str"/>
      <x:c r="J281" s="12" t="str"/>
      <x:c r="K281" s="12" t="str"/>
      <x:c r="L281" s="13" t="str"/>
      <x:c r="M281" s="12" t="str"/>
      <x:c r="N281" s="12" t="str">
        <x:v>İncelenmedi</x:v>
      </x:c>
      <x:c r="O281" s="12" t="str">
        <x:v>İncelenmedi</x:v>
      </x:c>
      <x:c r="P281" s="12" t="str">
        <x:v>İncelenmedi</x:v>
      </x:c>
      <x:c r="Q281" s="12" t="str"/>
      <x:c r="R281" s="12" t="str"/>
      <x:c r="S281" s="13" t="str"/>
      <x:c r="T281" s="12" t="str"/>
      <x:c r="U281" s="12" t="str"/>
      <x:c r="V281" s="14" t="str">
        <x:f>IF(A281="","",IF(NOT(AND(COUNTIF(Exec[TestID],A281)=1,COUNTIF(Controls[ID],B281)=1,COUNTIFS(Scope[KapsamID],D281,Scope[OnayliKapsamID],D281,Scope[Ürün],C281)=1,OR(COUNTIFS(Controls[ID],B281,Controls[Ürün],C281)=1,COUNTIFS(Controls[ID],B281,Controls[Ürün],"MSP Genel")=1),E281&lt;&gt;"",F281&lt;&gt;"",G281&lt;&gt;"",I281&lt;&gt;"",Q281&lt;&gt;"")),"Kimlik / kapsam eksik",IF(NOT(OR(H281="Uygulanır",H281="Uygulanmaz")),"Uygulanabilirlik eksik",IF(AND(H281="Uygulanır",P281="Kanıt yetersiz",U281&lt;&gt;""),IF(AND(R281&lt;&gt;"",R281&lt;&gt;Q281,ISNUMBER(S281),S281&gt;0,S281&gt;=L281),"İnceleme tamam","Gözden geçirme eksik"),IF(NOT(AND(J281&lt;&gt;"",COUNTIFS(Evidence[KanitID],J281,Evidence[Kabul edilen ID],J281)=1,K281&lt;&gt;"",ISNUMBER(L281),L281&gt;0,M281&lt;&gt;"")),"Kanıt / test eksik",IF(NOT(AND(R281&lt;&gt;"",R281&lt;&gt;Q281,ISNUMBER(S281),S281&gt;0,S281&gt;=L281)),"Gözden geçirme eksik",IF(H281="Uygulanmaz","İnceleme tamam",IF(AND(OR(P281="Uygun",P281="Kısmen uygun",P281="Uygunsuz"),OR(N281="Uygun",N281="Kısmen uygun",N281="Uygunsuz"),OR(O281="Uygun",O281="Kısmen uygun",O281="Uygunsuz"),OR(P281&lt;&gt;"Uygun",AND(N281="Uygun",O281="Uygun")),OR(P281="Uygun",AND(T281&lt;&gt;"",COUNTIF(Findings[KayitliBulguID],T281)=1))),"İnceleme tamam","Sonuç / bulgu eksik"))))))))</x:f>
        <x:v>Kimlik / kapsam eksik</x:v>
      </x:c>
      <x:c r="W281" s="14" t="str">
        <x:f>IF(A281="","",IF(V281&lt;&gt;"İnceleme tamam","İncelenmedi",IF(H281="Uygulanmaz","Uygulanmaz",P281)))</x:f>
        <x:v>İncelenmedi</x:v>
      </x:c>
    </x:row>
    <x:row r="282" ht="35" customHeight="1">
      <x:c r="A282" s="12" t="str">
        <x:v>U-0277</x:v>
      </x:c>
      <x:c r="B282" s="12" t="str">
        <x:v>SPL-011</x:v>
      </x:c>
      <x:c r="C282" s="12" t="str">
        <x:v>Splunk SIEM</x:v>
      </x:c>
      <x:c r="D282" s="12" t="str"/>
      <x:c r="E282" s="12" t="str"/>
      <x:c r="F282" s="12" t="str"/>
      <x:c r="G282" s="12" t="str"/>
      <x:c r="H282" s="12" t="str">
        <x:v>Belirlenecek</x:v>
      </x:c>
      <x:c r="I282" s="12" t="str"/>
      <x:c r="J282" s="12" t="str"/>
      <x:c r="K282" s="12" t="str"/>
      <x:c r="L282" s="13" t="str"/>
      <x:c r="M282" s="12" t="str"/>
      <x:c r="N282" s="12" t="str">
        <x:v>İncelenmedi</x:v>
      </x:c>
      <x:c r="O282" s="12" t="str">
        <x:v>İncelenmedi</x:v>
      </x:c>
      <x:c r="P282" s="12" t="str">
        <x:v>İncelenmedi</x:v>
      </x:c>
      <x:c r="Q282" s="12" t="str"/>
      <x:c r="R282" s="12" t="str"/>
      <x:c r="S282" s="13" t="str"/>
      <x:c r="T282" s="12" t="str"/>
      <x:c r="U282" s="12" t="str"/>
      <x:c r="V282" s="14" t="str">
        <x:f>IF(A282="","",IF(NOT(AND(COUNTIF(Exec[TestID],A282)=1,COUNTIF(Controls[ID],B282)=1,COUNTIFS(Scope[KapsamID],D282,Scope[OnayliKapsamID],D282,Scope[Ürün],C282)=1,OR(COUNTIFS(Controls[ID],B282,Controls[Ürün],C282)=1,COUNTIFS(Controls[ID],B282,Controls[Ürün],"MSP Genel")=1),E282&lt;&gt;"",F282&lt;&gt;"",G282&lt;&gt;"",I282&lt;&gt;"",Q282&lt;&gt;"")),"Kimlik / kapsam eksik",IF(NOT(OR(H282="Uygulanır",H282="Uygulanmaz")),"Uygulanabilirlik eksik",IF(AND(H282="Uygulanır",P282="Kanıt yetersiz",U282&lt;&gt;""),IF(AND(R282&lt;&gt;"",R282&lt;&gt;Q282,ISNUMBER(S282),S282&gt;0,S282&gt;=L282),"İnceleme tamam","Gözden geçirme eksik"),IF(NOT(AND(J282&lt;&gt;"",COUNTIFS(Evidence[KanitID],J282,Evidence[Kabul edilen ID],J282)=1,K282&lt;&gt;"",ISNUMBER(L282),L282&gt;0,M282&lt;&gt;"")),"Kanıt / test eksik",IF(NOT(AND(R282&lt;&gt;"",R282&lt;&gt;Q282,ISNUMBER(S282),S282&gt;0,S282&gt;=L282)),"Gözden geçirme eksik",IF(H282="Uygulanmaz","İnceleme tamam",IF(AND(OR(P282="Uygun",P282="Kısmen uygun",P282="Uygunsuz"),OR(N282="Uygun",N282="Kısmen uygun",N282="Uygunsuz"),OR(O282="Uygun",O282="Kısmen uygun",O282="Uygunsuz"),OR(P282&lt;&gt;"Uygun",AND(N282="Uygun",O282="Uygun")),OR(P282="Uygun",AND(T282&lt;&gt;"",COUNTIF(Findings[KayitliBulguID],T282)=1))),"İnceleme tamam","Sonuç / bulgu eksik"))))))))</x:f>
        <x:v>Kimlik / kapsam eksik</x:v>
      </x:c>
      <x:c r="W282" s="14" t="str">
        <x:f>IF(A282="","",IF(V282&lt;&gt;"İnceleme tamam","İncelenmedi",IF(H282="Uygulanmaz","Uygulanmaz",P282)))</x:f>
        <x:v>İncelenmedi</x:v>
      </x:c>
    </x:row>
    <x:row r="283" ht="35" customHeight="1">
      <x:c r="A283" s="12" t="str">
        <x:v>U-0278</x:v>
      </x:c>
      <x:c r="B283" s="12" t="str">
        <x:v>SPL-012</x:v>
      </x:c>
      <x:c r="C283" s="12" t="str">
        <x:v>Splunk SIEM</x:v>
      </x:c>
      <x:c r="D283" s="12" t="str"/>
      <x:c r="E283" s="12" t="str"/>
      <x:c r="F283" s="12" t="str"/>
      <x:c r="G283" s="12" t="str"/>
      <x:c r="H283" s="12" t="str">
        <x:v>Belirlenecek</x:v>
      </x:c>
      <x:c r="I283" s="12" t="str"/>
      <x:c r="J283" s="12" t="str"/>
      <x:c r="K283" s="12" t="str"/>
      <x:c r="L283" s="13" t="str"/>
      <x:c r="M283" s="12" t="str"/>
      <x:c r="N283" s="12" t="str">
        <x:v>İncelenmedi</x:v>
      </x:c>
      <x:c r="O283" s="12" t="str">
        <x:v>İncelenmedi</x:v>
      </x:c>
      <x:c r="P283" s="12" t="str">
        <x:v>İncelenmedi</x:v>
      </x:c>
      <x:c r="Q283" s="12" t="str"/>
      <x:c r="R283" s="12" t="str"/>
      <x:c r="S283" s="13" t="str"/>
      <x:c r="T283" s="12" t="str"/>
      <x:c r="U283" s="12" t="str"/>
      <x:c r="V283" s="14" t="str">
        <x:f>IF(A283="","",IF(NOT(AND(COUNTIF(Exec[TestID],A283)=1,COUNTIF(Controls[ID],B283)=1,COUNTIFS(Scope[KapsamID],D283,Scope[OnayliKapsamID],D283,Scope[Ürün],C283)=1,OR(COUNTIFS(Controls[ID],B283,Controls[Ürün],C283)=1,COUNTIFS(Controls[ID],B283,Controls[Ürün],"MSP Genel")=1),E283&lt;&gt;"",F283&lt;&gt;"",G283&lt;&gt;"",I283&lt;&gt;"",Q283&lt;&gt;"")),"Kimlik / kapsam eksik",IF(NOT(OR(H283="Uygulanır",H283="Uygulanmaz")),"Uygulanabilirlik eksik",IF(AND(H283="Uygulanır",P283="Kanıt yetersiz",U283&lt;&gt;""),IF(AND(R283&lt;&gt;"",R283&lt;&gt;Q283,ISNUMBER(S283),S283&gt;0,S283&gt;=L283),"İnceleme tamam","Gözden geçirme eksik"),IF(NOT(AND(J283&lt;&gt;"",COUNTIFS(Evidence[KanitID],J283,Evidence[Kabul edilen ID],J283)=1,K283&lt;&gt;"",ISNUMBER(L283),L283&gt;0,M283&lt;&gt;"")),"Kanıt / test eksik",IF(NOT(AND(R283&lt;&gt;"",R283&lt;&gt;Q283,ISNUMBER(S283),S283&gt;0,S283&gt;=L283)),"Gözden geçirme eksik",IF(H283="Uygulanmaz","İnceleme tamam",IF(AND(OR(P283="Uygun",P283="Kısmen uygun",P283="Uygunsuz"),OR(N283="Uygun",N283="Kısmen uygun",N283="Uygunsuz"),OR(O283="Uygun",O283="Kısmen uygun",O283="Uygunsuz"),OR(P283&lt;&gt;"Uygun",AND(N283="Uygun",O283="Uygun")),OR(P283="Uygun",AND(T283&lt;&gt;"",COUNTIF(Findings[KayitliBulguID],T283)=1))),"İnceleme tamam","Sonuç / bulgu eksik"))))))))</x:f>
        <x:v>Kimlik / kapsam eksik</x:v>
      </x:c>
      <x:c r="W283" s="14" t="str">
        <x:f>IF(A283="","",IF(V283&lt;&gt;"İnceleme tamam","İncelenmedi",IF(H283="Uygulanmaz","Uygulanmaz",P283)))</x:f>
        <x:v>İncelenmedi</x:v>
      </x:c>
    </x:row>
    <x:row r="284" ht="35" customHeight="1">
      <x:c r="A284" s="12" t="str">
        <x:v>U-0279</x:v>
      </x:c>
      <x:c r="B284" s="12" t="str">
        <x:v>SPL-013</x:v>
      </x:c>
      <x:c r="C284" s="12" t="str">
        <x:v>Splunk SIEM</x:v>
      </x:c>
      <x:c r="D284" s="12" t="str"/>
      <x:c r="E284" s="12" t="str"/>
      <x:c r="F284" s="12" t="str"/>
      <x:c r="G284" s="12" t="str"/>
      <x:c r="H284" s="12" t="str">
        <x:v>Belirlenecek</x:v>
      </x:c>
      <x:c r="I284" s="12" t="str"/>
      <x:c r="J284" s="12" t="str"/>
      <x:c r="K284" s="12" t="str"/>
      <x:c r="L284" s="13" t="str"/>
      <x:c r="M284" s="12" t="str"/>
      <x:c r="N284" s="12" t="str">
        <x:v>İncelenmedi</x:v>
      </x:c>
      <x:c r="O284" s="12" t="str">
        <x:v>İncelenmedi</x:v>
      </x:c>
      <x:c r="P284" s="12" t="str">
        <x:v>İncelenmedi</x:v>
      </x:c>
      <x:c r="Q284" s="12" t="str"/>
      <x:c r="R284" s="12" t="str"/>
      <x:c r="S284" s="13" t="str"/>
      <x:c r="T284" s="12" t="str"/>
      <x:c r="U284" s="12" t="str"/>
      <x:c r="V284" s="14" t="str">
        <x:f>IF(A284="","",IF(NOT(AND(COUNTIF(Exec[TestID],A284)=1,COUNTIF(Controls[ID],B284)=1,COUNTIFS(Scope[KapsamID],D284,Scope[OnayliKapsamID],D284,Scope[Ürün],C284)=1,OR(COUNTIFS(Controls[ID],B284,Controls[Ürün],C284)=1,COUNTIFS(Controls[ID],B284,Controls[Ürün],"MSP Genel")=1),E284&lt;&gt;"",F284&lt;&gt;"",G284&lt;&gt;"",I284&lt;&gt;"",Q284&lt;&gt;"")),"Kimlik / kapsam eksik",IF(NOT(OR(H284="Uygulanır",H284="Uygulanmaz")),"Uygulanabilirlik eksik",IF(AND(H284="Uygulanır",P284="Kanıt yetersiz",U284&lt;&gt;""),IF(AND(R284&lt;&gt;"",R284&lt;&gt;Q284,ISNUMBER(S284),S284&gt;0,S284&gt;=L284),"İnceleme tamam","Gözden geçirme eksik"),IF(NOT(AND(J284&lt;&gt;"",COUNTIFS(Evidence[KanitID],J284,Evidence[Kabul edilen ID],J284)=1,K284&lt;&gt;"",ISNUMBER(L284),L284&gt;0,M284&lt;&gt;"")),"Kanıt / test eksik",IF(NOT(AND(R284&lt;&gt;"",R284&lt;&gt;Q284,ISNUMBER(S284),S284&gt;0,S284&gt;=L284)),"Gözden geçirme eksik",IF(H284="Uygulanmaz","İnceleme tamam",IF(AND(OR(P284="Uygun",P284="Kısmen uygun",P284="Uygunsuz"),OR(N284="Uygun",N284="Kısmen uygun",N284="Uygunsuz"),OR(O284="Uygun",O284="Kısmen uygun",O284="Uygunsuz"),OR(P284&lt;&gt;"Uygun",AND(N284="Uygun",O284="Uygun")),OR(P284="Uygun",AND(T284&lt;&gt;"",COUNTIF(Findings[KayitliBulguID],T284)=1))),"İnceleme tamam","Sonuç / bulgu eksik"))))))))</x:f>
        <x:v>Kimlik / kapsam eksik</x:v>
      </x:c>
      <x:c r="W284" s="14" t="str">
        <x:f>IF(A284="","",IF(V284&lt;&gt;"İnceleme tamam","İncelenmedi",IF(H284="Uygulanmaz","Uygulanmaz",P284)))</x:f>
        <x:v>İncelenmedi</x:v>
      </x:c>
    </x:row>
    <x:row r="285" ht="35" customHeight="1">
      <x:c r="A285" s="12" t="str">
        <x:v>U-0280</x:v>
      </x:c>
      <x:c r="B285" s="12" t="str">
        <x:v>SPL-014</x:v>
      </x:c>
      <x:c r="C285" s="12" t="str">
        <x:v>Splunk SIEM</x:v>
      </x:c>
      <x:c r="D285" s="12" t="str"/>
      <x:c r="E285" s="12" t="str"/>
      <x:c r="F285" s="12" t="str"/>
      <x:c r="G285" s="12" t="str"/>
      <x:c r="H285" s="12" t="str">
        <x:v>Belirlenecek</x:v>
      </x:c>
      <x:c r="I285" s="12" t="str"/>
      <x:c r="J285" s="12" t="str"/>
      <x:c r="K285" s="12" t="str"/>
      <x:c r="L285" s="13" t="str"/>
      <x:c r="M285" s="12" t="str"/>
      <x:c r="N285" s="12" t="str">
        <x:v>İncelenmedi</x:v>
      </x:c>
      <x:c r="O285" s="12" t="str">
        <x:v>İncelenmedi</x:v>
      </x:c>
      <x:c r="P285" s="12" t="str">
        <x:v>İncelenmedi</x:v>
      </x:c>
      <x:c r="Q285" s="12" t="str"/>
      <x:c r="R285" s="12" t="str"/>
      <x:c r="S285" s="13" t="str"/>
      <x:c r="T285" s="12" t="str"/>
      <x:c r="U285" s="12" t="str"/>
      <x:c r="V285" s="14" t="str">
        <x:f>IF(A285="","",IF(NOT(AND(COUNTIF(Exec[TestID],A285)=1,COUNTIF(Controls[ID],B285)=1,COUNTIFS(Scope[KapsamID],D285,Scope[OnayliKapsamID],D285,Scope[Ürün],C285)=1,OR(COUNTIFS(Controls[ID],B285,Controls[Ürün],C285)=1,COUNTIFS(Controls[ID],B285,Controls[Ürün],"MSP Genel")=1),E285&lt;&gt;"",F285&lt;&gt;"",G285&lt;&gt;"",I285&lt;&gt;"",Q285&lt;&gt;"")),"Kimlik / kapsam eksik",IF(NOT(OR(H285="Uygulanır",H285="Uygulanmaz")),"Uygulanabilirlik eksik",IF(AND(H285="Uygulanır",P285="Kanıt yetersiz",U285&lt;&gt;""),IF(AND(R285&lt;&gt;"",R285&lt;&gt;Q285,ISNUMBER(S285),S285&gt;0,S285&gt;=L285),"İnceleme tamam","Gözden geçirme eksik"),IF(NOT(AND(J285&lt;&gt;"",COUNTIFS(Evidence[KanitID],J285,Evidence[Kabul edilen ID],J285)=1,K285&lt;&gt;"",ISNUMBER(L285),L285&gt;0,M285&lt;&gt;"")),"Kanıt / test eksik",IF(NOT(AND(R285&lt;&gt;"",R285&lt;&gt;Q285,ISNUMBER(S285),S285&gt;0,S285&gt;=L285)),"Gözden geçirme eksik",IF(H285="Uygulanmaz","İnceleme tamam",IF(AND(OR(P285="Uygun",P285="Kısmen uygun",P285="Uygunsuz"),OR(N285="Uygun",N285="Kısmen uygun",N285="Uygunsuz"),OR(O285="Uygun",O285="Kısmen uygun",O285="Uygunsuz"),OR(P285&lt;&gt;"Uygun",AND(N285="Uygun",O285="Uygun")),OR(P285="Uygun",AND(T285&lt;&gt;"",COUNTIF(Findings[KayitliBulguID],T285)=1))),"İnceleme tamam","Sonuç / bulgu eksik"))))))))</x:f>
        <x:v>Kimlik / kapsam eksik</x:v>
      </x:c>
      <x:c r="W285" s="14" t="str">
        <x:f>IF(A285="","",IF(V285&lt;&gt;"İnceleme tamam","İncelenmedi",IF(H285="Uygulanmaz","Uygulanmaz",P285)))</x:f>
        <x:v>İncelenmedi</x:v>
      </x:c>
    </x:row>
    <x:row r="286" ht="35" customHeight="1">
      <x:c r="A286" s="12" t="str">
        <x:v>U-0281</x:v>
      </x:c>
      <x:c r="B286" s="12" t="str">
        <x:v>SPL-V03-01</x:v>
      </x:c>
      <x:c r="C286" s="12" t="str">
        <x:v>Splunk SIEM</x:v>
      </x:c>
      <x:c r="D286" s="12" t="str"/>
      <x:c r="E286" s="12" t="str"/>
      <x:c r="F286" s="12" t="str"/>
      <x:c r="G286" s="12" t="str"/>
      <x:c r="H286" s="12" t="str">
        <x:v>Belirlenecek</x:v>
      </x:c>
      <x:c r="I286" s="12" t="str"/>
      <x:c r="J286" s="12" t="str"/>
      <x:c r="K286" s="12" t="str"/>
      <x:c r="L286" s="13" t="str"/>
      <x:c r="M286" s="12" t="str"/>
      <x:c r="N286" s="12" t="str">
        <x:v>İncelenmedi</x:v>
      </x:c>
      <x:c r="O286" s="12" t="str">
        <x:v>İncelenmedi</x:v>
      </x:c>
      <x:c r="P286" s="12" t="str">
        <x:v>İncelenmedi</x:v>
      </x:c>
      <x:c r="Q286" s="12" t="str"/>
      <x:c r="R286" s="12" t="str"/>
      <x:c r="S286" s="13" t="str"/>
      <x:c r="T286" s="12" t="str"/>
      <x:c r="U286" s="12" t="str"/>
      <x:c r="V286" s="14" t="str">
        <x:f>IF(A286="","",IF(NOT(AND(COUNTIF(Exec[TestID],A286)=1,COUNTIF(Controls[ID],B286)=1,COUNTIFS(Scope[KapsamID],D286,Scope[OnayliKapsamID],D286,Scope[Ürün],C286)=1,OR(COUNTIFS(Controls[ID],B286,Controls[Ürün],C286)=1,COUNTIFS(Controls[ID],B286,Controls[Ürün],"MSP Genel")=1),E286&lt;&gt;"",F286&lt;&gt;"",G286&lt;&gt;"",I286&lt;&gt;"",Q286&lt;&gt;"")),"Kimlik / kapsam eksik",IF(NOT(OR(H286="Uygulanır",H286="Uygulanmaz")),"Uygulanabilirlik eksik",IF(AND(H286="Uygulanır",P286="Kanıt yetersiz",U286&lt;&gt;""),IF(AND(R286&lt;&gt;"",R286&lt;&gt;Q286,ISNUMBER(S286),S286&gt;0,S286&gt;=L286),"İnceleme tamam","Gözden geçirme eksik"),IF(NOT(AND(J286&lt;&gt;"",COUNTIFS(Evidence[KanitID],J286,Evidence[Kabul edilen ID],J286)=1,K286&lt;&gt;"",ISNUMBER(L286),L286&gt;0,M286&lt;&gt;"")),"Kanıt / test eksik",IF(NOT(AND(R286&lt;&gt;"",R286&lt;&gt;Q286,ISNUMBER(S286),S286&gt;0,S286&gt;=L286)),"Gözden geçirme eksik",IF(H286="Uygulanmaz","İnceleme tamam",IF(AND(OR(P286="Uygun",P286="Kısmen uygun",P286="Uygunsuz"),OR(N286="Uygun",N286="Kısmen uygun",N286="Uygunsuz"),OR(O286="Uygun",O286="Kısmen uygun",O286="Uygunsuz"),OR(P286&lt;&gt;"Uygun",AND(N286="Uygun",O286="Uygun")),OR(P286="Uygun",AND(T286&lt;&gt;"",COUNTIF(Findings[KayitliBulguID],T286)=1))),"İnceleme tamam","Sonuç / bulgu eksik"))))))))</x:f>
        <x:v>Kimlik / kapsam eksik</x:v>
      </x:c>
      <x:c r="W286" s="14" t="str">
        <x:f>IF(A286="","",IF(V286&lt;&gt;"İnceleme tamam","İncelenmedi",IF(H286="Uygulanmaz","Uygulanmaz",P286)))</x:f>
        <x:v>İncelenmedi</x:v>
      </x:c>
    </x:row>
    <x:row r="287" ht="35" customHeight="1">
      <x:c r="A287" s="12" t="str">
        <x:v>U-0282</x:v>
      </x:c>
      <x:c r="B287" s="12" t="str">
        <x:v>SPL-V04-01</x:v>
      </x:c>
      <x:c r="C287" s="12" t="str">
        <x:v>Splunk SIEM</x:v>
      </x:c>
      <x:c r="D287" s="12" t="str"/>
      <x:c r="E287" s="12" t="str"/>
      <x:c r="F287" s="12" t="str"/>
      <x:c r="G287" s="12" t="str"/>
      <x:c r="H287" s="12" t="str">
        <x:v>Belirlenecek</x:v>
      </x:c>
      <x:c r="I287" s="12" t="str"/>
      <x:c r="J287" s="12" t="str"/>
      <x:c r="K287" s="12" t="str"/>
      <x:c r="L287" s="13" t="str"/>
      <x:c r="M287" s="12" t="str"/>
      <x:c r="N287" s="12" t="str">
        <x:v>İncelenmedi</x:v>
      </x:c>
      <x:c r="O287" s="12" t="str">
        <x:v>İncelenmedi</x:v>
      </x:c>
      <x:c r="P287" s="12" t="str">
        <x:v>İncelenmedi</x:v>
      </x:c>
      <x:c r="Q287" s="12" t="str"/>
      <x:c r="R287" s="12" t="str"/>
      <x:c r="S287" s="13" t="str"/>
      <x:c r="T287" s="12" t="str"/>
      <x:c r="U287" s="12" t="str"/>
      <x:c r="V287" s="14" t="str">
        <x:f>IF(A287="","",IF(NOT(AND(COUNTIF(Exec[TestID],A287)=1,COUNTIF(Controls[ID],B287)=1,COUNTIFS(Scope[KapsamID],D287,Scope[OnayliKapsamID],D287,Scope[Ürün],C287)=1,OR(COUNTIFS(Controls[ID],B287,Controls[Ürün],C287)=1,COUNTIFS(Controls[ID],B287,Controls[Ürün],"MSP Genel")=1),E287&lt;&gt;"",F287&lt;&gt;"",G287&lt;&gt;"",I287&lt;&gt;"",Q287&lt;&gt;"")),"Kimlik / kapsam eksik",IF(NOT(OR(H287="Uygulanır",H287="Uygulanmaz")),"Uygulanabilirlik eksik",IF(AND(H287="Uygulanır",P287="Kanıt yetersiz",U287&lt;&gt;""),IF(AND(R287&lt;&gt;"",R287&lt;&gt;Q287,ISNUMBER(S287),S287&gt;0,S287&gt;=L287),"İnceleme tamam","Gözden geçirme eksik"),IF(NOT(AND(J287&lt;&gt;"",COUNTIFS(Evidence[KanitID],J287,Evidence[Kabul edilen ID],J287)=1,K287&lt;&gt;"",ISNUMBER(L287),L287&gt;0,M287&lt;&gt;"")),"Kanıt / test eksik",IF(NOT(AND(R287&lt;&gt;"",R287&lt;&gt;Q287,ISNUMBER(S287),S287&gt;0,S287&gt;=L287)),"Gözden geçirme eksik",IF(H287="Uygulanmaz","İnceleme tamam",IF(AND(OR(P287="Uygun",P287="Kısmen uygun",P287="Uygunsuz"),OR(N287="Uygun",N287="Kısmen uygun",N287="Uygunsuz"),OR(O287="Uygun",O287="Kısmen uygun",O287="Uygunsuz"),OR(P287&lt;&gt;"Uygun",AND(N287="Uygun",O287="Uygun")),OR(P287="Uygun",AND(T287&lt;&gt;"",COUNTIF(Findings[KayitliBulguID],T287)=1))),"İnceleme tamam","Sonuç / bulgu eksik"))))))))</x:f>
        <x:v>Kimlik / kapsam eksik</x:v>
      </x:c>
      <x:c r="W287" s="14" t="str">
        <x:f>IF(A287="","",IF(V287&lt;&gt;"İnceleme tamam","İncelenmedi",IF(H287="Uygulanmaz","Uygulanmaz",P287)))</x:f>
        <x:v>İncelenmedi</x:v>
      </x:c>
    </x:row>
    <x:row r="288" ht="35" customHeight="1">
      <x:c r="A288" s="12" t="str">
        <x:v>U-0283</x:v>
      </x:c>
      <x:c r="B288" s="12" t="str">
        <x:v>SPL-V04-02</x:v>
      </x:c>
      <x:c r="C288" s="12" t="str">
        <x:v>Splunk SIEM</x:v>
      </x:c>
      <x:c r="D288" s="12" t="str"/>
      <x:c r="E288" s="12" t="str"/>
      <x:c r="F288" s="12" t="str"/>
      <x:c r="G288" s="12" t="str"/>
      <x:c r="H288" s="12" t="str">
        <x:v>Belirlenecek</x:v>
      </x:c>
      <x:c r="I288" s="12" t="str"/>
      <x:c r="J288" s="12" t="str"/>
      <x:c r="K288" s="12" t="str"/>
      <x:c r="L288" s="13" t="str"/>
      <x:c r="M288" s="12" t="str"/>
      <x:c r="N288" s="12" t="str">
        <x:v>İncelenmedi</x:v>
      </x:c>
      <x:c r="O288" s="12" t="str">
        <x:v>İncelenmedi</x:v>
      </x:c>
      <x:c r="P288" s="12" t="str">
        <x:v>İncelenmedi</x:v>
      </x:c>
      <x:c r="Q288" s="12" t="str"/>
      <x:c r="R288" s="12" t="str"/>
      <x:c r="S288" s="13" t="str"/>
      <x:c r="T288" s="12" t="str"/>
      <x:c r="U288" s="12" t="str"/>
      <x:c r="V288" s="14" t="str">
        <x:f>IF(A288="","",IF(NOT(AND(COUNTIF(Exec[TestID],A288)=1,COUNTIF(Controls[ID],B288)=1,COUNTIFS(Scope[KapsamID],D288,Scope[OnayliKapsamID],D288,Scope[Ürün],C288)=1,OR(COUNTIFS(Controls[ID],B288,Controls[Ürün],C288)=1,COUNTIFS(Controls[ID],B288,Controls[Ürün],"MSP Genel")=1),E288&lt;&gt;"",F288&lt;&gt;"",G288&lt;&gt;"",I288&lt;&gt;"",Q288&lt;&gt;"")),"Kimlik / kapsam eksik",IF(NOT(OR(H288="Uygulanır",H288="Uygulanmaz")),"Uygulanabilirlik eksik",IF(AND(H288="Uygulanır",P288="Kanıt yetersiz",U288&lt;&gt;""),IF(AND(R288&lt;&gt;"",R288&lt;&gt;Q288,ISNUMBER(S288),S288&gt;0,S288&gt;=L288),"İnceleme tamam","Gözden geçirme eksik"),IF(NOT(AND(J288&lt;&gt;"",COUNTIFS(Evidence[KanitID],J288,Evidence[Kabul edilen ID],J288)=1,K288&lt;&gt;"",ISNUMBER(L288),L288&gt;0,M288&lt;&gt;"")),"Kanıt / test eksik",IF(NOT(AND(R288&lt;&gt;"",R288&lt;&gt;Q288,ISNUMBER(S288),S288&gt;0,S288&gt;=L288)),"Gözden geçirme eksik",IF(H288="Uygulanmaz","İnceleme tamam",IF(AND(OR(P288="Uygun",P288="Kısmen uygun",P288="Uygunsuz"),OR(N288="Uygun",N288="Kısmen uygun",N288="Uygunsuz"),OR(O288="Uygun",O288="Kısmen uygun",O288="Uygunsuz"),OR(P288&lt;&gt;"Uygun",AND(N288="Uygun",O288="Uygun")),OR(P288="Uygun",AND(T288&lt;&gt;"",COUNTIF(Findings[KayitliBulguID],T288)=1))),"İnceleme tamam","Sonuç / bulgu eksik"))))))))</x:f>
        <x:v>Kimlik / kapsam eksik</x:v>
      </x:c>
      <x:c r="W288" s="14" t="str">
        <x:f>IF(A288="","",IF(V288&lt;&gt;"İnceleme tamam","İncelenmedi",IF(H288="Uygulanmaz","Uygulanmaz",P288)))</x:f>
        <x:v>İncelenmedi</x:v>
      </x:c>
    </x:row>
    <x:row r="289" ht="35" customHeight="1">
      <x:c r="A289" s="12" t="str">
        <x:v>U-0284</x:v>
      </x:c>
      <x:c r="B289" s="12" t="str">
        <x:v>SPL-V05-03</x:v>
      </x:c>
      <x:c r="C289" s="12" t="str">
        <x:v>Splunk SIEM</x:v>
      </x:c>
      <x:c r="D289" s="12" t="str"/>
      <x:c r="E289" s="12" t="str"/>
      <x:c r="F289" s="12" t="str"/>
      <x:c r="G289" s="12" t="str"/>
      <x:c r="H289" s="12" t="str">
        <x:v>Belirlenecek</x:v>
      </x:c>
      <x:c r="I289" s="12" t="str"/>
      <x:c r="J289" s="12" t="str"/>
      <x:c r="K289" s="12" t="str"/>
      <x:c r="L289" s="13" t="str"/>
      <x:c r="M289" s="12" t="str"/>
      <x:c r="N289" s="12" t="str">
        <x:v>İncelenmedi</x:v>
      </x:c>
      <x:c r="O289" s="12" t="str">
        <x:v>İncelenmedi</x:v>
      </x:c>
      <x:c r="P289" s="12" t="str">
        <x:v>İncelenmedi</x:v>
      </x:c>
      <x:c r="Q289" s="12" t="str"/>
      <x:c r="R289" s="12" t="str"/>
      <x:c r="S289" s="13" t="str"/>
      <x:c r="T289" s="12" t="str"/>
      <x:c r="U289" s="12" t="str"/>
      <x:c r="V289" s="14" t="str">
        <x:f>IF(A289="","",IF(NOT(AND(COUNTIF(Exec[TestID],A289)=1,COUNTIF(Controls[ID],B289)=1,COUNTIFS(Scope[KapsamID],D289,Scope[OnayliKapsamID],D289,Scope[Ürün],C289)=1,OR(COUNTIFS(Controls[ID],B289,Controls[Ürün],C289)=1,COUNTIFS(Controls[ID],B289,Controls[Ürün],"MSP Genel")=1),E289&lt;&gt;"",F289&lt;&gt;"",G289&lt;&gt;"",I289&lt;&gt;"",Q289&lt;&gt;"")),"Kimlik / kapsam eksik",IF(NOT(OR(H289="Uygulanır",H289="Uygulanmaz")),"Uygulanabilirlik eksik",IF(AND(H289="Uygulanır",P289="Kanıt yetersiz",U289&lt;&gt;""),IF(AND(R289&lt;&gt;"",R289&lt;&gt;Q289,ISNUMBER(S289),S289&gt;0,S289&gt;=L289),"İnceleme tamam","Gözden geçirme eksik"),IF(NOT(AND(J289&lt;&gt;"",COUNTIFS(Evidence[KanitID],J289,Evidence[Kabul edilen ID],J289)=1,K289&lt;&gt;"",ISNUMBER(L289),L289&gt;0,M289&lt;&gt;"")),"Kanıt / test eksik",IF(NOT(AND(R289&lt;&gt;"",R289&lt;&gt;Q289,ISNUMBER(S289),S289&gt;0,S289&gt;=L289)),"Gözden geçirme eksik",IF(H289="Uygulanmaz","İnceleme tamam",IF(AND(OR(P289="Uygun",P289="Kısmen uygun",P289="Uygunsuz"),OR(N289="Uygun",N289="Kısmen uygun",N289="Uygunsuz"),OR(O289="Uygun",O289="Kısmen uygun",O289="Uygunsuz"),OR(P289&lt;&gt;"Uygun",AND(N289="Uygun",O289="Uygun")),OR(P289="Uygun",AND(T289&lt;&gt;"",COUNTIF(Findings[KayitliBulguID],T289)=1))),"İnceleme tamam","Sonuç / bulgu eksik"))))))))</x:f>
        <x:v>Kimlik / kapsam eksik</x:v>
      </x:c>
      <x:c r="W289" s="14" t="str">
        <x:f>IF(A289="","",IF(V289&lt;&gt;"İnceleme tamam","İncelenmedi",IF(H289="Uygulanmaz","Uygulanmaz",P289)))</x:f>
        <x:v>İncelenmedi</x:v>
      </x:c>
    </x:row>
    <x:row r="290" ht="35" customHeight="1">
      <x:c r="A290" s="12" t="str">
        <x:v>U-0285</x:v>
      </x:c>
      <x:c r="B290" s="12" t="str">
        <x:v>SPL-V07-01</x:v>
      </x:c>
      <x:c r="C290" s="12" t="str">
        <x:v>Splunk SIEM</x:v>
      </x:c>
      <x:c r="D290" s="12" t="str"/>
      <x:c r="E290" s="12" t="str"/>
      <x:c r="F290" s="12" t="str"/>
      <x:c r="G290" s="12" t="str"/>
      <x:c r="H290" s="12" t="str">
        <x:v>Belirlenecek</x:v>
      </x:c>
      <x:c r="I290" s="12" t="str"/>
      <x:c r="J290" s="12" t="str"/>
      <x:c r="K290" s="12" t="str"/>
      <x:c r="L290" s="13" t="str"/>
      <x:c r="M290" s="12" t="str"/>
      <x:c r="N290" s="12" t="str">
        <x:v>İncelenmedi</x:v>
      </x:c>
      <x:c r="O290" s="12" t="str">
        <x:v>İncelenmedi</x:v>
      </x:c>
      <x:c r="P290" s="12" t="str">
        <x:v>İncelenmedi</x:v>
      </x:c>
      <x:c r="Q290" s="12" t="str"/>
      <x:c r="R290" s="12" t="str"/>
      <x:c r="S290" s="13" t="str"/>
      <x:c r="T290" s="12" t="str"/>
      <x:c r="U290" s="12" t="str"/>
      <x:c r="V290" s="14" t="str">
        <x:f>IF(A290="","",IF(NOT(AND(COUNTIF(Exec[TestID],A290)=1,COUNTIF(Controls[ID],B290)=1,COUNTIFS(Scope[KapsamID],D290,Scope[OnayliKapsamID],D290,Scope[Ürün],C290)=1,OR(COUNTIFS(Controls[ID],B290,Controls[Ürün],C290)=1,COUNTIFS(Controls[ID],B290,Controls[Ürün],"MSP Genel")=1),E290&lt;&gt;"",F290&lt;&gt;"",G290&lt;&gt;"",I290&lt;&gt;"",Q290&lt;&gt;"")),"Kimlik / kapsam eksik",IF(NOT(OR(H290="Uygulanır",H290="Uygulanmaz")),"Uygulanabilirlik eksik",IF(AND(H290="Uygulanır",P290="Kanıt yetersiz",U290&lt;&gt;""),IF(AND(R290&lt;&gt;"",R290&lt;&gt;Q290,ISNUMBER(S290),S290&gt;0,S290&gt;=L290),"İnceleme tamam","Gözden geçirme eksik"),IF(NOT(AND(J290&lt;&gt;"",COUNTIFS(Evidence[KanitID],J290,Evidence[Kabul edilen ID],J290)=1,K290&lt;&gt;"",ISNUMBER(L290),L290&gt;0,M290&lt;&gt;"")),"Kanıt / test eksik",IF(NOT(AND(R290&lt;&gt;"",R290&lt;&gt;Q290,ISNUMBER(S290),S290&gt;0,S290&gt;=L290)),"Gözden geçirme eksik",IF(H290="Uygulanmaz","İnceleme tamam",IF(AND(OR(P290="Uygun",P290="Kısmen uygun",P290="Uygunsuz"),OR(N290="Uygun",N290="Kısmen uygun",N290="Uygunsuz"),OR(O290="Uygun",O290="Kısmen uygun",O290="Uygunsuz"),OR(P290&lt;&gt;"Uygun",AND(N290="Uygun",O290="Uygun")),OR(P290="Uygun",AND(T290&lt;&gt;"",COUNTIF(Findings[KayitliBulguID],T290)=1))),"İnceleme tamam","Sonuç / bulgu eksik"))))))))</x:f>
        <x:v>Kimlik / kapsam eksik</x:v>
      </x:c>
      <x:c r="W290" s="14" t="str">
        <x:f>IF(A290="","",IF(V290&lt;&gt;"İnceleme tamam","İncelenmedi",IF(H290="Uygulanmaz","Uygulanmaz",P290)))</x:f>
        <x:v>İncelenmedi</x:v>
      </x:c>
    </x:row>
    <x:row r="291" ht="35" customHeight="1">
      <x:c r="A291" s="12" t="str">
        <x:v>U-0286</x:v>
      </x:c>
      <x:c r="B291" s="12" t="str">
        <x:v>SPL-V09-01</x:v>
      </x:c>
      <x:c r="C291" s="12" t="str">
        <x:v>Splunk SIEM</x:v>
      </x:c>
      <x:c r="D291" s="12" t="str"/>
      <x:c r="E291" s="12" t="str"/>
      <x:c r="F291" s="12" t="str"/>
      <x:c r="G291" s="12" t="str"/>
      <x:c r="H291" s="12" t="str">
        <x:v>Belirlenecek</x:v>
      </x:c>
      <x:c r="I291" s="12" t="str"/>
      <x:c r="J291" s="12" t="str"/>
      <x:c r="K291" s="12" t="str"/>
      <x:c r="L291" s="13" t="str"/>
      <x:c r="M291" s="12" t="str"/>
      <x:c r="N291" s="12" t="str">
        <x:v>İncelenmedi</x:v>
      </x:c>
      <x:c r="O291" s="12" t="str">
        <x:v>İncelenmedi</x:v>
      </x:c>
      <x:c r="P291" s="12" t="str">
        <x:v>İncelenmedi</x:v>
      </x:c>
      <x:c r="Q291" s="12" t="str"/>
      <x:c r="R291" s="12" t="str"/>
      <x:c r="S291" s="13" t="str"/>
      <x:c r="T291" s="12" t="str"/>
      <x:c r="U291" s="12" t="str"/>
      <x:c r="V291" s="14" t="str">
        <x:f>IF(A291="","",IF(NOT(AND(COUNTIF(Exec[TestID],A291)=1,COUNTIF(Controls[ID],B291)=1,COUNTIFS(Scope[KapsamID],D291,Scope[OnayliKapsamID],D291,Scope[Ürün],C291)=1,OR(COUNTIFS(Controls[ID],B291,Controls[Ürün],C291)=1,COUNTIFS(Controls[ID],B291,Controls[Ürün],"MSP Genel")=1),E291&lt;&gt;"",F291&lt;&gt;"",G291&lt;&gt;"",I291&lt;&gt;"",Q291&lt;&gt;"")),"Kimlik / kapsam eksik",IF(NOT(OR(H291="Uygulanır",H291="Uygulanmaz")),"Uygulanabilirlik eksik",IF(AND(H291="Uygulanır",P291="Kanıt yetersiz",U291&lt;&gt;""),IF(AND(R291&lt;&gt;"",R291&lt;&gt;Q291,ISNUMBER(S291),S291&gt;0,S291&gt;=L291),"İnceleme tamam","Gözden geçirme eksik"),IF(NOT(AND(J291&lt;&gt;"",COUNTIFS(Evidence[KanitID],J291,Evidence[Kabul edilen ID],J291)=1,K291&lt;&gt;"",ISNUMBER(L291),L291&gt;0,M291&lt;&gt;"")),"Kanıt / test eksik",IF(NOT(AND(R291&lt;&gt;"",R291&lt;&gt;Q291,ISNUMBER(S291),S291&gt;0,S291&gt;=L291)),"Gözden geçirme eksik",IF(H291="Uygulanmaz","İnceleme tamam",IF(AND(OR(P291="Uygun",P291="Kısmen uygun",P291="Uygunsuz"),OR(N291="Uygun",N291="Kısmen uygun",N291="Uygunsuz"),OR(O291="Uygun",O291="Kısmen uygun",O291="Uygunsuz"),OR(P291&lt;&gt;"Uygun",AND(N291="Uygun",O291="Uygun")),OR(P291="Uygun",AND(T291&lt;&gt;"",COUNTIF(Findings[KayitliBulguID],T291)=1))),"İnceleme tamam","Sonuç / bulgu eksik"))))))))</x:f>
        <x:v>Kimlik / kapsam eksik</x:v>
      </x:c>
      <x:c r="W291" s="14" t="str">
        <x:f>IF(A291="","",IF(V291&lt;&gt;"İnceleme tamam","İncelenmedi",IF(H291="Uygulanmaz","Uygulanmaz",P291)))</x:f>
        <x:v>İncelenmedi</x:v>
      </x:c>
    </x:row>
    <x:row r="292" ht="35" customHeight="1">
      <x:c r="A292" s="12" t="str">
        <x:v>U-0287</x:v>
      </x:c>
      <x:c r="B292" s="12" t="str">
        <x:v>SPL-V10-01</x:v>
      </x:c>
      <x:c r="C292" s="12" t="str">
        <x:v>Splunk SIEM</x:v>
      </x:c>
      <x:c r="D292" s="12" t="str"/>
      <x:c r="E292" s="12" t="str"/>
      <x:c r="F292" s="12" t="str"/>
      <x:c r="G292" s="12" t="str"/>
      <x:c r="H292" s="12" t="str">
        <x:v>Belirlenecek</x:v>
      </x:c>
      <x:c r="I292" s="12" t="str"/>
      <x:c r="J292" s="12" t="str"/>
      <x:c r="K292" s="12" t="str"/>
      <x:c r="L292" s="13" t="str"/>
      <x:c r="M292" s="12" t="str"/>
      <x:c r="N292" s="12" t="str">
        <x:v>İncelenmedi</x:v>
      </x:c>
      <x:c r="O292" s="12" t="str">
        <x:v>İncelenmedi</x:v>
      </x:c>
      <x:c r="P292" s="12" t="str">
        <x:v>İncelenmedi</x:v>
      </x:c>
      <x:c r="Q292" s="12" t="str"/>
      <x:c r="R292" s="12" t="str"/>
      <x:c r="S292" s="13" t="str"/>
      <x:c r="T292" s="12" t="str"/>
      <x:c r="U292" s="12" t="str"/>
      <x:c r="V292" s="14" t="str">
        <x:f>IF(A292="","",IF(NOT(AND(COUNTIF(Exec[TestID],A292)=1,COUNTIF(Controls[ID],B292)=1,COUNTIFS(Scope[KapsamID],D292,Scope[OnayliKapsamID],D292,Scope[Ürün],C292)=1,OR(COUNTIFS(Controls[ID],B292,Controls[Ürün],C292)=1,COUNTIFS(Controls[ID],B292,Controls[Ürün],"MSP Genel")=1),E292&lt;&gt;"",F292&lt;&gt;"",G292&lt;&gt;"",I292&lt;&gt;"",Q292&lt;&gt;"")),"Kimlik / kapsam eksik",IF(NOT(OR(H292="Uygulanır",H292="Uygulanmaz")),"Uygulanabilirlik eksik",IF(AND(H292="Uygulanır",P292="Kanıt yetersiz",U292&lt;&gt;""),IF(AND(R292&lt;&gt;"",R292&lt;&gt;Q292,ISNUMBER(S292),S292&gt;0,S292&gt;=L292),"İnceleme tamam","Gözden geçirme eksik"),IF(NOT(AND(J292&lt;&gt;"",COUNTIFS(Evidence[KanitID],J292,Evidence[Kabul edilen ID],J292)=1,K292&lt;&gt;"",ISNUMBER(L292),L292&gt;0,M292&lt;&gt;"")),"Kanıt / test eksik",IF(NOT(AND(R292&lt;&gt;"",R292&lt;&gt;Q292,ISNUMBER(S292),S292&gt;0,S292&gt;=L292)),"Gözden geçirme eksik",IF(H292="Uygulanmaz","İnceleme tamam",IF(AND(OR(P292="Uygun",P292="Kısmen uygun",P292="Uygunsuz"),OR(N292="Uygun",N292="Kısmen uygun",N292="Uygunsuz"),OR(O292="Uygun",O292="Kısmen uygun",O292="Uygunsuz"),OR(P292&lt;&gt;"Uygun",AND(N292="Uygun",O292="Uygun")),OR(P292="Uygun",AND(T292&lt;&gt;"",COUNTIF(Findings[KayitliBulguID],T292)=1))),"İnceleme tamam","Sonuç / bulgu eksik"))))))))</x:f>
        <x:v>Kimlik / kapsam eksik</x:v>
      </x:c>
      <x:c r="W292" s="14" t="str">
        <x:f>IF(A292="","",IF(V292&lt;&gt;"İnceleme tamam","İncelenmedi",IF(H292="Uygulanmaz","Uygulanmaz",P292)))</x:f>
        <x:v>İncelenmedi</x:v>
      </x:c>
    </x:row>
    <x:row r="293" ht="35" customHeight="1">
      <x:c r="A293" s="12" t="str">
        <x:v>U-0288</x:v>
      </x:c>
      <x:c r="B293" s="12" t="str">
        <x:v>SPL-V10-03</x:v>
      </x:c>
      <x:c r="C293" s="12" t="str">
        <x:v>Splunk SIEM</x:v>
      </x:c>
      <x:c r="D293" s="12" t="str"/>
      <x:c r="E293" s="12" t="str"/>
      <x:c r="F293" s="12" t="str"/>
      <x:c r="G293" s="12" t="str"/>
      <x:c r="H293" s="12" t="str">
        <x:v>Belirlenecek</x:v>
      </x:c>
      <x:c r="I293" s="12" t="str"/>
      <x:c r="J293" s="12" t="str"/>
      <x:c r="K293" s="12" t="str"/>
      <x:c r="L293" s="13" t="str"/>
      <x:c r="M293" s="12" t="str"/>
      <x:c r="N293" s="12" t="str">
        <x:v>İncelenmedi</x:v>
      </x:c>
      <x:c r="O293" s="12" t="str">
        <x:v>İncelenmedi</x:v>
      </x:c>
      <x:c r="P293" s="12" t="str">
        <x:v>İncelenmedi</x:v>
      </x:c>
      <x:c r="Q293" s="12" t="str"/>
      <x:c r="R293" s="12" t="str"/>
      <x:c r="S293" s="13" t="str"/>
      <x:c r="T293" s="12" t="str"/>
      <x:c r="U293" s="12" t="str"/>
      <x:c r="V293" s="14" t="str">
        <x:f>IF(A293="","",IF(NOT(AND(COUNTIF(Exec[TestID],A293)=1,COUNTIF(Controls[ID],B293)=1,COUNTIFS(Scope[KapsamID],D293,Scope[OnayliKapsamID],D293,Scope[Ürün],C293)=1,OR(COUNTIFS(Controls[ID],B293,Controls[Ürün],C293)=1,COUNTIFS(Controls[ID],B293,Controls[Ürün],"MSP Genel")=1),E293&lt;&gt;"",F293&lt;&gt;"",G293&lt;&gt;"",I293&lt;&gt;"",Q293&lt;&gt;"")),"Kimlik / kapsam eksik",IF(NOT(OR(H293="Uygulanır",H293="Uygulanmaz")),"Uygulanabilirlik eksik",IF(AND(H293="Uygulanır",P293="Kanıt yetersiz",U293&lt;&gt;""),IF(AND(R293&lt;&gt;"",R293&lt;&gt;Q293,ISNUMBER(S293),S293&gt;0,S293&gt;=L293),"İnceleme tamam","Gözden geçirme eksik"),IF(NOT(AND(J293&lt;&gt;"",COUNTIFS(Evidence[KanitID],J293,Evidence[Kabul edilen ID],J293)=1,K293&lt;&gt;"",ISNUMBER(L293),L293&gt;0,M293&lt;&gt;"")),"Kanıt / test eksik",IF(NOT(AND(R293&lt;&gt;"",R293&lt;&gt;Q293,ISNUMBER(S293),S293&gt;0,S293&gt;=L293)),"Gözden geçirme eksik",IF(H293="Uygulanmaz","İnceleme tamam",IF(AND(OR(P293="Uygun",P293="Kısmen uygun",P293="Uygunsuz"),OR(N293="Uygun",N293="Kısmen uygun",N293="Uygunsuz"),OR(O293="Uygun",O293="Kısmen uygun",O293="Uygunsuz"),OR(P293&lt;&gt;"Uygun",AND(N293="Uygun",O293="Uygun")),OR(P293="Uygun",AND(T293&lt;&gt;"",COUNTIF(Findings[KayitliBulguID],T293)=1))),"İnceleme tamam","Sonuç / bulgu eksik"))))))))</x:f>
        <x:v>Kimlik / kapsam eksik</x:v>
      </x:c>
      <x:c r="W293" s="14" t="str">
        <x:f>IF(A293="","",IF(V293&lt;&gt;"İnceleme tamam","İncelenmedi",IF(H293="Uygulanmaz","Uygulanmaz",P293)))</x:f>
        <x:v>İncelenmedi</x:v>
      </x:c>
    </x:row>
    <x:row r="294" ht="35" customHeight="1">
      <x:c r="A294" s="12" t="str">
        <x:v>U-0289</x:v>
      </x:c>
      <x:c r="B294" s="12" t="str">
        <x:v>SPL-V10-04</x:v>
      </x:c>
      <x:c r="C294" s="12" t="str">
        <x:v>Splunk SIEM</x:v>
      </x:c>
      <x:c r="D294" s="12" t="str"/>
      <x:c r="E294" s="12" t="str"/>
      <x:c r="F294" s="12" t="str"/>
      <x:c r="G294" s="12" t="str"/>
      <x:c r="H294" s="12" t="str">
        <x:v>Belirlenecek</x:v>
      </x:c>
      <x:c r="I294" s="12" t="str"/>
      <x:c r="J294" s="12" t="str"/>
      <x:c r="K294" s="12" t="str"/>
      <x:c r="L294" s="13" t="str"/>
      <x:c r="M294" s="12" t="str"/>
      <x:c r="N294" s="12" t="str">
        <x:v>İncelenmedi</x:v>
      </x:c>
      <x:c r="O294" s="12" t="str">
        <x:v>İncelenmedi</x:v>
      </x:c>
      <x:c r="P294" s="12" t="str">
        <x:v>İncelenmedi</x:v>
      </x:c>
      <x:c r="Q294" s="12" t="str"/>
      <x:c r="R294" s="12" t="str"/>
      <x:c r="S294" s="13" t="str"/>
      <x:c r="T294" s="12" t="str"/>
      <x:c r="U294" s="12" t="str"/>
      <x:c r="V294" s="14" t="str">
        <x:f>IF(A294="","",IF(NOT(AND(COUNTIF(Exec[TestID],A294)=1,COUNTIF(Controls[ID],B294)=1,COUNTIFS(Scope[KapsamID],D294,Scope[OnayliKapsamID],D294,Scope[Ürün],C294)=1,OR(COUNTIFS(Controls[ID],B294,Controls[Ürün],C294)=1,COUNTIFS(Controls[ID],B294,Controls[Ürün],"MSP Genel")=1),E294&lt;&gt;"",F294&lt;&gt;"",G294&lt;&gt;"",I294&lt;&gt;"",Q294&lt;&gt;"")),"Kimlik / kapsam eksik",IF(NOT(OR(H294="Uygulanır",H294="Uygulanmaz")),"Uygulanabilirlik eksik",IF(AND(H294="Uygulanır",P294="Kanıt yetersiz",U294&lt;&gt;""),IF(AND(R294&lt;&gt;"",R294&lt;&gt;Q294,ISNUMBER(S294),S294&gt;0,S294&gt;=L294),"İnceleme tamam","Gözden geçirme eksik"),IF(NOT(AND(J294&lt;&gt;"",COUNTIFS(Evidence[KanitID],J294,Evidence[Kabul edilen ID],J294)=1,K294&lt;&gt;"",ISNUMBER(L294),L294&gt;0,M294&lt;&gt;"")),"Kanıt / test eksik",IF(NOT(AND(R294&lt;&gt;"",R294&lt;&gt;Q294,ISNUMBER(S294),S294&gt;0,S294&gt;=L294)),"Gözden geçirme eksik",IF(H294="Uygulanmaz","İnceleme tamam",IF(AND(OR(P294="Uygun",P294="Kısmen uygun",P294="Uygunsuz"),OR(N294="Uygun",N294="Kısmen uygun",N294="Uygunsuz"),OR(O294="Uygun",O294="Kısmen uygun",O294="Uygunsuz"),OR(P294&lt;&gt;"Uygun",AND(N294="Uygun",O294="Uygun")),OR(P294="Uygun",AND(T294&lt;&gt;"",COUNTIF(Findings[KayitliBulguID],T294)=1))),"İnceleme tamam","Sonuç / bulgu eksik"))))))))</x:f>
        <x:v>Kimlik / kapsam eksik</x:v>
      </x:c>
      <x:c r="W294" s="14" t="str">
        <x:f>IF(A294="","",IF(V294&lt;&gt;"İnceleme tamam","İncelenmedi",IF(H294="Uygulanmaz","Uygulanmaz",P294)))</x:f>
        <x:v>İncelenmedi</x:v>
      </x:c>
    </x:row>
    <x:row r="295" ht="35" customHeight="1">
      <x:c r="A295" s="12" t="str">
        <x:v>U-0290</x:v>
      </x:c>
      <x:c r="B295" s="12" t="str">
        <x:v>SPL-V11-01</x:v>
      </x:c>
      <x:c r="C295" s="12" t="str">
        <x:v>Splunk SIEM</x:v>
      </x:c>
      <x:c r="D295" s="12" t="str"/>
      <x:c r="E295" s="12" t="str"/>
      <x:c r="F295" s="12" t="str"/>
      <x:c r="G295" s="12" t="str"/>
      <x:c r="H295" s="12" t="str">
        <x:v>Belirlenecek</x:v>
      </x:c>
      <x:c r="I295" s="12" t="str"/>
      <x:c r="J295" s="12" t="str"/>
      <x:c r="K295" s="12" t="str"/>
      <x:c r="L295" s="13" t="str"/>
      <x:c r="M295" s="12" t="str"/>
      <x:c r="N295" s="12" t="str">
        <x:v>İncelenmedi</x:v>
      </x:c>
      <x:c r="O295" s="12" t="str">
        <x:v>İncelenmedi</x:v>
      </x:c>
      <x:c r="P295" s="12" t="str">
        <x:v>İncelenmedi</x:v>
      </x:c>
      <x:c r="Q295" s="12" t="str"/>
      <x:c r="R295" s="12" t="str"/>
      <x:c r="S295" s="13" t="str"/>
      <x:c r="T295" s="12" t="str"/>
      <x:c r="U295" s="12" t="str"/>
      <x:c r="V295" s="14" t="str">
        <x:f>IF(A295="","",IF(NOT(AND(COUNTIF(Exec[TestID],A295)=1,COUNTIF(Controls[ID],B295)=1,COUNTIFS(Scope[KapsamID],D295,Scope[OnayliKapsamID],D295,Scope[Ürün],C295)=1,OR(COUNTIFS(Controls[ID],B295,Controls[Ürün],C295)=1,COUNTIFS(Controls[ID],B295,Controls[Ürün],"MSP Genel")=1),E295&lt;&gt;"",F295&lt;&gt;"",G295&lt;&gt;"",I295&lt;&gt;"",Q295&lt;&gt;"")),"Kimlik / kapsam eksik",IF(NOT(OR(H295="Uygulanır",H295="Uygulanmaz")),"Uygulanabilirlik eksik",IF(AND(H295="Uygulanır",P295="Kanıt yetersiz",U295&lt;&gt;""),IF(AND(R295&lt;&gt;"",R295&lt;&gt;Q295,ISNUMBER(S295),S295&gt;0,S295&gt;=L295),"İnceleme tamam","Gözden geçirme eksik"),IF(NOT(AND(J295&lt;&gt;"",COUNTIFS(Evidence[KanitID],J295,Evidence[Kabul edilen ID],J295)=1,K295&lt;&gt;"",ISNUMBER(L295),L295&gt;0,M295&lt;&gt;"")),"Kanıt / test eksik",IF(NOT(AND(R295&lt;&gt;"",R295&lt;&gt;Q295,ISNUMBER(S295),S295&gt;0,S295&gt;=L295)),"Gözden geçirme eksik",IF(H295="Uygulanmaz","İnceleme tamam",IF(AND(OR(P295="Uygun",P295="Kısmen uygun",P295="Uygunsuz"),OR(N295="Uygun",N295="Kısmen uygun",N295="Uygunsuz"),OR(O295="Uygun",O295="Kısmen uygun",O295="Uygunsuz"),OR(P295&lt;&gt;"Uygun",AND(N295="Uygun",O295="Uygun")),OR(P295="Uygun",AND(T295&lt;&gt;"",COUNTIF(Findings[KayitliBulguID],T295)=1))),"İnceleme tamam","Sonuç / bulgu eksik"))))))))</x:f>
        <x:v>Kimlik / kapsam eksik</x:v>
      </x:c>
      <x:c r="W295" s="14" t="str">
        <x:f>IF(A295="","",IF(V295&lt;&gt;"İnceleme tamam","İncelenmedi",IF(H295="Uygulanmaz","Uygulanmaz",P295)))</x:f>
        <x:v>İncelenmedi</x:v>
      </x:c>
    </x:row>
    <x:row r="296" ht="35" customHeight="1">
      <x:c r="A296" s="12" t="str">
        <x:v>U-0291</x:v>
      </x:c>
      <x:c r="B296" s="12" t="str">
        <x:v>SPL-V11-02</x:v>
      </x:c>
      <x:c r="C296" s="12" t="str">
        <x:v>Splunk SIEM</x:v>
      </x:c>
      <x:c r="D296" s="12" t="str"/>
      <x:c r="E296" s="12" t="str"/>
      <x:c r="F296" s="12" t="str"/>
      <x:c r="G296" s="12" t="str"/>
      <x:c r="H296" s="12" t="str">
        <x:v>Belirlenecek</x:v>
      </x:c>
      <x:c r="I296" s="12" t="str"/>
      <x:c r="J296" s="12" t="str"/>
      <x:c r="K296" s="12" t="str"/>
      <x:c r="L296" s="13" t="str"/>
      <x:c r="M296" s="12" t="str"/>
      <x:c r="N296" s="12" t="str">
        <x:v>İncelenmedi</x:v>
      </x:c>
      <x:c r="O296" s="12" t="str">
        <x:v>İncelenmedi</x:v>
      </x:c>
      <x:c r="P296" s="12" t="str">
        <x:v>İncelenmedi</x:v>
      </x:c>
      <x:c r="Q296" s="12" t="str"/>
      <x:c r="R296" s="12" t="str"/>
      <x:c r="S296" s="13" t="str"/>
      <x:c r="T296" s="12" t="str"/>
      <x:c r="U296" s="12" t="str"/>
      <x:c r="V296" s="14" t="str">
        <x:f>IF(A296="","",IF(NOT(AND(COUNTIF(Exec[TestID],A296)=1,COUNTIF(Controls[ID],B296)=1,COUNTIFS(Scope[KapsamID],D296,Scope[OnayliKapsamID],D296,Scope[Ürün],C296)=1,OR(COUNTIFS(Controls[ID],B296,Controls[Ürün],C296)=1,COUNTIFS(Controls[ID],B296,Controls[Ürün],"MSP Genel")=1),E296&lt;&gt;"",F296&lt;&gt;"",G296&lt;&gt;"",I296&lt;&gt;"",Q296&lt;&gt;"")),"Kimlik / kapsam eksik",IF(NOT(OR(H296="Uygulanır",H296="Uygulanmaz")),"Uygulanabilirlik eksik",IF(AND(H296="Uygulanır",P296="Kanıt yetersiz",U296&lt;&gt;""),IF(AND(R296&lt;&gt;"",R296&lt;&gt;Q296,ISNUMBER(S296),S296&gt;0,S296&gt;=L296),"İnceleme tamam","Gözden geçirme eksik"),IF(NOT(AND(J296&lt;&gt;"",COUNTIFS(Evidence[KanitID],J296,Evidence[Kabul edilen ID],J296)=1,K296&lt;&gt;"",ISNUMBER(L296),L296&gt;0,M296&lt;&gt;"")),"Kanıt / test eksik",IF(NOT(AND(R296&lt;&gt;"",R296&lt;&gt;Q296,ISNUMBER(S296),S296&gt;0,S296&gt;=L296)),"Gözden geçirme eksik",IF(H296="Uygulanmaz","İnceleme tamam",IF(AND(OR(P296="Uygun",P296="Kısmen uygun",P296="Uygunsuz"),OR(N296="Uygun",N296="Kısmen uygun",N296="Uygunsuz"),OR(O296="Uygun",O296="Kısmen uygun",O296="Uygunsuz"),OR(P296&lt;&gt;"Uygun",AND(N296="Uygun",O296="Uygun")),OR(P296="Uygun",AND(T296&lt;&gt;"",COUNTIF(Findings[KayitliBulguID],T296)=1))),"İnceleme tamam","Sonuç / bulgu eksik"))))))))</x:f>
        <x:v>Kimlik / kapsam eksik</x:v>
      </x:c>
      <x:c r="W296" s="14" t="str">
        <x:f>IF(A296="","",IF(V296&lt;&gt;"İnceleme tamam","İncelenmedi",IF(H296="Uygulanmaz","Uygulanmaz",P296)))</x:f>
        <x:v>İncelenmedi</x:v>
      </x:c>
    </x:row>
    <x:row r="297" ht="35" customHeight="1">
      <x:c r="A297" s="12" t="str">
        <x:v>U-0292</x:v>
      </x:c>
      <x:c r="B297" s="12" t="str">
        <x:v>SPL-V13-01</x:v>
      </x:c>
      <x:c r="C297" s="12" t="str">
        <x:v>Splunk SIEM</x:v>
      </x:c>
      <x:c r="D297" s="12" t="str"/>
      <x:c r="E297" s="12" t="str"/>
      <x:c r="F297" s="12" t="str"/>
      <x:c r="G297" s="12" t="str"/>
      <x:c r="H297" s="12" t="str">
        <x:v>Belirlenecek</x:v>
      </x:c>
      <x:c r="I297" s="12" t="str"/>
      <x:c r="J297" s="12" t="str"/>
      <x:c r="K297" s="12" t="str"/>
      <x:c r="L297" s="13" t="str"/>
      <x:c r="M297" s="12" t="str"/>
      <x:c r="N297" s="12" t="str">
        <x:v>İncelenmedi</x:v>
      </x:c>
      <x:c r="O297" s="12" t="str">
        <x:v>İncelenmedi</x:v>
      </x:c>
      <x:c r="P297" s="12" t="str">
        <x:v>İncelenmedi</x:v>
      </x:c>
      <x:c r="Q297" s="12" t="str"/>
      <x:c r="R297" s="12" t="str"/>
      <x:c r="S297" s="13" t="str"/>
      <x:c r="T297" s="12" t="str"/>
      <x:c r="U297" s="12" t="str"/>
      <x:c r="V297" s="14" t="str">
        <x:f>IF(A297="","",IF(NOT(AND(COUNTIF(Exec[TestID],A297)=1,COUNTIF(Controls[ID],B297)=1,COUNTIFS(Scope[KapsamID],D297,Scope[OnayliKapsamID],D297,Scope[Ürün],C297)=1,OR(COUNTIFS(Controls[ID],B297,Controls[Ürün],C297)=1,COUNTIFS(Controls[ID],B297,Controls[Ürün],"MSP Genel")=1),E297&lt;&gt;"",F297&lt;&gt;"",G297&lt;&gt;"",I297&lt;&gt;"",Q297&lt;&gt;"")),"Kimlik / kapsam eksik",IF(NOT(OR(H297="Uygulanır",H297="Uygulanmaz")),"Uygulanabilirlik eksik",IF(AND(H297="Uygulanır",P297="Kanıt yetersiz",U297&lt;&gt;""),IF(AND(R297&lt;&gt;"",R297&lt;&gt;Q297,ISNUMBER(S297),S297&gt;0,S297&gt;=L297),"İnceleme tamam","Gözden geçirme eksik"),IF(NOT(AND(J297&lt;&gt;"",COUNTIFS(Evidence[KanitID],J297,Evidence[Kabul edilen ID],J297)=1,K297&lt;&gt;"",ISNUMBER(L297),L297&gt;0,M297&lt;&gt;"")),"Kanıt / test eksik",IF(NOT(AND(R297&lt;&gt;"",R297&lt;&gt;Q297,ISNUMBER(S297),S297&gt;0,S297&gt;=L297)),"Gözden geçirme eksik",IF(H297="Uygulanmaz","İnceleme tamam",IF(AND(OR(P297="Uygun",P297="Kısmen uygun",P297="Uygunsuz"),OR(N297="Uygun",N297="Kısmen uygun",N297="Uygunsuz"),OR(O297="Uygun",O297="Kısmen uygun",O297="Uygunsuz"),OR(P297&lt;&gt;"Uygun",AND(N297="Uygun",O297="Uygun")),OR(P297="Uygun",AND(T297&lt;&gt;"",COUNTIF(Findings[KayitliBulguID],T297)=1))),"İnceleme tamam","Sonuç / bulgu eksik"))))))))</x:f>
        <x:v>Kimlik / kapsam eksik</x:v>
      </x:c>
      <x:c r="W297" s="14" t="str">
        <x:f>IF(A297="","",IF(V297&lt;&gt;"İnceleme tamam","İncelenmedi",IF(H297="Uygulanmaz","Uygulanmaz",P297)))</x:f>
        <x:v>İncelenmedi</x:v>
      </x:c>
    </x:row>
    <x:row r="298" ht="35" customHeight="1">
      <x:c r="A298" s="12" t="str">
        <x:v>U-0293</x:v>
      </x:c>
      <x:c r="B298" s="12" t="str">
        <x:v>ESA-007</x:v>
      </x:c>
      <x:c r="C298" s="12" t="str">
        <x:v>IronPort Email Security</x:v>
      </x:c>
      <x:c r="D298" s="12" t="str"/>
      <x:c r="E298" s="12" t="str"/>
      <x:c r="F298" s="12" t="str"/>
      <x:c r="G298" s="12" t="str"/>
      <x:c r="H298" s="12" t="str">
        <x:v>Belirlenecek</x:v>
      </x:c>
      <x:c r="I298" s="12" t="str"/>
      <x:c r="J298" s="12" t="str"/>
      <x:c r="K298" s="12" t="str"/>
      <x:c r="L298" s="13" t="str"/>
      <x:c r="M298" s="12" t="str"/>
      <x:c r="N298" s="12" t="str">
        <x:v>İncelenmedi</x:v>
      </x:c>
      <x:c r="O298" s="12" t="str">
        <x:v>İncelenmedi</x:v>
      </x:c>
      <x:c r="P298" s="12" t="str">
        <x:v>İncelenmedi</x:v>
      </x:c>
      <x:c r="Q298" s="12" t="str"/>
      <x:c r="R298" s="12" t="str"/>
      <x:c r="S298" s="13" t="str"/>
      <x:c r="T298" s="12" t="str"/>
      <x:c r="U298" s="12" t="str"/>
      <x:c r="V298" s="14" t="str">
        <x:f>IF(A298="","",IF(NOT(AND(COUNTIF(Exec[TestID],A298)=1,COUNTIF(Controls[ID],B298)=1,COUNTIFS(Scope[KapsamID],D298,Scope[OnayliKapsamID],D298,Scope[Ürün],C298)=1,OR(COUNTIFS(Controls[ID],B298,Controls[Ürün],C298)=1,COUNTIFS(Controls[ID],B298,Controls[Ürün],"MSP Genel")=1),E298&lt;&gt;"",F298&lt;&gt;"",G298&lt;&gt;"",I298&lt;&gt;"",Q298&lt;&gt;"")),"Kimlik / kapsam eksik",IF(NOT(OR(H298="Uygulanır",H298="Uygulanmaz")),"Uygulanabilirlik eksik",IF(AND(H298="Uygulanır",P298="Kanıt yetersiz",U298&lt;&gt;""),IF(AND(R298&lt;&gt;"",R298&lt;&gt;Q298,ISNUMBER(S298),S298&gt;0,S298&gt;=L298),"İnceleme tamam","Gözden geçirme eksik"),IF(NOT(AND(J298&lt;&gt;"",COUNTIFS(Evidence[KanitID],J298,Evidence[Kabul edilen ID],J298)=1,K298&lt;&gt;"",ISNUMBER(L298),L298&gt;0,M298&lt;&gt;"")),"Kanıt / test eksik",IF(NOT(AND(R298&lt;&gt;"",R298&lt;&gt;Q298,ISNUMBER(S298),S298&gt;0,S298&gt;=L298)),"Gözden geçirme eksik",IF(H298="Uygulanmaz","İnceleme tamam",IF(AND(OR(P298="Uygun",P298="Kısmen uygun",P298="Uygunsuz"),OR(N298="Uygun",N298="Kısmen uygun",N298="Uygunsuz"),OR(O298="Uygun",O298="Kısmen uygun",O298="Uygunsuz"),OR(P298&lt;&gt;"Uygun",AND(N298="Uygun",O298="Uygun")),OR(P298="Uygun",AND(T298&lt;&gt;"",COUNTIF(Findings[KayitliBulguID],T298)=1))),"İnceleme tamam","Sonuç / bulgu eksik"))))))))</x:f>
        <x:v>Kimlik / kapsam eksik</x:v>
      </x:c>
      <x:c r="W298" s="14" t="str">
        <x:f>IF(A298="","",IF(V298&lt;&gt;"İnceleme tamam","İncelenmedi",IF(H298="Uygulanmaz","Uygulanmaz",P298)))</x:f>
        <x:v>İncelenmedi</x:v>
      </x:c>
    </x:row>
    <x:row r="299" ht="35" customHeight="1">
      <x:c r="A299" s="12" t="str">
        <x:v>U-0294</x:v>
      </x:c>
      <x:c r="B299" s="12" t="str">
        <x:v>ESA-008</x:v>
      </x:c>
      <x:c r="C299" s="12" t="str">
        <x:v>IronPort Email Security</x:v>
      </x:c>
      <x:c r="D299" s="12" t="str"/>
      <x:c r="E299" s="12" t="str"/>
      <x:c r="F299" s="12" t="str"/>
      <x:c r="G299" s="12" t="str"/>
      <x:c r="H299" s="12" t="str">
        <x:v>Belirlenecek</x:v>
      </x:c>
      <x:c r="I299" s="12" t="str"/>
      <x:c r="J299" s="12" t="str"/>
      <x:c r="K299" s="12" t="str"/>
      <x:c r="L299" s="13" t="str"/>
      <x:c r="M299" s="12" t="str"/>
      <x:c r="N299" s="12" t="str">
        <x:v>İncelenmedi</x:v>
      </x:c>
      <x:c r="O299" s="12" t="str">
        <x:v>İncelenmedi</x:v>
      </x:c>
      <x:c r="P299" s="12" t="str">
        <x:v>İncelenmedi</x:v>
      </x:c>
      <x:c r="Q299" s="12" t="str"/>
      <x:c r="R299" s="12" t="str"/>
      <x:c r="S299" s="13" t="str"/>
      <x:c r="T299" s="12" t="str"/>
      <x:c r="U299" s="12" t="str"/>
      <x:c r="V299" s="14" t="str">
        <x:f>IF(A299="","",IF(NOT(AND(COUNTIF(Exec[TestID],A299)=1,COUNTIF(Controls[ID],B299)=1,COUNTIFS(Scope[KapsamID],D299,Scope[OnayliKapsamID],D299,Scope[Ürün],C299)=1,OR(COUNTIFS(Controls[ID],B299,Controls[Ürün],C299)=1,COUNTIFS(Controls[ID],B299,Controls[Ürün],"MSP Genel")=1),E299&lt;&gt;"",F299&lt;&gt;"",G299&lt;&gt;"",I299&lt;&gt;"",Q299&lt;&gt;"")),"Kimlik / kapsam eksik",IF(NOT(OR(H299="Uygulanır",H299="Uygulanmaz")),"Uygulanabilirlik eksik",IF(AND(H299="Uygulanır",P299="Kanıt yetersiz",U299&lt;&gt;""),IF(AND(R299&lt;&gt;"",R299&lt;&gt;Q299,ISNUMBER(S299),S299&gt;0,S299&gt;=L299),"İnceleme tamam","Gözden geçirme eksik"),IF(NOT(AND(J299&lt;&gt;"",COUNTIFS(Evidence[KanitID],J299,Evidence[Kabul edilen ID],J299)=1,K299&lt;&gt;"",ISNUMBER(L299),L299&gt;0,M299&lt;&gt;"")),"Kanıt / test eksik",IF(NOT(AND(R299&lt;&gt;"",R299&lt;&gt;Q299,ISNUMBER(S299),S299&gt;0,S299&gt;=L299)),"Gözden geçirme eksik",IF(H299="Uygulanmaz","İnceleme tamam",IF(AND(OR(P299="Uygun",P299="Kısmen uygun",P299="Uygunsuz"),OR(N299="Uygun",N299="Kısmen uygun",N299="Uygunsuz"),OR(O299="Uygun",O299="Kısmen uygun",O299="Uygunsuz"),OR(P299&lt;&gt;"Uygun",AND(N299="Uygun",O299="Uygun")),OR(P299="Uygun",AND(T299&lt;&gt;"",COUNTIF(Findings[KayitliBulguID],T299)=1))),"İnceleme tamam","Sonuç / bulgu eksik"))))))))</x:f>
        <x:v>Kimlik / kapsam eksik</x:v>
      </x:c>
      <x:c r="W299" s="14" t="str">
        <x:f>IF(A299="","",IF(V299&lt;&gt;"İnceleme tamam","İncelenmedi",IF(H299="Uygulanmaz","Uygulanmaz",P299)))</x:f>
        <x:v>İncelenmedi</x:v>
      </x:c>
    </x:row>
    <x:row r="300" ht="35" customHeight="1">
      <x:c r="A300" s="12" t="str">
        <x:v>U-0295</x:v>
      </x:c>
      <x:c r="B300" s="12" t="str">
        <x:v>ESA-009</x:v>
      </x:c>
      <x:c r="C300" s="12" t="str">
        <x:v>IronPort Email Security</x:v>
      </x:c>
      <x:c r="D300" s="12" t="str"/>
      <x:c r="E300" s="12" t="str"/>
      <x:c r="F300" s="12" t="str"/>
      <x:c r="G300" s="12" t="str"/>
      <x:c r="H300" s="12" t="str">
        <x:v>Belirlenecek</x:v>
      </x:c>
      <x:c r="I300" s="12" t="str"/>
      <x:c r="J300" s="12" t="str"/>
      <x:c r="K300" s="12" t="str"/>
      <x:c r="L300" s="13" t="str"/>
      <x:c r="M300" s="12" t="str"/>
      <x:c r="N300" s="12" t="str">
        <x:v>İncelenmedi</x:v>
      </x:c>
      <x:c r="O300" s="12" t="str">
        <x:v>İncelenmedi</x:v>
      </x:c>
      <x:c r="P300" s="12" t="str">
        <x:v>İncelenmedi</x:v>
      </x:c>
      <x:c r="Q300" s="12" t="str"/>
      <x:c r="R300" s="12" t="str"/>
      <x:c r="S300" s="13" t="str"/>
      <x:c r="T300" s="12" t="str"/>
      <x:c r="U300" s="12" t="str"/>
      <x:c r="V300" s="14" t="str">
        <x:f>IF(A300="","",IF(NOT(AND(COUNTIF(Exec[TestID],A300)=1,COUNTIF(Controls[ID],B300)=1,COUNTIFS(Scope[KapsamID],D300,Scope[OnayliKapsamID],D300,Scope[Ürün],C300)=1,OR(COUNTIFS(Controls[ID],B300,Controls[Ürün],C300)=1,COUNTIFS(Controls[ID],B300,Controls[Ürün],"MSP Genel")=1),E300&lt;&gt;"",F300&lt;&gt;"",G300&lt;&gt;"",I300&lt;&gt;"",Q300&lt;&gt;"")),"Kimlik / kapsam eksik",IF(NOT(OR(H300="Uygulanır",H300="Uygulanmaz")),"Uygulanabilirlik eksik",IF(AND(H300="Uygulanır",P300="Kanıt yetersiz",U300&lt;&gt;""),IF(AND(R300&lt;&gt;"",R300&lt;&gt;Q300,ISNUMBER(S300),S300&gt;0,S300&gt;=L300),"İnceleme tamam","Gözden geçirme eksik"),IF(NOT(AND(J300&lt;&gt;"",COUNTIFS(Evidence[KanitID],J300,Evidence[Kabul edilen ID],J300)=1,K300&lt;&gt;"",ISNUMBER(L300),L300&gt;0,M300&lt;&gt;"")),"Kanıt / test eksik",IF(NOT(AND(R300&lt;&gt;"",R300&lt;&gt;Q300,ISNUMBER(S300),S300&gt;0,S300&gt;=L300)),"Gözden geçirme eksik",IF(H300="Uygulanmaz","İnceleme tamam",IF(AND(OR(P300="Uygun",P300="Kısmen uygun",P300="Uygunsuz"),OR(N300="Uygun",N300="Kısmen uygun",N300="Uygunsuz"),OR(O300="Uygun",O300="Kısmen uygun",O300="Uygunsuz"),OR(P300&lt;&gt;"Uygun",AND(N300="Uygun",O300="Uygun")),OR(P300="Uygun",AND(T300&lt;&gt;"",COUNTIF(Findings[KayitliBulguID],T300)=1))),"İnceleme tamam","Sonuç / bulgu eksik"))))))))</x:f>
        <x:v>Kimlik / kapsam eksik</x:v>
      </x:c>
      <x:c r="W300" s="14" t="str">
        <x:f>IF(A300="","",IF(V300&lt;&gt;"İnceleme tamam","İncelenmedi",IF(H300="Uygulanmaz","Uygulanmaz",P300)))</x:f>
        <x:v>İncelenmedi</x:v>
      </x:c>
    </x:row>
    <x:row r="301" ht="35" customHeight="1">
      <x:c r="A301" s="12" t="str">
        <x:v>U-0296</x:v>
      </x:c>
      <x:c r="B301" s="12" t="str">
        <x:v>ESA-010</x:v>
      </x:c>
      <x:c r="C301" s="12" t="str">
        <x:v>IronPort Email Security</x:v>
      </x:c>
      <x:c r="D301" s="12" t="str"/>
      <x:c r="E301" s="12" t="str"/>
      <x:c r="F301" s="12" t="str"/>
      <x:c r="G301" s="12" t="str"/>
      <x:c r="H301" s="12" t="str">
        <x:v>Belirlenecek</x:v>
      </x:c>
      <x:c r="I301" s="12" t="str"/>
      <x:c r="J301" s="12" t="str"/>
      <x:c r="K301" s="12" t="str"/>
      <x:c r="L301" s="13" t="str"/>
      <x:c r="M301" s="12" t="str"/>
      <x:c r="N301" s="12" t="str">
        <x:v>İncelenmedi</x:v>
      </x:c>
      <x:c r="O301" s="12" t="str">
        <x:v>İncelenmedi</x:v>
      </x:c>
      <x:c r="P301" s="12" t="str">
        <x:v>İncelenmedi</x:v>
      </x:c>
      <x:c r="Q301" s="12" t="str"/>
      <x:c r="R301" s="12" t="str"/>
      <x:c r="S301" s="13" t="str"/>
      <x:c r="T301" s="12" t="str"/>
      <x:c r="U301" s="12" t="str"/>
      <x:c r="V301" s="14" t="str">
        <x:f>IF(A301="","",IF(NOT(AND(COUNTIF(Exec[TestID],A301)=1,COUNTIF(Controls[ID],B301)=1,COUNTIFS(Scope[KapsamID],D301,Scope[OnayliKapsamID],D301,Scope[Ürün],C301)=1,OR(COUNTIFS(Controls[ID],B301,Controls[Ürün],C301)=1,COUNTIFS(Controls[ID],B301,Controls[Ürün],"MSP Genel")=1),E301&lt;&gt;"",F301&lt;&gt;"",G301&lt;&gt;"",I301&lt;&gt;"",Q301&lt;&gt;"")),"Kimlik / kapsam eksik",IF(NOT(OR(H301="Uygulanır",H301="Uygulanmaz")),"Uygulanabilirlik eksik",IF(AND(H301="Uygulanır",P301="Kanıt yetersiz",U301&lt;&gt;""),IF(AND(R301&lt;&gt;"",R301&lt;&gt;Q301,ISNUMBER(S301),S301&gt;0,S301&gt;=L301),"İnceleme tamam","Gözden geçirme eksik"),IF(NOT(AND(J301&lt;&gt;"",COUNTIFS(Evidence[KanitID],J301,Evidence[Kabul edilen ID],J301)=1,K301&lt;&gt;"",ISNUMBER(L301),L301&gt;0,M301&lt;&gt;"")),"Kanıt / test eksik",IF(NOT(AND(R301&lt;&gt;"",R301&lt;&gt;Q301,ISNUMBER(S301),S301&gt;0,S301&gt;=L301)),"Gözden geçirme eksik",IF(H301="Uygulanmaz","İnceleme tamam",IF(AND(OR(P301="Uygun",P301="Kısmen uygun",P301="Uygunsuz"),OR(N301="Uygun",N301="Kısmen uygun",N301="Uygunsuz"),OR(O301="Uygun",O301="Kısmen uygun",O301="Uygunsuz"),OR(P301&lt;&gt;"Uygun",AND(N301="Uygun",O301="Uygun")),OR(P301="Uygun",AND(T301&lt;&gt;"",COUNTIF(Findings[KayitliBulguID],T301)=1))),"İnceleme tamam","Sonuç / bulgu eksik"))))))))</x:f>
        <x:v>Kimlik / kapsam eksik</x:v>
      </x:c>
      <x:c r="W301" s="14" t="str">
        <x:f>IF(A301="","",IF(V301&lt;&gt;"İnceleme tamam","İncelenmedi",IF(H301="Uygulanmaz","Uygulanmaz",P301)))</x:f>
        <x:v>İncelenmedi</x:v>
      </x:c>
    </x:row>
    <x:row r="302" ht="35" customHeight="1">
      <x:c r="A302" s="12" t="str">
        <x:v>U-0297</x:v>
      </x:c>
      <x:c r="B302" s="12" t="str">
        <x:v>ESA-011</x:v>
      </x:c>
      <x:c r="C302" s="12" t="str">
        <x:v>IronPort Email Security</x:v>
      </x:c>
      <x:c r="D302" s="12" t="str"/>
      <x:c r="E302" s="12" t="str"/>
      <x:c r="F302" s="12" t="str"/>
      <x:c r="G302" s="12" t="str"/>
      <x:c r="H302" s="12" t="str">
        <x:v>Belirlenecek</x:v>
      </x:c>
      <x:c r="I302" s="12" t="str"/>
      <x:c r="J302" s="12" t="str"/>
      <x:c r="K302" s="12" t="str"/>
      <x:c r="L302" s="13" t="str"/>
      <x:c r="M302" s="12" t="str"/>
      <x:c r="N302" s="12" t="str">
        <x:v>İncelenmedi</x:v>
      </x:c>
      <x:c r="O302" s="12" t="str">
        <x:v>İncelenmedi</x:v>
      </x:c>
      <x:c r="P302" s="12" t="str">
        <x:v>İncelenmedi</x:v>
      </x:c>
      <x:c r="Q302" s="12" t="str"/>
      <x:c r="R302" s="12" t="str"/>
      <x:c r="S302" s="13" t="str"/>
      <x:c r="T302" s="12" t="str"/>
      <x:c r="U302" s="12" t="str"/>
      <x:c r="V302" s="14" t="str">
        <x:f>IF(A302="","",IF(NOT(AND(COUNTIF(Exec[TestID],A302)=1,COUNTIF(Controls[ID],B302)=1,COUNTIFS(Scope[KapsamID],D302,Scope[OnayliKapsamID],D302,Scope[Ürün],C302)=1,OR(COUNTIFS(Controls[ID],B302,Controls[Ürün],C302)=1,COUNTIFS(Controls[ID],B302,Controls[Ürün],"MSP Genel")=1),E302&lt;&gt;"",F302&lt;&gt;"",G302&lt;&gt;"",I302&lt;&gt;"",Q302&lt;&gt;"")),"Kimlik / kapsam eksik",IF(NOT(OR(H302="Uygulanır",H302="Uygulanmaz")),"Uygulanabilirlik eksik",IF(AND(H302="Uygulanır",P302="Kanıt yetersiz",U302&lt;&gt;""),IF(AND(R302&lt;&gt;"",R302&lt;&gt;Q302,ISNUMBER(S302),S302&gt;0,S302&gt;=L302),"İnceleme tamam","Gözden geçirme eksik"),IF(NOT(AND(J302&lt;&gt;"",COUNTIFS(Evidence[KanitID],J302,Evidence[Kabul edilen ID],J302)=1,K302&lt;&gt;"",ISNUMBER(L302),L302&gt;0,M302&lt;&gt;"")),"Kanıt / test eksik",IF(NOT(AND(R302&lt;&gt;"",R302&lt;&gt;Q302,ISNUMBER(S302),S302&gt;0,S302&gt;=L302)),"Gözden geçirme eksik",IF(H302="Uygulanmaz","İnceleme tamam",IF(AND(OR(P302="Uygun",P302="Kısmen uygun",P302="Uygunsuz"),OR(N302="Uygun",N302="Kısmen uygun",N302="Uygunsuz"),OR(O302="Uygun",O302="Kısmen uygun",O302="Uygunsuz"),OR(P302&lt;&gt;"Uygun",AND(N302="Uygun",O302="Uygun")),OR(P302="Uygun",AND(T302&lt;&gt;"",COUNTIF(Findings[KayitliBulguID],T302)=1))),"İnceleme tamam","Sonuç / bulgu eksik"))))))))</x:f>
        <x:v>Kimlik / kapsam eksik</x:v>
      </x:c>
      <x:c r="W302" s="14" t="str">
        <x:f>IF(A302="","",IF(V302&lt;&gt;"İnceleme tamam","İncelenmedi",IF(H302="Uygulanmaz","Uygulanmaz",P302)))</x:f>
        <x:v>İncelenmedi</x:v>
      </x:c>
    </x:row>
    <x:row r="303" ht="35" customHeight="1">
      <x:c r="A303" s="12" t="str">
        <x:v>U-0298</x:v>
      </x:c>
      <x:c r="B303" s="12" t="str">
        <x:v>ESA-012</x:v>
      </x:c>
      <x:c r="C303" s="12" t="str">
        <x:v>IronPort Email Security</x:v>
      </x:c>
      <x:c r="D303" s="12" t="str"/>
      <x:c r="E303" s="12" t="str"/>
      <x:c r="F303" s="12" t="str"/>
      <x:c r="G303" s="12" t="str"/>
      <x:c r="H303" s="12" t="str">
        <x:v>Belirlenecek</x:v>
      </x:c>
      <x:c r="I303" s="12" t="str"/>
      <x:c r="J303" s="12" t="str"/>
      <x:c r="K303" s="12" t="str"/>
      <x:c r="L303" s="13" t="str"/>
      <x:c r="M303" s="12" t="str"/>
      <x:c r="N303" s="12" t="str">
        <x:v>İncelenmedi</x:v>
      </x:c>
      <x:c r="O303" s="12" t="str">
        <x:v>İncelenmedi</x:v>
      </x:c>
      <x:c r="P303" s="12" t="str">
        <x:v>İncelenmedi</x:v>
      </x:c>
      <x:c r="Q303" s="12" t="str"/>
      <x:c r="R303" s="12" t="str"/>
      <x:c r="S303" s="13" t="str"/>
      <x:c r="T303" s="12" t="str"/>
      <x:c r="U303" s="12" t="str"/>
      <x:c r="V303" s="14" t="str">
        <x:f>IF(A303="","",IF(NOT(AND(COUNTIF(Exec[TestID],A303)=1,COUNTIF(Controls[ID],B303)=1,COUNTIFS(Scope[KapsamID],D303,Scope[OnayliKapsamID],D303,Scope[Ürün],C303)=1,OR(COUNTIFS(Controls[ID],B303,Controls[Ürün],C303)=1,COUNTIFS(Controls[ID],B303,Controls[Ürün],"MSP Genel")=1),E303&lt;&gt;"",F303&lt;&gt;"",G303&lt;&gt;"",I303&lt;&gt;"",Q303&lt;&gt;"")),"Kimlik / kapsam eksik",IF(NOT(OR(H303="Uygulanır",H303="Uygulanmaz")),"Uygulanabilirlik eksik",IF(AND(H303="Uygulanır",P303="Kanıt yetersiz",U303&lt;&gt;""),IF(AND(R303&lt;&gt;"",R303&lt;&gt;Q303,ISNUMBER(S303),S303&gt;0,S303&gt;=L303),"İnceleme tamam","Gözden geçirme eksik"),IF(NOT(AND(J303&lt;&gt;"",COUNTIFS(Evidence[KanitID],J303,Evidence[Kabul edilen ID],J303)=1,K303&lt;&gt;"",ISNUMBER(L303),L303&gt;0,M303&lt;&gt;"")),"Kanıt / test eksik",IF(NOT(AND(R303&lt;&gt;"",R303&lt;&gt;Q303,ISNUMBER(S303),S303&gt;0,S303&gt;=L303)),"Gözden geçirme eksik",IF(H303="Uygulanmaz","İnceleme tamam",IF(AND(OR(P303="Uygun",P303="Kısmen uygun",P303="Uygunsuz"),OR(N303="Uygun",N303="Kısmen uygun",N303="Uygunsuz"),OR(O303="Uygun",O303="Kısmen uygun",O303="Uygunsuz"),OR(P303&lt;&gt;"Uygun",AND(N303="Uygun",O303="Uygun")),OR(P303="Uygun",AND(T303&lt;&gt;"",COUNTIF(Findings[KayitliBulguID],T303)=1))),"İnceleme tamam","Sonuç / bulgu eksik"))))))))</x:f>
        <x:v>Kimlik / kapsam eksik</x:v>
      </x:c>
      <x:c r="W303" s="14" t="str">
        <x:f>IF(A303="","",IF(V303&lt;&gt;"İnceleme tamam","İncelenmedi",IF(H303="Uygulanmaz","Uygulanmaz",P303)))</x:f>
        <x:v>İncelenmedi</x:v>
      </x:c>
    </x:row>
    <x:row r="304" ht="35" customHeight="1">
      <x:c r="A304" s="12" t="str">
        <x:v>U-0299</x:v>
      </x:c>
      <x:c r="B304" s="12" t="str">
        <x:v>ESA-013</x:v>
      </x:c>
      <x:c r="C304" s="12" t="str">
        <x:v>IronPort Email Security</x:v>
      </x:c>
      <x:c r="D304" s="12" t="str"/>
      <x:c r="E304" s="12" t="str"/>
      <x:c r="F304" s="12" t="str"/>
      <x:c r="G304" s="12" t="str"/>
      <x:c r="H304" s="12" t="str">
        <x:v>Belirlenecek</x:v>
      </x:c>
      <x:c r="I304" s="12" t="str"/>
      <x:c r="J304" s="12" t="str"/>
      <x:c r="K304" s="12" t="str"/>
      <x:c r="L304" s="13" t="str"/>
      <x:c r="M304" s="12" t="str"/>
      <x:c r="N304" s="12" t="str">
        <x:v>İncelenmedi</x:v>
      </x:c>
      <x:c r="O304" s="12" t="str">
        <x:v>İncelenmedi</x:v>
      </x:c>
      <x:c r="P304" s="12" t="str">
        <x:v>İncelenmedi</x:v>
      </x:c>
      <x:c r="Q304" s="12" t="str"/>
      <x:c r="R304" s="12" t="str"/>
      <x:c r="S304" s="13" t="str"/>
      <x:c r="T304" s="12" t="str"/>
      <x:c r="U304" s="12" t="str"/>
      <x:c r="V304" s="14" t="str">
        <x:f>IF(A304="","",IF(NOT(AND(COUNTIF(Exec[TestID],A304)=1,COUNTIF(Controls[ID],B304)=1,COUNTIFS(Scope[KapsamID],D304,Scope[OnayliKapsamID],D304,Scope[Ürün],C304)=1,OR(COUNTIFS(Controls[ID],B304,Controls[Ürün],C304)=1,COUNTIFS(Controls[ID],B304,Controls[Ürün],"MSP Genel")=1),E304&lt;&gt;"",F304&lt;&gt;"",G304&lt;&gt;"",I304&lt;&gt;"",Q304&lt;&gt;"")),"Kimlik / kapsam eksik",IF(NOT(OR(H304="Uygulanır",H304="Uygulanmaz")),"Uygulanabilirlik eksik",IF(AND(H304="Uygulanır",P304="Kanıt yetersiz",U304&lt;&gt;""),IF(AND(R304&lt;&gt;"",R304&lt;&gt;Q304,ISNUMBER(S304),S304&gt;0,S304&gt;=L304),"İnceleme tamam","Gözden geçirme eksik"),IF(NOT(AND(J304&lt;&gt;"",COUNTIFS(Evidence[KanitID],J304,Evidence[Kabul edilen ID],J304)=1,K304&lt;&gt;"",ISNUMBER(L304),L304&gt;0,M304&lt;&gt;"")),"Kanıt / test eksik",IF(NOT(AND(R304&lt;&gt;"",R304&lt;&gt;Q304,ISNUMBER(S304),S304&gt;0,S304&gt;=L304)),"Gözden geçirme eksik",IF(H304="Uygulanmaz","İnceleme tamam",IF(AND(OR(P304="Uygun",P304="Kısmen uygun",P304="Uygunsuz"),OR(N304="Uygun",N304="Kısmen uygun",N304="Uygunsuz"),OR(O304="Uygun",O304="Kısmen uygun",O304="Uygunsuz"),OR(P304&lt;&gt;"Uygun",AND(N304="Uygun",O304="Uygun")),OR(P304="Uygun",AND(T304&lt;&gt;"",COUNTIF(Findings[KayitliBulguID],T304)=1))),"İnceleme tamam","Sonuç / bulgu eksik"))))))))</x:f>
        <x:v>Kimlik / kapsam eksik</x:v>
      </x:c>
      <x:c r="W304" s="14" t="str">
        <x:f>IF(A304="","",IF(V304&lt;&gt;"İnceleme tamam","İncelenmedi",IF(H304="Uygulanmaz","Uygulanmaz",P304)))</x:f>
        <x:v>İncelenmedi</x:v>
      </x:c>
    </x:row>
    <x:row r="305" ht="35" customHeight="1">
      <x:c r="A305" s="12" t="str">
        <x:v>U-0300</x:v>
      </x:c>
      <x:c r="B305" s="12" t="str">
        <x:v>ESA-V01-02</x:v>
      </x:c>
      <x:c r="C305" s="12" t="str">
        <x:v>IronPort Email Security</x:v>
      </x:c>
      <x:c r="D305" s="12" t="str"/>
      <x:c r="E305" s="12" t="str"/>
      <x:c r="F305" s="12" t="str"/>
      <x:c r="G305" s="12" t="str"/>
      <x:c r="H305" s="12" t="str">
        <x:v>Belirlenecek</x:v>
      </x:c>
      <x:c r="I305" s="12" t="str"/>
      <x:c r="J305" s="12" t="str"/>
      <x:c r="K305" s="12" t="str"/>
      <x:c r="L305" s="13" t="str"/>
      <x:c r="M305" s="12" t="str"/>
      <x:c r="N305" s="12" t="str">
        <x:v>İncelenmedi</x:v>
      </x:c>
      <x:c r="O305" s="12" t="str">
        <x:v>İncelenmedi</x:v>
      </x:c>
      <x:c r="P305" s="12" t="str">
        <x:v>İncelenmedi</x:v>
      </x:c>
      <x:c r="Q305" s="12" t="str"/>
      <x:c r="R305" s="12" t="str"/>
      <x:c r="S305" s="13" t="str"/>
      <x:c r="T305" s="12" t="str"/>
      <x:c r="U305" s="12" t="str"/>
      <x:c r="V305" s="14" t="str">
        <x:f>IF(A305="","",IF(NOT(AND(COUNTIF(Exec[TestID],A305)=1,COUNTIF(Controls[ID],B305)=1,COUNTIFS(Scope[KapsamID],D305,Scope[OnayliKapsamID],D305,Scope[Ürün],C305)=1,OR(COUNTIFS(Controls[ID],B305,Controls[Ürün],C305)=1,COUNTIFS(Controls[ID],B305,Controls[Ürün],"MSP Genel")=1),E305&lt;&gt;"",F305&lt;&gt;"",G305&lt;&gt;"",I305&lt;&gt;"",Q305&lt;&gt;"")),"Kimlik / kapsam eksik",IF(NOT(OR(H305="Uygulanır",H305="Uygulanmaz")),"Uygulanabilirlik eksik",IF(AND(H305="Uygulanır",P305="Kanıt yetersiz",U305&lt;&gt;""),IF(AND(R305&lt;&gt;"",R305&lt;&gt;Q305,ISNUMBER(S305),S305&gt;0,S305&gt;=L305),"İnceleme tamam","Gözden geçirme eksik"),IF(NOT(AND(J305&lt;&gt;"",COUNTIFS(Evidence[KanitID],J305,Evidence[Kabul edilen ID],J305)=1,K305&lt;&gt;"",ISNUMBER(L305),L305&gt;0,M305&lt;&gt;"")),"Kanıt / test eksik",IF(NOT(AND(R305&lt;&gt;"",R305&lt;&gt;Q305,ISNUMBER(S305),S305&gt;0,S305&gt;=L305)),"Gözden geçirme eksik",IF(H305="Uygulanmaz","İnceleme tamam",IF(AND(OR(P305="Uygun",P305="Kısmen uygun",P305="Uygunsuz"),OR(N305="Uygun",N305="Kısmen uygun",N305="Uygunsuz"),OR(O305="Uygun",O305="Kısmen uygun",O305="Uygunsuz"),OR(P305&lt;&gt;"Uygun",AND(N305="Uygun",O305="Uygun")),OR(P305="Uygun",AND(T305&lt;&gt;"",COUNTIF(Findings[KayitliBulguID],T305)=1))),"İnceleme tamam","Sonuç / bulgu eksik"))))))))</x:f>
        <x:v>Kimlik / kapsam eksik</x:v>
      </x:c>
      <x:c r="W305" s="14" t="str">
        <x:f>IF(A305="","",IF(V305&lt;&gt;"İnceleme tamam","İncelenmedi",IF(H305="Uygulanmaz","Uygulanmaz",P305)))</x:f>
        <x:v>İncelenmedi</x:v>
      </x:c>
    </x:row>
    <x:row r="306" ht="35" customHeight="1">
      <x:c r="A306" s="12" t="str">
        <x:v>U-0301</x:v>
      </x:c>
      <x:c r="B306" s="12" t="str">
        <x:v>ESA-V01-03</x:v>
      </x:c>
      <x:c r="C306" s="12" t="str">
        <x:v>IronPort Email Security</x:v>
      </x:c>
      <x:c r="D306" s="12" t="str"/>
      <x:c r="E306" s="12" t="str"/>
      <x:c r="F306" s="12" t="str"/>
      <x:c r="G306" s="12" t="str"/>
      <x:c r="H306" s="12" t="str">
        <x:v>Belirlenecek</x:v>
      </x:c>
      <x:c r="I306" s="12" t="str"/>
      <x:c r="J306" s="12" t="str"/>
      <x:c r="K306" s="12" t="str"/>
      <x:c r="L306" s="13" t="str"/>
      <x:c r="M306" s="12" t="str"/>
      <x:c r="N306" s="12" t="str">
        <x:v>İncelenmedi</x:v>
      </x:c>
      <x:c r="O306" s="12" t="str">
        <x:v>İncelenmedi</x:v>
      </x:c>
      <x:c r="P306" s="12" t="str">
        <x:v>İncelenmedi</x:v>
      </x:c>
      <x:c r="Q306" s="12" t="str"/>
      <x:c r="R306" s="12" t="str"/>
      <x:c r="S306" s="13" t="str"/>
      <x:c r="T306" s="12" t="str"/>
      <x:c r="U306" s="12" t="str"/>
      <x:c r="V306" s="14" t="str">
        <x:f>IF(A306="","",IF(NOT(AND(COUNTIF(Exec[TestID],A306)=1,COUNTIF(Controls[ID],B306)=1,COUNTIFS(Scope[KapsamID],D306,Scope[OnayliKapsamID],D306,Scope[Ürün],C306)=1,OR(COUNTIFS(Controls[ID],B306,Controls[Ürün],C306)=1,COUNTIFS(Controls[ID],B306,Controls[Ürün],"MSP Genel")=1),E306&lt;&gt;"",F306&lt;&gt;"",G306&lt;&gt;"",I306&lt;&gt;"",Q306&lt;&gt;"")),"Kimlik / kapsam eksik",IF(NOT(OR(H306="Uygulanır",H306="Uygulanmaz")),"Uygulanabilirlik eksik",IF(AND(H306="Uygulanır",P306="Kanıt yetersiz",U306&lt;&gt;""),IF(AND(R306&lt;&gt;"",R306&lt;&gt;Q306,ISNUMBER(S306),S306&gt;0,S306&gt;=L306),"İnceleme tamam","Gözden geçirme eksik"),IF(NOT(AND(J306&lt;&gt;"",COUNTIFS(Evidence[KanitID],J306,Evidence[Kabul edilen ID],J306)=1,K306&lt;&gt;"",ISNUMBER(L306),L306&gt;0,M306&lt;&gt;"")),"Kanıt / test eksik",IF(NOT(AND(R306&lt;&gt;"",R306&lt;&gt;Q306,ISNUMBER(S306),S306&gt;0,S306&gt;=L306)),"Gözden geçirme eksik",IF(H306="Uygulanmaz","İnceleme tamam",IF(AND(OR(P306="Uygun",P306="Kısmen uygun",P306="Uygunsuz"),OR(N306="Uygun",N306="Kısmen uygun",N306="Uygunsuz"),OR(O306="Uygun",O306="Kısmen uygun",O306="Uygunsuz"),OR(P306&lt;&gt;"Uygun",AND(N306="Uygun",O306="Uygun")),OR(P306="Uygun",AND(T306&lt;&gt;"",COUNTIF(Findings[KayitliBulguID],T306)=1))),"İnceleme tamam","Sonuç / bulgu eksik"))))))))</x:f>
        <x:v>Kimlik / kapsam eksik</x:v>
      </x:c>
      <x:c r="W306" s="14" t="str">
        <x:f>IF(A306="","",IF(V306&lt;&gt;"İnceleme tamam","İncelenmedi",IF(H306="Uygulanmaz","Uygulanmaz",P306)))</x:f>
        <x:v>İncelenmedi</x:v>
      </x:c>
    </x:row>
    <x:row r="307" ht="35" customHeight="1">
      <x:c r="A307" s="12" t="str">
        <x:v>U-0302</x:v>
      </x:c>
      <x:c r="B307" s="12" t="str">
        <x:v>ESA-V01-04</x:v>
      </x:c>
      <x:c r="C307" s="12" t="str">
        <x:v>IronPort Email Security</x:v>
      </x:c>
      <x:c r="D307" s="12" t="str"/>
      <x:c r="E307" s="12" t="str"/>
      <x:c r="F307" s="12" t="str"/>
      <x:c r="G307" s="12" t="str"/>
      <x:c r="H307" s="12" t="str">
        <x:v>Belirlenecek</x:v>
      </x:c>
      <x:c r="I307" s="12" t="str"/>
      <x:c r="J307" s="12" t="str"/>
      <x:c r="K307" s="12" t="str"/>
      <x:c r="L307" s="13" t="str"/>
      <x:c r="M307" s="12" t="str"/>
      <x:c r="N307" s="12" t="str">
        <x:v>İncelenmedi</x:v>
      </x:c>
      <x:c r="O307" s="12" t="str">
        <x:v>İncelenmedi</x:v>
      </x:c>
      <x:c r="P307" s="12" t="str">
        <x:v>İncelenmedi</x:v>
      </x:c>
      <x:c r="Q307" s="12" t="str"/>
      <x:c r="R307" s="12" t="str"/>
      <x:c r="S307" s="13" t="str"/>
      <x:c r="T307" s="12" t="str"/>
      <x:c r="U307" s="12" t="str"/>
      <x:c r="V307" s="14" t="str">
        <x:f>IF(A307="","",IF(NOT(AND(COUNTIF(Exec[TestID],A307)=1,COUNTIF(Controls[ID],B307)=1,COUNTIFS(Scope[KapsamID],D307,Scope[OnayliKapsamID],D307,Scope[Ürün],C307)=1,OR(COUNTIFS(Controls[ID],B307,Controls[Ürün],C307)=1,COUNTIFS(Controls[ID],B307,Controls[Ürün],"MSP Genel")=1),E307&lt;&gt;"",F307&lt;&gt;"",G307&lt;&gt;"",I307&lt;&gt;"",Q307&lt;&gt;"")),"Kimlik / kapsam eksik",IF(NOT(OR(H307="Uygulanır",H307="Uygulanmaz")),"Uygulanabilirlik eksik",IF(AND(H307="Uygulanır",P307="Kanıt yetersiz",U307&lt;&gt;""),IF(AND(R307&lt;&gt;"",R307&lt;&gt;Q307,ISNUMBER(S307),S307&gt;0,S307&gt;=L307),"İnceleme tamam","Gözden geçirme eksik"),IF(NOT(AND(J307&lt;&gt;"",COUNTIFS(Evidence[KanitID],J307,Evidence[Kabul edilen ID],J307)=1,K307&lt;&gt;"",ISNUMBER(L307),L307&gt;0,M307&lt;&gt;"")),"Kanıt / test eksik",IF(NOT(AND(R307&lt;&gt;"",R307&lt;&gt;Q307,ISNUMBER(S307),S307&gt;0,S307&gt;=L307)),"Gözden geçirme eksik",IF(H307="Uygulanmaz","İnceleme tamam",IF(AND(OR(P307="Uygun",P307="Kısmen uygun",P307="Uygunsuz"),OR(N307="Uygun",N307="Kısmen uygun",N307="Uygunsuz"),OR(O307="Uygun",O307="Kısmen uygun",O307="Uygunsuz"),OR(P307&lt;&gt;"Uygun",AND(N307="Uygun",O307="Uygun")),OR(P307="Uygun",AND(T307&lt;&gt;"",COUNTIF(Findings[KayitliBulguID],T307)=1))),"İnceleme tamam","Sonuç / bulgu eksik"))))))))</x:f>
        <x:v>Kimlik / kapsam eksik</x:v>
      </x:c>
      <x:c r="W307" s="14" t="str">
        <x:f>IF(A307="","",IF(V307&lt;&gt;"İnceleme tamam","İncelenmedi",IF(H307="Uygulanmaz","Uygulanmaz",P307)))</x:f>
        <x:v>İncelenmedi</x:v>
      </x:c>
    </x:row>
    <x:row r="308" ht="35" customHeight="1">
      <x:c r="A308" s="12" t="str">
        <x:v>U-0303</x:v>
      </x:c>
      <x:c r="B308" s="12" t="str">
        <x:v>ESA-V05-01</x:v>
      </x:c>
      <x:c r="C308" s="12" t="str">
        <x:v>IronPort Email Security</x:v>
      </x:c>
      <x:c r="D308" s="12" t="str"/>
      <x:c r="E308" s="12" t="str"/>
      <x:c r="F308" s="12" t="str"/>
      <x:c r="G308" s="12" t="str"/>
      <x:c r="H308" s="12" t="str">
        <x:v>Belirlenecek</x:v>
      </x:c>
      <x:c r="I308" s="12" t="str"/>
      <x:c r="J308" s="12" t="str"/>
      <x:c r="K308" s="12" t="str"/>
      <x:c r="L308" s="13" t="str"/>
      <x:c r="M308" s="12" t="str"/>
      <x:c r="N308" s="12" t="str">
        <x:v>İncelenmedi</x:v>
      </x:c>
      <x:c r="O308" s="12" t="str">
        <x:v>İncelenmedi</x:v>
      </x:c>
      <x:c r="P308" s="12" t="str">
        <x:v>İncelenmedi</x:v>
      </x:c>
      <x:c r="Q308" s="12" t="str"/>
      <x:c r="R308" s="12" t="str"/>
      <x:c r="S308" s="13" t="str"/>
      <x:c r="T308" s="12" t="str"/>
      <x:c r="U308" s="12" t="str"/>
      <x:c r="V308" s="14" t="str">
        <x:f>IF(A308="","",IF(NOT(AND(COUNTIF(Exec[TestID],A308)=1,COUNTIF(Controls[ID],B308)=1,COUNTIFS(Scope[KapsamID],D308,Scope[OnayliKapsamID],D308,Scope[Ürün],C308)=1,OR(COUNTIFS(Controls[ID],B308,Controls[Ürün],C308)=1,COUNTIFS(Controls[ID],B308,Controls[Ürün],"MSP Genel")=1),E308&lt;&gt;"",F308&lt;&gt;"",G308&lt;&gt;"",I308&lt;&gt;"",Q308&lt;&gt;"")),"Kimlik / kapsam eksik",IF(NOT(OR(H308="Uygulanır",H308="Uygulanmaz")),"Uygulanabilirlik eksik",IF(AND(H308="Uygulanır",P308="Kanıt yetersiz",U308&lt;&gt;""),IF(AND(R308&lt;&gt;"",R308&lt;&gt;Q308,ISNUMBER(S308),S308&gt;0,S308&gt;=L308),"İnceleme tamam","Gözden geçirme eksik"),IF(NOT(AND(J308&lt;&gt;"",COUNTIFS(Evidence[KanitID],J308,Evidence[Kabul edilen ID],J308)=1,K308&lt;&gt;"",ISNUMBER(L308),L308&gt;0,M308&lt;&gt;"")),"Kanıt / test eksik",IF(NOT(AND(R308&lt;&gt;"",R308&lt;&gt;Q308,ISNUMBER(S308),S308&gt;0,S308&gt;=L308)),"Gözden geçirme eksik",IF(H308="Uygulanmaz","İnceleme tamam",IF(AND(OR(P308="Uygun",P308="Kısmen uygun",P308="Uygunsuz"),OR(N308="Uygun",N308="Kısmen uygun",N308="Uygunsuz"),OR(O308="Uygun",O308="Kısmen uygun",O308="Uygunsuz"),OR(P308&lt;&gt;"Uygun",AND(N308="Uygun",O308="Uygun")),OR(P308="Uygun",AND(T308&lt;&gt;"",COUNTIF(Findings[KayitliBulguID],T308)=1))),"İnceleme tamam","Sonuç / bulgu eksik"))))))))</x:f>
        <x:v>Kimlik / kapsam eksik</x:v>
      </x:c>
      <x:c r="W308" s="14" t="str">
        <x:f>IF(A308="","",IF(V308&lt;&gt;"İnceleme tamam","İncelenmedi",IF(H308="Uygulanmaz","Uygulanmaz",P308)))</x:f>
        <x:v>İncelenmedi</x:v>
      </x:c>
    </x:row>
    <x:row r="309" ht="35" customHeight="1">
      <x:c r="A309" s="12" t="str">
        <x:v>U-0304</x:v>
      </x:c>
      <x:c r="B309" s="12" t="str">
        <x:v>ESA-V05-03</x:v>
      </x:c>
      <x:c r="C309" s="12" t="str">
        <x:v>IronPort Email Security</x:v>
      </x:c>
      <x:c r="D309" s="12" t="str"/>
      <x:c r="E309" s="12" t="str"/>
      <x:c r="F309" s="12" t="str"/>
      <x:c r="G309" s="12" t="str"/>
      <x:c r="H309" s="12" t="str">
        <x:v>Belirlenecek</x:v>
      </x:c>
      <x:c r="I309" s="12" t="str"/>
      <x:c r="J309" s="12" t="str"/>
      <x:c r="K309" s="12" t="str"/>
      <x:c r="L309" s="13" t="str"/>
      <x:c r="M309" s="12" t="str"/>
      <x:c r="N309" s="12" t="str">
        <x:v>İncelenmedi</x:v>
      </x:c>
      <x:c r="O309" s="12" t="str">
        <x:v>İncelenmedi</x:v>
      </x:c>
      <x:c r="P309" s="12" t="str">
        <x:v>İncelenmedi</x:v>
      </x:c>
      <x:c r="Q309" s="12" t="str"/>
      <x:c r="R309" s="12" t="str"/>
      <x:c r="S309" s="13" t="str"/>
      <x:c r="T309" s="12" t="str"/>
      <x:c r="U309" s="12" t="str"/>
      <x:c r="V309" s="14" t="str">
        <x:f>IF(A309="","",IF(NOT(AND(COUNTIF(Exec[TestID],A309)=1,COUNTIF(Controls[ID],B309)=1,COUNTIFS(Scope[KapsamID],D309,Scope[OnayliKapsamID],D309,Scope[Ürün],C309)=1,OR(COUNTIFS(Controls[ID],B309,Controls[Ürün],C309)=1,COUNTIFS(Controls[ID],B309,Controls[Ürün],"MSP Genel")=1),E309&lt;&gt;"",F309&lt;&gt;"",G309&lt;&gt;"",I309&lt;&gt;"",Q309&lt;&gt;"")),"Kimlik / kapsam eksik",IF(NOT(OR(H309="Uygulanır",H309="Uygulanmaz")),"Uygulanabilirlik eksik",IF(AND(H309="Uygulanır",P309="Kanıt yetersiz",U309&lt;&gt;""),IF(AND(R309&lt;&gt;"",R309&lt;&gt;Q309,ISNUMBER(S309),S309&gt;0,S309&gt;=L309),"İnceleme tamam","Gözden geçirme eksik"),IF(NOT(AND(J309&lt;&gt;"",COUNTIFS(Evidence[KanitID],J309,Evidence[Kabul edilen ID],J309)=1,K309&lt;&gt;"",ISNUMBER(L309),L309&gt;0,M309&lt;&gt;"")),"Kanıt / test eksik",IF(NOT(AND(R309&lt;&gt;"",R309&lt;&gt;Q309,ISNUMBER(S309),S309&gt;0,S309&gt;=L309)),"Gözden geçirme eksik",IF(H309="Uygulanmaz","İnceleme tamam",IF(AND(OR(P309="Uygun",P309="Kısmen uygun",P309="Uygunsuz"),OR(N309="Uygun",N309="Kısmen uygun",N309="Uygunsuz"),OR(O309="Uygun",O309="Kısmen uygun",O309="Uygunsuz"),OR(P309&lt;&gt;"Uygun",AND(N309="Uygun",O309="Uygun")),OR(P309="Uygun",AND(T309&lt;&gt;"",COUNTIF(Findings[KayitliBulguID],T309)=1))),"İnceleme tamam","Sonuç / bulgu eksik"))))))))</x:f>
        <x:v>Kimlik / kapsam eksik</x:v>
      </x:c>
      <x:c r="W309" s="14" t="str">
        <x:f>IF(A309="","",IF(V309&lt;&gt;"İnceleme tamam","İncelenmedi",IF(H309="Uygulanmaz","Uygulanmaz",P309)))</x:f>
        <x:v>İncelenmedi</x:v>
      </x:c>
    </x:row>
    <x:row r="310" ht="35" customHeight="1">
      <x:c r="A310" s="12" t="str">
        <x:v>U-0305</x:v>
      </x:c>
      <x:c r="B310" s="12" t="str">
        <x:v>ESA-V06-04</x:v>
      </x:c>
      <x:c r="C310" s="12" t="str">
        <x:v>IronPort Email Security</x:v>
      </x:c>
      <x:c r="D310" s="12" t="str"/>
      <x:c r="E310" s="12" t="str"/>
      <x:c r="F310" s="12" t="str"/>
      <x:c r="G310" s="12" t="str"/>
      <x:c r="H310" s="12" t="str">
        <x:v>Belirlenecek</x:v>
      </x:c>
      <x:c r="I310" s="12" t="str"/>
      <x:c r="J310" s="12" t="str"/>
      <x:c r="K310" s="12" t="str"/>
      <x:c r="L310" s="13" t="str"/>
      <x:c r="M310" s="12" t="str"/>
      <x:c r="N310" s="12" t="str">
        <x:v>İncelenmedi</x:v>
      </x:c>
      <x:c r="O310" s="12" t="str">
        <x:v>İncelenmedi</x:v>
      </x:c>
      <x:c r="P310" s="12" t="str">
        <x:v>İncelenmedi</x:v>
      </x:c>
      <x:c r="Q310" s="12" t="str"/>
      <x:c r="R310" s="12" t="str"/>
      <x:c r="S310" s="13" t="str"/>
      <x:c r="T310" s="12" t="str"/>
      <x:c r="U310" s="12" t="str"/>
      <x:c r="V310" s="14" t="str">
        <x:f>IF(A310="","",IF(NOT(AND(COUNTIF(Exec[TestID],A310)=1,COUNTIF(Controls[ID],B310)=1,COUNTIFS(Scope[KapsamID],D310,Scope[OnayliKapsamID],D310,Scope[Ürün],C310)=1,OR(COUNTIFS(Controls[ID],B310,Controls[Ürün],C310)=1,COUNTIFS(Controls[ID],B310,Controls[Ürün],"MSP Genel")=1),E310&lt;&gt;"",F310&lt;&gt;"",G310&lt;&gt;"",I310&lt;&gt;"",Q310&lt;&gt;"")),"Kimlik / kapsam eksik",IF(NOT(OR(H310="Uygulanır",H310="Uygulanmaz")),"Uygulanabilirlik eksik",IF(AND(H310="Uygulanır",P310="Kanıt yetersiz",U310&lt;&gt;""),IF(AND(R310&lt;&gt;"",R310&lt;&gt;Q310,ISNUMBER(S310),S310&gt;0,S310&gt;=L310),"İnceleme tamam","Gözden geçirme eksik"),IF(NOT(AND(J310&lt;&gt;"",COUNTIFS(Evidence[KanitID],J310,Evidence[Kabul edilen ID],J310)=1,K310&lt;&gt;"",ISNUMBER(L310),L310&gt;0,M310&lt;&gt;"")),"Kanıt / test eksik",IF(NOT(AND(R310&lt;&gt;"",R310&lt;&gt;Q310,ISNUMBER(S310),S310&gt;0,S310&gt;=L310)),"Gözden geçirme eksik",IF(H310="Uygulanmaz","İnceleme tamam",IF(AND(OR(P310="Uygun",P310="Kısmen uygun",P310="Uygunsuz"),OR(N310="Uygun",N310="Kısmen uygun",N310="Uygunsuz"),OR(O310="Uygun",O310="Kısmen uygun",O310="Uygunsuz"),OR(P310&lt;&gt;"Uygun",AND(N310="Uygun",O310="Uygun")),OR(P310="Uygun",AND(T310&lt;&gt;"",COUNTIF(Findings[KayitliBulguID],T310)=1))),"İnceleme tamam","Sonuç / bulgu eksik"))))))))</x:f>
        <x:v>Kimlik / kapsam eksik</x:v>
      </x:c>
      <x:c r="W310" s="14" t="str">
        <x:f>IF(A310="","",IF(V310&lt;&gt;"İnceleme tamam","İncelenmedi",IF(H310="Uygulanmaz","Uygulanmaz",P310)))</x:f>
        <x:v>İncelenmedi</x:v>
      </x:c>
    </x:row>
    <x:row r="311" ht="35" customHeight="1">
      <x:c r="A311" s="12" t="str">
        <x:v>U-0306</x:v>
      </x:c>
      <x:c r="B311" s="12" t="str">
        <x:v>ESA-V07-02</x:v>
      </x:c>
      <x:c r="C311" s="12" t="str">
        <x:v>IronPort Email Security</x:v>
      </x:c>
      <x:c r="D311" s="12" t="str"/>
      <x:c r="E311" s="12" t="str"/>
      <x:c r="F311" s="12" t="str"/>
      <x:c r="G311" s="12" t="str"/>
      <x:c r="H311" s="12" t="str">
        <x:v>Belirlenecek</x:v>
      </x:c>
      <x:c r="I311" s="12" t="str"/>
      <x:c r="J311" s="12" t="str"/>
      <x:c r="K311" s="12" t="str"/>
      <x:c r="L311" s="13" t="str"/>
      <x:c r="M311" s="12" t="str"/>
      <x:c r="N311" s="12" t="str">
        <x:v>İncelenmedi</x:v>
      </x:c>
      <x:c r="O311" s="12" t="str">
        <x:v>İncelenmedi</x:v>
      </x:c>
      <x:c r="P311" s="12" t="str">
        <x:v>İncelenmedi</x:v>
      </x:c>
      <x:c r="Q311" s="12" t="str"/>
      <x:c r="R311" s="12" t="str"/>
      <x:c r="S311" s="13" t="str"/>
      <x:c r="T311" s="12" t="str"/>
      <x:c r="U311" s="12" t="str"/>
      <x:c r="V311" s="14" t="str">
        <x:f>IF(A311="","",IF(NOT(AND(COUNTIF(Exec[TestID],A311)=1,COUNTIF(Controls[ID],B311)=1,COUNTIFS(Scope[KapsamID],D311,Scope[OnayliKapsamID],D311,Scope[Ürün],C311)=1,OR(COUNTIFS(Controls[ID],B311,Controls[Ürün],C311)=1,COUNTIFS(Controls[ID],B311,Controls[Ürün],"MSP Genel")=1),E311&lt;&gt;"",F311&lt;&gt;"",G311&lt;&gt;"",I311&lt;&gt;"",Q311&lt;&gt;"")),"Kimlik / kapsam eksik",IF(NOT(OR(H311="Uygulanır",H311="Uygulanmaz")),"Uygulanabilirlik eksik",IF(AND(H311="Uygulanır",P311="Kanıt yetersiz",U311&lt;&gt;""),IF(AND(R311&lt;&gt;"",R311&lt;&gt;Q311,ISNUMBER(S311),S311&gt;0,S311&gt;=L311),"İnceleme tamam","Gözden geçirme eksik"),IF(NOT(AND(J311&lt;&gt;"",COUNTIFS(Evidence[KanitID],J311,Evidence[Kabul edilen ID],J311)=1,K311&lt;&gt;"",ISNUMBER(L311),L311&gt;0,M311&lt;&gt;"")),"Kanıt / test eksik",IF(NOT(AND(R311&lt;&gt;"",R311&lt;&gt;Q311,ISNUMBER(S311),S311&gt;0,S311&gt;=L311)),"Gözden geçirme eksik",IF(H311="Uygulanmaz","İnceleme tamam",IF(AND(OR(P311="Uygun",P311="Kısmen uygun",P311="Uygunsuz"),OR(N311="Uygun",N311="Kısmen uygun",N311="Uygunsuz"),OR(O311="Uygun",O311="Kısmen uygun",O311="Uygunsuz"),OR(P311&lt;&gt;"Uygun",AND(N311="Uygun",O311="Uygun")),OR(P311="Uygun",AND(T311&lt;&gt;"",COUNTIF(Findings[KayitliBulguID],T311)=1))),"İnceleme tamam","Sonuç / bulgu eksik"))))))))</x:f>
        <x:v>Kimlik / kapsam eksik</x:v>
      </x:c>
      <x:c r="W311" s="14" t="str">
        <x:f>IF(A311="","",IF(V311&lt;&gt;"İnceleme tamam","İncelenmedi",IF(H311="Uygulanmaz","Uygulanmaz",P311)))</x:f>
        <x:v>İncelenmedi</x:v>
      </x:c>
    </x:row>
    <x:row r="312" ht="35" customHeight="1">
      <x:c r="A312" s="12" t="str">
        <x:v>U-0307</x:v>
      </x:c>
      <x:c r="B312" s="12" t="str">
        <x:v>ESA-V08-01</x:v>
      </x:c>
      <x:c r="C312" s="12" t="str">
        <x:v>IronPort Email Security</x:v>
      </x:c>
      <x:c r="D312" s="12" t="str"/>
      <x:c r="E312" s="12" t="str"/>
      <x:c r="F312" s="12" t="str"/>
      <x:c r="G312" s="12" t="str"/>
      <x:c r="H312" s="12" t="str">
        <x:v>Belirlenecek</x:v>
      </x:c>
      <x:c r="I312" s="12" t="str"/>
      <x:c r="J312" s="12" t="str"/>
      <x:c r="K312" s="12" t="str"/>
      <x:c r="L312" s="13" t="str"/>
      <x:c r="M312" s="12" t="str"/>
      <x:c r="N312" s="12" t="str">
        <x:v>İncelenmedi</x:v>
      </x:c>
      <x:c r="O312" s="12" t="str">
        <x:v>İncelenmedi</x:v>
      </x:c>
      <x:c r="P312" s="12" t="str">
        <x:v>İncelenmedi</x:v>
      </x:c>
      <x:c r="Q312" s="12" t="str"/>
      <x:c r="R312" s="12" t="str"/>
      <x:c r="S312" s="13" t="str"/>
      <x:c r="T312" s="12" t="str"/>
      <x:c r="U312" s="12" t="str"/>
      <x:c r="V312" s="14" t="str">
        <x:f>IF(A312="","",IF(NOT(AND(COUNTIF(Exec[TestID],A312)=1,COUNTIF(Controls[ID],B312)=1,COUNTIFS(Scope[KapsamID],D312,Scope[OnayliKapsamID],D312,Scope[Ürün],C312)=1,OR(COUNTIFS(Controls[ID],B312,Controls[Ürün],C312)=1,COUNTIFS(Controls[ID],B312,Controls[Ürün],"MSP Genel")=1),E312&lt;&gt;"",F312&lt;&gt;"",G312&lt;&gt;"",I312&lt;&gt;"",Q312&lt;&gt;"")),"Kimlik / kapsam eksik",IF(NOT(OR(H312="Uygulanır",H312="Uygulanmaz")),"Uygulanabilirlik eksik",IF(AND(H312="Uygulanır",P312="Kanıt yetersiz",U312&lt;&gt;""),IF(AND(R312&lt;&gt;"",R312&lt;&gt;Q312,ISNUMBER(S312),S312&gt;0,S312&gt;=L312),"İnceleme tamam","Gözden geçirme eksik"),IF(NOT(AND(J312&lt;&gt;"",COUNTIFS(Evidence[KanitID],J312,Evidence[Kabul edilen ID],J312)=1,K312&lt;&gt;"",ISNUMBER(L312),L312&gt;0,M312&lt;&gt;"")),"Kanıt / test eksik",IF(NOT(AND(R312&lt;&gt;"",R312&lt;&gt;Q312,ISNUMBER(S312),S312&gt;0,S312&gt;=L312)),"Gözden geçirme eksik",IF(H312="Uygulanmaz","İnceleme tamam",IF(AND(OR(P312="Uygun",P312="Kısmen uygun",P312="Uygunsuz"),OR(N312="Uygun",N312="Kısmen uygun",N312="Uygunsuz"),OR(O312="Uygun",O312="Kısmen uygun",O312="Uygunsuz"),OR(P312&lt;&gt;"Uygun",AND(N312="Uygun",O312="Uygun")),OR(P312="Uygun",AND(T312&lt;&gt;"",COUNTIF(Findings[KayitliBulguID],T312)=1))),"İnceleme tamam","Sonuç / bulgu eksik"))))))))</x:f>
        <x:v>Kimlik / kapsam eksik</x:v>
      </x:c>
      <x:c r="W312" s="14" t="str">
        <x:f>IF(A312="","",IF(V312&lt;&gt;"İnceleme tamam","İncelenmedi",IF(H312="Uygulanmaz","Uygulanmaz",P312)))</x:f>
        <x:v>İncelenmedi</x:v>
      </x:c>
    </x:row>
    <x:row r="313" ht="35" customHeight="1">
      <x:c r="A313" s="12" t="str">
        <x:v>U-0308</x:v>
      </x:c>
      <x:c r="B313" s="12" t="str">
        <x:v>ESA-V08-03</x:v>
      </x:c>
      <x:c r="C313" s="12" t="str">
        <x:v>IronPort Email Security</x:v>
      </x:c>
      <x:c r="D313" s="12" t="str"/>
      <x:c r="E313" s="12" t="str"/>
      <x:c r="F313" s="12" t="str"/>
      <x:c r="G313" s="12" t="str"/>
      <x:c r="H313" s="12" t="str">
        <x:v>Belirlenecek</x:v>
      </x:c>
      <x:c r="I313" s="12" t="str"/>
      <x:c r="J313" s="12" t="str"/>
      <x:c r="K313" s="12" t="str"/>
      <x:c r="L313" s="13" t="str"/>
      <x:c r="M313" s="12" t="str"/>
      <x:c r="N313" s="12" t="str">
        <x:v>İncelenmedi</x:v>
      </x:c>
      <x:c r="O313" s="12" t="str">
        <x:v>İncelenmedi</x:v>
      </x:c>
      <x:c r="P313" s="12" t="str">
        <x:v>İncelenmedi</x:v>
      </x:c>
      <x:c r="Q313" s="12" t="str"/>
      <x:c r="R313" s="12" t="str"/>
      <x:c r="S313" s="13" t="str"/>
      <x:c r="T313" s="12" t="str"/>
      <x:c r="U313" s="12" t="str"/>
      <x:c r="V313" s="14" t="str">
        <x:f>IF(A313="","",IF(NOT(AND(COUNTIF(Exec[TestID],A313)=1,COUNTIF(Controls[ID],B313)=1,COUNTIFS(Scope[KapsamID],D313,Scope[OnayliKapsamID],D313,Scope[Ürün],C313)=1,OR(COUNTIFS(Controls[ID],B313,Controls[Ürün],C313)=1,COUNTIFS(Controls[ID],B313,Controls[Ürün],"MSP Genel")=1),E313&lt;&gt;"",F313&lt;&gt;"",G313&lt;&gt;"",I313&lt;&gt;"",Q313&lt;&gt;"")),"Kimlik / kapsam eksik",IF(NOT(OR(H313="Uygulanır",H313="Uygulanmaz")),"Uygulanabilirlik eksik",IF(AND(H313="Uygulanır",P313="Kanıt yetersiz",U313&lt;&gt;""),IF(AND(R313&lt;&gt;"",R313&lt;&gt;Q313,ISNUMBER(S313),S313&gt;0,S313&gt;=L313),"İnceleme tamam","Gözden geçirme eksik"),IF(NOT(AND(J313&lt;&gt;"",COUNTIFS(Evidence[KanitID],J313,Evidence[Kabul edilen ID],J313)=1,K313&lt;&gt;"",ISNUMBER(L313),L313&gt;0,M313&lt;&gt;"")),"Kanıt / test eksik",IF(NOT(AND(R313&lt;&gt;"",R313&lt;&gt;Q313,ISNUMBER(S313),S313&gt;0,S313&gt;=L313)),"Gözden geçirme eksik",IF(H313="Uygulanmaz","İnceleme tamam",IF(AND(OR(P313="Uygun",P313="Kısmen uygun",P313="Uygunsuz"),OR(N313="Uygun",N313="Kısmen uygun",N313="Uygunsuz"),OR(O313="Uygun",O313="Kısmen uygun",O313="Uygunsuz"),OR(P313&lt;&gt;"Uygun",AND(N313="Uygun",O313="Uygun")),OR(P313="Uygun",AND(T313&lt;&gt;"",COUNTIF(Findings[KayitliBulguID],T313)=1))),"İnceleme tamam","Sonuç / bulgu eksik"))))))))</x:f>
        <x:v>Kimlik / kapsam eksik</x:v>
      </x:c>
      <x:c r="W313" s="14" t="str">
        <x:f>IF(A313="","",IF(V313&lt;&gt;"İnceleme tamam","İncelenmedi",IF(H313="Uygulanmaz","Uygulanmaz",P313)))</x:f>
        <x:v>İncelenmedi</x:v>
      </x:c>
    </x:row>
    <x:row r="314" ht="35" customHeight="1">
      <x:c r="A314" s="12" t="str">
        <x:v>U-0309</x:v>
      </x:c>
      <x:c r="B314" s="12" t="str">
        <x:v>ESA-V09-01</x:v>
      </x:c>
      <x:c r="C314" s="12" t="str">
        <x:v>IronPort Email Security</x:v>
      </x:c>
      <x:c r="D314" s="12" t="str"/>
      <x:c r="E314" s="12" t="str"/>
      <x:c r="F314" s="12" t="str"/>
      <x:c r="G314" s="12" t="str"/>
      <x:c r="H314" s="12" t="str">
        <x:v>Belirlenecek</x:v>
      </x:c>
      <x:c r="I314" s="12" t="str"/>
      <x:c r="J314" s="12" t="str"/>
      <x:c r="K314" s="12" t="str"/>
      <x:c r="L314" s="13" t="str"/>
      <x:c r="M314" s="12" t="str"/>
      <x:c r="N314" s="12" t="str">
        <x:v>İncelenmedi</x:v>
      </x:c>
      <x:c r="O314" s="12" t="str">
        <x:v>İncelenmedi</x:v>
      </x:c>
      <x:c r="P314" s="12" t="str">
        <x:v>İncelenmedi</x:v>
      </x:c>
      <x:c r="Q314" s="12" t="str"/>
      <x:c r="R314" s="12" t="str"/>
      <x:c r="S314" s="13" t="str"/>
      <x:c r="T314" s="12" t="str"/>
      <x:c r="U314" s="12" t="str"/>
      <x:c r="V314" s="14" t="str">
        <x:f>IF(A314="","",IF(NOT(AND(COUNTIF(Exec[TestID],A314)=1,COUNTIF(Controls[ID],B314)=1,COUNTIFS(Scope[KapsamID],D314,Scope[OnayliKapsamID],D314,Scope[Ürün],C314)=1,OR(COUNTIFS(Controls[ID],B314,Controls[Ürün],C314)=1,COUNTIFS(Controls[ID],B314,Controls[Ürün],"MSP Genel")=1),E314&lt;&gt;"",F314&lt;&gt;"",G314&lt;&gt;"",I314&lt;&gt;"",Q314&lt;&gt;"")),"Kimlik / kapsam eksik",IF(NOT(OR(H314="Uygulanır",H314="Uygulanmaz")),"Uygulanabilirlik eksik",IF(AND(H314="Uygulanır",P314="Kanıt yetersiz",U314&lt;&gt;""),IF(AND(R314&lt;&gt;"",R314&lt;&gt;Q314,ISNUMBER(S314),S314&gt;0,S314&gt;=L314),"İnceleme tamam","Gözden geçirme eksik"),IF(NOT(AND(J314&lt;&gt;"",COUNTIFS(Evidence[KanitID],J314,Evidence[Kabul edilen ID],J314)=1,K314&lt;&gt;"",ISNUMBER(L314),L314&gt;0,M314&lt;&gt;"")),"Kanıt / test eksik",IF(NOT(AND(R314&lt;&gt;"",R314&lt;&gt;Q314,ISNUMBER(S314),S314&gt;0,S314&gt;=L314)),"Gözden geçirme eksik",IF(H314="Uygulanmaz","İnceleme tamam",IF(AND(OR(P314="Uygun",P314="Kısmen uygun",P314="Uygunsuz"),OR(N314="Uygun",N314="Kısmen uygun",N314="Uygunsuz"),OR(O314="Uygun",O314="Kısmen uygun",O314="Uygunsuz"),OR(P314&lt;&gt;"Uygun",AND(N314="Uygun",O314="Uygun")),OR(P314="Uygun",AND(T314&lt;&gt;"",COUNTIF(Findings[KayitliBulguID],T314)=1))),"İnceleme tamam","Sonuç / bulgu eksik"))))))))</x:f>
        <x:v>Kimlik / kapsam eksik</x:v>
      </x:c>
      <x:c r="W314" s="14" t="str">
        <x:f>IF(A314="","",IF(V314&lt;&gt;"İnceleme tamam","İncelenmedi",IF(H314="Uygulanmaz","Uygulanmaz",P314)))</x:f>
        <x:v>İncelenmedi</x:v>
      </x:c>
    </x:row>
    <x:row r="315" ht="35" customHeight="1">
      <x:c r="A315" s="12" t="str">
        <x:v>U-0310</x:v>
      </x:c>
      <x:c r="B315" s="12" t="str">
        <x:v>KNG-007</x:v>
      </x:c>
      <x:c r="C315" s="12" t="str">
        <x:v>Kong API Gateway</x:v>
      </x:c>
      <x:c r="D315" s="12" t="str"/>
      <x:c r="E315" s="12" t="str"/>
      <x:c r="F315" s="12" t="str"/>
      <x:c r="G315" s="12" t="str"/>
      <x:c r="H315" s="12" t="str">
        <x:v>Belirlenecek</x:v>
      </x:c>
      <x:c r="I315" s="12" t="str"/>
      <x:c r="J315" s="12" t="str"/>
      <x:c r="K315" s="12" t="str"/>
      <x:c r="L315" s="13" t="str"/>
      <x:c r="M315" s="12" t="str"/>
      <x:c r="N315" s="12" t="str">
        <x:v>İncelenmedi</x:v>
      </x:c>
      <x:c r="O315" s="12" t="str">
        <x:v>İncelenmedi</x:v>
      </x:c>
      <x:c r="P315" s="12" t="str">
        <x:v>İncelenmedi</x:v>
      </x:c>
      <x:c r="Q315" s="12" t="str"/>
      <x:c r="R315" s="12" t="str"/>
      <x:c r="S315" s="13" t="str"/>
      <x:c r="T315" s="12" t="str"/>
      <x:c r="U315" s="12" t="str"/>
      <x:c r="V315" s="14" t="str">
        <x:f>IF(A315="","",IF(NOT(AND(COUNTIF(Exec[TestID],A315)=1,COUNTIF(Controls[ID],B315)=1,COUNTIFS(Scope[KapsamID],D315,Scope[OnayliKapsamID],D315,Scope[Ürün],C315)=1,OR(COUNTIFS(Controls[ID],B315,Controls[Ürün],C315)=1,COUNTIFS(Controls[ID],B315,Controls[Ürün],"MSP Genel")=1),E315&lt;&gt;"",F315&lt;&gt;"",G315&lt;&gt;"",I315&lt;&gt;"",Q315&lt;&gt;"")),"Kimlik / kapsam eksik",IF(NOT(OR(H315="Uygulanır",H315="Uygulanmaz")),"Uygulanabilirlik eksik",IF(AND(H315="Uygulanır",P315="Kanıt yetersiz",U315&lt;&gt;""),IF(AND(R315&lt;&gt;"",R315&lt;&gt;Q315,ISNUMBER(S315),S315&gt;0,S315&gt;=L315),"İnceleme tamam","Gözden geçirme eksik"),IF(NOT(AND(J315&lt;&gt;"",COUNTIFS(Evidence[KanitID],J315,Evidence[Kabul edilen ID],J315)=1,K315&lt;&gt;"",ISNUMBER(L315),L315&gt;0,M315&lt;&gt;"")),"Kanıt / test eksik",IF(NOT(AND(R315&lt;&gt;"",R315&lt;&gt;Q315,ISNUMBER(S315),S315&gt;0,S315&gt;=L315)),"Gözden geçirme eksik",IF(H315="Uygulanmaz","İnceleme tamam",IF(AND(OR(P315="Uygun",P315="Kısmen uygun",P315="Uygunsuz"),OR(N315="Uygun",N315="Kısmen uygun",N315="Uygunsuz"),OR(O315="Uygun",O315="Kısmen uygun",O315="Uygunsuz"),OR(P315&lt;&gt;"Uygun",AND(N315="Uygun",O315="Uygun")),OR(P315="Uygun",AND(T315&lt;&gt;"",COUNTIF(Findings[KayitliBulguID],T315)=1))),"İnceleme tamam","Sonuç / bulgu eksik"))))))))</x:f>
        <x:v>Kimlik / kapsam eksik</x:v>
      </x:c>
      <x:c r="W315" s="14" t="str">
        <x:f>IF(A315="","",IF(V315&lt;&gt;"İnceleme tamam","İncelenmedi",IF(H315="Uygulanmaz","Uygulanmaz",P315)))</x:f>
        <x:v>İncelenmedi</x:v>
      </x:c>
    </x:row>
    <x:row r="316" ht="35" customHeight="1">
      <x:c r="A316" s="12" t="str">
        <x:v>U-0311</x:v>
      </x:c>
      <x:c r="B316" s="12" t="str">
        <x:v>KNG-008</x:v>
      </x:c>
      <x:c r="C316" s="12" t="str">
        <x:v>Kong API Gateway</x:v>
      </x:c>
      <x:c r="D316" s="12" t="str"/>
      <x:c r="E316" s="12" t="str"/>
      <x:c r="F316" s="12" t="str"/>
      <x:c r="G316" s="12" t="str"/>
      <x:c r="H316" s="12" t="str">
        <x:v>Belirlenecek</x:v>
      </x:c>
      <x:c r="I316" s="12" t="str"/>
      <x:c r="J316" s="12" t="str"/>
      <x:c r="K316" s="12" t="str"/>
      <x:c r="L316" s="13" t="str"/>
      <x:c r="M316" s="12" t="str"/>
      <x:c r="N316" s="12" t="str">
        <x:v>İncelenmedi</x:v>
      </x:c>
      <x:c r="O316" s="12" t="str">
        <x:v>İncelenmedi</x:v>
      </x:c>
      <x:c r="P316" s="12" t="str">
        <x:v>İncelenmedi</x:v>
      </x:c>
      <x:c r="Q316" s="12" t="str"/>
      <x:c r="R316" s="12" t="str"/>
      <x:c r="S316" s="13" t="str"/>
      <x:c r="T316" s="12" t="str"/>
      <x:c r="U316" s="12" t="str"/>
      <x:c r="V316" s="14" t="str">
        <x:f>IF(A316="","",IF(NOT(AND(COUNTIF(Exec[TestID],A316)=1,COUNTIF(Controls[ID],B316)=1,COUNTIFS(Scope[KapsamID],D316,Scope[OnayliKapsamID],D316,Scope[Ürün],C316)=1,OR(COUNTIFS(Controls[ID],B316,Controls[Ürün],C316)=1,COUNTIFS(Controls[ID],B316,Controls[Ürün],"MSP Genel")=1),E316&lt;&gt;"",F316&lt;&gt;"",G316&lt;&gt;"",I316&lt;&gt;"",Q316&lt;&gt;"")),"Kimlik / kapsam eksik",IF(NOT(OR(H316="Uygulanır",H316="Uygulanmaz")),"Uygulanabilirlik eksik",IF(AND(H316="Uygulanır",P316="Kanıt yetersiz",U316&lt;&gt;""),IF(AND(R316&lt;&gt;"",R316&lt;&gt;Q316,ISNUMBER(S316),S316&gt;0,S316&gt;=L316),"İnceleme tamam","Gözden geçirme eksik"),IF(NOT(AND(J316&lt;&gt;"",COUNTIFS(Evidence[KanitID],J316,Evidence[Kabul edilen ID],J316)=1,K316&lt;&gt;"",ISNUMBER(L316),L316&gt;0,M316&lt;&gt;"")),"Kanıt / test eksik",IF(NOT(AND(R316&lt;&gt;"",R316&lt;&gt;Q316,ISNUMBER(S316),S316&gt;0,S316&gt;=L316)),"Gözden geçirme eksik",IF(H316="Uygulanmaz","İnceleme tamam",IF(AND(OR(P316="Uygun",P316="Kısmen uygun",P316="Uygunsuz"),OR(N316="Uygun",N316="Kısmen uygun",N316="Uygunsuz"),OR(O316="Uygun",O316="Kısmen uygun",O316="Uygunsuz"),OR(P316&lt;&gt;"Uygun",AND(N316="Uygun",O316="Uygun")),OR(P316="Uygun",AND(T316&lt;&gt;"",COUNTIF(Findings[KayitliBulguID],T316)=1))),"İnceleme tamam","Sonuç / bulgu eksik"))))))))</x:f>
        <x:v>Kimlik / kapsam eksik</x:v>
      </x:c>
      <x:c r="W316" s="14" t="str">
        <x:f>IF(A316="","",IF(V316&lt;&gt;"İnceleme tamam","İncelenmedi",IF(H316="Uygulanmaz","Uygulanmaz",P316)))</x:f>
        <x:v>İncelenmedi</x:v>
      </x:c>
    </x:row>
    <x:row r="317" ht="35" customHeight="1">
      <x:c r="A317" s="12" t="str">
        <x:v>U-0312</x:v>
      </x:c>
      <x:c r="B317" s="12" t="str">
        <x:v>KNG-009</x:v>
      </x:c>
      <x:c r="C317" s="12" t="str">
        <x:v>Kong API Gateway</x:v>
      </x:c>
      <x:c r="D317" s="12" t="str"/>
      <x:c r="E317" s="12" t="str"/>
      <x:c r="F317" s="12" t="str"/>
      <x:c r="G317" s="12" t="str"/>
      <x:c r="H317" s="12" t="str">
        <x:v>Belirlenecek</x:v>
      </x:c>
      <x:c r="I317" s="12" t="str"/>
      <x:c r="J317" s="12" t="str"/>
      <x:c r="K317" s="12" t="str"/>
      <x:c r="L317" s="13" t="str"/>
      <x:c r="M317" s="12" t="str"/>
      <x:c r="N317" s="12" t="str">
        <x:v>İncelenmedi</x:v>
      </x:c>
      <x:c r="O317" s="12" t="str">
        <x:v>İncelenmedi</x:v>
      </x:c>
      <x:c r="P317" s="12" t="str">
        <x:v>İncelenmedi</x:v>
      </x:c>
      <x:c r="Q317" s="12" t="str"/>
      <x:c r="R317" s="12" t="str"/>
      <x:c r="S317" s="13" t="str"/>
      <x:c r="T317" s="12" t="str"/>
      <x:c r="U317" s="12" t="str"/>
      <x:c r="V317" s="14" t="str">
        <x:f>IF(A317="","",IF(NOT(AND(COUNTIF(Exec[TestID],A317)=1,COUNTIF(Controls[ID],B317)=1,COUNTIFS(Scope[KapsamID],D317,Scope[OnayliKapsamID],D317,Scope[Ürün],C317)=1,OR(COUNTIFS(Controls[ID],B317,Controls[Ürün],C317)=1,COUNTIFS(Controls[ID],B317,Controls[Ürün],"MSP Genel")=1),E317&lt;&gt;"",F317&lt;&gt;"",G317&lt;&gt;"",I317&lt;&gt;"",Q317&lt;&gt;"")),"Kimlik / kapsam eksik",IF(NOT(OR(H317="Uygulanır",H317="Uygulanmaz")),"Uygulanabilirlik eksik",IF(AND(H317="Uygulanır",P317="Kanıt yetersiz",U317&lt;&gt;""),IF(AND(R317&lt;&gt;"",R317&lt;&gt;Q317,ISNUMBER(S317),S317&gt;0,S317&gt;=L317),"İnceleme tamam","Gözden geçirme eksik"),IF(NOT(AND(J317&lt;&gt;"",COUNTIFS(Evidence[KanitID],J317,Evidence[Kabul edilen ID],J317)=1,K317&lt;&gt;"",ISNUMBER(L317),L317&gt;0,M317&lt;&gt;"")),"Kanıt / test eksik",IF(NOT(AND(R317&lt;&gt;"",R317&lt;&gt;Q317,ISNUMBER(S317),S317&gt;0,S317&gt;=L317)),"Gözden geçirme eksik",IF(H317="Uygulanmaz","İnceleme tamam",IF(AND(OR(P317="Uygun",P317="Kısmen uygun",P317="Uygunsuz"),OR(N317="Uygun",N317="Kısmen uygun",N317="Uygunsuz"),OR(O317="Uygun",O317="Kısmen uygun",O317="Uygunsuz"),OR(P317&lt;&gt;"Uygun",AND(N317="Uygun",O317="Uygun")),OR(P317="Uygun",AND(T317&lt;&gt;"",COUNTIF(Findings[KayitliBulguID],T317)=1))),"İnceleme tamam","Sonuç / bulgu eksik"))))))))</x:f>
        <x:v>Kimlik / kapsam eksik</x:v>
      </x:c>
      <x:c r="W317" s="14" t="str">
        <x:f>IF(A317="","",IF(V317&lt;&gt;"İnceleme tamam","İncelenmedi",IF(H317="Uygulanmaz","Uygulanmaz",P317)))</x:f>
        <x:v>İncelenmedi</x:v>
      </x:c>
    </x:row>
    <x:row r="318" ht="35" customHeight="1">
      <x:c r="A318" s="12" t="str">
        <x:v>U-0313</x:v>
      </x:c>
      <x:c r="B318" s="12" t="str">
        <x:v>KNG-010</x:v>
      </x:c>
      <x:c r="C318" s="12" t="str">
        <x:v>Kong API Gateway</x:v>
      </x:c>
      <x:c r="D318" s="12" t="str"/>
      <x:c r="E318" s="12" t="str"/>
      <x:c r="F318" s="12" t="str"/>
      <x:c r="G318" s="12" t="str"/>
      <x:c r="H318" s="12" t="str">
        <x:v>Belirlenecek</x:v>
      </x:c>
      <x:c r="I318" s="12" t="str"/>
      <x:c r="J318" s="12" t="str"/>
      <x:c r="K318" s="12" t="str"/>
      <x:c r="L318" s="13" t="str"/>
      <x:c r="M318" s="12" t="str"/>
      <x:c r="N318" s="12" t="str">
        <x:v>İncelenmedi</x:v>
      </x:c>
      <x:c r="O318" s="12" t="str">
        <x:v>İncelenmedi</x:v>
      </x:c>
      <x:c r="P318" s="12" t="str">
        <x:v>İncelenmedi</x:v>
      </x:c>
      <x:c r="Q318" s="12" t="str"/>
      <x:c r="R318" s="12" t="str"/>
      <x:c r="S318" s="13" t="str"/>
      <x:c r="T318" s="12" t="str"/>
      <x:c r="U318" s="12" t="str"/>
      <x:c r="V318" s="14" t="str">
        <x:f>IF(A318="","",IF(NOT(AND(COUNTIF(Exec[TestID],A318)=1,COUNTIF(Controls[ID],B318)=1,COUNTIFS(Scope[KapsamID],D318,Scope[OnayliKapsamID],D318,Scope[Ürün],C318)=1,OR(COUNTIFS(Controls[ID],B318,Controls[Ürün],C318)=1,COUNTIFS(Controls[ID],B318,Controls[Ürün],"MSP Genel")=1),E318&lt;&gt;"",F318&lt;&gt;"",G318&lt;&gt;"",I318&lt;&gt;"",Q318&lt;&gt;"")),"Kimlik / kapsam eksik",IF(NOT(OR(H318="Uygulanır",H318="Uygulanmaz")),"Uygulanabilirlik eksik",IF(AND(H318="Uygulanır",P318="Kanıt yetersiz",U318&lt;&gt;""),IF(AND(R318&lt;&gt;"",R318&lt;&gt;Q318,ISNUMBER(S318),S318&gt;0,S318&gt;=L318),"İnceleme tamam","Gözden geçirme eksik"),IF(NOT(AND(J318&lt;&gt;"",COUNTIFS(Evidence[KanitID],J318,Evidence[Kabul edilen ID],J318)=1,K318&lt;&gt;"",ISNUMBER(L318),L318&gt;0,M318&lt;&gt;"")),"Kanıt / test eksik",IF(NOT(AND(R318&lt;&gt;"",R318&lt;&gt;Q318,ISNUMBER(S318),S318&gt;0,S318&gt;=L318)),"Gözden geçirme eksik",IF(H318="Uygulanmaz","İnceleme tamam",IF(AND(OR(P318="Uygun",P318="Kısmen uygun",P318="Uygunsuz"),OR(N318="Uygun",N318="Kısmen uygun",N318="Uygunsuz"),OR(O318="Uygun",O318="Kısmen uygun",O318="Uygunsuz"),OR(P318&lt;&gt;"Uygun",AND(N318="Uygun",O318="Uygun")),OR(P318="Uygun",AND(T318&lt;&gt;"",COUNTIF(Findings[KayitliBulguID],T318)=1))),"İnceleme tamam","Sonuç / bulgu eksik"))))))))</x:f>
        <x:v>Kimlik / kapsam eksik</x:v>
      </x:c>
      <x:c r="W318" s="14" t="str">
        <x:f>IF(A318="","",IF(V318&lt;&gt;"İnceleme tamam","İncelenmedi",IF(H318="Uygulanmaz","Uygulanmaz",P318)))</x:f>
        <x:v>İncelenmedi</x:v>
      </x:c>
    </x:row>
    <x:row r="319" ht="35" customHeight="1">
      <x:c r="A319" s="12" t="str">
        <x:v>U-0314</x:v>
      </x:c>
      <x:c r="B319" s="12" t="str">
        <x:v>KNG-011</x:v>
      </x:c>
      <x:c r="C319" s="12" t="str">
        <x:v>Kong API Gateway</x:v>
      </x:c>
      <x:c r="D319" s="12" t="str"/>
      <x:c r="E319" s="12" t="str"/>
      <x:c r="F319" s="12" t="str"/>
      <x:c r="G319" s="12" t="str"/>
      <x:c r="H319" s="12" t="str">
        <x:v>Belirlenecek</x:v>
      </x:c>
      <x:c r="I319" s="12" t="str"/>
      <x:c r="J319" s="12" t="str"/>
      <x:c r="K319" s="12" t="str"/>
      <x:c r="L319" s="13" t="str"/>
      <x:c r="M319" s="12" t="str"/>
      <x:c r="N319" s="12" t="str">
        <x:v>İncelenmedi</x:v>
      </x:c>
      <x:c r="O319" s="12" t="str">
        <x:v>İncelenmedi</x:v>
      </x:c>
      <x:c r="P319" s="12" t="str">
        <x:v>İncelenmedi</x:v>
      </x:c>
      <x:c r="Q319" s="12" t="str"/>
      <x:c r="R319" s="12" t="str"/>
      <x:c r="S319" s="13" t="str"/>
      <x:c r="T319" s="12" t="str"/>
      <x:c r="U319" s="12" t="str"/>
      <x:c r="V319" s="14" t="str">
        <x:f>IF(A319="","",IF(NOT(AND(COUNTIF(Exec[TestID],A319)=1,COUNTIF(Controls[ID],B319)=1,COUNTIFS(Scope[KapsamID],D319,Scope[OnayliKapsamID],D319,Scope[Ürün],C319)=1,OR(COUNTIFS(Controls[ID],B319,Controls[Ürün],C319)=1,COUNTIFS(Controls[ID],B319,Controls[Ürün],"MSP Genel")=1),E319&lt;&gt;"",F319&lt;&gt;"",G319&lt;&gt;"",I319&lt;&gt;"",Q319&lt;&gt;"")),"Kimlik / kapsam eksik",IF(NOT(OR(H319="Uygulanır",H319="Uygulanmaz")),"Uygulanabilirlik eksik",IF(AND(H319="Uygulanır",P319="Kanıt yetersiz",U319&lt;&gt;""),IF(AND(R319&lt;&gt;"",R319&lt;&gt;Q319,ISNUMBER(S319),S319&gt;0,S319&gt;=L319),"İnceleme tamam","Gözden geçirme eksik"),IF(NOT(AND(J319&lt;&gt;"",COUNTIFS(Evidence[KanitID],J319,Evidence[Kabul edilen ID],J319)=1,K319&lt;&gt;"",ISNUMBER(L319),L319&gt;0,M319&lt;&gt;"")),"Kanıt / test eksik",IF(NOT(AND(R319&lt;&gt;"",R319&lt;&gt;Q319,ISNUMBER(S319),S319&gt;0,S319&gt;=L319)),"Gözden geçirme eksik",IF(H319="Uygulanmaz","İnceleme tamam",IF(AND(OR(P319="Uygun",P319="Kısmen uygun",P319="Uygunsuz"),OR(N319="Uygun",N319="Kısmen uygun",N319="Uygunsuz"),OR(O319="Uygun",O319="Kısmen uygun",O319="Uygunsuz"),OR(P319&lt;&gt;"Uygun",AND(N319="Uygun",O319="Uygun")),OR(P319="Uygun",AND(T319&lt;&gt;"",COUNTIF(Findings[KayitliBulguID],T319)=1))),"İnceleme tamam","Sonuç / bulgu eksik"))))))))</x:f>
        <x:v>Kimlik / kapsam eksik</x:v>
      </x:c>
      <x:c r="W319" s="14" t="str">
        <x:f>IF(A319="","",IF(V319&lt;&gt;"İnceleme tamam","İncelenmedi",IF(H319="Uygulanmaz","Uygulanmaz",P319)))</x:f>
        <x:v>İncelenmedi</x:v>
      </x:c>
    </x:row>
    <x:row r="320" ht="35" customHeight="1">
      <x:c r="A320" s="12" t="str">
        <x:v>U-0315</x:v>
      </x:c>
      <x:c r="B320" s="12" t="str">
        <x:v>KNG-012</x:v>
      </x:c>
      <x:c r="C320" s="12" t="str">
        <x:v>Kong API Gateway</x:v>
      </x:c>
      <x:c r="D320" s="12" t="str"/>
      <x:c r="E320" s="12" t="str"/>
      <x:c r="F320" s="12" t="str"/>
      <x:c r="G320" s="12" t="str"/>
      <x:c r="H320" s="12" t="str">
        <x:v>Belirlenecek</x:v>
      </x:c>
      <x:c r="I320" s="12" t="str"/>
      <x:c r="J320" s="12" t="str"/>
      <x:c r="K320" s="12" t="str"/>
      <x:c r="L320" s="13" t="str"/>
      <x:c r="M320" s="12" t="str"/>
      <x:c r="N320" s="12" t="str">
        <x:v>İncelenmedi</x:v>
      </x:c>
      <x:c r="O320" s="12" t="str">
        <x:v>İncelenmedi</x:v>
      </x:c>
      <x:c r="P320" s="12" t="str">
        <x:v>İncelenmedi</x:v>
      </x:c>
      <x:c r="Q320" s="12" t="str"/>
      <x:c r="R320" s="12" t="str"/>
      <x:c r="S320" s="13" t="str"/>
      <x:c r="T320" s="12" t="str"/>
      <x:c r="U320" s="12" t="str"/>
      <x:c r="V320" s="14" t="str">
        <x:f>IF(A320="","",IF(NOT(AND(COUNTIF(Exec[TestID],A320)=1,COUNTIF(Controls[ID],B320)=1,COUNTIFS(Scope[KapsamID],D320,Scope[OnayliKapsamID],D320,Scope[Ürün],C320)=1,OR(COUNTIFS(Controls[ID],B320,Controls[Ürün],C320)=1,COUNTIFS(Controls[ID],B320,Controls[Ürün],"MSP Genel")=1),E320&lt;&gt;"",F320&lt;&gt;"",G320&lt;&gt;"",I320&lt;&gt;"",Q320&lt;&gt;"")),"Kimlik / kapsam eksik",IF(NOT(OR(H320="Uygulanır",H320="Uygulanmaz")),"Uygulanabilirlik eksik",IF(AND(H320="Uygulanır",P320="Kanıt yetersiz",U320&lt;&gt;""),IF(AND(R320&lt;&gt;"",R320&lt;&gt;Q320,ISNUMBER(S320),S320&gt;0,S320&gt;=L320),"İnceleme tamam","Gözden geçirme eksik"),IF(NOT(AND(J320&lt;&gt;"",COUNTIFS(Evidence[KanitID],J320,Evidence[Kabul edilen ID],J320)=1,K320&lt;&gt;"",ISNUMBER(L320),L320&gt;0,M320&lt;&gt;"")),"Kanıt / test eksik",IF(NOT(AND(R320&lt;&gt;"",R320&lt;&gt;Q320,ISNUMBER(S320),S320&gt;0,S320&gt;=L320)),"Gözden geçirme eksik",IF(H320="Uygulanmaz","İnceleme tamam",IF(AND(OR(P320="Uygun",P320="Kısmen uygun",P320="Uygunsuz"),OR(N320="Uygun",N320="Kısmen uygun",N320="Uygunsuz"),OR(O320="Uygun",O320="Kısmen uygun",O320="Uygunsuz"),OR(P320&lt;&gt;"Uygun",AND(N320="Uygun",O320="Uygun")),OR(P320="Uygun",AND(T320&lt;&gt;"",COUNTIF(Findings[KayitliBulguID],T320)=1))),"İnceleme tamam","Sonuç / bulgu eksik"))))))))</x:f>
        <x:v>Kimlik / kapsam eksik</x:v>
      </x:c>
      <x:c r="W320" s="14" t="str">
        <x:f>IF(A320="","",IF(V320&lt;&gt;"İnceleme tamam","İncelenmedi",IF(H320="Uygulanmaz","Uygulanmaz",P320)))</x:f>
        <x:v>İncelenmedi</x:v>
      </x:c>
    </x:row>
    <x:row r="321" ht="35" customHeight="1">
      <x:c r="A321" s="12" t="str">
        <x:v>U-0316</x:v>
      </x:c>
      <x:c r="B321" s="12" t="str">
        <x:v>KNG-013</x:v>
      </x:c>
      <x:c r="C321" s="12" t="str">
        <x:v>Kong API Gateway</x:v>
      </x:c>
      <x:c r="D321" s="12" t="str"/>
      <x:c r="E321" s="12" t="str"/>
      <x:c r="F321" s="12" t="str"/>
      <x:c r="G321" s="12" t="str"/>
      <x:c r="H321" s="12" t="str">
        <x:v>Belirlenecek</x:v>
      </x:c>
      <x:c r="I321" s="12" t="str"/>
      <x:c r="J321" s="12" t="str"/>
      <x:c r="K321" s="12" t="str"/>
      <x:c r="L321" s="13" t="str"/>
      <x:c r="M321" s="12" t="str"/>
      <x:c r="N321" s="12" t="str">
        <x:v>İncelenmedi</x:v>
      </x:c>
      <x:c r="O321" s="12" t="str">
        <x:v>İncelenmedi</x:v>
      </x:c>
      <x:c r="P321" s="12" t="str">
        <x:v>İncelenmedi</x:v>
      </x:c>
      <x:c r="Q321" s="12" t="str"/>
      <x:c r="R321" s="12" t="str"/>
      <x:c r="S321" s="13" t="str"/>
      <x:c r="T321" s="12" t="str"/>
      <x:c r="U321" s="12" t="str"/>
      <x:c r="V321" s="14" t="str">
        <x:f>IF(A321="","",IF(NOT(AND(COUNTIF(Exec[TestID],A321)=1,COUNTIF(Controls[ID],B321)=1,COUNTIFS(Scope[KapsamID],D321,Scope[OnayliKapsamID],D321,Scope[Ürün],C321)=1,OR(COUNTIFS(Controls[ID],B321,Controls[Ürün],C321)=1,COUNTIFS(Controls[ID],B321,Controls[Ürün],"MSP Genel")=1),E321&lt;&gt;"",F321&lt;&gt;"",G321&lt;&gt;"",I321&lt;&gt;"",Q321&lt;&gt;"")),"Kimlik / kapsam eksik",IF(NOT(OR(H321="Uygulanır",H321="Uygulanmaz")),"Uygulanabilirlik eksik",IF(AND(H321="Uygulanır",P321="Kanıt yetersiz",U321&lt;&gt;""),IF(AND(R321&lt;&gt;"",R321&lt;&gt;Q321,ISNUMBER(S321),S321&gt;0,S321&gt;=L321),"İnceleme tamam","Gözden geçirme eksik"),IF(NOT(AND(J321&lt;&gt;"",COUNTIFS(Evidence[KanitID],J321,Evidence[Kabul edilen ID],J321)=1,K321&lt;&gt;"",ISNUMBER(L321),L321&gt;0,M321&lt;&gt;"")),"Kanıt / test eksik",IF(NOT(AND(R321&lt;&gt;"",R321&lt;&gt;Q321,ISNUMBER(S321),S321&gt;0,S321&gt;=L321)),"Gözden geçirme eksik",IF(H321="Uygulanmaz","İnceleme tamam",IF(AND(OR(P321="Uygun",P321="Kısmen uygun",P321="Uygunsuz"),OR(N321="Uygun",N321="Kısmen uygun",N321="Uygunsuz"),OR(O321="Uygun",O321="Kısmen uygun",O321="Uygunsuz"),OR(P321&lt;&gt;"Uygun",AND(N321="Uygun",O321="Uygun")),OR(P321="Uygun",AND(T321&lt;&gt;"",COUNTIF(Findings[KayitliBulguID],T321)=1))),"İnceleme tamam","Sonuç / bulgu eksik"))))))))</x:f>
        <x:v>Kimlik / kapsam eksik</x:v>
      </x:c>
      <x:c r="W321" s="14" t="str">
        <x:f>IF(A321="","",IF(V321&lt;&gt;"İnceleme tamam","İncelenmedi",IF(H321="Uygulanmaz","Uygulanmaz",P321)))</x:f>
        <x:v>İncelenmedi</x:v>
      </x:c>
    </x:row>
    <x:row r="322" ht="35" customHeight="1">
      <x:c r="A322" s="12" t="str">
        <x:v>U-0317</x:v>
      </x:c>
      <x:c r="B322" s="12" t="str">
        <x:v>KNG-014</x:v>
      </x:c>
      <x:c r="C322" s="12" t="str">
        <x:v>Kong API Gateway</x:v>
      </x:c>
      <x:c r="D322" s="12" t="str"/>
      <x:c r="E322" s="12" t="str"/>
      <x:c r="F322" s="12" t="str"/>
      <x:c r="G322" s="12" t="str"/>
      <x:c r="H322" s="12" t="str">
        <x:v>Belirlenecek</x:v>
      </x:c>
      <x:c r="I322" s="12" t="str"/>
      <x:c r="J322" s="12" t="str"/>
      <x:c r="K322" s="12" t="str"/>
      <x:c r="L322" s="13" t="str"/>
      <x:c r="M322" s="12" t="str"/>
      <x:c r="N322" s="12" t="str">
        <x:v>İncelenmedi</x:v>
      </x:c>
      <x:c r="O322" s="12" t="str">
        <x:v>İncelenmedi</x:v>
      </x:c>
      <x:c r="P322" s="12" t="str">
        <x:v>İncelenmedi</x:v>
      </x:c>
      <x:c r="Q322" s="12" t="str"/>
      <x:c r="R322" s="12" t="str"/>
      <x:c r="S322" s="13" t="str"/>
      <x:c r="T322" s="12" t="str"/>
      <x:c r="U322" s="12" t="str"/>
      <x:c r="V322" s="14" t="str">
        <x:f>IF(A322="","",IF(NOT(AND(COUNTIF(Exec[TestID],A322)=1,COUNTIF(Controls[ID],B322)=1,COUNTIFS(Scope[KapsamID],D322,Scope[OnayliKapsamID],D322,Scope[Ürün],C322)=1,OR(COUNTIFS(Controls[ID],B322,Controls[Ürün],C322)=1,COUNTIFS(Controls[ID],B322,Controls[Ürün],"MSP Genel")=1),E322&lt;&gt;"",F322&lt;&gt;"",G322&lt;&gt;"",I322&lt;&gt;"",Q322&lt;&gt;"")),"Kimlik / kapsam eksik",IF(NOT(OR(H322="Uygulanır",H322="Uygulanmaz")),"Uygulanabilirlik eksik",IF(AND(H322="Uygulanır",P322="Kanıt yetersiz",U322&lt;&gt;""),IF(AND(R322&lt;&gt;"",R322&lt;&gt;Q322,ISNUMBER(S322),S322&gt;0,S322&gt;=L322),"İnceleme tamam","Gözden geçirme eksik"),IF(NOT(AND(J322&lt;&gt;"",COUNTIFS(Evidence[KanitID],J322,Evidence[Kabul edilen ID],J322)=1,K322&lt;&gt;"",ISNUMBER(L322),L322&gt;0,M322&lt;&gt;"")),"Kanıt / test eksik",IF(NOT(AND(R322&lt;&gt;"",R322&lt;&gt;Q322,ISNUMBER(S322),S322&gt;0,S322&gt;=L322)),"Gözden geçirme eksik",IF(H322="Uygulanmaz","İnceleme tamam",IF(AND(OR(P322="Uygun",P322="Kısmen uygun",P322="Uygunsuz"),OR(N322="Uygun",N322="Kısmen uygun",N322="Uygunsuz"),OR(O322="Uygun",O322="Kısmen uygun",O322="Uygunsuz"),OR(P322&lt;&gt;"Uygun",AND(N322="Uygun",O322="Uygun")),OR(P322="Uygun",AND(T322&lt;&gt;"",COUNTIF(Findings[KayitliBulguID],T322)=1))),"İnceleme tamam","Sonuç / bulgu eksik"))))))))</x:f>
        <x:v>Kimlik / kapsam eksik</x:v>
      </x:c>
      <x:c r="W322" s="14" t="str">
        <x:f>IF(A322="","",IF(V322&lt;&gt;"İnceleme tamam","İncelenmedi",IF(H322="Uygulanmaz","Uygulanmaz",P322)))</x:f>
        <x:v>İncelenmedi</x:v>
      </x:c>
    </x:row>
    <x:row r="323" ht="35" customHeight="1">
      <x:c r="A323" s="12" t="str">
        <x:v>U-0318</x:v>
      </x:c>
      <x:c r="B323" s="12" t="str">
        <x:v>KNG-V02-02</x:v>
      </x:c>
      <x:c r="C323" s="12" t="str">
        <x:v>Kong API Gateway</x:v>
      </x:c>
      <x:c r="D323" s="12" t="str"/>
      <x:c r="E323" s="12" t="str"/>
      <x:c r="F323" s="12" t="str"/>
      <x:c r="G323" s="12" t="str"/>
      <x:c r="H323" s="12" t="str">
        <x:v>Belirlenecek</x:v>
      </x:c>
      <x:c r="I323" s="12" t="str"/>
      <x:c r="J323" s="12" t="str"/>
      <x:c r="K323" s="12" t="str"/>
      <x:c r="L323" s="13" t="str"/>
      <x:c r="M323" s="12" t="str"/>
      <x:c r="N323" s="12" t="str">
        <x:v>İncelenmedi</x:v>
      </x:c>
      <x:c r="O323" s="12" t="str">
        <x:v>İncelenmedi</x:v>
      </x:c>
      <x:c r="P323" s="12" t="str">
        <x:v>İncelenmedi</x:v>
      </x:c>
      <x:c r="Q323" s="12" t="str"/>
      <x:c r="R323" s="12" t="str"/>
      <x:c r="S323" s="13" t="str"/>
      <x:c r="T323" s="12" t="str"/>
      <x:c r="U323" s="12" t="str"/>
      <x:c r="V323" s="14" t="str">
        <x:f>IF(A323="","",IF(NOT(AND(COUNTIF(Exec[TestID],A323)=1,COUNTIF(Controls[ID],B323)=1,COUNTIFS(Scope[KapsamID],D323,Scope[OnayliKapsamID],D323,Scope[Ürün],C323)=1,OR(COUNTIFS(Controls[ID],B323,Controls[Ürün],C323)=1,COUNTIFS(Controls[ID],B323,Controls[Ürün],"MSP Genel")=1),E323&lt;&gt;"",F323&lt;&gt;"",G323&lt;&gt;"",I323&lt;&gt;"",Q323&lt;&gt;"")),"Kimlik / kapsam eksik",IF(NOT(OR(H323="Uygulanır",H323="Uygulanmaz")),"Uygulanabilirlik eksik",IF(AND(H323="Uygulanır",P323="Kanıt yetersiz",U323&lt;&gt;""),IF(AND(R323&lt;&gt;"",R323&lt;&gt;Q323,ISNUMBER(S323),S323&gt;0,S323&gt;=L323),"İnceleme tamam","Gözden geçirme eksik"),IF(NOT(AND(J323&lt;&gt;"",COUNTIFS(Evidence[KanitID],J323,Evidence[Kabul edilen ID],J323)=1,K323&lt;&gt;"",ISNUMBER(L323),L323&gt;0,M323&lt;&gt;"")),"Kanıt / test eksik",IF(NOT(AND(R323&lt;&gt;"",R323&lt;&gt;Q323,ISNUMBER(S323),S323&gt;0,S323&gt;=L323)),"Gözden geçirme eksik",IF(H323="Uygulanmaz","İnceleme tamam",IF(AND(OR(P323="Uygun",P323="Kısmen uygun",P323="Uygunsuz"),OR(N323="Uygun",N323="Kısmen uygun",N323="Uygunsuz"),OR(O323="Uygun",O323="Kısmen uygun",O323="Uygunsuz"),OR(P323&lt;&gt;"Uygun",AND(N323="Uygun",O323="Uygun")),OR(P323="Uygun",AND(T323&lt;&gt;"",COUNTIF(Findings[KayitliBulguID],T323)=1))),"İnceleme tamam","Sonuç / bulgu eksik"))))))))</x:f>
        <x:v>Kimlik / kapsam eksik</x:v>
      </x:c>
      <x:c r="W323" s="14" t="str">
        <x:f>IF(A323="","",IF(V323&lt;&gt;"İnceleme tamam","İncelenmedi",IF(H323="Uygulanmaz","Uygulanmaz",P323)))</x:f>
        <x:v>İncelenmedi</x:v>
      </x:c>
    </x:row>
    <x:row r="324" ht="35" customHeight="1">
      <x:c r="A324" s="12" t="str">
        <x:v>U-0319</x:v>
      </x:c>
      <x:c r="B324" s="12" t="str">
        <x:v>KNG-V05-01</x:v>
      </x:c>
      <x:c r="C324" s="12" t="str">
        <x:v>Kong API Gateway</x:v>
      </x:c>
      <x:c r="D324" s="12" t="str"/>
      <x:c r="E324" s="12" t="str"/>
      <x:c r="F324" s="12" t="str"/>
      <x:c r="G324" s="12" t="str"/>
      <x:c r="H324" s="12" t="str">
        <x:v>Belirlenecek</x:v>
      </x:c>
      <x:c r="I324" s="12" t="str"/>
      <x:c r="J324" s="12" t="str"/>
      <x:c r="K324" s="12" t="str"/>
      <x:c r="L324" s="13" t="str"/>
      <x:c r="M324" s="12" t="str"/>
      <x:c r="N324" s="12" t="str">
        <x:v>İncelenmedi</x:v>
      </x:c>
      <x:c r="O324" s="12" t="str">
        <x:v>İncelenmedi</x:v>
      </x:c>
      <x:c r="P324" s="12" t="str">
        <x:v>İncelenmedi</x:v>
      </x:c>
      <x:c r="Q324" s="12" t="str"/>
      <x:c r="R324" s="12" t="str"/>
      <x:c r="S324" s="13" t="str"/>
      <x:c r="T324" s="12" t="str"/>
      <x:c r="U324" s="12" t="str"/>
      <x:c r="V324" s="14" t="str">
        <x:f>IF(A324="","",IF(NOT(AND(COUNTIF(Exec[TestID],A324)=1,COUNTIF(Controls[ID],B324)=1,COUNTIFS(Scope[KapsamID],D324,Scope[OnayliKapsamID],D324,Scope[Ürün],C324)=1,OR(COUNTIFS(Controls[ID],B324,Controls[Ürün],C324)=1,COUNTIFS(Controls[ID],B324,Controls[Ürün],"MSP Genel")=1),E324&lt;&gt;"",F324&lt;&gt;"",G324&lt;&gt;"",I324&lt;&gt;"",Q324&lt;&gt;"")),"Kimlik / kapsam eksik",IF(NOT(OR(H324="Uygulanır",H324="Uygulanmaz")),"Uygulanabilirlik eksik",IF(AND(H324="Uygulanır",P324="Kanıt yetersiz",U324&lt;&gt;""),IF(AND(R324&lt;&gt;"",R324&lt;&gt;Q324,ISNUMBER(S324),S324&gt;0,S324&gt;=L324),"İnceleme tamam","Gözden geçirme eksik"),IF(NOT(AND(J324&lt;&gt;"",COUNTIFS(Evidence[KanitID],J324,Evidence[Kabul edilen ID],J324)=1,K324&lt;&gt;"",ISNUMBER(L324),L324&gt;0,M324&lt;&gt;"")),"Kanıt / test eksik",IF(NOT(AND(R324&lt;&gt;"",R324&lt;&gt;Q324,ISNUMBER(S324),S324&gt;0,S324&gt;=L324)),"Gözden geçirme eksik",IF(H324="Uygulanmaz","İnceleme tamam",IF(AND(OR(P324="Uygun",P324="Kısmen uygun",P324="Uygunsuz"),OR(N324="Uygun",N324="Kısmen uygun",N324="Uygunsuz"),OR(O324="Uygun",O324="Kısmen uygun",O324="Uygunsuz"),OR(P324&lt;&gt;"Uygun",AND(N324="Uygun",O324="Uygun")),OR(P324="Uygun",AND(T324&lt;&gt;"",COUNTIF(Findings[KayitliBulguID],T324)=1))),"İnceleme tamam","Sonuç / bulgu eksik"))))))))</x:f>
        <x:v>Kimlik / kapsam eksik</x:v>
      </x:c>
      <x:c r="W324" s="14" t="str">
        <x:f>IF(A324="","",IF(V324&lt;&gt;"İnceleme tamam","İncelenmedi",IF(H324="Uygulanmaz","Uygulanmaz",P324)))</x:f>
        <x:v>İncelenmedi</x:v>
      </x:c>
    </x:row>
    <x:row r="325" ht="35" customHeight="1">
      <x:c r="A325" s="12" t="str">
        <x:v>U-0320</x:v>
      </x:c>
      <x:c r="B325" s="12" t="str">
        <x:v>KNG-V05-03</x:v>
      </x:c>
      <x:c r="C325" s="12" t="str">
        <x:v>Kong API Gateway</x:v>
      </x:c>
      <x:c r="D325" s="12" t="str"/>
      <x:c r="E325" s="12" t="str"/>
      <x:c r="F325" s="12" t="str"/>
      <x:c r="G325" s="12" t="str"/>
      <x:c r="H325" s="12" t="str">
        <x:v>Belirlenecek</x:v>
      </x:c>
      <x:c r="I325" s="12" t="str"/>
      <x:c r="J325" s="12" t="str"/>
      <x:c r="K325" s="12" t="str"/>
      <x:c r="L325" s="13" t="str"/>
      <x:c r="M325" s="12" t="str"/>
      <x:c r="N325" s="12" t="str">
        <x:v>İncelenmedi</x:v>
      </x:c>
      <x:c r="O325" s="12" t="str">
        <x:v>İncelenmedi</x:v>
      </x:c>
      <x:c r="P325" s="12" t="str">
        <x:v>İncelenmedi</x:v>
      </x:c>
      <x:c r="Q325" s="12" t="str"/>
      <x:c r="R325" s="12" t="str"/>
      <x:c r="S325" s="13" t="str"/>
      <x:c r="T325" s="12" t="str"/>
      <x:c r="U325" s="12" t="str"/>
      <x:c r="V325" s="14" t="str">
        <x:f>IF(A325="","",IF(NOT(AND(COUNTIF(Exec[TestID],A325)=1,COUNTIF(Controls[ID],B325)=1,COUNTIFS(Scope[KapsamID],D325,Scope[OnayliKapsamID],D325,Scope[Ürün],C325)=1,OR(COUNTIFS(Controls[ID],B325,Controls[Ürün],C325)=1,COUNTIFS(Controls[ID],B325,Controls[Ürün],"MSP Genel")=1),E325&lt;&gt;"",F325&lt;&gt;"",G325&lt;&gt;"",I325&lt;&gt;"",Q325&lt;&gt;"")),"Kimlik / kapsam eksik",IF(NOT(OR(H325="Uygulanır",H325="Uygulanmaz")),"Uygulanabilirlik eksik",IF(AND(H325="Uygulanır",P325="Kanıt yetersiz",U325&lt;&gt;""),IF(AND(R325&lt;&gt;"",R325&lt;&gt;Q325,ISNUMBER(S325),S325&gt;0,S325&gt;=L325),"İnceleme tamam","Gözden geçirme eksik"),IF(NOT(AND(J325&lt;&gt;"",COUNTIFS(Evidence[KanitID],J325,Evidence[Kabul edilen ID],J325)=1,K325&lt;&gt;"",ISNUMBER(L325),L325&gt;0,M325&lt;&gt;"")),"Kanıt / test eksik",IF(NOT(AND(R325&lt;&gt;"",R325&lt;&gt;Q325,ISNUMBER(S325),S325&gt;0,S325&gt;=L325)),"Gözden geçirme eksik",IF(H325="Uygulanmaz","İnceleme tamam",IF(AND(OR(P325="Uygun",P325="Kısmen uygun",P325="Uygunsuz"),OR(N325="Uygun",N325="Kısmen uygun",N325="Uygunsuz"),OR(O325="Uygun",O325="Kısmen uygun",O325="Uygunsuz"),OR(P325&lt;&gt;"Uygun",AND(N325="Uygun",O325="Uygun")),OR(P325="Uygun",AND(T325&lt;&gt;"",COUNTIF(Findings[KayitliBulguID],T325)=1))),"İnceleme tamam","Sonuç / bulgu eksik"))))))))</x:f>
        <x:v>Kimlik / kapsam eksik</x:v>
      </x:c>
      <x:c r="W325" s="14" t="str">
        <x:f>IF(A325="","",IF(V325&lt;&gt;"İnceleme tamam","İncelenmedi",IF(H325="Uygulanmaz","Uygulanmaz",P325)))</x:f>
        <x:v>İncelenmedi</x:v>
      </x:c>
    </x:row>
    <x:row r="326" ht="35" customHeight="1">
      <x:c r="A326" s="12" t="str">
        <x:v>U-0321</x:v>
      </x:c>
      <x:c r="B326" s="12" t="str">
        <x:v>KNG-V06-01</x:v>
      </x:c>
      <x:c r="C326" s="12" t="str">
        <x:v>Kong API Gateway</x:v>
      </x:c>
      <x:c r="D326" s="12" t="str"/>
      <x:c r="E326" s="12" t="str"/>
      <x:c r="F326" s="12" t="str"/>
      <x:c r="G326" s="12" t="str"/>
      <x:c r="H326" s="12" t="str">
        <x:v>Belirlenecek</x:v>
      </x:c>
      <x:c r="I326" s="12" t="str"/>
      <x:c r="J326" s="12" t="str"/>
      <x:c r="K326" s="12" t="str"/>
      <x:c r="L326" s="13" t="str"/>
      <x:c r="M326" s="12" t="str"/>
      <x:c r="N326" s="12" t="str">
        <x:v>İncelenmedi</x:v>
      </x:c>
      <x:c r="O326" s="12" t="str">
        <x:v>İncelenmedi</x:v>
      </x:c>
      <x:c r="P326" s="12" t="str">
        <x:v>İncelenmedi</x:v>
      </x:c>
      <x:c r="Q326" s="12" t="str"/>
      <x:c r="R326" s="12" t="str"/>
      <x:c r="S326" s="13" t="str"/>
      <x:c r="T326" s="12" t="str"/>
      <x:c r="U326" s="12" t="str"/>
      <x:c r="V326" s="14" t="str">
        <x:f>IF(A326="","",IF(NOT(AND(COUNTIF(Exec[TestID],A326)=1,COUNTIF(Controls[ID],B326)=1,COUNTIFS(Scope[KapsamID],D326,Scope[OnayliKapsamID],D326,Scope[Ürün],C326)=1,OR(COUNTIFS(Controls[ID],B326,Controls[Ürün],C326)=1,COUNTIFS(Controls[ID],B326,Controls[Ürün],"MSP Genel")=1),E326&lt;&gt;"",F326&lt;&gt;"",G326&lt;&gt;"",I326&lt;&gt;"",Q326&lt;&gt;"")),"Kimlik / kapsam eksik",IF(NOT(OR(H326="Uygulanır",H326="Uygulanmaz")),"Uygulanabilirlik eksik",IF(AND(H326="Uygulanır",P326="Kanıt yetersiz",U326&lt;&gt;""),IF(AND(R326&lt;&gt;"",R326&lt;&gt;Q326,ISNUMBER(S326),S326&gt;0,S326&gt;=L326),"İnceleme tamam","Gözden geçirme eksik"),IF(NOT(AND(J326&lt;&gt;"",COUNTIFS(Evidence[KanitID],J326,Evidence[Kabul edilen ID],J326)=1,K326&lt;&gt;"",ISNUMBER(L326),L326&gt;0,M326&lt;&gt;"")),"Kanıt / test eksik",IF(NOT(AND(R326&lt;&gt;"",R326&lt;&gt;Q326,ISNUMBER(S326),S326&gt;0,S326&gt;=L326)),"Gözden geçirme eksik",IF(H326="Uygulanmaz","İnceleme tamam",IF(AND(OR(P326="Uygun",P326="Kısmen uygun",P326="Uygunsuz"),OR(N326="Uygun",N326="Kısmen uygun",N326="Uygunsuz"),OR(O326="Uygun",O326="Kısmen uygun",O326="Uygunsuz"),OR(P326&lt;&gt;"Uygun",AND(N326="Uygun",O326="Uygun")),OR(P326="Uygun",AND(T326&lt;&gt;"",COUNTIF(Findings[KayitliBulguID],T326)=1))),"İnceleme tamam","Sonuç / bulgu eksik"))))))))</x:f>
        <x:v>Kimlik / kapsam eksik</x:v>
      </x:c>
      <x:c r="W326" s="14" t="str">
        <x:f>IF(A326="","",IF(V326&lt;&gt;"İnceleme tamam","İncelenmedi",IF(H326="Uygulanmaz","Uygulanmaz",P326)))</x:f>
        <x:v>İncelenmedi</x:v>
      </x:c>
    </x:row>
    <x:row r="327" ht="35" customHeight="1">
      <x:c r="A327" s="12" t="str">
        <x:v>U-0322</x:v>
      </x:c>
      <x:c r="B327" s="12" t="str">
        <x:v>KNG-V07-02</x:v>
      </x:c>
      <x:c r="C327" s="12" t="str">
        <x:v>Kong API Gateway</x:v>
      </x:c>
      <x:c r="D327" s="12" t="str"/>
      <x:c r="E327" s="12" t="str"/>
      <x:c r="F327" s="12" t="str"/>
      <x:c r="G327" s="12" t="str"/>
      <x:c r="H327" s="12" t="str">
        <x:v>Belirlenecek</x:v>
      </x:c>
      <x:c r="I327" s="12" t="str"/>
      <x:c r="J327" s="12" t="str"/>
      <x:c r="K327" s="12" t="str"/>
      <x:c r="L327" s="13" t="str"/>
      <x:c r="M327" s="12" t="str"/>
      <x:c r="N327" s="12" t="str">
        <x:v>İncelenmedi</x:v>
      </x:c>
      <x:c r="O327" s="12" t="str">
        <x:v>İncelenmedi</x:v>
      </x:c>
      <x:c r="P327" s="12" t="str">
        <x:v>İncelenmedi</x:v>
      </x:c>
      <x:c r="Q327" s="12" t="str"/>
      <x:c r="R327" s="12" t="str"/>
      <x:c r="S327" s="13" t="str"/>
      <x:c r="T327" s="12" t="str"/>
      <x:c r="U327" s="12" t="str"/>
      <x:c r="V327" s="14" t="str">
        <x:f>IF(A327="","",IF(NOT(AND(COUNTIF(Exec[TestID],A327)=1,COUNTIF(Controls[ID],B327)=1,COUNTIFS(Scope[KapsamID],D327,Scope[OnayliKapsamID],D327,Scope[Ürün],C327)=1,OR(COUNTIFS(Controls[ID],B327,Controls[Ürün],C327)=1,COUNTIFS(Controls[ID],B327,Controls[Ürün],"MSP Genel")=1),E327&lt;&gt;"",F327&lt;&gt;"",G327&lt;&gt;"",I327&lt;&gt;"",Q327&lt;&gt;"")),"Kimlik / kapsam eksik",IF(NOT(OR(H327="Uygulanır",H327="Uygulanmaz")),"Uygulanabilirlik eksik",IF(AND(H327="Uygulanır",P327="Kanıt yetersiz",U327&lt;&gt;""),IF(AND(R327&lt;&gt;"",R327&lt;&gt;Q327,ISNUMBER(S327),S327&gt;0,S327&gt;=L327),"İnceleme tamam","Gözden geçirme eksik"),IF(NOT(AND(J327&lt;&gt;"",COUNTIFS(Evidence[KanitID],J327,Evidence[Kabul edilen ID],J327)=1,K327&lt;&gt;"",ISNUMBER(L327),L327&gt;0,M327&lt;&gt;"")),"Kanıt / test eksik",IF(NOT(AND(R327&lt;&gt;"",R327&lt;&gt;Q327,ISNUMBER(S327),S327&gt;0,S327&gt;=L327)),"Gözden geçirme eksik",IF(H327="Uygulanmaz","İnceleme tamam",IF(AND(OR(P327="Uygun",P327="Kısmen uygun",P327="Uygunsuz"),OR(N327="Uygun",N327="Kısmen uygun",N327="Uygunsuz"),OR(O327="Uygun",O327="Kısmen uygun",O327="Uygunsuz"),OR(P327&lt;&gt;"Uygun",AND(N327="Uygun",O327="Uygun")),OR(P327="Uygun",AND(T327&lt;&gt;"",COUNTIF(Findings[KayitliBulguID],T327)=1))),"İnceleme tamam","Sonuç / bulgu eksik"))))))))</x:f>
        <x:v>Kimlik / kapsam eksik</x:v>
      </x:c>
      <x:c r="W327" s="14" t="str">
        <x:f>IF(A327="","",IF(V327&lt;&gt;"İnceleme tamam","İncelenmedi",IF(H327="Uygulanmaz","Uygulanmaz",P327)))</x:f>
        <x:v>İncelenmedi</x:v>
      </x:c>
    </x:row>
    <x:row r="328" ht="35" customHeight="1">
      <x:c r="A328" s="12" t="str">
        <x:v>U-0323</x:v>
      </x:c>
      <x:c r="B328" s="12" t="str">
        <x:v>KNG-V08-01</x:v>
      </x:c>
      <x:c r="C328" s="12" t="str">
        <x:v>Kong API Gateway</x:v>
      </x:c>
      <x:c r="D328" s="12" t="str"/>
      <x:c r="E328" s="12" t="str"/>
      <x:c r="F328" s="12" t="str"/>
      <x:c r="G328" s="12" t="str"/>
      <x:c r="H328" s="12" t="str">
        <x:v>Belirlenecek</x:v>
      </x:c>
      <x:c r="I328" s="12" t="str"/>
      <x:c r="J328" s="12" t="str"/>
      <x:c r="K328" s="12" t="str"/>
      <x:c r="L328" s="13" t="str"/>
      <x:c r="M328" s="12" t="str"/>
      <x:c r="N328" s="12" t="str">
        <x:v>İncelenmedi</x:v>
      </x:c>
      <x:c r="O328" s="12" t="str">
        <x:v>İncelenmedi</x:v>
      </x:c>
      <x:c r="P328" s="12" t="str">
        <x:v>İncelenmedi</x:v>
      </x:c>
      <x:c r="Q328" s="12" t="str"/>
      <x:c r="R328" s="12" t="str"/>
      <x:c r="S328" s="13" t="str"/>
      <x:c r="T328" s="12" t="str"/>
      <x:c r="U328" s="12" t="str"/>
      <x:c r="V328" s="14" t="str">
        <x:f>IF(A328="","",IF(NOT(AND(COUNTIF(Exec[TestID],A328)=1,COUNTIF(Controls[ID],B328)=1,COUNTIFS(Scope[KapsamID],D328,Scope[OnayliKapsamID],D328,Scope[Ürün],C328)=1,OR(COUNTIFS(Controls[ID],B328,Controls[Ürün],C328)=1,COUNTIFS(Controls[ID],B328,Controls[Ürün],"MSP Genel")=1),E328&lt;&gt;"",F328&lt;&gt;"",G328&lt;&gt;"",I328&lt;&gt;"",Q328&lt;&gt;"")),"Kimlik / kapsam eksik",IF(NOT(OR(H328="Uygulanır",H328="Uygulanmaz")),"Uygulanabilirlik eksik",IF(AND(H328="Uygulanır",P328="Kanıt yetersiz",U328&lt;&gt;""),IF(AND(R328&lt;&gt;"",R328&lt;&gt;Q328,ISNUMBER(S328),S328&gt;0,S328&gt;=L328),"İnceleme tamam","Gözden geçirme eksik"),IF(NOT(AND(J328&lt;&gt;"",COUNTIFS(Evidence[KanitID],J328,Evidence[Kabul edilen ID],J328)=1,K328&lt;&gt;"",ISNUMBER(L328),L328&gt;0,M328&lt;&gt;"")),"Kanıt / test eksik",IF(NOT(AND(R328&lt;&gt;"",R328&lt;&gt;Q328,ISNUMBER(S328),S328&gt;0,S328&gt;=L328)),"Gözden geçirme eksik",IF(H328="Uygulanmaz","İnceleme tamam",IF(AND(OR(P328="Uygun",P328="Kısmen uygun",P328="Uygunsuz"),OR(N328="Uygun",N328="Kısmen uygun",N328="Uygunsuz"),OR(O328="Uygun",O328="Kısmen uygun",O328="Uygunsuz"),OR(P328&lt;&gt;"Uygun",AND(N328="Uygun",O328="Uygun")),OR(P328="Uygun",AND(T328&lt;&gt;"",COUNTIF(Findings[KayitliBulguID],T328)=1))),"İnceleme tamam","Sonuç / bulgu eksik"))))))))</x:f>
        <x:v>Kimlik / kapsam eksik</x:v>
      </x:c>
      <x:c r="W328" s="14" t="str">
        <x:f>IF(A328="","",IF(V328&lt;&gt;"İnceleme tamam","İncelenmedi",IF(H328="Uygulanmaz","Uygulanmaz",P328)))</x:f>
        <x:v>İncelenmedi</x:v>
      </x:c>
    </x:row>
    <x:row r="329" ht="35" customHeight="1">
      <x:c r="A329" s="12" t="str">
        <x:v>U-0324</x:v>
      </x:c>
      <x:c r="B329" s="12" t="str">
        <x:v>KNG-V08-02</x:v>
      </x:c>
      <x:c r="C329" s="12" t="str">
        <x:v>Kong API Gateway</x:v>
      </x:c>
      <x:c r="D329" s="12" t="str"/>
      <x:c r="E329" s="12" t="str"/>
      <x:c r="F329" s="12" t="str"/>
      <x:c r="G329" s="12" t="str"/>
      <x:c r="H329" s="12" t="str">
        <x:v>Belirlenecek</x:v>
      </x:c>
      <x:c r="I329" s="12" t="str"/>
      <x:c r="J329" s="12" t="str"/>
      <x:c r="K329" s="12" t="str"/>
      <x:c r="L329" s="13" t="str"/>
      <x:c r="M329" s="12" t="str"/>
      <x:c r="N329" s="12" t="str">
        <x:v>İncelenmedi</x:v>
      </x:c>
      <x:c r="O329" s="12" t="str">
        <x:v>İncelenmedi</x:v>
      </x:c>
      <x:c r="P329" s="12" t="str">
        <x:v>İncelenmedi</x:v>
      </x:c>
      <x:c r="Q329" s="12" t="str"/>
      <x:c r="R329" s="12" t="str"/>
      <x:c r="S329" s="13" t="str"/>
      <x:c r="T329" s="12" t="str"/>
      <x:c r="U329" s="12" t="str"/>
      <x:c r="V329" s="14" t="str">
        <x:f>IF(A329="","",IF(NOT(AND(COUNTIF(Exec[TestID],A329)=1,COUNTIF(Controls[ID],B329)=1,COUNTIFS(Scope[KapsamID],D329,Scope[OnayliKapsamID],D329,Scope[Ürün],C329)=1,OR(COUNTIFS(Controls[ID],B329,Controls[Ürün],C329)=1,COUNTIFS(Controls[ID],B329,Controls[Ürün],"MSP Genel")=1),E329&lt;&gt;"",F329&lt;&gt;"",G329&lt;&gt;"",I329&lt;&gt;"",Q329&lt;&gt;"")),"Kimlik / kapsam eksik",IF(NOT(OR(H329="Uygulanır",H329="Uygulanmaz")),"Uygulanabilirlik eksik",IF(AND(H329="Uygulanır",P329="Kanıt yetersiz",U329&lt;&gt;""),IF(AND(R329&lt;&gt;"",R329&lt;&gt;Q329,ISNUMBER(S329),S329&gt;0,S329&gt;=L329),"İnceleme tamam","Gözden geçirme eksik"),IF(NOT(AND(J329&lt;&gt;"",COUNTIFS(Evidence[KanitID],J329,Evidence[Kabul edilen ID],J329)=1,K329&lt;&gt;"",ISNUMBER(L329),L329&gt;0,M329&lt;&gt;"")),"Kanıt / test eksik",IF(NOT(AND(R329&lt;&gt;"",R329&lt;&gt;Q329,ISNUMBER(S329),S329&gt;0,S329&gt;=L329)),"Gözden geçirme eksik",IF(H329="Uygulanmaz","İnceleme tamam",IF(AND(OR(P329="Uygun",P329="Kısmen uygun",P329="Uygunsuz"),OR(N329="Uygun",N329="Kısmen uygun",N329="Uygunsuz"),OR(O329="Uygun",O329="Kısmen uygun",O329="Uygunsuz"),OR(P329&lt;&gt;"Uygun",AND(N329="Uygun",O329="Uygun")),OR(P329="Uygun",AND(T329&lt;&gt;"",COUNTIF(Findings[KayitliBulguID],T329)=1))),"İnceleme tamam","Sonuç / bulgu eksik"))))))))</x:f>
        <x:v>Kimlik / kapsam eksik</x:v>
      </x:c>
      <x:c r="W329" s="14" t="str">
        <x:f>IF(A329="","",IF(V329&lt;&gt;"İnceleme tamam","İncelenmedi",IF(H329="Uygulanmaz","Uygulanmaz",P329)))</x:f>
        <x:v>İncelenmedi</x:v>
      </x:c>
    </x:row>
    <x:row r="330" ht="35" customHeight="1">
      <x:c r="A330" s="12" t="str">
        <x:v>U-0325</x:v>
      </x:c>
      <x:c r="B330" s="12" t="str">
        <x:v>KNG-V08-03</x:v>
      </x:c>
      <x:c r="C330" s="12" t="str">
        <x:v>Kong API Gateway</x:v>
      </x:c>
      <x:c r="D330" s="12" t="str"/>
      <x:c r="E330" s="12" t="str"/>
      <x:c r="F330" s="12" t="str"/>
      <x:c r="G330" s="12" t="str"/>
      <x:c r="H330" s="12" t="str">
        <x:v>Belirlenecek</x:v>
      </x:c>
      <x:c r="I330" s="12" t="str"/>
      <x:c r="J330" s="12" t="str"/>
      <x:c r="K330" s="12" t="str"/>
      <x:c r="L330" s="13" t="str"/>
      <x:c r="M330" s="12" t="str"/>
      <x:c r="N330" s="12" t="str">
        <x:v>İncelenmedi</x:v>
      </x:c>
      <x:c r="O330" s="12" t="str">
        <x:v>İncelenmedi</x:v>
      </x:c>
      <x:c r="P330" s="12" t="str">
        <x:v>İncelenmedi</x:v>
      </x:c>
      <x:c r="Q330" s="12" t="str"/>
      <x:c r="R330" s="12" t="str"/>
      <x:c r="S330" s="13" t="str"/>
      <x:c r="T330" s="12" t="str"/>
      <x:c r="U330" s="12" t="str"/>
      <x:c r="V330" s="14" t="str">
        <x:f>IF(A330="","",IF(NOT(AND(COUNTIF(Exec[TestID],A330)=1,COUNTIF(Controls[ID],B330)=1,COUNTIFS(Scope[KapsamID],D330,Scope[OnayliKapsamID],D330,Scope[Ürün],C330)=1,OR(COUNTIFS(Controls[ID],B330,Controls[Ürün],C330)=1,COUNTIFS(Controls[ID],B330,Controls[Ürün],"MSP Genel")=1),E330&lt;&gt;"",F330&lt;&gt;"",G330&lt;&gt;"",I330&lt;&gt;"",Q330&lt;&gt;"")),"Kimlik / kapsam eksik",IF(NOT(OR(H330="Uygulanır",H330="Uygulanmaz")),"Uygulanabilirlik eksik",IF(AND(H330="Uygulanır",P330="Kanıt yetersiz",U330&lt;&gt;""),IF(AND(R330&lt;&gt;"",R330&lt;&gt;Q330,ISNUMBER(S330),S330&gt;0,S330&gt;=L330),"İnceleme tamam","Gözden geçirme eksik"),IF(NOT(AND(J330&lt;&gt;"",COUNTIFS(Evidence[KanitID],J330,Evidence[Kabul edilen ID],J330)=1,K330&lt;&gt;"",ISNUMBER(L330),L330&gt;0,M330&lt;&gt;"")),"Kanıt / test eksik",IF(NOT(AND(R330&lt;&gt;"",R330&lt;&gt;Q330,ISNUMBER(S330),S330&gt;0,S330&gt;=L330)),"Gözden geçirme eksik",IF(H330="Uygulanmaz","İnceleme tamam",IF(AND(OR(P330="Uygun",P330="Kısmen uygun",P330="Uygunsuz"),OR(N330="Uygun",N330="Kısmen uygun",N330="Uygunsuz"),OR(O330="Uygun",O330="Kısmen uygun",O330="Uygunsuz"),OR(P330&lt;&gt;"Uygun",AND(N330="Uygun",O330="Uygun")),OR(P330="Uygun",AND(T330&lt;&gt;"",COUNTIF(Findings[KayitliBulguID],T330)=1))),"İnceleme tamam","Sonuç / bulgu eksik"))))))))</x:f>
        <x:v>Kimlik / kapsam eksik</x:v>
      </x:c>
      <x:c r="W330" s="14" t="str">
        <x:f>IF(A330="","",IF(V330&lt;&gt;"İnceleme tamam","İncelenmedi",IF(H330="Uygulanmaz","Uygulanmaz",P330)))</x:f>
        <x:v>İncelenmedi</x:v>
      </x:c>
    </x:row>
    <x:row r="331" ht="35" customHeight="1">
      <x:c r="A331" s="12" t="str">
        <x:v>U-0326</x:v>
      </x:c>
      <x:c r="B331" s="12" t="str">
        <x:v>KNG-V09-01</x:v>
      </x:c>
      <x:c r="C331" s="12" t="str">
        <x:v>Kong API Gateway</x:v>
      </x:c>
      <x:c r="D331" s="12" t="str"/>
      <x:c r="E331" s="12" t="str"/>
      <x:c r="F331" s="12" t="str"/>
      <x:c r="G331" s="12" t="str"/>
      <x:c r="H331" s="12" t="str">
        <x:v>Belirlenecek</x:v>
      </x:c>
      <x:c r="I331" s="12" t="str"/>
      <x:c r="J331" s="12" t="str"/>
      <x:c r="K331" s="12" t="str"/>
      <x:c r="L331" s="13" t="str"/>
      <x:c r="M331" s="12" t="str"/>
      <x:c r="N331" s="12" t="str">
        <x:v>İncelenmedi</x:v>
      </x:c>
      <x:c r="O331" s="12" t="str">
        <x:v>İncelenmedi</x:v>
      </x:c>
      <x:c r="P331" s="12" t="str">
        <x:v>İncelenmedi</x:v>
      </x:c>
      <x:c r="Q331" s="12" t="str"/>
      <x:c r="R331" s="12" t="str"/>
      <x:c r="S331" s="13" t="str"/>
      <x:c r="T331" s="12" t="str"/>
      <x:c r="U331" s="12" t="str"/>
      <x:c r="V331" s="14" t="str">
        <x:f>IF(A331="","",IF(NOT(AND(COUNTIF(Exec[TestID],A331)=1,COUNTIF(Controls[ID],B331)=1,COUNTIFS(Scope[KapsamID],D331,Scope[OnayliKapsamID],D331,Scope[Ürün],C331)=1,OR(COUNTIFS(Controls[ID],B331,Controls[Ürün],C331)=1,COUNTIFS(Controls[ID],B331,Controls[Ürün],"MSP Genel")=1),E331&lt;&gt;"",F331&lt;&gt;"",G331&lt;&gt;"",I331&lt;&gt;"",Q331&lt;&gt;"")),"Kimlik / kapsam eksik",IF(NOT(OR(H331="Uygulanır",H331="Uygulanmaz")),"Uygulanabilirlik eksik",IF(AND(H331="Uygulanır",P331="Kanıt yetersiz",U331&lt;&gt;""),IF(AND(R331&lt;&gt;"",R331&lt;&gt;Q331,ISNUMBER(S331),S331&gt;0,S331&gt;=L331),"İnceleme tamam","Gözden geçirme eksik"),IF(NOT(AND(J331&lt;&gt;"",COUNTIFS(Evidence[KanitID],J331,Evidence[Kabul edilen ID],J331)=1,K331&lt;&gt;"",ISNUMBER(L331),L331&gt;0,M331&lt;&gt;"")),"Kanıt / test eksik",IF(NOT(AND(R331&lt;&gt;"",R331&lt;&gt;Q331,ISNUMBER(S331),S331&gt;0,S331&gt;=L331)),"Gözden geçirme eksik",IF(H331="Uygulanmaz","İnceleme tamam",IF(AND(OR(P331="Uygun",P331="Kısmen uygun",P331="Uygunsuz"),OR(N331="Uygun",N331="Kısmen uygun",N331="Uygunsuz"),OR(O331="Uygun",O331="Kısmen uygun",O331="Uygunsuz"),OR(P331&lt;&gt;"Uygun",AND(N331="Uygun",O331="Uygun")),OR(P331="Uygun",AND(T331&lt;&gt;"",COUNTIF(Findings[KayitliBulguID],T331)=1))),"İnceleme tamam","Sonuç / bulgu eksik"))))))))</x:f>
        <x:v>Kimlik / kapsam eksik</x:v>
      </x:c>
      <x:c r="W331" s="14" t="str">
        <x:f>IF(A331="","",IF(V331&lt;&gt;"İnceleme tamam","İncelenmedi",IF(H331="Uygulanmaz","Uygulanmaz",P331)))</x:f>
        <x:v>İncelenmedi</x:v>
      </x:c>
    </x:row>
    <x:row r="332" ht="35" customHeight="1">
      <x:c r="A332" s="12" t="str">
        <x:v>U-0327</x:v>
      </x:c>
      <x:c r="B332" s="12" t="str">
        <x:v>KNG-V09-02</x:v>
      </x:c>
      <x:c r="C332" s="12" t="str">
        <x:v>Kong API Gateway</x:v>
      </x:c>
      <x:c r="D332" s="12" t="str"/>
      <x:c r="E332" s="12" t="str"/>
      <x:c r="F332" s="12" t="str"/>
      <x:c r="G332" s="12" t="str"/>
      <x:c r="H332" s="12" t="str">
        <x:v>Belirlenecek</x:v>
      </x:c>
      <x:c r="I332" s="12" t="str"/>
      <x:c r="J332" s="12" t="str"/>
      <x:c r="K332" s="12" t="str"/>
      <x:c r="L332" s="13" t="str"/>
      <x:c r="M332" s="12" t="str"/>
      <x:c r="N332" s="12" t="str">
        <x:v>İncelenmedi</x:v>
      </x:c>
      <x:c r="O332" s="12" t="str">
        <x:v>İncelenmedi</x:v>
      </x:c>
      <x:c r="P332" s="12" t="str">
        <x:v>İncelenmedi</x:v>
      </x:c>
      <x:c r="Q332" s="12" t="str"/>
      <x:c r="R332" s="12" t="str"/>
      <x:c r="S332" s="13" t="str"/>
      <x:c r="T332" s="12" t="str"/>
      <x:c r="U332" s="12" t="str"/>
      <x:c r="V332" s="14" t="str">
        <x:f>IF(A332="","",IF(NOT(AND(COUNTIF(Exec[TestID],A332)=1,COUNTIF(Controls[ID],B332)=1,COUNTIFS(Scope[KapsamID],D332,Scope[OnayliKapsamID],D332,Scope[Ürün],C332)=1,OR(COUNTIFS(Controls[ID],B332,Controls[Ürün],C332)=1,COUNTIFS(Controls[ID],B332,Controls[Ürün],"MSP Genel")=1),E332&lt;&gt;"",F332&lt;&gt;"",G332&lt;&gt;"",I332&lt;&gt;"",Q332&lt;&gt;"")),"Kimlik / kapsam eksik",IF(NOT(OR(H332="Uygulanır",H332="Uygulanmaz")),"Uygulanabilirlik eksik",IF(AND(H332="Uygulanır",P332="Kanıt yetersiz",U332&lt;&gt;""),IF(AND(R332&lt;&gt;"",R332&lt;&gt;Q332,ISNUMBER(S332),S332&gt;0,S332&gt;=L332),"İnceleme tamam","Gözden geçirme eksik"),IF(NOT(AND(J332&lt;&gt;"",COUNTIFS(Evidence[KanitID],J332,Evidence[Kabul edilen ID],J332)=1,K332&lt;&gt;"",ISNUMBER(L332),L332&gt;0,M332&lt;&gt;"")),"Kanıt / test eksik",IF(NOT(AND(R332&lt;&gt;"",R332&lt;&gt;Q332,ISNUMBER(S332),S332&gt;0,S332&gt;=L332)),"Gözden geçirme eksik",IF(H332="Uygulanmaz","İnceleme tamam",IF(AND(OR(P332="Uygun",P332="Kısmen uygun",P332="Uygunsuz"),OR(N332="Uygun",N332="Kısmen uygun",N332="Uygunsuz"),OR(O332="Uygun",O332="Kısmen uygun",O332="Uygunsuz"),OR(P332&lt;&gt;"Uygun",AND(N332="Uygun",O332="Uygun")),OR(P332="Uygun",AND(T332&lt;&gt;"",COUNTIF(Findings[KayitliBulguID],T332)=1))),"İnceleme tamam","Sonuç / bulgu eksik"))))))))</x:f>
        <x:v>Kimlik / kapsam eksik</x:v>
      </x:c>
      <x:c r="W332" s="14" t="str">
        <x:f>IF(A332="","",IF(V332&lt;&gt;"İnceleme tamam","İncelenmedi",IF(H332="Uygulanmaz","Uygulanmaz",P332)))</x:f>
        <x:v>İncelenmedi</x:v>
      </x:c>
    </x:row>
    <x:row r="333" ht="35" customHeight="1">
      <x:c r="A333" s="12" t="str">
        <x:v>U-0328</x:v>
      </x:c>
      <x:c r="B333" s="12" t="str">
        <x:v>KNG-V09-03</x:v>
      </x:c>
      <x:c r="C333" s="12" t="str">
        <x:v>Kong API Gateway</x:v>
      </x:c>
      <x:c r="D333" s="12" t="str"/>
      <x:c r="E333" s="12" t="str"/>
      <x:c r="F333" s="12" t="str"/>
      <x:c r="G333" s="12" t="str"/>
      <x:c r="H333" s="12" t="str">
        <x:v>Belirlenecek</x:v>
      </x:c>
      <x:c r="I333" s="12" t="str"/>
      <x:c r="J333" s="12" t="str"/>
      <x:c r="K333" s="12" t="str"/>
      <x:c r="L333" s="13" t="str"/>
      <x:c r="M333" s="12" t="str"/>
      <x:c r="N333" s="12" t="str">
        <x:v>İncelenmedi</x:v>
      </x:c>
      <x:c r="O333" s="12" t="str">
        <x:v>İncelenmedi</x:v>
      </x:c>
      <x:c r="P333" s="12" t="str">
        <x:v>İncelenmedi</x:v>
      </x:c>
      <x:c r="Q333" s="12" t="str"/>
      <x:c r="R333" s="12" t="str"/>
      <x:c r="S333" s="13" t="str"/>
      <x:c r="T333" s="12" t="str"/>
      <x:c r="U333" s="12" t="str"/>
      <x:c r="V333" s="14" t="str">
        <x:f>IF(A333="","",IF(NOT(AND(COUNTIF(Exec[TestID],A333)=1,COUNTIF(Controls[ID],B333)=1,COUNTIFS(Scope[KapsamID],D333,Scope[OnayliKapsamID],D333,Scope[Ürün],C333)=1,OR(COUNTIFS(Controls[ID],B333,Controls[Ürün],C333)=1,COUNTIFS(Controls[ID],B333,Controls[Ürün],"MSP Genel")=1),E333&lt;&gt;"",F333&lt;&gt;"",G333&lt;&gt;"",I333&lt;&gt;"",Q333&lt;&gt;"")),"Kimlik / kapsam eksik",IF(NOT(OR(H333="Uygulanır",H333="Uygulanmaz")),"Uygulanabilirlik eksik",IF(AND(H333="Uygulanır",P333="Kanıt yetersiz",U333&lt;&gt;""),IF(AND(R333&lt;&gt;"",R333&lt;&gt;Q333,ISNUMBER(S333),S333&gt;0,S333&gt;=L333),"İnceleme tamam","Gözden geçirme eksik"),IF(NOT(AND(J333&lt;&gt;"",COUNTIFS(Evidence[KanitID],J333,Evidence[Kabul edilen ID],J333)=1,K333&lt;&gt;"",ISNUMBER(L333),L333&gt;0,M333&lt;&gt;"")),"Kanıt / test eksik",IF(NOT(AND(R333&lt;&gt;"",R333&lt;&gt;Q333,ISNUMBER(S333),S333&gt;0,S333&gt;=L333)),"Gözden geçirme eksik",IF(H333="Uygulanmaz","İnceleme tamam",IF(AND(OR(P333="Uygun",P333="Kısmen uygun",P333="Uygunsuz"),OR(N333="Uygun",N333="Kısmen uygun",N333="Uygunsuz"),OR(O333="Uygun",O333="Kısmen uygun",O333="Uygunsuz"),OR(P333&lt;&gt;"Uygun",AND(N333="Uygun",O333="Uygun")),OR(P333="Uygun",AND(T333&lt;&gt;"",COUNTIF(Findings[KayitliBulguID],T333)=1))),"İnceleme tamam","Sonuç / bulgu eksik"))))))))</x:f>
        <x:v>Kimlik / kapsam eksik</x:v>
      </x:c>
      <x:c r="W333" s="14" t="str">
        <x:f>IF(A333="","",IF(V333&lt;&gt;"İnceleme tamam","İncelenmedi",IF(H333="Uygulanmaz","Uygulanmaz",P333)))</x:f>
        <x:v>İncelenmedi</x:v>
      </x:c>
    </x:row>
    <x:row r="334" ht="35" customHeight="1">
      <x:c r="A334" s="12" t="str">
        <x:v>U-0329</x:v>
      </x:c>
      <x:c r="B334" s="12" t="str">
        <x:v>KNG-V10-01</x:v>
      </x:c>
      <x:c r="C334" s="12" t="str">
        <x:v>Kong API Gateway</x:v>
      </x:c>
      <x:c r="D334" s="12" t="str"/>
      <x:c r="E334" s="12" t="str"/>
      <x:c r="F334" s="12" t="str"/>
      <x:c r="G334" s="12" t="str"/>
      <x:c r="H334" s="12" t="str">
        <x:v>Belirlenecek</x:v>
      </x:c>
      <x:c r="I334" s="12" t="str"/>
      <x:c r="J334" s="12" t="str"/>
      <x:c r="K334" s="12" t="str"/>
      <x:c r="L334" s="13" t="str"/>
      <x:c r="M334" s="12" t="str"/>
      <x:c r="N334" s="12" t="str">
        <x:v>İncelenmedi</x:v>
      </x:c>
      <x:c r="O334" s="12" t="str">
        <x:v>İncelenmedi</x:v>
      </x:c>
      <x:c r="P334" s="12" t="str">
        <x:v>İncelenmedi</x:v>
      </x:c>
      <x:c r="Q334" s="12" t="str"/>
      <x:c r="R334" s="12" t="str"/>
      <x:c r="S334" s="13" t="str"/>
      <x:c r="T334" s="12" t="str"/>
      <x:c r="U334" s="12" t="str"/>
      <x:c r="V334" s="14" t="str">
        <x:f>IF(A334="","",IF(NOT(AND(COUNTIF(Exec[TestID],A334)=1,COUNTIF(Controls[ID],B334)=1,COUNTIFS(Scope[KapsamID],D334,Scope[OnayliKapsamID],D334,Scope[Ürün],C334)=1,OR(COUNTIFS(Controls[ID],B334,Controls[Ürün],C334)=1,COUNTIFS(Controls[ID],B334,Controls[Ürün],"MSP Genel")=1),E334&lt;&gt;"",F334&lt;&gt;"",G334&lt;&gt;"",I334&lt;&gt;"",Q334&lt;&gt;"")),"Kimlik / kapsam eksik",IF(NOT(OR(H334="Uygulanır",H334="Uygulanmaz")),"Uygulanabilirlik eksik",IF(AND(H334="Uygulanır",P334="Kanıt yetersiz",U334&lt;&gt;""),IF(AND(R334&lt;&gt;"",R334&lt;&gt;Q334,ISNUMBER(S334),S334&gt;0,S334&gt;=L334),"İnceleme tamam","Gözden geçirme eksik"),IF(NOT(AND(J334&lt;&gt;"",COUNTIFS(Evidence[KanitID],J334,Evidence[Kabul edilen ID],J334)=1,K334&lt;&gt;"",ISNUMBER(L334),L334&gt;0,M334&lt;&gt;"")),"Kanıt / test eksik",IF(NOT(AND(R334&lt;&gt;"",R334&lt;&gt;Q334,ISNUMBER(S334),S334&gt;0,S334&gt;=L334)),"Gözden geçirme eksik",IF(H334="Uygulanmaz","İnceleme tamam",IF(AND(OR(P334="Uygun",P334="Kısmen uygun",P334="Uygunsuz"),OR(N334="Uygun",N334="Kısmen uygun",N334="Uygunsuz"),OR(O334="Uygun",O334="Kısmen uygun",O334="Uygunsuz"),OR(P334&lt;&gt;"Uygun",AND(N334="Uygun",O334="Uygun")),OR(P334="Uygun",AND(T334&lt;&gt;"",COUNTIF(Findings[KayitliBulguID],T334)=1))),"İnceleme tamam","Sonuç / bulgu eksik"))))))))</x:f>
        <x:v>Kimlik / kapsam eksik</x:v>
      </x:c>
      <x:c r="W334" s="14" t="str">
        <x:f>IF(A334="","",IF(V334&lt;&gt;"İnceleme tamam","İncelenmedi",IF(H334="Uygulanmaz","Uygulanmaz",P334)))</x:f>
        <x:v>İncelenmedi</x:v>
      </x:c>
    </x:row>
    <x:row r="335" ht="35" customHeight="1">
      <x:c r="A335" s="12" t="str">
        <x:v>U-0330</x:v>
      </x:c>
      <x:c r="B335" s="12" t="str">
        <x:v>KNG-V10-02</x:v>
      </x:c>
      <x:c r="C335" s="12" t="str">
        <x:v>Kong API Gateway</x:v>
      </x:c>
      <x:c r="D335" s="12" t="str"/>
      <x:c r="E335" s="12" t="str"/>
      <x:c r="F335" s="12" t="str"/>
      <x:c r="G335" s="12" t="str"/>
      <x:c r="H335" s="12" t="str">
        <x:v>Belirlenecek</x:v>
      </x:c>
      <x:c r="I335" s="12" t="str"/>
      <x:c r="J335" s="12" t="str"/>
      <x:c r="K335" s="12" t="str"/>
      <x:c r="L335" s="13" t="str"/>
      <x:c r="M335" s="12" t="str"/>
      <x:c r="N335" s="12" t="str">
        <x:v>İncelenmedi</x:v>
      </x:c>
      <x:c r="O335" s="12" t="str">
        <x:v>İncelenmedi</x:v>
      </x:c>
      <x:c r="P335" s="12" t="str">
        <x:v>İncelenmedi</x:v>
      </x:c>
      <x:c r="Q335" s="12" t="str"/>
      <x:c r="R335" s="12" t="str"/>
      <x:c r="S335" s="13" t="str"/>
      <x:c r="T335" s="12" t="str"/>
      <x:c r="U335" s="12" t="str"/>
      <x:c r="V335" s="14" t="str">
        <x:f>IF(A335="","",IF(NOT(AND(COUNTIF(Exec[TestID],A335)=1,COUNTIF(Controls[ID],B335)=1,COUNTIFS(Scope[KapsamID],D335,Scope[OnayliKapsamID],D335,Scope[Ürün],C335)=1,OR(COUNTIFS(Controls[ID],B335,Controls[Ürün],C335)=1,COUNTIFS(Controls[ID],B335,Controls[Ürün],"MSP Genel")=1),E335&lt;&gt;"",F335&lt;&gt;"",G335&lt;&gt;"",I335&lt;&gt;"",Q335&lt;&gt;"")),"Kimlik / kapsam eksik",IF(NOT(OR(H335="Uygulanır",H335="Uygulanmaz")),"Uygulanabilirlik eksik",IF(AND(H335="Uygulanır",P335="Kanıt yetersiz",U335&lt;&gt;""),IF(AND(R335&lt;&gt;"",R335&lt;&gt;Q335,ISNUMBER(S335),S335&gt;0,S335&gt;=L335),"İnceleme tamam","Gözden geçirme eksik"),IF(NOT(AND(J335&lt;&gt;"",COUNTIFS(Evidence[KanitID],J335,Evidence[Kabul edilen ID],J335)=1,K335&lt;&gt;"",ISNUMBER(L335),L335&gt;0,M335&lt;&gt;"")),"Kanıt / test eksik",IF(NOT(AND(R335&lt;&gt;"",R335&lt;&gt;Q335,ISNUMBER(S335),S335&gt;0,S335&gt;=L335)),"Gözden geçirme eksik",IF(H335="Uygulanmaz","İnceleme tamam",IF(AND(OR(P335="Uygun",P335="Kısmen uygun",P335="Uygunsuz"),OR(N335="Uygun",N335="Kısmen uygun",N335="Uygunsuz"),OR(O335="Uygun",O335="Kısmen uygun",O335="Uygunsuz"),OR(P335&lt;&gt;"Uygun",AND(N335="Uygun",O335="Uygun")),OR(P335="Uygun",AND(T335&lt;&gt;"",COUNTIF(Findings[KayitliBulguID],T335)=1))),"İnceleme tamam","Sonuç / bulgu eksik"))))))))</x:f>
        <x:v>Kimlik / kapsam eksik</x:v>
      </x:c>
      <x:c r="W335" s="14" t="str">
        <x:f>IF(A335="","",IF(V335&lt;&gt;"İnceleme tamam","İncelenmedi",IF(H335="Uygulanmaz","Uygulanmaz",P335)))</x:f>
        <x:v>İncelenmedi</x:v>
      </x:c>
    </x:row>
    <x:row r="336" ht="35" customHeight="1">
      <x:c r="A336" s="12" t="str">
        <x:v>U-0331</x:v>
      </x:c>
      <x:c r="B336" s="12" t="str">
        <x:v>KNG-V12-02</x:v>
      </x:c>
      <x:c r="C336" s="12" t="str">
        <x:v>Kong API Gateway</x:v>
      </x:c>
      <x:c r="D336" s="12" t="str"/>
      <x:c r="E336" s="12" t="str"/>
      <x:c r="F336" s="12" t="str"/>
      <x:c r="G336" s="12" t="str"/>
      <x:c r="H336" s="12" t="str">
        <x:v>Belirlenecek</x:v>
      </x:c>
      <x:c r="I336" s="12" t="str"/>
      <x:c r="J336" s="12" t="str"/>
      <x:c r="K336" s="12" t="str"/>
      <x:c r="L336" s="13" t="str"/>
      <x:c r="M336" s="12" t="str"/>
      <x:c r="N336" s="12" t="str">
        <x:v>İncelenmedi</x:v>
      </x:c>
      <x:c r="O336" s="12" t="str">
        <x:v>İncelenmedi</x:v>
      </x:c>
      <x:c r="P336" s="12" t="str">
        <x:v>İncelenmedi</x:v>
      </x:c>
      <x:c r="Q336" s="12" t="str"/>
      <x:c r="R336" s="12" t="str"/>
      <x:c r="S336" s="13" t="str"/>
      <x:c r="T336" s="12" t="str"/>
      <x:c r="U336" s="12" t="str"/>
      <x:c r="V336" s="14" t="str">
        <x:f>IF(A336="","",IF(NOT(AND(COUNTIF(Exec[TestID],A336)=1,COUNTIF(Controls[ID],B336)=1,COUNTIFS(Scope[KapsamID],D336,Scope[OnayliKapsamID],D336,Scope[Ürün],C336)=1,OR(COUNTIFS(Controls[ID],B336,Controls[Ürün],C336)=1,COUNTIFS(Controls[ID],B336,Controls[Ürün],"MSP Genel")=1),E336&lt;&gt;"",F336&lt;&gt;"",G336&lt;&gt;"",I336&lt;&gt;"",Q336&lt;&gt;"")),"Kimlik / kapsam eksik",IF(NOT(OR(H336="Uygulanır",H336="Uygulanmaz")),"Uygulanabilirlik eksik",IF(AND(H336="Uygulanır",P336="Kanıt yetersiz",U336&lt;&gt;""),IF(AND(R336&lt;&gt;"",R336&lt;&gt;Q336,ISNUMBER(S336),S336&gt;0,S336&gt;=L336),"İnceleme tamam","Gözden geçirme eksik"),IF(NOT(AND(J336&lt;&gt;"",COUNTIFS(Evidence[KanitID],J336,Evidence[Kabul edilen ID],J336)=1,K336&lt;&gt;"",ISNUMBER(L336),L336&gt;0,M336&lt;&gt;"")),"Kanıt / test eksik",IF(NOT(AND(R336&lt;&gt;"",R336&lt;&gt;Q336,ISNUMBER(S336),S336&gt;0,S336&gt;=L336)),"Gözden geçirme eksik",IF(H336="Uygulanmaz","İnceleme tamam",IF(AND(OR(P336="Uygun",P336="Kısmen uygun",P336="Uygunsuz"),OR(N336="Uygun",N336="Kısmen uygun",N336="Uygunsuz"),OR(O336="Uygun",O336="Kısmen uygun",O336="Uygunsuz"),OR(P336&lt;&gt;"Uygun",AND(N336="Uygun",O336="Uygun")),OR(P336="Uygun",AND(T336&lt;&gt;"",COUNTIF(Findings[KayitliBulguID],T336)=1))),"İnceleme tamam","Sonuç / bulgu eksik"))))))))</x:f>
        <x:v>Kimlik / kapsam eksik</x:v>
      </x:c>
      <x:c r="W336" s="14" t="str">
        <x:f>IF(A336="","",IF(V336&lt;&gt;"İnceleme tamam","İncelenmedi",IF(H336="Uygulanmaz","Uygulanmaz",P336)))</x:f>
        <x:v>İncelenmedi</x:v>
      </x:c>
    </x:row>
    <x:row r="337" ht="35" customHeight="1">
      <x:c r="A337" s="12" t="str">
        <x:v>U-0332</x:v>
      </x:c>
      <x:c r="B337" s="12" t="str">
        <x:v>KNG-V12-03</x:v>
      </x:c>
      <x:c r="C337" s="12" t="str">
        <x:v>Kong API Gateway</x:v>
      </x:c>
      <x:c r="D337" s="12" t="str"/>
      <x:c r="E337" s="12" t="str"/>
      <x:c r="F337" s="12" t="str"/>
      <x:c r="G337" s="12" t="str"/>
      <x:c r="H337" s="12" t="str">
        <x:v>Belirlenecek</x:v>
      </x:c>
      <x:c r="I337" s="12" t="str"/>
      <x:c r="J337" s="12" t="str"/>
      <x:c r="K337" s="12" t="str"/>
      <x:c r="L337" s="13" t="str"/>
      <x:c r="M337" s="12" t="str"/>
      <x:c r="N337" s="12" t="str">
        <x:v>İncelenmedi</x:v>
      </x:c>
      <x:c r="O337" s="12" t="str">
        <x:v>İncelenmedi</x:v>
      </x:c>
      <x:c r="P337" s="12" t="str">
        <x:v>İncelenmedi</x:v>
      </x:c>
      <x:c r="Q337" s="12" t="str"/>
      <x:c r="R337" s="12" t="str"/>
      <x:c r="S337" s="13" t="str"/>
      <x:c r="T337" s="12" t="str"/>
      <x:c r="U337" s="12" t="str"/>
      <x:c r="V337" s="14" t="str">
        <x:f>IF(A337="","",IF(NOT(AND(COUNTIF(Exec[TestID],A337)=1,COUNTIF(Controls[ID],B337)=1,COUNTIFS(Scope[KapsamID],D337,Scope[OnayliKapsamID],D337,Scope[Ürün],C337)=1,OR(COUNTIFS(Controls[ID],B337,Controls[Ürün],C337)=1,COUNTIFS(Controls[ID],B337,Controls[Ürün],"MSP Genel")=1),E337&lt;&gt;"",F337&lt;&gt;"",G337&lt;&gt;"",I337&lt;&gt;"",Q337&lt;&gt;"")),"Kimlik / kapsam eksik",IF(NOT(OR(H337="Uygulanır",H337="Uygulanmaz")),"Uygulanabilirlik eksik",IF(AND(H337="Uygulanır",P337="Kanıt yetersiz",U337&lt;&gt;""),IF(AND(R337&lt;&gt;"",R337&lt;&gt;Q337,ISNUMBER(S337),S337&gt;0,S337&gt;=L337),"İnceleme tamam","Gözden geçirme eksik"),IF(NOT(AND(J337&lt;&gt;"",COUNTIFS(Evidence[KanitID],J337,Evidence[Kabul edilen ID],J337)=1,K337&lt;&gt;"",ISNUMBER(L337),L337&gt;0,M337&lt;&gt;"")),"Kanıt / test eksik",IF(NOT(AND(R337&lt;&gt;"",R337&lt;&gt;Q337,ISNUMBER(S337),S337&gt;0,S337&gt;=L337)),"Gözden geçirme eksik",IF(H337="Uygulanmaz","İnceleme tamam",IF(AND(OR(P337="Uygun",P337="Kısmen uygun",P337="Uygunsuz"),OR(N337="Uygun",N337="Kısmen uygun",N337="Uygunsuz"),OR(O337="Uygun",O337="Kısmen uygun",O337="Uygunsuz"),OR(P337&lt;&gt;"Uygun",AND(N337="Uygun",O337="Uygun")),OR(P337="Uygun",AND(T337&lt;&gt;"",COUNTIF(Findings[KayitliBulguID],T337)=1))),"İnceleme tamam","Sonuç / bulgu eksik"))))))))</x:f>
        <x:v>Kimlik / kapsam eksik</x:v>
      </x:c>
      <x:c r="W337" s="14" t="str">
        <x:f>IF(A337="","",IF(V337&lt;&gt;"İnceleme tamam","İncelenmedi",IF(H337="Uygulanmaz","Uygulanmaz",P337)))</x:f>
        <x:v>İncelenmedi</x:v>
      </x:c>
    </x:row>
    <x:row r="338" ht="35" customHeight="1">
      <x:c r="A338" s="12" t="str">
        <x:v>U-0333</x:v>
      </x:c>
      <x:c r="B338" s="12" t="str">
        <x:v>KNG-V14-01</x:v>
      </x:c>
      <x:c r="C338" s="12" t="str">
        <x:v>Kong API Gateway</x:v>
      </x:c>
      <x:c r="D338" s="12" t="str"/>
      <x:c r="E338" s="12" t="str"/>
      <x:c r="F338" s="12" t="str"/>
      <x:c r="G338" s="12" t="str"/>
      <x:c r="H338" s="12" t="str">
        <x:v>Belirlenecek</x:v>
      </x:c>
      <x:c r="I338" s="12" t="str"/>
      <x:c r="J338" s="12" t="str"/>
      <x:c r="K338" s="12" t="str"/>
      <x:c r="L338" s="13" t="str"/>
      <x:c r="M338" s="12" t="str"/>
      <x:c r="N338" s="12" t="str">
        <x:v>İncelenmedi</x:v>
      </x:c>
      <x:c r="O338" s="12" t="str">
        <x:v>İncelenmedi</x:v>
      </x:c>
      <x:c r="P338" s="12" t="str">
        <x:v>İncelenmedi</x:v>
      </x:c>
      <x:c r="Q338" s="12" t="str"/>
      <x:c r="R338" s="12" t="str"/>
      <x:c r="S338" s="13" t="str"/>
      <x:c r="T338" s="12" t="str"/>
      <x:c r="U338" s="12" t="str"/>
      <x:c r="V338" s="14" t="str">
        <x:f>IF(A338="","",IF(NOT(AND(COUNTIF(Exec[TestID],A338)=1,COUNTIF(Controls[ID],B338)=1,COUNTIFS(Scope[KapsamID],D338,Scope[OnayliKapsamID],D338,Scope[Ürün],C338)=1,OR(COUNTIFS(Controls[ID],B338,Controls[Ürün],C338)=1,COUNTIFS(Controls[ID],B338,Controls[Ürün],"MSP Genel")=1),E338&lt;&gt;"",F338&lt;&gt;"",G338&lt;&gt;"",I338&lt;&gt;"",Q338&lt;&gt;"")),"Kimlik / kapsam eksik",IF(NOT(OR(H338="Uygulanır",H338="Uygulanmaz")),"Uygulanabilirlik eksik",IF(AND(H338="Uygulanır",P338="Kanıt yetersiz",U338&lt;&gt;""),IF(AND(R338&lt;&gt;"",R338&lt;&gt;Q338,ISNUMBER(S338),S338&gt;0,S338&gt;=L338),"İnceleme tamam","Gözden geçirme eksik"),IF(NOT(AND(J338&lt;&gt;"",COUNTIFS(Evidence[KanitID],J338,Evidence[Kabul edilen ID],J338)=1,K338&lt;&gt;"",ISNUMBER(L338),L338&gt;0,M338&lt;&gt;"")),"Kanıt / test eksik",IF(NOT(AND(R338&lt;&gt;"",R338&lt;&gt;Q338,ISNUMBER(S338),S338&gt;0,S338&gt;=L338)),"Gözden geçirme eksik",IF(H338="Uygulanmaz","İnceleme tamam",IF(AND(OR(P338="Uygun",P338="Kısmen uygun",P338="Uygunsuz"),OR(N338="Uygun",N338="Kısmen uygun",N338="Uygunsuz"),OR(O338="Uygun",O338="Kısmen uygun",O338="Uygunsuz"),OR(P338&lt;&gt;"Uygun",AND(N338="Uygun",O338="Uygun")),OR(P338="Uygun",AND(T338&lt;&gt;"",COUNTIF(Findings[KayitliBulguID],T338)=1))),"İnceleme tamam","Sonuç / bulgu eksik"))))))))</x:f>
        <x:v>Kimlik / kapsam eksik</x:v>
      </x:c>
      <x:c r="W338" s="14" t="str">
        <x:f>IF(A338="","",IF(V338&lt;&gt;"İnceleme tamam","İncelenmedi",IF(H338="Uygulanmaz","Uygulanmaz",P338)))</x:f>
        <x:v>İncelenmedi</x:v>
      </x:c>
    </x:row>
    <x:row r="339" ht="35" customHeight="1">
      <x:c r="A339" s="12" t="str">
        <x:v>U-0334</x:v>
      </x:c>
      <x:c r="B339" s="12" t="str">
        <x:v>KNG-V14-02</x:v>
      </x:c>
      <x:c r="C339" s="12" t="str">
        <x:v>Kong API Gateway</x:v>
      </x:c>
      <x:c r="D339" s="12" t="str"/>
      <x:c r="E339" s="12" t="str"/>
      <x:c r="F339" s="12" t="str"/>
      <x:c r="G339" s="12" t="str"/>
      <x:c r="H339" s="12" t="str">
        <x:v>Belirlenecek</x:v>
      </x:c>
      <x:c r="I339" s="12" t="str"/>
      <x:c r="J339" s="12" t="str"/>
      <x:c r="K339" s="12" t="str"/>
      <x:c r="L339" s="13" t="str"/>
      <x:c r="M339" s="12" t="str"/>
      <x:c r="N339" s="12" t="str">
        <x:v>İncelenmedi</x:v>
      </x:c>
      <x:c r="O339" s="12" t="str">
        <x:v>İncelenmedi</x:v>
      </x:c>
      <x:c r="P339" s="12" t="str">
        <x:v>İncelenmedi</x:v>
      </x:c>
      <x:c r="Q339" s="12" t="str"/>
      <x:c r="R339" s="12" t="str"/>
      <x:c r="S339" s="13" t="str"/>
      <x:c r="T339" s="12" t="str"/>
      <x:c r="U339" s="12" t="str"/>
      <x:c r="V339" s="14" t="str">
        <x:f>IF(A339="","",IF(NOT(AND(COUNTIF(Exec[TestID],A339)=1,COUNTIF(Controls[ID],B339)=1,COUNTIFS(Scope[KapsamID],D339,Scope[OnayliKapsamID],D339,Scope[Ürün],C339)=1,OR(COUNTIFS(Controls[ID],B339,Controls[Ürün],C339)=1,COUNTIFS(Controls[ID],B339,Controls[Ürün],"MSP Genel")=1),E339&lt;&gt;"",F339&lt;&gt;"",G339&lt;&gt;"",I339&lt;&gt;"",Q339&lt;&gt;"")),"Kimlik / kapsam eksik",IF(NOT(OR(H339="Uygulanır",H339="Uygulanmaz")),"Uygulanabilirlik eksik",IF(AND(H339="Uygulanır",P339="Kanıt yetersiz",U339&lt;&gt;""),IF(AND(R339&lt;&gt;"",R339&lt;&gt;Q339,ISNUMBER(S339),S339&gt;0,S339&gt;=L339),"İnceleme tamam","Gözden geçirme eksik"),IF(NOT(AND(J339&lt;&gt;"",COUNTIFS(Evidence[KanitID],J339,Evidence[Kabul edilen ID],J339)=1,K339&lt;&gt;"",ISNUMBER(L339),L339&gt;0,M339&lt;&gt;"")),"Kanıt / test eksik",IF(NOT(AND(R339&lt;&gt;"",R339&lt;&gt;Q339,ISNUMBER(S339),S339&gt;0,S339&gt;=L339)),"Gözden geçirme eksik",IF(H339="Uygulanmaz","İnceleme tamam",IF(AND(OR(P339="Uygun",P339="Kısmen uygun",P339="Uygunsuz"),OR(N339="Uygun",N339="Kısmen uygun",N339="Uygunsuz"),OR(O339="Uygun",O339="Kısmen uygun",O339="Uygunsuz"),OR(P339&lt;&gt;"Uygun",AND(N339="Uygun",O339="Uygun")),OR(P339="Uygun",AND(T339&lt;&gt;"",COUNTIF(Findings[KayitliBulguID],T339)=1))),"İnceleme tamam","Sonuç / bulgu eksik"))))))))</x:f>
        <x:v>Kimlik / kapsam eksik</x:v>
      </x:c>
      <x:c r="W339" s="14" t="str">
        <x:f>IF(A339="","",IF(V339&lt;&gt;"İnceleme tamam","İncelenmedi",IF(H339="Uygulanmaz","Uygulanmaz",P339)))</x:f>
        <x:v>İncelenmedi</x:v>
      </x:c>
    </x:row>
    <x:row r="340" ht="35" customHeight="1">
      <x:c r="A340" s="12" t="str">
        <x:v>U-0335</x:v>
      </x:c>
      <x:c r="B340" s="12" t="str">
        <x:v>KNG-V15-01</x:v>
      </x:c>
      <x:c r="C340" s="12" t="str">
        <x:v>Kong API Gateway</x:v>
      </x:c>
      <x:c r="D340" s="12" t="str"/>
      <x:c r="E340" s="12" t="str"/>
      <x:c r="F340" s="12" t="str"/>
      <x:c r="G340" s="12" t="str"/>
      <x:c r="H340" s="12" t="str">
        <x:v>Belirlenecek</x:v>
      </x:c>
      <x:c r="I340" s="12" t="str"/>
      <x:c r="J340" s="12" t="str"/>
      <x:c r="K340" s="12" t="str"/>
      <x:c r="L340" s="13" t="str"/>
      <x:c r="M340" s="12" t="str"/>
      <x:c r="N340" s="12" t="str">
        <x:v>İncelenmedi</x:v>
      </x:c>
      <x:c r="O340" s="12" t="str">
        <x:v>İncelenmedi</x:v>
      </x:c>
      <x:c r="P340" s="12" t="str">
        <x:v>İncelenmedi</x:v>
      </x:c>
      <x:c r="Q340" s="12" t="str"/>
      <x:c r="R340" s="12" t="str"/>
      <x:c r="S340" s="13" t="str"/>
      <x:c r="T340" s="12" t="str"/>
      <x:c r="U340" s="12" t="str"/>
      <x:c r="V340" s="14" t="str">
        <x:f>IF(A340="","",IF(NOT(AND(COUNTIF(Exec[TestID],A340)=1,COUNTIF(Controls[ID],B340)=1,COUNTIFS(Scope[KapsamID],D340,Scope[OnayliKapsamID],D340,Scope[Ürün],C340)=1,OR(COUNTIFS(Controls[ID],B340,Controls[Ürün],C340)=1,COUNTIFS(Controls[ID],B340,Controls[Ürün],"MSP Genel")=1),E340&lt;&gt;"",F340&lt;&gt;"",G340&lt;&gt;"",I340&lt;&gt;"",Q340&lt;&gt;"")),"Kimlik / kapsam eksik",IF(NOT(OR(H340="Uygulanır",H340="Uygulanmaz")),"Uygulanabilirlik eksik",IF(AND(H340="Uygulanır",P340="Kanıt yetersiz",U340&lt;&gt;""),IF(AND(R340&lt;&gt;"",R340&lt;&gt;Q340,ISNUMBER(S340),S340&gt;0,S340&gt;=L340),"İnceleme tamam","Gözden geçirme eksik"),IF(NOT(AND(J340&lt;&gt;"",COUNTIFS(Evidence[KanitID],J340,Evidence[Kabul edilen ID],J340)=1,K340&lt;&gt;"",ISNUMBER(L340),L340&gt;0,M340&lt;&gt;"")),"Kanıt / test eksik",IF(NOT(AND(R340&lt;&gt;"",R340&lt;&gt;Q340,ISNUMBER(S340),S340&gt;0,S340&gt;=L340)),"Gözden geçirme eksik",IF(H340="Uygulanmaz","İnceleme tamam",IF(AND(OR(P340="Uygun",P340="Kısmen uygun",P340="Uygunsuz"),OR(N340="Uygun",N340="Kısmen uygun",N340="Uygunsuz"),OR(O340="Uygun",O340="Kısmen uygun",O340="Uygunsuz"),OR(P340&lt;&gt;"Uygun",AND(N340="Uygun",O340="Uygun")),OR(P340="Uygun",AND(T340&lt;&gt;"",COUNTIF(Findings[KayitliBulguID],T340)=1))),"İnceleme tamam","Sonuç / bulgu eksik"))))))))</x:f>
        <x:v>Kimlik / kapsam eksik</x:v>
      </x:c>
      <x:c r="W340" s="14" t="str">
        <x:f>IF(A340="","",IF(V340&lt;&gt;"İnceleme tamam","İncelenmedi",IF(H340="Uygulanmaz","Uygulanmaz",P340)))</x:f>
        <x:v>İncelenmedi</x:v>
      </x:c>
    </x:row>
    <x:row r="341" ht="35" customHeight="1">
      <x:c r="A341" s="12" t="str">
        <x:v>U-0336</x:v>
      </x:c>
      <x:c r="B341" s="12" t="str">
        <x:v>PAM-007</x:v>
      </x:c>
      <x:c r="C341" s="12" t="str">
        <x:v>CyberArk PAM</x:v>
      </x:c>
      <x:c r="D341" s="12" t="str"/>
      <x:c r="E341" s="12" t="str"/>
      <x:c r="F341" s="12" t="str"/>
      <x:c r="G341" s="12" t="str"/>
      <x:c r="H341" s="12" t="str">
        <x:v>Belirlenecek</x:v>
      </x:c>
      <x:c r="I341" s="12" t="str"/>
      <x:c r="J341" s="12" t="str"/>
      <x:c r="K341" s="12" t="str"/>
      <x:c r="L341" s="13" t="str"/>
      <x:c r="M341" s="12" t="str"/>
      <x:c r="N341" s="12" t="str">
        <x:v>İncelenmedi</x:v>
      </x:c>
      <x:c r="O341" s="12" t="str">
        <x:v>İncelenmedi</x:v>
      </x:c>
      <x:c r="P341" s="12" t="str">
        <x:v>İncelenmedi</x:v>
      </x:c>
      <x:c r="Q341" s="12" t="str"/>
      <x:c r="R341" s="12" t="str"/>
      <x:c r="S341" s="13" t="str"/>
      <x:c r="T341" s="12" t="str"/>
      <x:c r="U341" s="12" t="str"/>
      <x:c r="V341" s="14" t="str">
        <x:f>IF(A341="","",IF(NOT(AND(COUNTIF(Exec[TestID],A341)=1,COUNTIF(Controls[ID],B341)=1,COUNTIFS(Scope[KapsamID],D341,Scope[OnayliKapsamID],D341,Scope[Ürün],C341)=1,OR(COUNTIFS(Controls[ID],B341,Controls[Ürün],C341)=1,COUNTIFS(Controls[ID],B341,Controls[Ürün],"MSP Genel")=1),E341&lt;&gt;"",F341&lt;&gt;"",G341&lt;&gt;"",I341&lt;&gt;"",Q341&lt;&gt;"")),"Kimlik / kapsam eksik",IF(NOT(OR(H341="Uygulanır",H341="Uygulanmaz")),"Uygulanabilirlik eksik",IF(AND(H341="Uygulanır",P341="Kanıt yetersiz",U341&lt;&gt;""),IF(AND(R341&lt;&gt;"",R341&lt;&gt;Q341,ISNUMBER(S341),S341&gt;0,S341&gt;=L341),"İnceleme tamam","Gözden geçirme eksik"),IF(NOT(AND(J341&lt;&gt;"",COUNTIFS(Evidence[KanitID],J341,Evidence[Kabul edilen ID],J341)=1,K341&lt;&gt;"",ISNUMBER(L341),L341&gt;0,M341&lt;&gt;"")),"Kanıt / test eksik",IF(NOT(AND(R341&lt;&gt;"",R341&lt;&gt;Q341,ISNUMBER(S341),S341&gt;0,S341&gt;=L341)),"Gözden geçirme eksik",IF(H341="Uygulanmaz","İnceleme tamam",IF(AND(OR(P341="Uygun",P341="Kısmen uygun",P341="Uygunsuz"),OR(N341="Uygun",N341="Kısmen uygun",N341="Uygunsuz"),OR(O341="Uygun",O341="Kısmen uygun",O341="Uygunsuz"),OR(P341&lt;&gt;"Uygun",AND(N341="Uygun",O341="Uygun")),OR(P341="Uygun",AND(T341&lt;&gt;"",COUNTIF(Findings[KayitliBulguID],T341)=1))),"İnceleme tamam","Sonuç / bulgu eksik"))))))))</x:f>
        <x:v>Kimlik / kapsam eksik</x:v>
      </x:c>
      <x:c r="W341" s="14" t="str">
        <x:f>IF(A341="","",IF(V341&lt;&gt;"İnceleme tamam","İncelenmedi",IF(H341="Uygulanmaz","Uygulanmaz",P341)))</x:f>
        <x:v>İncelenmedi</x:v>
      </x:c>
    </x:row>
    <x:row r="342" ht="35" customHeight="1">
      <x:c r="A342" s="12" t="str">
        <x:v>U-0337</x:v>
      </x:c>
      <x:c r="B342" s="12" t="str">
        <x:v>PAM-008</x:v>
      </x:c>
      <x:c r="C342" s="12" t="str">
        <x:v>CyberArk PAM</x:v>
      </x:c>
      <x:c r="D342" s="12" t="str"/>
      <x:c r="E342" s="12" t="str"/>
      <x:c r="F342" s="12" t="str"/>
      <x:c r="G342" s="12" t="str"/>
      <x:c r="H342" s="12" t="str">
        <x:v>Belirlenecek</x:v>
      </x:c>
      <x:c r="I342" s="12" t="str"/>
      <x:c r="J342" s="12" t="str"/>
      <x:c r="K342" s="12" t="str"/>
      <x:c r="L342" s="13" t="str"/>
      <x:c r="M342" s="12" t="str"/>
      <x:c r="N342" s="12" t="str">
        <x:v>İncelenmedi</x:v>
      </x:c>
      <x:c r="O342" s="12" t="str">
        <x:v>İncelenmedi</x:v>
      </x:c>
      <x:c r="P342" s="12" t="str">
        <x:v>İncelenmedi</x:v>
      </x:c>
      <x:c r="Q342" s="12" t="str"/>
      <x:c r="R342" s="12" t="str"/>
      <x:c r="S342" s="13" t="str"/>
      <x:c r="T342" s="12" t="str"/>
      <x:c r="U342" s="12" t="str"/>
      <x:c r="V342" s="14" t="str">
        <x:f>IF(A342="","",IF(NOT(AND(COUNTIF(Exec[TestID],A342)=1,COUNTIF(Controls[ID],B342)=1,COUNTIFS(Scope[KapsamID],D342,Scope[OnayliKapsamID],D342,Scope[Ürün],C342)=1,OR(COUNTIFS(Controls[ID],B342,Controls[Ürün],C342)=1,COUNTIFS(Controls[ID],B342,Controls[Ürün],"MSP Genel")=1),E342&lt;&gt;"",F342&lt;&gt;"",G342&lt;&gt;"",I342&lt;&gt;"",Q342&lt;&gt;"")),"Kimlik / kapsam eksik",IF(NOT(OR(H342="Uygulanır",H342="Uygulanmaz")),"Uygulanabilirlik eksik",IF(AND(H342="Uygulanır",P342="Kanıt yetersiz",U342&lt;&gt;""),IF(AND(R342&lt;&gt;"",R342&lt;&gt;Q342,ISNUMBER(S342),S342&gt;0,S342&gt;=L342),"İnceleme tamam","Gözden geçirme eksik"),IF(NOT(AND(J342&lt;&gt;"",COUNTIFS(Evidence[KanitID],J342,Evidence[Kabul edilen ID],J342)=1,K342&lt;&gt;"",ISNUMBER(L342),L342&gt;0,M342&lt;&gt;"")),"Kanıt / test eksik",IF(NOT(AND(R342&lt;&gt;"",R342&lt;&gt;Q342,ISNUMBER(S342),S342&gt;0,S342&gt;=L342)),"Gözden geçirme eksik",IF(H342="Uygulanmaz","İnceleme tamam",IF(AND(OR(P342="Uygun",P342="Kısmen uygun",P342="Uygunsuz"),OR(N342="Uygun",N342="Kısmen uygun",N342="Uygunsuz"),OR(O342="Uygun",O342="Kısmen uygun",O342="Uygunsuz"),OR(P342&lt;&gt;"Uygun",AND(N342="Uygun",O342="Uygun")),OR(P342="Uygun",AND(T342&lt;&gt;"",COUNTIF(Findings[KayitliBulguID],T342)=1))),"İnceleme tamam","Sonuç / bulgu eksik"))))))))</x:f>
        <x:v>Kimlik / kapsam eksik</x:v>
      </x:c>
      <x:c r="W342" s="14" t="str">
        <x:f>IF(A342="","",IF(V342&lt;&gt;"İnceleme tamam","İncelenmedi",IF(H342="Uygulanmaz","Uygulanmaz",P342)))</x:f>
        <x:v>İncelenmedi</x:v>
      </x:c>
    </x:row>
    <x:row r="343" ht="35" customHeight="1">
      <x:c r="A343" s="12" t="str">
        <x:v>U-0338</x:v>
      </x:c>
      <x:c r="B343" s="12" t="str">
        <x:v>PAM-009</x:v>
      </x:c>
      <x:c r="C343" s="12" t="str">
        <x:v>CyberArk PAM</x:v>
      </x:c>
      <x:c r="D343" s="12" t="str"/>
      <x:c r="E343" s="12" t="str"/>
      <x:c r="F343" s="12" t="str"/>
      <x:c r="G343" s="12" t="str"/>
      <x:c r="H343" s="12" t="str">
        <x:v>Belirlenecek</x:v>
      </x:c>
      <x:c r="I343" s="12" t="str"/>
      <x:c r="J343" s="12" t="str"/>
      <x:c r="K343" s="12" t="str"/>
      <x:c r="L343" s="13" t="str"/>
      <x:c r="M343" s="12" t="str"/>
      <x:c r="N343" s="12" t="str">
        <x:v>İncelenmedi</x:v>
      </x:c>
      <x:c r="O343" s="12" t="str">
        <x:v>İncelenmedi</x:v>
      </x:c>
      <x:c r="P343" s="12" t="str">
        <x:v>İncelenmedi</x:v>
      </x:c>
      <x:c r="Q343" s="12" t="str"/>
      <x:c r="R343" s="12" t="str"/>
      <x:c r="S343" s="13" t="str"/>
      <x:c r="T343" s="12" t="str"/>
      <x:c r="U343" s="12" t="str"/>
      <x:c r="V343" s="14" t="str">
        <x:f>IF(A343="","",IF(NOT(AND(COUNTIF(Exec[TestID],A343)=1,COUNTIF(Controls[ID],B343)=1,COUNTIFS(Scope[KapsamID],D343,Scope[OnayliKapsamID],D343,Scope[Ürün],C343)=1,OR(COUNTIFS(Controls[ID],B343,Controls[Ürün],C343)=1,COUNTIFS(Controls[ID],B343,Controls[Ürün],"MSP Genel")=1),E343&lt;&gt;"",F343&lt;&gt;"",G343&lt;&gt;"",I343&lt;&gt;"",Q343&lt;&gt;"")),"Kimlik / kapsam eksik",IF(NOT(OR(H343="Uygulanır",H343="Uygulanmaz")),"Uygulanabilirlik eksik",IF(AND(H343="Uygulanır",P343="Kanıt yetersiz",U343&lt;&gt;""),IF(AND(R343&lt;&gt;"",R343&lt;&gt;Q343,ISNUMBER(S343),S343&gt;0,S343&gt;=L343),"İnceleme tamam","Gözden geçirme eksik"),IF(NOT(AND(J343&lt;&gt;"",COUNTIFS(Evidence[KanitID],J343,Evidence[Kabul edilen ID],J343)=1,K343&lt;&gt;"",ISNUMBER(L343),L343&gt;0,M343&lt;&gt;"")),"Kanıt / test eksik",IF(NOT(AND(R343&lt;&gt;"",R343&lt;&gt;Q343,ISNUMBER(S343),S343&gt;0,S343&gt;=L343)),"Gözden geçirme eksik",IF(H343="Uygulanmaz","İnceleme tamam",IF(AND(OR(P343="Uygun",P343="Kısmen uygun",P343="Uygunsuz"),OR(N343="Uygun",N343="Kısmen uygun",N343="Uygunsuz"),OR(O343="Uygun",O343="Kısmen uygun",O343="Uygunsuz"),OR(P343&lt;&gt;"Uygun",AND(N343="Uygun",O343="Uygun")),OR(P343="Uygun",AND(T343&lt;&gt;"",COUNTIF(Findings[KayitliBulguID],T343)=1))),"İnceleme tamam","Sonuç / bulgu eksik"))))))))</x:f>
        <x:v>Kimlik / kapsam eksik</x:v>
      </x:c>
      <x:c r="W343" s="14" t="str">
        <x:f>IF(A343="","",IF(V343&lt;&gt;"İnceleme tamam","İncelenmedi",IF(H343="Uygulanmaz","Uygulanmaz",P343)))</x:f>
        <x:v>İncelenmedi</x:v>
      </x:c>
    </x:row>
    <x:row r="344" ht="35" customHeight="1">
      <x:c r="A344" s="12" t="str">
        <x:v>U-0339</x:v>
      </x:c>
      <x:c r="B344" s="12" t="str">
        <x:v>PAM-010</x:v>
      </x:c>
      <x:c r="C344" s="12" t="str">
        <x:v>CyberArk PAM</x:v>
      </x:c>
      <x:c r="D344" s="12" t="str"/>
      <x:c r="E344" s="12" t="str"/>
      <x:c r="F344" s="12" t="str"/>
      <x:c r="G344" s="12" t="str"/>
      <x:c r="H344" s="12" t="str">
        <x:v>Belirlenecek</x:v>
      </x:c>
      <x:c r="I344" s="12" t="str"/>
      <x:c r="J344" s="12" t="str"/>
      <x:c r="K344" s="12" t="str"/>
      <x:c r="L344" s="13" t="str"/>
      <x:c r="M344" s="12" t="str"/>
      <x:c r="N344" s="12" t="str">
        <x:v>İncelenmedi</x:v>
      </x:c>
      <x:c r="O344" s="12" t="str">
        <x:v>İncelenmedi</x:v>
      </x:c>
      <x:c r="P344" s="12" t="str">
        <x:v>İncelenmedi</x:v>
      </x:c>
      <x:c r="Q344" s="12" t="str"/>
      <x:c r="R344" s="12" t="str"/>
      <x:c r="S344" s="13" t="str"/>
      <x:c r="T344" s="12" t="str"/>
      <x:c r="U344" s="12" t="str"/>
      <x:c r="V344" s="14" t="str">
        <x:f>IF(A344="","",IF(NOT(AND(COUNTIF(Exec[TestID],A344)=1,COUNTIF(Controls[ID],B344)=1,COUNTIFS(Scope[KapsamID],D344,Scope[OnayliKapsamID],D344,Scope[Ürün],C344)=1,OR(COUNTIFS(Controls[ID],B344,Controls[Ürün],C344)=1,COUNTIFS(Controls[ID],B344,Controls[Ürün],"MSP Genel")=1),E344&lt;&gt;"",F344&lt;&gt;"",G344&lt;&gt;"",I344&lt;&gt;"",Q344&lt;&gt;"")),"Kimlik / kapsam eksik",IF(NOT(OR(H344="Uygulanır",H344="Uygulanmaz")),"Uygulanabilirlik eksik",IF(AND(H344="Uygulanır",P344="Kanıt yetersiz",U344&lt;&gt;""),IF(AND(R344&lt;&gt;"",R344&lt;&gt;Q344,ISNUMBER(S344),S344&gt;0,S344&gt;=L344),"İnceleme tamam","Gözden geçirme eksik"),IF(NOT(AND(J344&lt;&gt;"",COUNTIFS(Evidence[KanitID],J344,Evidence[Kabul edilen ID],J344)=1,K344&lt;&gt;"",ISNUMBER(L344),L344&gt;0,M344&lt;&gt;"")),"Kanıt / test eksik",IF(NOT(AND(R344&lt;&gt;"",R344&lt;&gt;Q344,ISNUMBER(S344),S344&gt;0,S344&gt;=L344)),"Gözden geçirme eksik",IF(H344="Uygulanmaz","İnceleme tamam",IF(AND(OR(P344="Uygun",P344="Kısmen uygun",P344="Uygunsuz"),OR(N344="Uygun",N344="Kısmen uygun",N344="Uygunsuz"),OR(O344="Uygun",O344="Kısmen uygun",O344="Uygunsuz"),OR(P344&lt;&gt;"Uygun",AND(N344="Uygun",O344="Uygun")),OR(P344="Uygun",AND(T344&lt;&gt;"",COUNTIF(Findings[KayitliBulguID],T344)=1))),"İnceleme tamam","Sonuç / bulgu eksik"))))))))</x:f>
        <x:v>Kimlik / kapsam eksik</x:v>
      </x:c>
      <x:c r="W344" s="14" t="str">
        <x:f>IF(A344="","",IF(V344&lt;&gt;"İnceleme tamam","İncelenmedi",IF(H344="Uygulanmaz","Uygulanmaz",P344)))</x:f>
        <x:v>İncelenmedi</x:v>
      </x:c>
    </x:row>
    <x:row r="345" ht="35" customHeight="1">
      <x:c r="A345" s="12" t="str">
        <x:v>U-0340</x:v>
      </x:c>
      <x:c r="B345" s="12" t="str">
        <x:v>PAM-011</x:v>
      </x:c>
      <x:c r="C345" s="12" t="str">
        <x:v>CyberArk PAM</x:v>
      </x:c>
      <x:c r="D345" s="12" t="str"/>
      <x:c r="E345" s="12" t="str"/>
      <x:c r="F345" s="12" t="str"/>
      <x:c r="G345" s="12" t="str"/>
      <x:c r="H345" s="12" t="str">
        <x:v>Belirlenecek</x:v>
      </x:c>
      <x:c r="I345" s="12" t="str"/>
      <x:c r="J345" s="12" t="str"/>
      <x:c r="K345" s="12" t="str"/>
      <x:c r="L345" s="13" t="str"/>
      <x:c r="M345" s="12" t="str"/>
      <x:c r="N345" s="12" t="str">
        <x:v>İncelenmedi</x:v>
      </x:c>
      <x:c r="O345" s="12" t="str">
        <x:v>İncelenmedi</x:v>
      </x:c>
      <x:c r="P345" s="12" t="str">
        <x:v>İncelenmedi</x:v>
      </x:c>
      <x:c r="Q345" s="12" t="str"/>
      <x:c r="R345" s="12" t="str"/>
      <x:c r="S345" s="13" t="str"/>
      <x:c r="T345" s="12" t="str"/>
      <x:c r="U345" s="12" t="str"/>
      <x:c r="V345" s="14" t="str">
        <x:f>IF(A345="","",IF(NOT(AND(COUNTIF(Exec[TestID],A345)=1,COUNTIF(Controls[ID],B345)=1,COUNTIFS(Scope[KapsamID],D345,Scope[OnayliKapsamID],D345,Scope[Ürün],C345)=1,OR(COUNTIFS(Controls[ID],B345,Controls[Ürün],C345)=1,COUNTIFS(Controls[ID],B345,Controls[Ürün],"MSP Genel")=1),E345&lt;&gt;"",F345&lt;&gt;"",G345&lt;&gt;"",I345&lt;&gt;"",Q345&lt;&gt;"")),"Kimlik / kapsam eksik",IF(NOT(OR(H345="Uygulanır",H345="Uygulanmaz")),"Uygulanabilirlik eksik",IF(AND(H345="Uygulanır",P345="Kanıt yetersiz",U345&lt;&gt;""),IF(AND(R345&lt;&gt;"",R345&lt;&gt;Q345,ISNUMBER(S345),S345&gt;0,S345&gt;=L345),"İnceleme tamam","Gözden geçirme eksik"),IF(NOT(AND(J345&lt;&gt;"",COUNTIFS(Evidence[KanitID],J345,Evidence[Kabul edilen ID],J345)=1,K345&lt;&gt;"",ISNUMBER(L345),L345&gt;0,M345&lt;&gt;"")),"Kanıt / test eksik",IF(NOT(AND(R345&lt;&gt;"",R345&lt;&gt;Q345,ISNUMBER(S345),S345&gt;0,S345&gt;=L345)),"Gözden geçirme eksik",IF(H345="Uygulanmaz","İnceleme tamam",IF(AND(OR(P345="Uygun",P345="Kısmen uygun",P345="Uygunsuz"),OR(N345="Uygun",N345="Kısmen uygun",N345="Uygunsuz"),OR(O345="Uygun",O345="Kısmen uygun",O345="Uygunsuz"),OR(P345&lt;&gt;"Uygun",AND(N345="Uygun",O345="Uygun")),OR(P345="Uygun",AND(T345&lt;&gt;"",COUNTIF(Findings[KayitliBulguID],T345)=1))),"İnceleme tamam","Sonuç / bulgu eksik"))))))))</x:f>
        <x:v>Kimlik / kapsam eksik</x:v>
      </x:c>
      <x:c r="W345" s="14" t="str">
        <x:f>IF(A345="","",IF(V345&lt;&gt;"İnceleme tamam","İncelenmedi",IF(H345="Uygulanmaz","Uygulanmaz",P345)))</x:f>
        <x:v>İncelenmedi</x:v>
      </x:c>
    </x:row>
    <x:row r="346" ht="35" customHeight="1">
      <x:c r="A346" s="12" t="str">
        <x:v>U-0341</x:v>
      </x:c>
      <x:c r="B346" s="12" t="str">
        <x:v>PAM-012</x:v>
      </x:c>
      <x:c r="C346" s="12" t="str">
        <x:v>CyberArk PAM</x:v>
      </x:c>
      <x:c r="D346" s="12" t="str"/>
      <x:c r="E346" s="12" t="str"/>
      <x:c r="F346" s="12" t="str"/>
      <x:c r="G346" s="12" t="str"/>
      <x:c r="H346" s="12" t="str">
        <x:v>Belirlenecek</x:v>
      </x:c>
      <x:c r="I346" s="12" t="str"/>
      <x:c r="J346" s="12" t="str"/>
      <x:c r="K346" s="12" t="str"/>
      <x:c r="L346" s="13" t="str"/>
      <x:c r="M346" s="12" t="str"/>
      <x:c r="N346" s="12" t="str">
        <x:v>İncelenmedi</x:v>
      </x:c>
      <x:c r="O346" s="12" t="str">
        <x:v>İncelenmedi</x:v>
      </x:c>
      <x:c r="P346" s="12" t="str">
        <x:v>İncelenmedi</x:v>
      </x:c>
      <x:c r="Q346" s="12" t="str"/>
      <x:c r="R346" s="12" t="str"/>
      <x:c r="S346" s="13" t="str"/>
      <x:c r="T346" s="12" t="str"/>
      <x:c r="U346" s="12" t="str"/>
      <x:c r="V346" s="14" t="str">
        <x:f>IF(A346="","",IF(NOT(AND(COUNTIF(Exec[TestID],A346)=1,COUNTIF(Controls[ID],B346)=1,COUNTIFS(Scope[KapsamID],D346,Scope[OnayliKapsamID],D346,Scope[Ürün],C346)=1,OR(COUNTIFS(Controls[ID],B346,Controls[Ürün],C346)=1,COUNTIFS(Controls[ID],B346,Controls[Ürün],"MSP Genel")=1),E346&lt;&gt;"",F346&lt;&gt;"",G346&lt;&gt;"",I346&lt;&gt;"",Q346&lt;&gt;"")),"Kimlik / kapsam eksik",IF(NOT(OR(H346="Uygulanır",H346="Uygulanmaz")),"Uygulanabilirlik eksik",IF(AND(H346="Uygulanır",P346="Kanıt yetersiz",U346&lt;&gt;""),IF(AND(R346&lt;&gt;"",R346&lt;&gt;Q346,ISNUMBER(S346),S346&gt;0,S346&gt;=L346),"İnceleme tamam","Gözden geçirme eksik"),IF(NOT(AND(J346&lt;&gt;"",COUNTIFS(Evidence[KanitID],J346,Evidence[Kabul edilen ID],J346)=1,K346&lt;&gt;"",ISNUMBER(L346),L346&gt;0,M346&lt;&gt;"")),"Kanıt / test eksik",IF(NOT(AND(R346&lt;&gt;"",R346&lt;&gt;Q346,ISNUMBER(S346),S346&gt;0,S346&gt;=L346)),"Gözden geçirme eksik",IF(H346="Uygulanmaz","İnceleme tamam",IF(AND(OR(P346="Uygun",P346="Kısmen uygun",P346="Uygunsuz"),OR(N346="Uygun",N346="Kısmen uygun",N346="Uygunsuz"),OR(O346="Uygun",O346="Kısmen uygun",O346="Uygunsuz"),OR(P346&lt;&gt;"Uygun",AND(N346="Uygun",O346="Uygun")),OR(P346="Uygun",AND(T346&lt;&gt;"",COUNTIF(Findings[KayitliBulguID],T346)=1))),"İnceleme tamam","Sonuç / bulgu eksik"))))))))</x:f>
        <x:v>Kimlik / kapsam eksik</x:v>
      </x:c>
      <x:c r="W346" s="14" t="str">
        <x:f>IF(A346="","",IF(V346&lt;&gt;"İnceleme tamam","İncelenmedi",IF(H346="Uygulanmaz","Uygulanmaz",P346)))</x:f>
        <x:v>İncelenmedi</x:v>
      </x:c>
    </x:row>
    <x:row r="347" ht="35" customHeight="1">
      <x:c r="A347" s="12" t="str">
        <x:v>U-0342</x:v>
      </x:c>
      <x:c r="B347" s="12" t="str">
        <x:v>PAM-013</x:v>
      </x:c>
      <x:c r="C347" s="12" t="str">
        <x:v>CyberArk PAM</x:v>
      </x:c>
      <x:c r="D347" s="12" t="str"/>
      <x:c r="E347" s="12" t="str"/>
      <x:c r="F347" s="12" t="str"/>
      <x:c r="G347" s="12" t="str"/>
      <x:c r="H347" s="12" t="str">
        <x:v>Belirlenecek</x:v>
      </x:c>
      <x:c r="I347" s="12" t="str"/>
      <x:c r="J347" s="12" t="str"/>
      <x:c r="K347" s="12" t="str"/>
      <x:c r="L347" s="13" t="str"/>
      <x:c r="M347" s="12" t="str"/>
      <x:c r="N347" s="12" t="str">
        <x:v>İncelenmedi</x:v>
      </x:c>
      <x:c r="O347" s="12" t="str">
        <x:v>İncelenmedi</x:v>
      </x:c>
      <x:c r="P347" s="12" t="str">
        <x:v>İncelenmedi</x:v>
      </x:c>
      <x:c r="Q347" s="12" t="str"/>
      <x:c r="R347" s="12" t="str"/>
      <x:c r="S347" s="13" t="str"/>
      <x:c r="T347" s="12" t="str"/>
      <x:c r="U347" s="12" t="str"/>
      <x:c r="V347" s="14" t="str">
        <x:f>IF(A347="","",IF(NOT(AND(COUNTIF(Exec[TestID],A347)=1,COUNTIF(Controls[ID],B347)=1,COUNTIFS(Scope[KapsamID],D347,Scope[OnayliKapsamID],D347,Scope[Ürün],C347)=1,OR(COUNTIFS(Controls[ID],B347,Controls[Ürün],C347)=1,COUNTIFS(Controls[ID],B347,Controls[Ürün],"MSP Genel")=1),E347&lt;&gt;"",F347&lt;&gt;"",G347&lt;&gt;"",I347&lt;&gt;"",Q347&lt;&gt;"")),"Kimlik / kapsam eksik",IF(NOT(OR(H347="Uygulanır",H347="Uygulanmaz")),"Uygulanabilirlik eksik",IF(AND(H347="Uygulanır",P347="Kanıt yetersiz",U347&lt;&gt;""),IF(AND(R347&lt;&gt;"",R347&lt;&gt;Q347,ISNUMBER(S347),S347&gt;0,S347&gt;=L347),"İnceleme tamam","Gözden geçirme eksik"),IF(NOT(AND(J347&lt;&gt;"",COUNTIFS(Evidence[KanitID],J347,Evidence[Kabul edilen ID],J347)=1,K347&lt;&gt;"",ISNUMBER(L347),L347&gt;0,M347&lt;&gt;"")),"Kanıt / test eksik",IF(NOT(AND(R347&lt;&gt;"",R347&lt;&gt;Q347,ISNUMBER(S347),S347&gt;0,S347&gt;=L347)),"Gözden geçirme eksik",IF(H347="Uygulanmaz","İnceleme tamam",IF(AND(OR(P347="Uygun",P347="Kısmen uygun",P347="Uygunsuz"),OR(N347="Uygun",N347="Kısmen uygun",N347="Uygunsuz"),OR(O347="Uygun",O347="Kısmen uygun",O347="Uygunsuz"),OR(P347&lt;&gt;"Uygun",AND(N347="Uygun",O347="Uygun")),OR(P347="Uygun",AND(T347&lt;&gt;"",COUNTIF(Findings[KayitliBulguID],T347)=1))),"İnceleme tamam","Sonuç / bulgu eksik"))))))))</x:f>
        <x:v>Kimlik / kapsam eksik</x:v>
      </x:c>
      <x:c r="W347" s="14" t="str">
        <x:f>IF(A347="","",IF(V347&lt;&gt;"İnceleme tamam","İncelenmedi",IF(H347="Uygulanmaz","Uygulanmaz",P347)))</x:f>
        <x:v>İncelenmedi</x:v>
      </x:c>
    </x:row>
    <x:row r="348" ht="35" customHeight="1">
      <x:c r="A348" s="12" t="str">
        <x:v>U-0343</x:v>
      </x:c>
      <x:c r="B348" s="12" t="str">
        <x:v>PAM-014</x:v>
      </x:c>
      <x:c r="C348" s="12" t="str">
        <x:v>CyberArk PAM</x:v>
      </x:c>
      <x:c r="D348" s="12" t="str"/>
      <x:c r="E348" s="12" t="str"/>
      <x:c r="F348" s="12" t="str"/>
      <x:c r="G348" s="12" t="str"/>
      <x:c r="H348" s="12" t="str">
        <x:v>Belirlenecek</x:v>
      </x:c>
      <x:c r="I348" s="12" t="str"/>
      <x:c r="J348" s="12" t="str"/>
      <x:c r="K348" s="12" t="str"/>
      <x:c r="L348" s="13" t="str"/>
      <x:c r="M348" s="12" t="str"/>
      <x:c r="N348" s="12" t="str">
        <x:v>İncelenmedi</x:v>
      </x:c>
      <x:c r="O348" s="12" t="str">
        <x:v>İncelenmedi</x:v>
      </x:c>
      <x:c r="P348" s="12" t="str">
        <x:v>İncelenmedi</x:v>
      </x:c>
      <x:c r="Q348" s="12" t="str"/>
      <x:c r="R348" s="12" t="str"/>
      <x:c r="S348" s="13" t="str"/>
      <x:c r="T348" s="12" t="str"/>
      <x:c r="U348" s="12" t="str"/>
      <x:c r="V348" s="14" t="str">
        <x:f>IF(A348="","",IF(NOT(AND(COUNTIF(Exec[TestID],A348)=1,COUNTIF(Controls[ID],B348)=1,COUNTIFS(Scope[KapsamID],D348,Scope[OnayliKapsamID],D348,Scope[Ürün],C348)=1,OR(COUNTIFS(Controls[ID],B348,Controls[Ürün],C348)=1,COUNTIFS(Controls[ID],B348,Controls[Ürün],"MSP Genel")=1),E348&lt;&gt;"",F348&lt;&gt;"",G348&lt;&gt;"",I348&lt;&gt;"",Q348&lt;&gt;"")),"Kimlik / kapsam eksik",IF(NOT(OR(H348="Uygulanır",H348="Uygulanmaz")),"Uygulanabilirlik eksik",IF(AND(H348="Uygulanır",P348="Kanıt yetersiz",U348&lt;&gt;""),IF(AND(R348&lt;&gt;"",R348&lt;&gt;Q348,ISNUMBER(S348),S348&gt;0,S348&gt;=L348),"İnceleme tamam","Gözden geçirme eksik"),IF(NOT(AND(J348&lt;&gt;"",COUNTIFS(Evidence[KanitID],J348,Evidence[Kabul edilen ID],J348)=1,K348&lt;&gt;"",ISNUMBER(L348),L348&gt;0,M348&lt;&gt;"")),"Kanıt / test eksik",IF(NOT(AND(R348&lt;&gt;"",R348&lt;&gt;Q348,ISNUMBER(S348),S348&gt;0,S348&gt;=L348)),"Gözden geçirme eksik",IF(H348="Uygulanmaz","İnceleme tamam",IF(AND(OR(P348="Uygun",P348="Kısmen uygun",P348="Uygunsuz"),OR(N348="Uygun",N348="Kısmen uygun",N348="Uygunsuz"),OR(O348="Uygun",O348="Kısmen uygun",O348="Uygunsuz"),OR(P348&lt;&gt;"Uygun",AND(N348="Uygun",O348="Uygun")),OR(P348="Uygun",AND(T348&lt;&gt;"",COUNTIF(Findings[KayitliBulguID],T348)=1))),"İnceleme tamam","Sonuç / bulgu eksik"))))))))</x:f>
        <x:v>Kimlik / kapsam eksik</x:v>
      </x:c>
      <x:c r="W348" s="14" t="str">
        <x:f>IF(A348="","",IF(V348&lt;&gt;"İnceleme tamam","İncelenmedi",IF(H348="Uygulanmaz","Uygulanmaz",P348)))</x:f>
        <x:v>İncelenmedi</x:v>
      </x:c>
    </x:row>
    <x:row r="349" ht="35" customHeight="1">
      <x:c r="A349" s="12" t="str">
        <x:v>U-0344</x:v>
      </x:c>
      <x:c r="B349" s="12" t="str">
        <x:v>DLP-007</x:v>
      </x:c>
      <x:c r="C349" s="12" t="str">
        <x:v>Forcepoint DLP</x:v>
      </x:c>
      <x:c r="D349" s="12" t="str"/>
      <x:c r="E349" s="12" t="str"/>
      <x:c r="F349" s="12" t="str"/>
      <x:c r="G349" s="12" t="str"/>
      <x:c r="H349" s="12" t="str">
        <x:v>Belirlenecek</x:v>
      </x:c>
      <x:c r="I349" s="12" t="str"/>
      <x:c r="J349" s="12" t="str"/>
      <x:c r="K349" s="12" t="str"/>
      <x:c r="L349" s="13" t="str"/>
      <x:c r="M349" s="12" t="str"/>
      <x:c r="N349" s="12" t="str">
        <x:v>İncelenmedi</x:v>
      </x:c>
      <x:c r="O349" s="12" t="str">
        <x:v>İncelenmedi</x:v>
      </x:c>
      <x:c r="P349" s="12" t="str">
        <x:v>İncelenmedi</x:v>
      </x:c>
      <x:c r="Q349" s="12" t="str"/>
      <x:c r="R349" s="12" t="str"/>
      <x:c r="S349" s="13" t="str"/>
      <x:c r="T349" s="12" t="str"/>
      <x:c r="U349" s="12" t="str"/>
      <x:c r="V349" s="14" t="str">
        <x:f>IF(A349="","",IF(NOT(AND(COUNTIF(Exec[TestID],A349)=1,COUNTIF(Controls[ID],B349)=1,COUNTIFS(Scope[KapsamID],D349,Scope[OnayliKapsamID],D349,Scope[Ürün],C349)=1,OR(COUNTIFS(Controls[ID],B349,Controls[Ürün],C349)=1,COUNTIFS(Controls[ID],B349,Controls[Ürün],"MSP Genel")=1),E349&lt;&gt;"",F349&lt;&gt;"",G349&lt;&gt;"",I349&lt;&gt;"",Q349&lt;&gt;"")),"Kimlik / kapsam eksik",IF(NOT(OR(H349="Uygulanır",H349="Uygulanmaz")),"Uygulanabilirlik eksik",IF(AND(H349="Uygulanır",P349="Kanıt yetersiz",U349&lt;&gt;""),IF(AND(R349&lt;&gt;"",R349&lt;&gt;Q349,ISNUMBER(S349),S349&gt;0,S349&gt;=L349),"İnceleme tamam","Gözden geçirme eksik"),IF(NOT(AND(J349&lt;&gt;"",COUNTIFS(Evidence[KanitID],J349,Evidence[Kabul edilen ID],J349)=1,K349&lt;&gt;"",ISNUMBER(L349),L349&gt;0,M349&lt;&gt;"")),"Kanıt / test eksik",IF(NOT(AND(R349&lt;&gt;"",R349&lt;&gt;Q349,ISNUMBER(S349),S349&gt;0,S349&gt;=L349)),"Gözden geçirme eksik",IF(H349="Uygulanmaz","İnceleme tamam",IF(AND(OR(P349="Uygun",P349="Kısmen uygun",P349="Uygunsuz"),OR(N349="Uygun",N349="Kısmen uygun",N349="Uygunsuz"),OR(O349="Uygun",O349="Kısmen uygun",O349="Uygunsuz"),OR(P349&lt;&gt;"Uygun",AND(N349="Uygun",O349="Uygun")),OR(P349="Uygun",AND(T349&lt;&gt;"",COUNTIF(Findings[KayitliBulguID],T349)=1))),"İnceleme tamam","Sonuç / bulgu eksik"))))))))</x:f>
        <x:v>Kimlik / kapsam eksik</x:v>
      </x:c>
      <x:c r="W349" s="14" t="str">
        <x:f>IF(A349="","",IF(V349&lt;&gt;"İnceleme tamam","İncelenmedi",IF(H349="Uygulanmaz","Uygulanmaz",P349)))</x:f>
        <x:v>İncelenmedi</x:v>
      </x:c>
    </x:row>
    <x:row r="350" ht="35" customHeight="1">
      <x:c r="A350" s="12" t="str">
        <x:v>U-0345</x:v>
      </x:c>
      <x:c r="B350" s="12" t="str">
        <x:v>DLP-008</x:v>
      </x:c>
      <x:c r="C350" s="12" t="str">
        <x:v>Forcepoint DLP</x:v>
      </x:c>
      <x:c r="D350" s="12" t="str"/>
      <x:c r="E350" s="12" t="str"/>
      <x:c r="F350" s="12" t="str"/>
      <x:c r="G350" s="12" t="str"/>
      <x:c r="H350" s="12" t="str">
        <x:v>Belirlenecek</x:v>
      </x:c>
      <x:c r="I350" s="12" t="str"/>
      <x:c r="J350" s="12" t="str"/>
      <x:c r="K350" s="12" t="str"/>
      <x:c r="L350" s="13" t="str"/>
      <x:c r="M350" s="12" t="str"/>
      <x:c r="N350" s="12" t="str">
        <x:v>İncelenmedi</x:v>
      </x:c>
      <x:c r="O350" s="12" t="str">
        <x:v>İncelenmedi</x:v>
      </x:c>
      <x:c r="P350" s="12" t="str">
        <x:v>İncelenmedi</x:v>
      </x:c>
      <x:c r="Q350" s="12" t="str"/>
      <x:c r="R350" s="12" t="str"/>
      <x:c r="S350" s="13" t="str"/>
      <x:c r="T350" s="12" t="str"/>
      <x:c r="U350" s="12" t="str"/>
      <x:c r="V350" s="14" t="str">
        <x:f>IF(A350="","",IF(NOT(AND(COUNTIF(Exec[TestID],A350)=1,COUNTIF(Controls[ID],B350)=1,COUNTIFS(Scope[KapsamID],D350,Scope[OnayliKapsamID],D350,Scope[Ürün],C350)=1,OR(COUNTIFS(Controls[ID],B350,Controls[Ürün],C350)=1,COUNTIFS(Controls[ID],B350,Controls[Ürün],"MSP Genel")=1),E350&lt;&gt;"",F350&lt;&gt;"",G350&lt;&gt;"",I350&lt;&gt;"",Q350&lt;&gt;"")),"Kimlik / kapsam eksik",IF(NOT(OR(H350="Uygulanır",H350="Uygulanmaz")),"Uygulanabilirlik eksik",IF(AND(H350="Uygulanır",P350="Kanıt yetersiz",U350&lt;&gt;""),IF(AND(R350&lt;&gt;"",R350&lt;&gt;Q350,ISNUMBER(S350),S350&gt;0,S350&gt;=L350),"İnceleme tamam","Gözden geçirme eksik"),IF(NOT(AND(J350&lt;&gt;"",COUNTIFS(Evidence[KanitID],J350,Evidence[Kabul edilen ID],J350)=1,K350&lt;&gt;"",ISNUMBER(L350),L350&gt;0,M350&lt;&gt;"")),"Kanıt / test eksik",IF(NOT(AND(R350&lt;&gt;"",R350&lt;&gt;Q350,ISNUMBER(S350),S350&gt;0,S350&gt;=L350)),"Gözden geçirme eksik",IF(H350="Uygulanmaz","İnceleme tamam",IF(AND(OR(P350="Uygun",P350="Kısmen uygun",P350="Uygunsuz"),OR(N350="Uygun",N350="Kısmen uygun",N350="Uygunsuz"),OR(O350="Uygun",O350="Kısmen uygun",O350="Uygunsuz"),OR(P350&lt;&gt;"Uygun",AND(N350="Uygun",O350="Uygun")),OR(P350="Uygun",AND(T350&lt;&gt;"",COUNTIF(Findings[KayitliBulguID],T350)=1))),"İnceleme tamam","Sonuç / bulgu eksik"))))))))</x:f>
        <x:v>Kimlik / kapsam eksik</x:v>
      </x:c>
      <x:c r="W350" s="14" t="str">
        <x:f>IF(A350="","",IF(V350&lt;&gt;"İnceleme tamam","İncelenmedi",IF(H350="Uygulanmaz","Uygulanmaz",P350)))</x:f>
        <x:v>İncelenmedi</x:v>
      </x:c>
    </x:row>
    <x:row r="351" ht="35" customHeight="1">
      <x:c r="A351" s="12" t="str">
        <x:v>U-0346</x:v>
      </x:c>
      <x:c r="B351" s="12" t="str">
        <x:v>DLP-009</x:v>
      </x:c>
      <x:c r="C351" s="12" t="str">
        <x:v>Forcepoint DLP</x:v>
      </x:c>
      <x:c r="D351" s="12" t="str"/>
      <x:c r="E351" s="12" t="str"/>
      <x:c r="F351" s="12" t="str"/>
      <x:c r="G351" s="12" t="str"/>
      <x:c r="H351" s="12" t="str">
        <x:v>Belirlenecek</x:v>
      </x:c>
      <x:c r="I351" s="12" t="str"/>
      <x:c r="J351" s="12" t="str"/>
      <x:c r="K351" s="12" t="str"/>
      <x:c r="L351" s="13" t="str"/>
      <x:c r="M351" s="12" t="str"/>
      <x:c r="N351" s="12" t="str">
        <x:v>İncelenmedi</x:v>
      </x:c>
      <x:c r="O351" s="12" t="str">
        <x:v>İncelenmedi</x:v>
      </x:c>
      <x:c r="P351" s="12" t="str">
        <x:v>İncelenmedi</x:v>
      </x:c>
      <x:c r="Q351" s="12" t="str"/>
      <x:c r="R351" s="12" t="str"/>
      <x:c r="S351" s="13" t="str"/>
      <x:c r="T351" s="12" t="str"/>
      <x:c r="U351" s="12" t="str"/>
      <x:c r="V351" s="14" t="str">
        <x:f>IF(A351="","",IF(NOT(AND(COUNTIF(Exec[TestID],A351)=1,COUNTIF(Controls[ID],B351)=1,COUNTIFS(Scope[KapsamID],D351,Scope[OnayliKapsamID],D351,Scope[Ürün],C351)=1,OR(COUNTIFS(Controls[ID],B351,Controls[Ürün],C351)=1,COUNTIFS(Controls[ID],B351,Controls[Ürün],"MSP Genel")=1),E351&lt;&gt;"",F351&lt;&gt;"",G351&lt;&gt;"",I351&lt;&gt;"",Q351&lt;&gt;"")),"Kimlik / kapsam eksik",IF(NOT(OR(H351="Uygulanır",H351="Uygulanmaz")),"Uygulanabilirlik eksik",IF(AND(H351="Uygulanır",P351="Kanıt yetersiz",U351&lt;&gt;""),IF(AND(R351&lt;&gt;"",R351&lt;&gt;Q351,ISNUMBER(S351),S351&gt;0,S351&gt;=L351),"İnceleme tamam","Gözden geçirme eksik"),IF(NOT(AND(J351&lt;&gt;"",COUNTIFS(Evidence[KanitID],J351,Evidence[Kabul edilen ID],J351)=1,K351&lt;&gt;"",ISNUMBER(L351),L351&gt;0,M351&lt;&gt;"")),"Kanıt / test eksik",IF(NOT(AND(R351&lt;&gt;"",R351&lt;&gt;Q351,ISNUMBER(S351),S351&gt;0,S351&gt;=L351)),"Gözden geçirme eksik",IF(H351="Uygulanmaz","İnceleme tamam",IF(AND(OR(P351="Uygun",P351="Kısmen uygun",P351="Uygunsuz"),OR(N351="Uygun",N351="Kısmen uygun",N351="Uygunsuz"),OR(O351="Uygun",O351="Kısmen uygun",O351="Uygunsuz"),OR(P351&lt;&gt;"Uygun",AND(N351="Uygun",O351="Uygun")),OR(P351="Uygun",AND(T351&lt;&gt;"",COUNTIF(Findings[KayitliBulguID],T351)=1))),"İnceleme tamam","Sonuç / bulgu eksik"))))))))</x:f>
        <x:v>Kimlik / kapsam eksik</x:v>
      </x:c>
      <x:c r="W351" s="14" t="str">
        <x:f>IF(A351="","",IF(V351&lt;&gt;"İnceleme tamam","İncelenmedi",IF(H351="Uygulanmaz","Uygulanmaz",P351)))</x:f>
        <x:v>İncelenmedi</x:v>
      </x:c>
    </x:row>
    <x:row r="352" ht="35" customHeight="1">
      <x:c r="A352" s="12" t="str">
        <x:v>U-0347</x:v>
      </x:c>
      <x:c r="B352" s="12" t="str">
        <x:v>DLP-010</x:v>
      </x:c>
      <x:c r="C352" s="12" t="str">
        <x:v>Forcepoint DLP</x:v>
      </x:c>
      <x:c r="D352" s="12" t="str"/>
      <x:c r="E352" s="12" t="str"/>
      <x:c r="F352" s="12" t="str"/>
      <x:c r="G352" s="12" t="str"/>
      <x:c r="H352" s="12" t="str">
        <x:v>Belirlenecek</x:v>
      </x:c>
      <x:c r="I352" s="12" t="str"/>
      <x:c r="J352" s="12" t="str"/>
      <x:c r="K352" s="12" t="str"/>
      <x:c r="L352" s="13" t="str"/>
      <x:c r="M352" s="12" t="str"/>
      <x:c r="N352" s="12" t="str">
        <x:v>İncelenmedi</x:v>
      </x:c>
      <x:c r="O352" s="12" t="str">
        <x:v>İncelenmedi</x:v>
      </x:c>
      <x:c r="P352" s="12" t="str">
        <x:v>İncelenmedi</x:v>
      </x:c>
      <x:c r="Q352" s="12" t="str"/>
      <x:c r="R352" s="12" t="str"/>
      <x:c r="S352" s="13" t="str"/>
      <x:c r="T352" s="12" t="str"/>
      <x:c r="U352" s="12" t="str"/>
      <x:c r="V352" s="14" t="str">
        <x:f>IF(A352="","",IF(NOT(AND(COUNTIF(Exec[TestID],A352)=1,COUNTIF(Controls[ID],B352)=1,COUNTIFS(Scope[KapsamID],D352,Scope[OnayliKapsamID],D352,Scope[Ürün],C352)=1,OR(COUNTIFS(Controls[ID],B352,Controls[Ürün],C352)=1,COUNTIFS(Controls[ID],B352,Controls[Ürün],"MSP Genel")=1),E352&lt;&gt;"",F352&lt;&gt;"",G352&lt;&gt;"",I352&lt;&gt;"",Q352&lt;&gt;"")),"Kimlik / kapsam eksik",IF(NOT(OR(H352="Uygulanır",H352="Uygulanmaz")),"Uygulanabilirlik eksik",IF(AND(H352="Uygulanır",P352="Kanıt yetersiz",U352&lt;&gt;""),IF(AND(R352&lt;&gt;"",R352&lt;&gt;Q352,ISNUMBER(S352),S352&gt;0,S352&gt;=L352),"İnceleme tamam","Gözden geçirme eksik"),IF(NOT(AND(J352&lt;&gt;"",COUNTIFS(Evidence[KanitID],J352,Evidence[Kabul edilen ID],J352)=1,K352&lt;&gt;"",ISNUMBER(L352),L352&gt;0,M352&lt;&gt;"")),"Kanıt / test eksik",IF(NOT(AND(R352&lt;&gt;"",R352&lt;&gt;Q352,ISNUMBER(S352),S352&gt;0,S352&gt;=L352)),"Gözden geçirme eksik",IF(H352="Uygulanmaz","İnceleme tamam",IF(AND(OR(P352="Uygun",P352="Kısmen uygun",P352="Uygunsuz"),OR(N352="Uygun",N352="Kısmen uygun",N352="Uygunsuz"),OR(O352="Uygun",O352="Kısmen uygun",O352="Uygunsuz"),OR(P352&lt;&gt;"Uygun",AND(N352="Uygun",O352="Uygun")),OR(P352="Uygun",AND(T352&lt;&gt;"",COUNTIF(Findings[KayitliBulguID],T352)=1))),"İnceleme tamam","Sonuç / bulgu eksik"))))))))</x:f>
        <x:v>Kimlik / kapsam eksik</x:v>
      </x:c>
      <x:c r="W352" s="14" t="str">
        <x:f>IF(A352="","",IF(V352&lt;&gt;"İnceleme tamam","İncelenmedi",IF(H352="Uygulanmaz","Uygulanmaz",P352)))</x:f>
        <x:v>İncelenmedi</x:v>
      </x:c>
    </x:row>
    <x:row r="353" ht="35" customHeight="1">
      <x:c r="A353" s="12" t="str">
        <x:v>U-0348</x:v>
      </x:c>
      <x:c r="B353" s="12" t="str">
        <x:v>DLP-011</x:v>
      </x:c>
      <x:c r="C353" s="12" t="str">
        <x:v>Forcepoint DLP</x:v>
      </x:c>
      <x:c r="D353" s="12" t="str"/>
      <x:c r="E353" s="12" t="str"/>
      <x:c r="F353" s="12" t="str"/>
      <x:c r="G353" s="12" t="str"/>
      <x:c r="H353" s="12" t="str">
        <x:v>Belirlenecek</x:v>
      </x:c>
      <x:c r="I353" s="12" t="str"/>
      <x:c r="J353" s="12" t="str"/>
      <x:c r="K353" s="12" t="str"/>
      <x:c r="L353" s="13" t="str"/>
      <x:c r="M353" s="12" t="str"/>
      <x:c r="N353" s="12" t="str">
        <x:v>İncelenmedi</x:v>
      </x:c>
      <x:c r="O353" s="12" t="str">
        <x:v>İncelenmedi</x:v>
      </x:c>
      <x:c r="P353" s="12" t="str">
        <x:v>İncelenmedi</x:v>
      </x:c>
      <x:c r="Q353" s="12" t="str"/>
      <x:c r="R353" s="12" t="str"/>
      <x:c r="S353" s="13" t="str"/>
      <x:c r="T353" s="12" t="str"/>
      <x:c r="U353" s="12" t="str"/>
      <x:c r="V353" s="14" t="str">
        <x:f>IF(A353="","",IF(NOT(AND(COUNTIF(Exec[TestID],A353)=1,COUNTIF(Controls[ID],B353)=1,COUNTIFS(Scope[KapsamID],D353,Scope[OnayliKapsamID],D353,Scope[Ürün],C353)=1,OR(COUNTIFS(Controls[ID],B353,Controls[Ürün],C353)=1,COUNTIFS(Controls[ID],B353,Controls[Ürün],"MSP Genel")=1),E353&lt;&gt;"",F353&lt;&gt;"",G353&lt;&gt;"",I353&lt;&gt;"",Q353&lt;&gt;"")),"Kimlik / kapsam eksik",IF(NOT(OR(H353="Uygulanır",H353="Uygulanmaz")),"Uygulanabilirlik eksik",IF(AND(H353="Uygulanır",P353="Kanıt yetersiz",U353&lt;&gt;""),IF(AND(R353&lt;&gt;"",R353&lt;&gt;Q353,ISNUMBER(S353),S353&gt;0,S353&gt;=L353),"İnceleme tamam","Gözden geçirme eksik"),IF(NOT(AND(J353&lt;&gt;"",COUNTIFS(Evidence[KanitID],J353,Evidence[Kabul edilen ID],J353)=1,K353&lt;&gt;"",ISNUMBER(L353),L353&gt;0,M353&lt;&gt;"")),"Kanıt / test eksik",IF(NOT(AND(R353&lt;&gt;"",R353&lt;&gt;Q353,ISNUMBER(S353),S353&gt;0,S353&gt;=L353)),"Gözden geçirme eksik",IF(H353="Uygulanmaz","İnceleme tamam",IF(AND(OR(P353="Uygun",P353="Kısmen uygun",P353="Uygunsuz"),OR(N353="Uygun",N353="Kısmen uygun",N353="Uygunsuz"),OR(O353="Uygun",O353="Kısmen uygun",O353="Uygunsuz"),OR(P353&lt;&gt;"Uygun",AND(N353="Uygun",O353="Uygun")),OR(P353="Uygun",AND(T353&lt;&gt;"",COUNTIF(Findings[KayitliBulguID],T353)=1))),"İnceleme tamam","Sonuç / bulgu eksik"))))))))</x:f>
        <x:v>Kimlik / kapsam eksik</x:v>
      </x:c>
      <x:c r="W353" s="14" t="str">
        <x:f>IF(A353="","",IF(V353&lt;&gt;"İnceleme tamam","İncelenmedi",IF(H353="Uygulanmaz","Uygulanmaz",P353)))</x:f>
        <x:v>İncelenmedi</x:v>
      </x:c>
    </x:row>
    <x:row r="354" ht="35" customHeight="1">
      <x:c r="A354" s="12" t="str">
        <x:v>U-0349</x:v>
      </x:c>
      <x:c r="B354" s="12" t="str">
        <x:v>DLP-012</x:v>
      </x:c>
      <x:c r="C354" s="12" t="str">
        <x:v>Forcepoint DLP</x:v>
      </x:c>
      <x:c r="D354" s="12" t="str"/>
      <x:c r="E354" s="12" t="str"/>
      <x:c r="F354" s="12" t="str"/>
      <x:c r="G354" s="12" t="str"/>
      <x:c r="H354" s="12" t="str">
        <x:v>Belirlenecek</x:v>
      </x:c>
      <x:c r="I354" s="12" t="str"/>
      <x:c r="J354" s="12" t="str"/>
      <x:c r="K354" s="12" t="str"/>
      <x:c r="L354" s="13" t="str"/>
      <x:c r="M354" s="12" t="str"/>
      <x:c r="N354" s="12" t="str">
        <x:v>İncelenmedi</x:v>
      </x:c>
      <x:c r="O354" s="12" t="str">
        <x:v>İncelenmedi</x:v>
      </x:c>
      <x:c r="P354" s="12" t="str">
        <x:v>İncelenmedi</x:v>
      </x:c>
      <x:c r="Q354" s="12" t="str"/>
      <x:c r="R354" s="12" t="str"/>
      <x:c r="S354" s="13" t="str"/>
      <x:c r="T354" s="12" t="str"/>
      <x:c r="U354" s="12" t="str"/>
      <x:c r="V354" s="14" t="str">
        <x:f>IF(A354="","",IF(NOT(AND(COUNTIF(Exec[TestID],A354)=1,COUNTIF(Controls[ID],B354)=1,COUNTIFS(Scope[KapsamID],D354,Scope[OnayliKapsamID],D354,Scope[Ürün],C354)=1,OR(COUNTIFS(Controls[ID],B354,Controls[Ürün],C354)=1,COUNTIFS(Controls[ID],B354,Controls[Ürün],"MSP Genel")=1),E354&lt;&gt;"",F354&lt;&gt;"",G354&lt;&gt;"",I354&lt;&gt;"",Q354&lt;&gt;"")),"Kimlik / kapsam eksik",IF(NOT(OR(H354="Uygulanır",H354="Uygulanmaz")),"Uygulanabilirlik eksik",IF(AND(H354="Uygulanır",P354="Kanıt yetersiz",U354&lt;&gt;""),IF(AND(R354&lt;&gt;"",R354&lt;&gt;Q354,ISNUMBER(S354),S354&gt;0,S354&gt;=L354),"İnceleme tamam","Gözden geçirme eksik"),IF(NOT(AND(J354&lt;&gt;"",COUNTIFS(Evidence[KanitID],J354,Evidence[Kabul edilen ID],J354)=1,K354&lt;&gt;"",ISNUMBER(L354),L354&gt;0,M354&lt;&gt;"")),"Kanıt / test eksik",IF(NOT(AND(R354&lt;&gt;"",R354&lt;&gt;Q354,ISNUMBER(S354),S354&gt;0,S354&gt;=L354)),"Gözden geçirme eksik",IF(H354="Uygulanmaz","İnceleme tamam",IF(AND(OR(P354="Uygun",P354="Kısmen uygun",P354="Uygunsuz"),OR(N354="Uygun",N354="Kısmen uygun",N354="Uygunsuz"),OR(O354="Uygun",O354="Kısmen uygun",O354="Uygunsuz"),OR(P354&lt;&gt;"Uygun",AND(N354="Uygun",O354="Uygun")),OR(P354="Uygun",AND(T354&lt;&gt;"",COUNTIF(Findings[KayitliBulguID],T354)=1))),"İnceleme tamam","Sonuç / bulgu eksik"))))))))</x:f>
        <x:v>Kimlik / kapsam eksik</x:v>
      </x:c>
      <x:c r="W354" s="14" t="str">
        <x:f>IF(A354="","",IF(V354&lt;&gt;"İnceleme tamam","İncelenmedi",IF(H354="Uygulanmaz","Uygulanmaz",P354)))</x:f>
        <x:v>İncelenmedi</x:v>
      </x:c>
    </x:row>
    <x:row r="355" ht="35" customHeight="1">
      <x:c r="A355" s="12" t="str">
        <x:v>U-0350</x:v>
      </x:c>
      <x:c r="B355" s="12" t="str">
        <x:v>DLP-013</x:v>
      </x:c>
      <x:c r="C355" s="12" t="str">
        <x:v>Forcepoint DLP</x:v>
      </x:c>
      <x:c r="D355" s="12" t="str"/>
      <x:c r="E355" s="12" t="str"/>
      <x:c r="F355" s="12" t="str"/>
      <x:c r="G355" s="12" t="str"/>
      <x:c r="H355" s="12" t="str">
        <x:v>Belirlenecek</x:v>
      </x:c>
      <x:c r="I355" s="12" t="str"/>
      <x:c r="J355" s="12" t="str"/>
      <x:c r="K355" s="12" t="str"/>
      <x:c r="L355" s="13" t="str"/>
      <x:c r="M355" s="12" t="str"/>
      <x:c r="N355" s="12" t="str">
        <x:v>İncelenmedi</x:v>
      </x:c>
      <x:c r="O355" s="12" t="str">
        <x:v>İncelenmedi</x:v>
      </x:c>
      <x:c r="P355" s="12" t="str">
        <x:v>İncelenmedi</x:v>
      </x:c>
      <x:c r="Q355" s="12" t="str"/>
      <x:c r="R355" s="12" t="str"/>
      <x:c r="S355" s="13" t="str"/>
      <x:c r="T355" s="12" t="str"/>
      <x:c r="U355" s="12" t="str"/>
      <x:c r="V355" s="14" t="str">
        <x:f>IF(A355="","",IF(NOT(AND(COUNTIF(Exec[TestID],A355)=1,COUNTIF(Controls[ID],B355)=1,COUNTIFS(Scope[KapsamID],D355,Scope[OnayliKapsamID],D355,Scope[Ürün],C355)=1,OR(COUNTIFS(Controls[ID],B355,Controls[Ürün],C355)=1,COUNTIFS(Controls[ID],B355,Controls[Ürün],"MSP Genel")=1),E355&lt;&gt;"",F355&lt;&gt;"",G355&lt;&gt;"",I355&lt;&gt;"",Q355&lt;&gt;"")),"Kimlik / kapsam eksik",IF(NOT(OR(H355="Uygulanır",H355="Uygulanmaz")),"Uygulanabilirlik eksik",IF(AND(H355="Uygulanır",P355="Kanıt yetersiz",U355&lt;&gt;""),IF(AND(R355&lt;&gt;"",R355&lt;&gt;Q355,ISNUMBER(S355),S355&gt;0,S355&gt;=L355),"İnceleme tamam","Gözden geçirme eksik"),IF(NOT(AND(J355&lt;&gt;"",COUNTIFS(Evidence[KanitID],J355,Evidence[Kabul edilen ID],J355)=1,K355&lt;&gt;"",ISNUMBER(L355),L355&gt;0,M355&lt;&gt;"")),"Kanıt / test eksik",IF(NOT(AND(R355&lt;&gt;"",R355&lt;&gt;Q355,ISNUMBER(S355),S355&gt;0,S355&gt;=L355)),"Gözden geçirme eksik",IF(H355="Uygulanmaz","İnceleme tamam",IF(AND(OR(P355="Uygun",P355="Kısmen uygun",P355="Uygunsuz"),OR(N355="Uygun",N355="Kısmen uygun",N355="Uygunsuz"),OR(O355="Uygun",O355="Kısmen uygun",O355="Uygunsuz"),OR(P355&lt;&gt;"Uygun",AND(N355="Uygun",O355="Uygun")),OR(P355="Uygun",AND(T355&lt;&gt;"",COUNTIF(Findings[KayitliBulguID],T355)=1))),"İnceleme tamam","Sonuç / bulgu eksik"))))))))</x:f>
        <x:v>Kimlik / kapsam eksik</x:v>
      </x:c>
      <x:c r="W355" s="14" t="str">
        <x:f>IF(A355="","",IF(V355&lt;&gt;"İnceleme tamam","İncelenmedi",IF(H355="Uygulanmaz","Uygulanmaz",P355)))</x:f>
        <x:v>İncelenmedi</x:v>
      </x:c>
    </x:row>
    <x:row r="356" ht="35" customHeight="1">
      <x:c r="A356" s="12" t="str">
        <x:v>U-0351</x:v>
      </x:c>
      <x:c r="B356" s="12" t="str">
        <x:v>DLP-014</x:v>
      </x:c>
      <x:c r="C356" s="12" t="str">
        <x:v>Forcepoint DLP</x:v>
      </x:c>
      <x:c r="D356" s="12" t="str"/>
      <x:c r="E356" s="12" t="str"/>
      <x:c r="F356" s="12" t="str"/>
      <x:c r="G356" s="12" t="str"/>
      <x:c r="H356" s="12" t="str">
        <x:v>Belirlenecek</x:v>
      </x:c>
      <x:c r="I356" s="12" t="str"/>
      <x:c r="J356" s="12" t="str"/>
      <x:c r="K356" s="12" t="str"/>
      <x:c r="L356" s="13" t="str"/>
      <x:c r="M356" s="12" t="str"/>
      <x:c r="N356" s="12" t="str">
        <x:v>İncelenmedi</x:v>
      </x:c>
      <x:c r="O356" s="12" t="str">
        <x:v>İncelenmedi</x:v>
      </x:c>
      <x:c r="P356" s="12" t="str">
        <x:v>İncelenmedi</x:v>
      </x:c>
      <x:c r="Q356" s="12" t="str"/>
      <x:c r="R356" s="12" t="str"/>
      <x:c r="S356" s="13" t="str"/>
      <x:c r="T356" s="12" t="str"/>
      <x:c r="U356" s="12" t="str"/>
      <x:c r="V356" s="14" t="str">
        <x:f>IF(A356="","",IF(NOT(AND(COUNTIF(Exec[TestID],A356)=1,COUNTIF(Controls[ID],B356)=1,COUNTIFS(Scope[KapsamID],D356,Scope[OnayliKapsamID],D356,Scope[Ürün],C356)=1,OR(COUNTIFS(Controls[ID],B356,Controls[Ürün],C356)=1,COUNTIFS(Controls[ID],B356,Controls[Ürün],"MSP Genel")=1),E356&lt;&gt;"",F356&lt;&gt;"",G356&lt;&gt;"",I356&lt;&gt;"",Q356&lt;&gt;"")),"Kimlik / kapsam eksik",IF(NOT(OR(H356="Uygulanır",H356="Uygulanmaz")),"Uygulanabilirlik eksik",IF(AND(H356="Uygulanır",P356="Kanıt yetersiz",U356&lt;&gt;""),IF(AND(R356&lt;&gt;"",R356&lt;&gt;Q356,ISNUMBER(S356),S356&gt;0,S356&gt;=L356),"İnceleme tamam","Gözden geçirme eksik"),IF(NOT(AND(J356&lt;&gt;"",COUNTIFS(Evidence[KanitID],J356,Evidence[Kabul edilen ID],J356)=1,K356&lt;&gt;"",ISNUMBER(L356),L356&gt;0,M356&lt;&gt;"")),"Kanıt / test eksik",IF(NOT(AND(R356&lt;&gt;"",R356&lt;&gt;Q356,ISNUMBER(S356),S356&gt;0,S356&gt;=L356)),"Gözden geçirme eksik",IF(H356="Uygulanmaz","İnceleme tamam",IF(AND(OR(P356="Uygun",P356="Kısmen uygun",P356="Uygunsuz"),OR(N356="Uygun",N356="Kısmen uygun",N356="Uygunsuz"),OR(O356="Uygun",O356="Kısmen uygun",O356="Uygunsuz"),OR(P356&lt;&gt;"Uygun",AND(N356="Uygun",O356="Uygun")),OR(P356="Uygun",AND(T356&lt;&gt;"",COUNTIF(Findings[KayitliBulguID],T356)=1))),"İnceleme tamam","Sonuç / bulgu eksik"))))))))</x:f>
        <x:v>Kimlik / kapsam eksik</x:v>
      </x:c>
      <x:c r="W356" s="14" t="str">
        <x:f>IF(A356="","",IF(V356&lt;&gt;"İnceleme tamam","İncelenmedi",IF(H356="Uygulanmaz","Uygulanmaz",P356)))</x:f>
        <x:v>İncelenmedi</x:v>
      </x:c>
    </x:row>
    <x:row r="357" ht="35" customHeight="1">
      <x:c r="A357" s="12" t="str">
        <x:v>U-0352</x:v>
      </x:c>
      <x:c r="B357" s="12" t="str">
        <x:v>ZBX-007</x:v>
      </x:c>
      <x:c r="C357" s="12" t="str">
        <x:v>Zabbix</x:v>
      </x:c>
      <x:c r="D357" s="12" t="str"/>
      <x:c r="E357" s="12" t="str"/>
      <x:c r="F357" s="12" t="str"/>
      <x:c r="G357" s="12" t="str"/>
      <x:c r="H357" s="12" t="str">
        <x:v>Belirlenecek</x:v>
      </x:c>
      <x:c r="I357" s="12" t="str"/>
      <x:c r="J357" s="12" t="str"/>
      <x:c r="K357" s="12" t="str"/>
      <x:c r="L357" s="13" t="str"/>
      <x:c r="M357" s="12" t="str"/>
      <x:c r="N357" s="12" t="str">
        <x:v>İncelenmedi</x:v>
      </x:c>
      <x:c r="O357" s="12" t="str">
        <x:v>İncelenmedi</x:v>
      </x:c>
      <x:c r="P357" s="12" t="str">
        <x:v>İncelenmedi</x:v>
      </x:c>
      <x:c r="Q357" s="12" t="str"/>
      <x:c r="R357" s="12" t="str"/>
      <x:c r="S357" s="13" t="str"/>
      <x:c r="T357" s="12" t="str"/>
      <x:c r="U357" s="12" t="str"/>
      <x:c r="V357" s="14" t="str">
        <x:f>IF(A357="","",IF(NOT(AND(COUNTIF(Exec[TestID],A357)=1,COUNTIF(Controls[ID],B357)=1,COUNTIFS(Scope[KapsamID],D357,Scope[OnayliKapsamID],D357,Scope[Ürün],C357)=1,OR(COUNTIFS(Controls[ID],B357,Controls[Ürün],C357)=1,COUNTIFS(Controls[ID],B357,Controls[Ürün],"MSP Genel")=1),E357&lt;&gt;"",F357&lt;&gt;"",G357&lt;&gt;"",I357&lt;&gt;"",Q357&lt;&gt;"")),"Kimlik / kapsam eksik",IF(NOT(OR(H357="Uygulanır",H357="Uygulanmaz")),"Uygulanabilirlik eksik",IF(AND(H357="Uygulanır",P357="Kanıt yetersiz",U357&lt;&gt;""),IF(AND(R357&lt;&gt;"",R357&lt;&gt;Q357,ISNUMBER(S357),S357&gt;0,S357&gt;=L357),"İnceleme tamam","Gözden geçirme eksik"),IF(NOT(AND(J357&lt;&gt;"",COUNTIFS(Evidence[KanitID],J357,Evidence[Kabul edilen ID],J357)=1,K357&lt;&gt;"",ISNUMBER(L357),L357&gt;0,M357&lt;&gt;"")),"Kanıt / test eksik",IF(NOT(AND(R357&lt;&gt;"",R357&lt;&gt;Q357,ISNUMBER(S357),S357&gt;0,S357&gt;=L357)),"Gözden geçirme eksik",IF(H357="Uygulanmaz","İnceleme tamam",IF(AND(OR(P357="Uygun",P357="Kısmen uygun",P357="Uygunsuz"),OR(N357="Uygun",N357="Kısmen uygun",N357="Uygunsuz"),OR(O357="Uygun",O357="Kısmen uygun",O357="Uygunsuz"),OR(P357&lt;&gt;"Uygun",AND(N357="Uygun",O357="Uygun")),OR(P357="Uygun",AND(T357&lt;&gt;"",COUNTIF(Findings[KayitliBulguID],T357)=1))),"İnceleme tamam","Sonuç / bulgu eksik"))))))))</x:f>
        <x:v>Kimlik / kapsam eksik</x:v>
      </x:c>
      <x:c r="W357" s="14" t="str">
        <x:f>IF(A357="","",IF(V357&lt;&gt;"İnceleme tamam","İncelenmedi",IF(H357="Uygulanmaz","Uygulanmaz",P357)))</x:f>
        <x:v>İncelenmedi</x:v>
      </x:c>
    </x:row>
    <x:row r="358" ht="35" customHeight="1">
      <x:c r="A358" s="12" t="str">
        <x:v>U-0353</x:v>
      </x:c>
      <x:c r="B358" s="12" t="str">
        <x:v>ZBX-008</x:v>
      </x:c>
      <x:c r="C358" s="12" t="str">
        <x:v>Zabbix</x:v>
      </x:c>
      <x:c r="D358" s="12" t="str"/>
      <x:c r="E358" s="12" t="str"/>
      <x:c r="F358" s="12" t="str"/>
      <x:c r="G358" s="12" t="str"/>
      <x:c r="H358" s="12" t="str">
        <x:v>Belirlenecek</x:v>
      </x:c>
      <x:c r="I358" s="12" t="str"/>
      <x:c r="J358" s="12" t="str"/>
      <x:c r="K358" s="12" t="str"/>
      <x:c r="L358" s="13" t="str"/>
      <x:c r="M358" s="12" t="str"/>
      <x:c r="N358" s="12" t="str">
        <x:v>İncelenmedi</x:v>
      </x:c>
      <x:c r="O358" s="12" t="str">
        <x:v>İncelenmedi</x:v>
      </x:c>
      <x:c r="P358" s="12" t="str">
        <x:v>İncelenmedi</x:v>
      </x:c>
      <x:c r="Q358" s="12" t="str"/>
      <x:c r="R358" s="12" t="str"/>
      <x:c r="S358" s="13" t="str"/>
      <x:c r="T358" s="12" t="str"/>
      <x:c r="U358" s="12" t="str"/>
      <x:c r="V358" s="14" t="str">
        <x:f>IF(A358="","",IF(NOT(AND(COUNTIF(Exec[TestID],A358)=1,COUNTIF(Controls[ID],B358)=1,COUNTIFS(Scope[KapsamID],D358,Scope[OnayliKapsamID],D358,Scope[Ürün],C358)=1,OR(COUNTIFS(Controls[ID],B358,Controls[Ürün],C358)=1,COUNTIFS(Controls[ID],B358,Controls[Ürün],"MSP Genel")=1),E358&lt;&gt;"",F358&lt;&gt;"",G358&lt;&gt;"",I358&lt;&gt;"",Q358&lt;&gt;"")),"Kimlik / kapsam eksik",IF(NOT(OR(H358="Uygulanır",H358="Uygulanmaz")),"Uygulanabilirlik eksik",IF(AND(H358="Uygulanır",P358="Kanıt yetersiz",U358&lt;&gt;""),IF(AND(R358&lt;&gt;"",R358&lt;&gt;Q358,ISNUMBER(S358),S358&gt;0,S358&gt;=L358),"İnceleme tamam","Gözden geçirme eksik"),IF(NOT(AND(J358&lt;&gt;"",COUNTIFS(Evidence[KanitID],J358,Evidence[Kabul edilen ID],J358)=1,K358&lt;&gt;"",ISNUMBER(L358),L358&gt;0,M358&lt;&gt;"")),"Kanıt / test eksik",IF(NOT(AND(R358&lt;&gt;"",R358&lt;&gt;Q358,ISNUMBER(S358),S358&gt;0,S358&gt;=L358)),"Gözden geçirme eksik",IF(H358="Uygulanmaz","İnceleme tamam",IF(AND(OR(P358="Uygun",P358="Kısmen uygun",P358="Uygunsuz"),OR(N358="Uygun",N358="Kısmen uygun",N358="Uygunsuz"),OR(O358="Uygun",O358="Kısmen uygun",O358="Uygunsuz"),OR(P358&lt;&gt;"Uygun",AND(N358="Uygun",O358="Uygun")),OR(P358="Uygun",AND(T358&lt;&gt;"",COUNTIF(Findings[KayitliBulguID],T358)=1))),"İnceleme tamam","Sonuç / bulgu eksik"))))))))</x:f>
        <x:v>Kimlik / kapsam eksik</x:v>
      </x:c>
      <x:c r="W358" s="14" t="str">
        <x:f>IF(A358="","",IF(V358&lt;&gt;"İnceleme tamam","İncelenmedi",IF(H358="Uygulanmaz","Uygulanmaz",P358)))</x:f>
        <x:v>İncelenmedi</x:v>
      </x:c>
    </x:row>
    <x:row r="359" ht="35" customHeight="1">
      <x:c r="A359" s="12" t="str">
        <x:v>U-0354</x:v>
      </x:c>
      <x:c r="B359" s="12" t="str">
        <x:v>ZBX-009</x:v>
      </x:c>
      <x:c r="C359" s="12" t="str">
        <x:v>Zabbix</x:v>
      </x:c>
      <x:c r="D359" s="12" t="str"/>
      <x:c r="E359" s="12" t="str"/>
      <x:c r="F359" s="12" t="str"/>
      <x:c r="G359" s="12" t="str"/>
      <x:c r="H359" s="12" t="str">
        <x:v>Belirlenecek</x:v>
      </x:c>
      <x:c r="I359" s="12" t="str"/>
      <x:c r="J359" s="12" t="str"/>
      <x:c r="K359" s="12" t="str"/>
      <x:c r="L359" s="13" t="str"/>
      <x:c r="M359" s="12" t="str"/>
      <x:c r="N359" s="12" t="str">
        <x:v>İncelenmedi</x:v>
      </x:c>
      <x:c r="O359" s="12" t="str">
        <x:v>İncelenmedi</x:v>
      </x:c>
      <x:c r="P359" s="12" t="str">
        <x:v>İncelenmedi</x:v>
      </x:c>
      <x:c r="Q359" s="12" t="str"/>
      <x:c r="R359" s="12" t="str"/>
      <x:c r="S359" s="13" t="str"/>
      <x:c r="T359" s="12" t="str"/>
      <x:c r="U359" s="12" t="str"/>
      <x:c r="V359" s="14" t="str">
        <x:f>IF(A359="","",IF(NOT(AND(COUNTIF(Exec[TestID],A359)=1,COUNTIF(Controls[ID],B359)=1,COUNTIFS(Scope[KapsamID],D359,Scope[OnayliKapsamID],D359,Scope[Ürün],C359)=1,OR(COUNTIFS(Controls[ID],B359,Controls[Ürün],C359)=1,COUNTIFS(Controls[ID],B359,Controls[Ürün],"MSP Genel")=1),E359&lt;&gt;"",F359&lt;&gt;"",G359&lt;&gt;"",I359&lt;&gt;"",Q359&lt;&gt;"")),"Kimlik / kapsam eksik",IF(NOT(OR(H359="Uygulanır",H359="Uygulanmaz")),"Uygulanabilirlik eksik",IF(AND(H359="Uygulanır",P359="Kanıt yetersiz",U359&lt;&gt;""),IF(AND(R359&lt;&gt;"",R359&lt;&gt;Q359,ISNUMBER(S359),S359&gt;0,S359&gt;=L359),"İnceleme tamam","Gözden geçirme eksik"),IF(NOT(AND(J359&lt;&gt;"",COUNTIFS(Evidence[KanitID],J359,Evidence[Kabul edilen ID],J359)=1,K359&lt;&gt;"",ISNUMBER(L359),L359&gt;0,M359&lt;&gt;"")),"Kanıt / test eksik",IF(NOT(AND(R359&lt;&gt;"",R359&lt;&gt;Q359,ISNUMBER(S359),S359&gt;0,S359&gt;=L359)),"Gözden geçirme eksik",IF(H359="Uygulanmaz","İnceleme tamam",IF(AND(OR(P359="Uygun",P359="Kısmen uygun",P359="Uygunsuz"),OR(N359="Uygun",N359="Kısmen uygun",N359="Uygunsuz"),OR(O359="Uygun",O359="Kısmen uygun",O359="Uygunsuz"),OR(P359&lt;&gt;"Uygun",AND(N359="Uygun",O359="Uygun")),OR(P359="Uygun",AND(T359&lt;&gt;"",COUNTIF(Findings[KayitliBulguID],T359)=1))),"İnceleme tamam","Sonuç / bulgu eksik"))))))))</x:f>
        <x:v>Kimlik / kapsam eksik</x:v>
      </x:c>
      <x:c r="W359" s="14" t="str">
        <x:f>IF(A359="","",IF(V359&lt;&gt;"İnceleme tamam","İncelenmedi",IF(H359="Uygulanmaz","Uygulanmaz",P359)))</x:f>
        <x:v>İncelenmedi</x:v>
      </x:c>
    </x:row>
    <x:row r="360" ht="35" customHeight="1">
      <x:c r="A360" s="12" t="str">
        <x:v>U-0355</x:v>
      </x:c>
      <x:c r="B360" s="12" t="str">
        <x:v>ZBX-010</x:v>
      </x:c>
      <x:c r="C360" s="12" t="str">
        <x:v>Zabbix</x:v>
      </x:c>
      <x:c r="D360" s="12" t="str"/>
      <x:c r="E360" s="12" t="str"/>
      <x:c r="F360" s="12" t="str"/>
      <x:c r="G360" s="12" t="str"/>
      <x:c r="H360" s="12" t="str">
        <x:v>Belirlenecek</x:v>
      </x:c>
      <x:c r="I360" s="12" t="str"/>
      <x:c r="J360" s="12" t="str"/>
      <x:c r="K360" s="12" t="str"/>
      <x:c r="L360" s="13" t="str"/>
      <x:c r="M360" s="12" t="str"/>
      <x:c r="N360" s="12" t="str">
        <x:v>İncelenmedi</x:v>
      </x:c>
      <x:c r="O360" s="12" t="str">
        <x:v>İncelenmedi</x:v>
      </x:c>
      <x:c r="P360" s="12" t="str">
        <x:v>İncelenmedi</x:v>
      </x:c>
      <x:c r="Q360" s="12" t="str"/>
      <x:c r="R360" s="12" t="str"/>
      <x:c r="S360" s="13" t="str"/>
      <x:c r="T360" s="12" t="str"/>
      <x:c r="U360" s="12" t="str"/>
      <x:c r="V360" s="14" t="str">
        <x:f>IF(A360="","",IF(NOT(AND(COUNTIF(Exec[TestID],A360)=1,COUNTIF(Controls[ID],B360)=1,COUNTIFS(Scope[KapsamID],D360,Scope[OnayliKapsamID],D360,Scope[Ürün],C360)=1,OR(COUNTIFS(Controls[ID],B360,Controls[Ürün],C360)=1,COUNTIFS(Controls[ID],B360,Controls[Ürün],"MSP Genel")=1),E360&lt;&gt;"",F360&lt;&gt;"",G360&lt;&gt;"",I360&lt;&gt;"",Q360&lt;&gt;"")),"Kimlik / kapsam eksik",IF(NOT(OR(H360="Uygulanır",H360="Uygulanmaz")),"Uygulanabilirlik eksik",IF(AND(H360="Uygulanır",P360="Kanıt yetersiz",U360&lt;&gt;""),IF(AND(R360&lt;&gt;"",R360&lt;&gt;Q360,ISNUMBER(S360),S360&gt;0,S360&gt;=L360),"İnceleme tamam","Gözden geçirme eksik"),IF(NOT(AND(J360&lt;&gt;"",COUNTIFS(Evidence[KanitID],J360,Evidence[Kabul edilen ID],J360)=1,K360&lt;&gt;"",ISNUMBER(L360),L360&gt;0,M360&lt;&gt;"")),"Kanıt / test eksik",IF(NOT(AND(R360&lt;&gt;"",R360&lt;&gt;Q360,ISNUMBER(S360),S360&gt;0,S360&gt;=L360)),"Gözden geçirme eksik",IF(H360="Uygulanmaz","İnceleme tamam",IF(AND(OR(P360="Uygun",P360="Kısmen uygun",P360="Uygunsuz"),OR(N360="Uygun",N360="Kısmen uygun",N360="Uygunsuz"),OR(O360="Uygun",O360="Kısmen uygun",O360="Uygunsuz"),OR(P360&lt;&gt;"Uygun",AND(N360="Uygun",O360="Uygun")),OR(P360="Uygun",AND(T360&lt;&gt;"",COUNTIF(Findings[KayitliBulguID],T360)=1))),"İnceleme tamam","Sonuç / bulgu eksik"))))))))</x:f>
        <x:v>Kimlik / kapsam eksik</x:v>
      </x:c>
      <x:c r="W360" s="14" t="str">
        <x:f>IF(A360="","",IF(V360&lt;&gt;"İnceleme tamam","İncelenmedi",IF(H360="Uygulanmaz","Uygulanmaz",P360)))</x:f>
        <x:v>İncelenmedi</x:v>
      </x:c>
    </x:row>
    <x:row r="361" ht="35" customHeight="1">
      <x:c r="A361" s="12" t="str">
        <x:v>U-0356</x:v>
      </x:c>
      <x:c r="B361" s="12" t="str">
        <x:v>ZBX-011</x:v>
      </x:c>
      <x:c r="C361" s="12" t="str">
        <x:v>Zabbix</x:v>
      </x:c>
      <x:c r="D361" s="12" t="str"/>
      <x:c r="E361" s="12" t="str"/>
      <x:c r="F361" s="12" t="str"/>
      <x:c r="G361" s="12" t="str"/>
      <x:c r="H361" s="12" t="str">
        <x:v>Belirlenecek</x:v>
      </x:c>
      <x:c r="I361" s="12" t="str"/>
      <x:c r="J361" s="12" t="str"/>
      <x:c r="K361" s="12" t="str"/>
      <x:c r="L361" s="13" t="str"/>
      <x:c r="M361" s="12" t="str"/>
      <x:c r="N361" s="12" t="str">
        <x:v>İncelenmedi</x:v>
      </x:c>
      <x:c r="O361" s="12" t="str">
        <x:v>İncelenmedi</x:v>
      </x:c>
      <x:c r="P361" s="12" t="str">
        <x:v>İncelenmedi</x:v>
      </x:c>
      <x:c r="Q361" s="12" t="str"/>
      <x:c r="R361" s="12" t="str"/>
      <x:c r="S361" s="13" t="str"/>
      <x:c r="T361" s="12" t="str"/>
      <x:c r="U361" s="12" t="str"/>
      <x:c r="V361" s="14" t="str">
        <x:f>IF(A361="","",IF(NOT(AND(COUNTIF(Exec[TestID],A361)=1,COUNTIF(Controls[ID],B361)=1,COUNTIFS(Scope[KapsamID],D361,Scope[OnayliKapsamID],D361,Scope[Ürün],C361)=1,OR(COUNTIFS(Controls[ID],B361,Controls[Ürün],C361)=1,COUNTIFS(Controls[ID],B361,Controls[Ürün],"MSP Genel")=1),E361&lt;&gt;"",F361&lt;&gt;"",G361&lt;&gt;"",I361&lt;&gt;"",Q361&lt;&gt;"")),"Kimlik / kapsam eksik",IF(NOT(OR(H361="Uygulanır",H361="Uygulanmaz")),"Uygulanabilirlik eksik",IF(AND(H361="Uygulanır",P361="Kanıt yetersiz",U361&lt;&gt;""),IF(AND(R361&lt;&gt;"",R361&lt;&gt;Q361,ISNUMBER(S361),S361&gt;0,S361&gt;=L361),"İnceleme tamam","Gözden geçirme eksik"),IF(NOT(AND(J361&lt;&gt;"",COUNTIFS(Evidence[KanitID],J361,Evidence[Kabul edilen ID],J361)=1,K361&lt;&gt;"",ISNUMBER(L361),L361&gt;0,M361&lt;&gt;"")),"Kanıt / test eksik",IF(NOT(AND(R361&lt;&gt;"",R361&lt;&gt;Q361,ISNUMBER(S361),S361&gt;0,S361&gt;=L361)),"Gözden geçirme eksik",IF(H361="Uygulanmaz","İnceleme tamam",IF(AND(OR(P361="Uygun",P361="Kısmen uygun",P361="Uygunsuz"),OR(N361="Uygun",N361="Kısmen uygun",N361="Uygunsuz"),OR(O361="Uygun",O361="Kısmen uygun",O361="Uygunsuz"),OR(P361&lt;&gt;"Uygun",AND(N361="Uygun",O361="Uygun")),OR(P361="Uygun",AND(T361&lt;&gt;"",COUNTIF(Findings[KayitliBulguID],T361)=1))),"İnceleme tamam","Sonuç / bulgu eksik"))))))))</x:f>
        <x:v>Kimlik / kapsam eksik</x:v>
      </x:c>
      <x:c r="W361" s="14" t="str">
        <x:f>IF(A361="","",IF(V361&lt;&gt;"İnceleme tamam","İncelenmedi",IF(H361="Uygulanmaz","Uygulanmaz",P361)))</x:f>
        <x:v>İncelenmedi</x:v>
      </x:c>
    </x:row>
    <x:row r="362" ht="35" customHeight="1">
      <x:c r="A362" s="12" t="str">
        <x:v>U-0357</x:v>
      </x:c>
      <x:c r="B362" s="12" t="str">
        <x:v>ZBX-012</x:v>
      </x:c>
      <x:c r="C362" s="12" t="str">
        <x:v>Zabbix</x:v>
      </x:c>
      <x:c r="D362" s="12" t="str"/>
      <x:c r="E362" s="12" t="str"/>
      <x:c r="F362" s="12" t="str"/>
      <x:c r="G362" s="12" t="str"/>
      <x:c r="H362" s="12" t="str">
        <x:v>Belirlenecek</x:v>
      </x:c>
      <x:c r="I362" s="12" t="str"/>
      <x:c r="J362" s="12" t="str"/>
      <x:c r="K362" s="12" t="str"/>
      <x:c r="L362" s="13" t="str"/>
      <x:c r="M362" s="12" t="str"/>
      <x:c r="N362" s="12" t="str">
        <x:v>İncelenmedi</x:v>
      </x:c>
      <x:c r="O362" s="12" t="str">
        <x:v>İncelenmedi</x:v>
      </x:c>
      <x:c r="P362" s="12" t="str">
        <x:v>İncelenmedi</x:v>
      </x:c>
      <x:c r="Q362" s="12" t="str"/>
      <x:c r="R362" s="12" t="str"/>
      <x:c r="S362" s="13" t="str"/>
      <x:c r="T362" s="12" t="str"/>
      <x:c r="U362" s="12" t="str"/>
      <x:c r="V362" s="14" t="str">
        <x:f>IF(A362="","",IF(NOT(AND(COUNTIF(Exec[TestID],A362)=1,COUNTIF(Controls[ID],B362)=1,COUNTIFS(Scope[KapsamID],D362,Scope[OnayliKapsamID],D362,Scope[Ürün],C362)=1,OR(COUNTIFS(Controls[ID],B362,Controls[Ürün],C362)=1,COUNTIFS(Controls[ID],B362,Controls[Ürün],"MSP Genel")=1),E362&lt;&gt;"",F362&lt;&gt;"",G362&lt;&gt;"",I362&lt;&gt;"",Q362&lt;&gt;"")),"Kimlik / kapsam eksik",IF(NOT(OR(H362="Uygulanır",H362="Uygulanmaz")),"Uygulanabilirlik eksik",IF(AND(H362="Uygulanır",P362="Kanıt yetersiz",U362&lt;&gt;""),IF(AND(R362&lt;&gt;"",R362&lt;&gt;Q362,ISNUMBER(S362),S362&gt;0,S362&gt;=L362),"İnceleme tamam","Gözden geçirme eksik"),IF(NOT(AND(J362&lt;&gt;"",COUNTIFS(Evidence[KanitID],J362,Evidence[Kabul edilen ID],J362)=1,K362&lt;&gt;"",ISNUMBER(L362),L362&gt;0,M362&lt;&gt;"")),"Kanıt / test eksik",IF(NOT(AND(R362&lt;&gt;"",R362&lt;&gt;Q362,ISNUMBER(S362),S362&gt;0,S362&gt;=L362)),"Gözden geçirme eksik",IF(H362="Uygulanmaz","İnceleme tamam",IF(AND(OR(P362="Uygun",P362="Kısmen uygun",P362="Uygunsuz"),OR(N362="Uygun",N362="Kısmen uygun",N362="Uygunsuz"),OR(O362="Uygun",O362="Kısmen uygun",O362="Uygunsuz"),OR(P362&lt;&gt;"Uygun",AND(N362="Uygun",O362="Uygun")),OR(P362="Uygun",AND(T362&lt;&gt;"",COUNTIF(Findings[KayitliBulguID],T362)=1))),"İnceleme tamam","Sonuç / bulgu eksik"))))))))</x:f>
        <x:v>Kimlik / kapsam eksik</x:v>
      </x:c>
      <x:c r="W362" s="14" t="str">
        <x:f>IF(A362="","",IF(V362&lt;&gt;"İnceleme tamam","İncelenmedi",IF(H362="Uygulanmaz","Uygulanmaz",P362)))</x:f>
        <x:v>İncelenmedi</x:v>
      </x:c>
    </x:row>
    <x:row r="363" ht="35" customHeight="1">
      <x:c r="A363" s="12" t="str">
        <x:v>U-0358</x:v>
      </x:c>
      <x:c r="B363" s="12" t="str">
        <x:v>ZBX-013</x:v>
      </x:c>
      <x:c r="C363" s="12" t="str">
        <x:v>Zabbix</x:v>
      </x:c>
      <x:c r="D363" s="12" t="str"/>
      <x:c r="E363" s="12" t="str"/>
      <x:c r="F363" s="12" t="str"/>
      <x:c r="G363" s="12" t="str"/>
      <x:c r="H363" s="12" t="str">
        <x:v>Belirlenecek</x:v>
      </x:c>
      <x:c r="I363" s="12" t="str"/>
      <x:c r="J363" s="12" t="str"/>
      <x:c r="K363" s="12" t="str"/>
      <x:c r="L363" s="13" t="str"/>
      <x:c r="M363" s="12" t="str"/>
      <x:c r="N363" s="12" t="str">
        <x:v>İncelenmedi</x:v>
      </x:c>
      <x:c r="O363" s="12" t="str">
        <x:v>İncelenmedi</x:v>
      </x:c>
      <x:c r="P363" s="12" t="str">
        <x:v>İncelenmedi</x:v>
      </x:c>
      <x:c r="Q363" s="12" t="str"/>
      <x:c r="R363" s="12" t="str"/>
      <x:c r="S363" s="13" t="str"/>
      <x:c r="T363" s="12" t="str"/>
      <x:c r="U363" s="12" t="str"/>
      <x:c r="V363" s="14" t="str">
        <x:f>IF(A363="","",IF(NOT(AND(COUNTIF(Exec[TestID],A363)=1,COUNTIF(Controls[ID],B363)=1,COUNTIFS(Scope[KapsamID],D363,Scope[OnayliKapsamID],D363,Scope[Ürün],C363)=1,OR(COUNTIFS(Controls[ID],B363,Controls[Ürün],C363)=1,COUNTIFS(Controls[ID],B363,Controls[Ürün],"MSP Genel")=1),E363&lt;&gt;"",F363&lt;&gt;"",G363&lt;&gt;"",I363&lt;&gt;"",Q363&lt;&gt;"")),"Kimlik / kapsam eksik",IF(NOT(OR(H363="Uygulanır",H363="Uygulanmaz")),"Uygulanabilirlik eksik",IF(AND(H363="Uygulanır",P363="Kanıt yetersiz",U363&lt;&gt;""),IF(AND(R363&lt;&gt;"",R363&lt;&gt;Q363,ISNUMBER(S363),S363&gt;0,S363&gt;=L363),"İnceleme tamam","Gözden geçirme eksik"),IF(NOT(AND(J363&lt;&gt;"",COUNTIFS(Evidence[KanitID],J363,Evidence[Kabul edilen ID],J363)=1,K363&lt;&gt;"",ISNUMBER(L363),L363&gt;0,M363&lt;&gt;"")),"Kanıt / test eksik",IF(NOT(AND(R363&lt;&gt;"",R363&lt;&gt;Q363,ISNUMBER(S363),S363&gt;0,S363&gt;=L363)),"Gözden geçirme eksik",IF(H363="Uygulanmaz","İnceleme tamam",IF(AND(OR(P363="Uygun",P363="Kısmen uygun",P363="Uygunsuz"),OR(N363="Uygun",N363="Kısmen uygun",N363="Uygunsuz"),OR(O363="Uygun",O363="Kısmen uygun",O363="Uygunsuz"),OR(P363&lt;&gt;"Uygun",AND(N363="Uygun",O363="Uygun")),OR(P363="Uygun",AND(T363&lt;&gt;"",COUNTIF(Findings[KayitliBulguID],T363)=1))),"İnceleme tamam","Sonuç / bulgu eksik"))))))))</x:f>
        <x:v>Kimlik / kapsam eksik</x:v>
      </x:c>
      <x:c r="W363" s="14" t="str">
        <x:f>IF(A363="","",IF(V363&lt;&gt;"İnceleme tamam","İncelenmedi",IF(H363="Uygulanmaz","Uygulanmaz",P363)))</x:f>
        <x:v>İncelenmedi</x:v>
      </x:c>
    </x:row>
    <x:row r="364" ht="35" customHeight="1">
      <x:c r="A364" s="12" t="str">
        <x:v>U-0359</x:v>
      </x:c>
      <x:c r="B364" s="12" t="str">
        <x:v>GRA-007</x:v>
      </x:c>
      <x:c r="C364" s="12" t="str">
        <x:v>Grafana</x:v>
      </x:c>
      <x:c r="D364" s="12" t="str"/>
      <x:c r="E364" s="12" t="str"/>
      <x:c r="F364" s="12" t="str"/>
      <x:c r="G364" s="12" t="str"/>
      <x:c r="H364" s="12" t="str">
        <x:v>Belirlenecek</x:v>
      </x:c>
      <x:c r="I364" s="12" t="str"/>
      <x:c r="J364" s="12" t="str"/>
      <x:c r="K364" s="12" t="str"/>
      <x:c r="L364" s="13" t="str"/>
      <x:c r="M364" s="12" t="str"/>
      <x:c r="N364" s="12" t="str">
        <x:v>İncelenmedi</x:v>
      </x:c>
      <x:c r="O364" s="12" t="str">
        <x:v>İncelenmedi</x:v>
      </x:c>
      <x:c r="P364" s="12" t="str">
        <x:v>İncelenmedi</x:v>
      </x:c>
      <x:c r="Q364" s="12" t="str"/>
      <x:c r="R364" s="12" t="str"/>
      <x:c r="S364" s="13" t="str"/>
      <x:c r="T364" s="12" t="str"/>
      <x:c r="U364" s="12" t="str"/>
      <x:c r="V364" s="14" t="str">
        <x:f>IF(A364="","",IF(NOT(AND(COUNTIF(Exec[TestID],A364)=1,COUNTIF(Controls[ID],B364)=1,COUNTIFS(Scope[KapsamID],D364,Scope[OnayliKapsamID],D364,Scope[Ürün],C364)=1,OR(COUNTIFS(Controls[ID],B364,Controls[Ürün],C364)=1,COUNTIFS(Controls[ID],B364,Controls[Ürün],"MSP Genel")=1),E364&lt;&gt;"",F364&lt;&gt;"",G364&lt;&gt;"",I364&lt;&gt;"",Q364&lt;&gt;"")),"Kimlik / kapsam eksik",IF(NOT(OR(H364="Uygulanır",H364="Uygulanmaz")),"Uygulanabilirlik eksik",IF(AND(H364="Uygulanır",P364="Kanıt yetersiz",U364&lt;&gt;""),IF(AND(R364&lt;&gt;"",R364&lt;&gt;Q364,ISNUMBER(S364),S364&gt;0,S364&gt;=L364),"İnceleme tamam","Gözden geçirme eksik"),IF(NOT(AND(J364&lt;&gt;"",COUNTIFS(Evidence[KanitID],J364,Evidence[Kabul edilen ID],J364)=1,K364&lt;&gt;"",ISNUMBER(L364),L364&gt;0,M364&lt;&gt;"")),"Kanıt / test eksik",IF(NOT(AND(R364&lt;&gt;"",R364&lt;&gt;Q364,ISNUMBER(S364),S364&gt;0,S364&gt;=L364)),"Gözden geçirme eksik",IF(H364="Uygulanmaz","İnceleme tamam",IF(AND(OR(P364="Uygun",P364="Kısmen uygun",P364="Uygunsuz"),OR(N364="Uygun",N364="Kısmen uygun",N364="Uygunsuz"),OR(O364="Uygun",O364="Kısmen uygun",O364="Uygunsuz"),OR(P364&lt;&gt;"Uygun",AND(N364="Uygun",O364="Uygun")),OR(P364="Uygun",AND(T364&lt;&gt;"",COUNTIF(Findings[KayitliBulguID],T364)=1))),"İnceleme tamam","Sonuç / bulgu eksik"))))))))</x:f>
        <x:v>Kimlik / kapsam eksik</x:v>
      </x:c>
      <x:c r="W364" s="14" t="str">
        <x:f>IF(A364="","",IF(V364&lt;&gt;"İnceleme tamam","İncelenmedi",IF(H364="Uygulanmaz","Uygulanmaz",P364)))</x:f>
        <x:v>İncelenmedi</x:v>
      </x:c>
    </x:row>
    <x:row r="365" ht="35" customHeight="1">
      <x:c r="A365" s="12" t="str">
        <x:v>U-0360</x:v>
      </x:c>
      <x:c r="B365" s="12" t="str">
        <x:v>GRA-008</x:v>
      </x:c>
      <x:c r="C365" s="12" t="str">
        <x:v>Grafana</x:v>
      </x:c>
      <x:c r="D365" s="12" t="str"/>
      <x:c r="E365" s="12" t="str"/>
      <x:c r="F365" s="12" t="str"/>
      <x:c r="G365" s="12" t="str"/>
      <x:c r="H365" s="12" t="str">
        <x:v>Belirlenecek</x:v>
      </x:c>
      <x:c r="I365" s="12" t="str"/>
      <x:c r="J365" s="12" t="str"/>
      <x:c r="K365" s="12" t="str"/>
      <x:c r="L365" s="13" t="str"/>
      <x:c r="M365" s="12" t="str"/>
      <x:c r="N365" s="12" t="str">
        <x:v>İncelenmedi</x:v>
      </x:c>
      <x:c r="O365" s="12" t="str">
        <x:v>İncelenmedi</x:v>
      </x:c>
      <x:c r="P365" s="12" t="str">
        <x:v>İncelenmedi</x:v>
      </x:c>
      <x:c r="Q365" s="12" t="str"/>
      <x:c r="R365" s="12" t="str"/>
      <x:c r="S365" s="13" t="str"/>
      <x:c r="T365" s="12" t="str"/>
      <x:c r="U365" s="12" t="str"/>
      <x:c r="V365" s="14" t="str">
        <x:f>IF(A365="","",IF(NOT(AND(COUNTIF(Exec[TestID],A365)=1,COUNTIF(Controls[ID],B365)=1,COUNTIFS(Scope[KapsamID],D365,Scope[OnayliKapsamID],D365,Scope[Ürün],C365)=1,OR(COUNTIFS(Controls[ID],B365,Controls[Ürün],C365)=1,COUNTIFS(Controls[ID],B365,Controls[Ürün],"MSP Genel")=1),E365&lt;&gt;"",F365&lt;&gt;"",G365&lt;&gt;"",I365&lt;&gt;"",Q365&lt;&gt;"")),"Kimlik / kapsam eksik",IF(NOT(OR(H365="Uygulanır",H365="Uygulanmaz")),"Uygulanabilirlik eksik",IF(AND(H365="Uygulanır",P365="Kanıt yetersiz",U365&lt;&gt;""),IF(AND(R365&lt;&gt;"",R365&lt;&gt;Q365,ISNUMBER(S365),S365&gt;0,S365&gt;=L365),"İnceleme tamam","Gözden geçirme eksik"),IF(NOT(AND(J365&lt;&gt;"",COUNTIFS(Evidence[KanitID],J365,Evidence[Kabul edilen ID],J365)=1,K365&lt;&gt;"",ISNUMBER(L365),L365&gt;0,M365&lt;&gt;"")),"Kanıt / test eksik",IF(NOT(AND(R365&lt;&gt;"",R365&lt;&gt;Q365,ISNUMBER(S365),S365&gt;0,S365&gt;=L365)),"Gözden geçirme eksik",IF(H365="Uygulanmaz","İnceleme tamam",IF(AND(OR(P365="Uygun",P365="Kısmen uygun",P365="Uygunsuz"),OR(N365="Uygun",N365="Kısmen uygun",N365="Uygunsuz"),OR(O365="Uygun",O365="Kısmen uygun",O365="Uygunsuz"),OR(P365&lt;&gt;"Uygun",AND(N365="Uygun",O365="Uygun")),OR(P365="Uygun",AND(T365&lt;&gt;"",COUNTIF(Findings[KayitliBulguID],T365)=1))),"İnceleme tamam","Sonuç / bulgu eksik"))))))))</x:f>
        <x:v>Kimlik / kapsam eksik</x:v>
      </x:c>
      <x:c r="W365" s="14" t="str">
        <x:f>IF(A365="","",IF(V365&lt;&gt;"İnceleme tamam","İncelenmedi",IF(H365="Uygulanmaz","Uygulanmaz",P365)))</x:f>
        <x:v>İncelenmedi</x:v>
      </x:c>
    </x:row>
    <x:row r="366" ht="35" customHeight="1">
      <x:c r="A366" s="12" t="str">
        <x:v>U-0361</x:v>
      </x:c>
      <x:c r="B366" s="12" t="str">
        <x:v>GRA-009</x:v>
      </x:c>
      <x:c r="C366" s="12" t="str">
        <x:v>Grafana</x:v>
      </x:c>
      <x:c r="D366" s="12" t="str"/>
      <x:c r="E366" s="12" t="str"/>
      <x:c r="F366" s="12" t="str"/>
      <x:c r="G366" s="12" t="str"/>
      <x:c r="H366" s="12" t="str">
        <x:v>Belirlenecek</x:v>
      </x:c>
      <x:c r="I366" s="12" t="str"/>
      <x:c r="J366" s="12" t="str"/>
      <x:c r="K366" s="12" t="str"/>
      <x:c r="L366" s="13" t="str"/>
      <x:c r="M366" s="12" t="str"/>
      <x:c r="N366" s="12" t="str">
        <x:v>İncelenmedi</x:v>
      </x:c>
      <x:c r="O366" s="12" t="str">
        <x:v>İncelenmedi</x:v>
      </x:c>
      <x:c r="P366" s="12" t="str">
        <x:v>İncelenmedi</x:v>
      </x:c>
      <x:c r="Q366" s="12" t="str"/>
      <x:c r="R366" s="12" t="str"/>
      <x:c r="S366" s="13" t="str"/>
      <x:c r="T366" s="12" t="str"/>
      <x:c r="U366" s="12" t="str"/>
      <x:c r="V366" s="14" t="str">
        <x:f>IF(A366="","",IF(NOT(AND(COUNTIF(Exec[TestID],A366)=1,COUNTIF(Controls[ID],B366)=1,COUNTIFS(Scope[KapsamID],D366,Scope[OnayliKapsamID],D366,Scope[Ürün],C366)=1,OR(COUNTIFS(Controls[ID],B366,Controls[Ürün],C366)=1,COUNTIFS(Controls[ID],B366,Controls[Ürün],"MSP Genel")=1),E366&lt;&gt;"",F366&lt;&gt;"",G366&lt;&gt;"",I366&lt;&gt;"",Q366&lt;&gt;"")),"Kimlik / kapsam eksik",IF(NOT(OR(H366="Uygulanır",H366="Uygulanmaz")),"Uygulanabilirlik eksik",IF(AND(H366="Uygulanır",P366="Kanıt yetersiz",U366&lt;&gt;""),IF(AND(R366&lt;&gt;"",R366&lt;&gt;Q366,ISNUMBER(S366),S366&gt;0,S366&gt;=L366),"İnceleme tamam","Gözden geçirme eksik"),IF(NOT(AND(J366&lt;&gt;"",COUNTIFS(Evidence[KanitID],J366,Evidence[Kabul edilen ID],J366)=1,K366&lt;&gt;"",ISNUMBER(L366),L366&gt;0,M366&lt;&gt;"")),"Kanıt / test eksik",IF(NOT(AND(R366&lt;&gt;"",R366&lt;&gt;Q366,ISNUMBER(S366),S366&gt;0,S366&gt;=L366)),"Gözden geçirme eksik",IF(H366="Uygulanmaz","İnceleme tamam",IF(AND(OR(P366="Uygun",P366="Kısmen uygun",P366="Uygunsuz"),OR(N366="Uygun",N366="Kısmen uygun",N366="Uygunsuz"),OR(O366="Uygun",O366="Kısmen uygun",O366="Uygunsuz"),OR(P366&lt;&gt;"Uygun",AND(N366="Uygun",O366="Uygun")),OR(P366="Uygun",AND(T366&lt;&gt;"",COUNTIF(Findings[KayitliBulguID],T366)=1))),"İnceleme tamam","Sonuç / bulgu eksik"))))))))</x:f>
        <x:v>Kimlik / kapsam eksik</x:v>
      </x:c>
      <x:c r="W366" s="14" t="str">
        <x:f>IF(A366="","",IF(V366&lt;&gt;"İnceleme tamam","İncelenmedi",IF(H366="Uygulanmaz","Uygulanmaz",P366)))</x:f>
        <x:v>İncelenmedi</x:v>
      </x:c>
    </x:row>
    <x:row r="367" ht="35" customHeight="1">
      <x:c r="A367" s="12" t="str">
        <x:v>U-0362</x:v>
      </x:c>
      <x:c r="B367" s="12" t="str">
        <x:v>GRA-010</x:v>
      </x:c>
      <x:c r="C367" s="12" t="str">
        <x:v>Grafana</x:v>
      </x:c>
      <x:c r="D367" s="12" t="str"/>
      <x:c r="E367" s="12" t="str"/>
      <x:c r="F367" s="12" t="str"/>
      <x:c r="G367" s="12" t="str"/>
      <x:c r="H367" s="12" t="str">
        <x:v>Belirlenecek</x:v>
      </x:c>
      <x:c r="I367" s="12" t="str"/>
      <x:c r="J367" s="12" t="str"/>
      <x:c r="K367" s="12" t="str"/>
      <x:c r="L367" s="13" t="str"/>
      <x:c r="M367" s="12" t="str"/>
      <x:c r="N367" s="12" t="str">
        <x:v>İncelenmedi</x:v>
      </x:c>
      <x:c r="O367" s="12" t="str">
        <x:v>İncelenmedi</x:v>
      </x:c>
      <x:c r="P367" s="12" t="str">
        <x:v>İncelenmedi</x:v>
      </x:c>
      <x:c r="Q367" s="12" t="str"/>
      <x:c r="R367" s="12" t="str"/>
      <x:c r="S367" s="13" t="str"/>
      <x:c r="T367" s="12" t="str"/>
      <x:c r="U367" s="12" t="str"/>
      <x:c r="V367" s="14" t="str">
        <x:f>IF(A367="","",IF(NOT(AND(COUNTIF(Exec[TestID],A367)=1,COUNTIF(Controls[ID],B367)=1,COUNTIFS(Scope[KapsamID],D367,Scope[OnayliKapsamID],D367,Scope[Ürün],C367)=1,OR(COUNTIFS(Controls[ID],B367,Controls[Ürün],C367)=1,COUNTIFS(Controls[ID],B367,Controls[Ürün],"MSP Genel")=1),E367&lt;&gt;"",F367&lt;&gt;"",G367&lt;&gt;"",I367&lt;&gt;"",Q367&lt;&gt;"")),"Kimlik / kapsam eksik",IF(NOT(OR(H367="Uygulanır",H367="Uygulanmaz")),"Uygulanabilirlik eksik",IF(AND(H367="Uygulanır",P367="Kanıt yetersiz",U367&lt;&gt;""),IF(AND(R367&lt;&gt;"",R367&lt;&gt;Q367,ISNUMBER(S367),S367&gt;0,S367&gt;=L367),"İnceleme tamam","Gözden geçirme eksik"),IF(NOT(AND(J367&lt;&gt;"",COUNTIFS(Evidence[KanitID],J367,Evidence[Kabul edilen ID],J367)=1,K367&lt;&gt;"",ISNUMBER(L367),L367&gt;0,M367&lt;&gt;"")),"Kanıt / test eksik",IF(NOT(AND(R367&lt;&gt;"",R367&lt;&gt;Q367,ISNUMBER(S367),S367&gt;0,S367&gt;=L367)),"Gözden geçirme eksik",IF(H367="Uygulanmaz","İnceleme tamam",IF(AND(OR(P367="Uygun",P367="Kısmen uygun",P367="Uygunsuz"),OR(N367="Uygun",N367="Kısmen uygun",N367="Uygunsuz"),OR(O367="Uygun",O367="Kısmen uygun",O367="Uygunsuz"),OR(P367&lt;&gt;"Uygun",AND(N367="Uygun",O367="Uygun")),OR(P367="Uygun",AND(T367&lt;&gt;"",COUNTIF(Findings[KayitliBulguID],T367)=1))),"İnceleme tamam","Sonuç / bulgu eksik"))))))))</x:f>
        <x:v>Kimlik / kapsam eksik</x:v>
      </x:c>
      <x:c r="W367" s="14" t="str">
        <x:f>IF(A367="","",IF(V367&lt;&gt;"İnceleme tamam","İncelenmedi",IF(H367="Uygulanmaz","Uygulanmaz",P367)))</x:f>
        <x:v>İncelenmedi</x:v>
      </x:c>
    </x:row>
    <x:row r="368" ht="35" customHeight="1">
      <x:c r="A368" s="12" t="str">
        <x:v>U-0363</x:v>
      </x:c>
      <x:c r="B368" s="12" t="str">
        <x:v>GRA-011</x:v>
      </x:c>
      <x:c r="C368" s="12" t="str">
        <x:v>Grafana</x:v>
      </x:c>
      <x:c r="D368" s="12" t="str"/>
      <x:c r="E368" s="12" t="str"/>
      <x:c r="F368" s="12" t="str"/>
      <x:c r="G368" s="12" t="str"/>
      <x:c r="H368" s="12" t="str">
        <x:v>Belirlenecek</x:v>
      </x:c>
      <x:c r="I368" s="12" t="str"/>
      <x:c r="J368" s="12" t="str"/>
      <x:c r="K368" s="12" t="str"/>
      <x:c r="L368" s="13" t="str"/>
      <x:c r="M368" s="12" t="str"/>
      <x:c r="N368" s="12" t="str">
        <x:v>İncelenmedi</x:v>
      </x:c>
      <x:c r="O368" s="12" t="str">
        <x:v>İncelenmedi</x:v>
      </x:c>
      <x:c r="P368" s="12" t="str">
        <x:v>İncelenmedi</x:v>
      </x:c>
      <x:c r="Q368" s="12" t="str"/>
      <x:c r="R368" s="12" t="str"/>
      <x:c r="S368" s="13" t="str"/>
      <x:c r="T368" s="12" t="str"/>
      <x:c r="U368" s="12" t="str"/>
      <x:c r="V368" s="14" t="str">
        <x:f>IF(A368="","",IF(NOT(AND(COUNTIF(Exec[TestID],A368)=1,COUNTIF(Controls[ID],B368)=1,COUNTIFS(Scope[KapsamID],D368,Scope[OnayliKapsamID],D368,Scope[Ürün],C368)=1,OR(COUNTIFS(Controls[ID],B368,Controls[Ürün],C368)=1,COUNTIFS(Controls[ID],B368,Controls[Ürün],"MSP Genel")=1),E368&lt;&gt;"",F368&lt;&gt;"",G368&lt;&gt;"",I368&lt;&gt;"",Q368&lt;&gt;"")),"Kimlik / kapsam eksik",IF(NOT(OR(H368="Uygulanır",H368="Uygulanmaz")),"Uygulanabilirlik eksik",IF(AND(H368="Uygulanır",P368="Kanıt yetersiz",U368&lt;&gt;""),IF(AND(R368&lt;&gt;"",R368&lt;&gt;Q368,ISNUMBER(S368),S368&gt;0,S368&gt;=L368),"İnceleme tamam","Gözden geçirme eksik"),IF(NOT(AND(J368&lt;&gt;"",COUNTIFS(Evidence[KanitID],J368,Evidence[Kabul edilen ID],J368)=1,K368&lt;&gt;"",ISNUMBER(L368),L368&gt;0,M368&lt;&gt;"")),"Kanıt / test eksik",IF(NOT(AND(R368&lt;&gt;"",R368&lt;&gt;Q368,ISNUMBER(S368),S368&gt;0,S368&gt;=L368)),"Gözden geçirme eksik",IF(H368="Uygulanmaz","İnceleme tamam",IF(AND(OR(P368="Uygun",P368="Kısmen uygun",P368="Uygunsuz"),OR(N368="Uygun",N368="Kısmen uygun",N368="Uygunsuz"),OR(O368="Uygun",O368="Kısmen uygun",O368="Uygunsuz"),OR(P368&lt;&gt;"Uygun",AND(N368="Uygun",O368="Uygun")),OR(P368="Uygun",AND(T368&lt;&gt;"",COUNTIF(Findings[KayitliBulguID],T368)=1))),"İnceleme tamam","Sonuç / bulgu eksik"))))))))</x:f>
        <x:v>Kimlik / kapsam eksik</x:v>
      </x:c>
      <x:c r="W368" s="14" t="str">
        <x:f>IF(A368="","",IF(V368&lt;&gt;"İnceleme tamam","İncelenmedi",IF(H368="Uygulanmaz","Uygulanmaz",P368)))</x:f>
        <x:v>İncelenmedi</x:v>
      </x:c>
    </x:row>
    <x:row r="369" ht="35" customHeight="1">
      <x:c r="A369" s="12" t="str">
        <x:v>U-0364</x:v>
      </x:c>
      <x:c r="B369" s="12" t="str">
        <x:v>GRA-012</x:v>
      </x:c>
      <x:c r="C369" s="12" t="str">
        <x:v>Grafana</x:v>
      </x:c>
      <x:c r="D369" s="12" t="str"/>
      <x:c r="E369" s="12" t="str"/>
      <x:c r="F369" s="12" t="str"/>
      <x:c r="G369" s="12" t="str"/>
      <x:c r="H369" s="12" t="str">
        <x:v>Belirlenecek</x:v>
      </x:c>
      <x:c r="I369" s="12" t="str"/>
      <x:c r="J369" s="12" t="str"/>
      <x:c r="K369" s="12" t="str"/>
      <x:c r="L369" s="13" t="str"/>
      <x:c r="M369" s="12" t="str"/>
      <x:c r="N369" s="12" t="str">
        <x:v>İncelenmedi</x:v>
      </x:c>
      <x:c r="O369" s="12" t="str">
        <x:v>İncelenmedi</x:v>
      </x:c>
      <x:c r="P369" s="12" t="str">
        <x:v>İncelenmedi</x:v>
      </x:c>
      <x:c r="Q369" s="12" t="str"/>
      <x:c r="R369" s="12" t="str"/>
      <x:c r="S369" s="13" t="str"/>
      <x:c r="T369" s="12" t="str"/>
      <x:c r="U369" s="12" t="str"/>
      <x:c r="V369" s="14" t="str">
        <x:f>IF(A369="","",IF(NOT(AND(COUNTIF(Exec[TestID],A369)=1,COUNTIF(Controls[ID],B369)=1,COUNTIFS(Scope[KapsamID],D369,Scope[OnayliKapsamID],D369,Scope[Ürün],C369)=1,OR(COUNTIFS(Controls[ID],B369,Controls[Ürün],C369)=1,COUNTIFS(Controls[ID],B369,Controls[Ürün],"MSP Genel")=1),E369&lt;&gt;"",F369&lt;&gt;"",G369&lt;&gt;"",I369&lt;&gt;"",Q369&lt;&gt;"")),"Kimlik / kapsam eksik",IF(NOT(OR(H369="Uygulanır",H369="Uygulanmaz")),"Uygulanabilirlik eksik",IF(AND(H369="Uygulanır",P369="Kanıt yetersiz",U369&lt;&gt;""),IF(AND(R369&lt;&gt;"",R369&lt;&gt;Q369,ISNUMBER(S369),S369&gt;0,S369&gt;=L369),"İnceleme tamam","Gözden geçirme eksik"),IF(NOT(AND(J369&lt;&gt;"",COUNTIFS(Evidence[KanitID],J369,Evidence[Kabul edilen ID],J369)=1,K369&lt;&gt;"",ISNUMBER(L369),L369&gt;0,M369&lt;&gt;"")),"Kanıt / test eksik",IF(NOT(AND(R369&lt;&gt;"",R369&lt;&gt;Q369,ISNUMBER(S369),S369&gt;0,S369&gt;=L369)),"Gözden geçirme eksik",IF(H369="Uygulanmaz","İnceleme tamam",IF(AND(OR(P369="Uygun",P369="Kısmen uygun",P369="Uygunsuz"),OR(N369="Uygun",N369="Kısmen uygun",N369="Uygunsuz"),OR(O369="Uygun",O369="Kısmen uygun",O369="Uygunsuz"),OR(P369&lt;&gt;"Uygun",AND(N369="Uygun",O369="Uygun")),OR(P369="Uygun",AND(T369&lt;&gt;"",COUNTIF(Findings[KayitliBulguID],T369)=1))),"İnceleme tamam","Sonuç / bulgu eksik"))))))))</x:f>
        <x:v>Kimlik / kapsam eksik</x:v>
      </x:c>
      <x:c r="W369" s="14" t="str">
        <x:f>IF(A369="","",IF(V369&lt;&gt;"İnceleme tamam","İncelenmedi",IF(H369="Uygulanmaz","Uygulanmaz",P369)))</x:f>
        <x:v>İncelenmedi</x:v>
      </x:c>
    </x:row>
    <x:row r="370" ht="35" customHeight="1">
      <x:c r="A370" s="12" t="str">
        <x:v>U-0365</x:v>
      </x:c>
      <x:c r="B370" s="12" t="str">
        <x:v>GRA-013</x:v>
      </x:c>
      <x:c r="C370" s="12" t="str">
        <x:v>Grafana</x:v>
      </x:c>
      <x:c r="D370" s="12" t="str"/>
      <x:c r="E370" s="12" t="str"/>
      <x:c r="F370" s="12" t="str"/>
      <x:c r="G370" s="12" t="str"/>
      <x:c r="H370" s="12" t="str">
        <x:v>Belirlenecek</x:v>
      </x:c>
      <x:c r="I370" s="12" t="str"/>
      <x:c r="J370" s="12" t="str"/>
      <x:c r="K370" s="12" t="str"/>
      <x:c r="L370" s="13" t="str"/>
      <x:c r="M370" s="12" t="str"/>
      <x:c r="N370" s="12" t="str">
        <x:v>İncelenmedi</x:v>
      </x:c>
      <x:c r="O370" s="12" t="str">
        <x:v>İncelenmedi</x:v>
      </x:c>
      <x:c r="P370" s="12" t="str">
        <x:v>İncelenmedi</x:v>
      </x:c>
      <x:c r="Q370" s="12" t="str"/>
      <x:c r="R370" s="12" t="str"/>
      <x:c r="S370" s="13" t="str"/>
      <x:c r="T370" s="12" t="str"/>
      <x:c r="U370" s="12" t="str"/>
      <x:c r="V370" s="14" t="str">
        <x:f>IF(A370="","",IF(NOT(AND(COUNTIF(Exec[TestID],A370)=1,COUNTIF(Controls[ID],B370)=1,COUNTIFS(Scope[KapsamID],D370,Scope[OnayliKapsamID],D370,Scope[Ürün],C370)=1,OR(COUNTIFS(Controls[ID],B370,Controls[Ürün],C370)=1,COUNTIFS(Controls[ID],B370,Controls[Ürün],"MSP Genel")=1),E370&lt;&gt;"",F370&lt;&gt;"",G370&lt;&gt;"",I370&lt;&gt;"",Q370&lt;&gt;"")),"Kimlik / kapsam eksik",IF(NOT(OR(H370="Uygulanır",H370="Uygulanmaz")),"Uygulanabilirlik eksik",IF(AND(H370="Uygulanır",P370="Kanıt yetersiz",U370&lt;&gt;""),IF(AND(R370&lt;&gt;"",R370&lt;&gt;Q370,ISNUMBER(S370),S370&gt;0,S370&gt;=L370),"İnceleme tamam","Gözden geçirme eksik"),IF(NOT(AND(J370&lt;&gt;"",COUNTIFS(Evidence[KanitID],J370,Evidence[Kabul edilen ID],J370)=1,K370&lt;&gt;"",ISNUMBER(L370),L370&gt;0,M370&lt;&gt;"")),"Kanıt / test eksik",IF(NOT(AND(R370&lt;&gt;"",R370&lt;&gt;Q370,ISNUMBER(S370),S370&gt;0,S370&gt;=L370)),"Gözden geçirme eksik",IF(H370="Uygulanmaz","İnceleme tamam",IF(AND(OR(P370="Uygun",P370="Kısmen uygun",P370="Uygunsuz"),OR(N370="Uygun",N370="Kısmen uygun",N370="Uygunsuz"),OR(O370="Uygun",O370="Kısmen uygun",O370="Uygunsuz"),OR(P370&lt;&gt;"Uygun",AND(N370="Uygun",O370="Uygun")),OR(P370="Uygun",AND(T370&lt;&gt;"",COUNTIF(Findings[KayitliBulguID],T370)=1))),"İnceleme tamam","Sonuç / bulgu eksik"))))))))</x:f>
        <x:v>Kimlik / kapsam eksik</x:v>
      </x:c>
      <x:c r="W370" s="14" t="str">
        <x:f>IF(A370="","",IF(V370&lt;&gt;"İnceleme tamam","İncelenmedi",IF(H370="Uygulanmaz","Uygulanmaz",P370)))</x:f>
        <x:v>İncelenmedi</x:v>
      </x:c>
    </x:row>
    <x:row r="371" ht="35" customHeight="1">
      <x:c r="A371" s="12" t="str">
        <x:v>U-0366</x:v>
      </x:c>
      <x:c r="B371" s="12" t="str">
        <x:v>MEC-007</x:v>
      </x:c>
      <x:c r="C371" s="12" t="str">
        <x:v>ManageEngine Endpoint Central</x:v>
      </x:c>
      <x:c r="D371" s="12" t="str"/>
      <x:c r="E371" s="12" t="str"/>
      <x:c r="F371" s="12" t="str"/>
      <x:c r="G371" s="12" t="str"/>
      <x:c r="H371" s="12" t="str">
        <x:v>Belirlenecek</x:v>
      </x:c>
      <x:c r="I371" s="12" t="str"/>
      <x:c r="J371" s="12" t="str"/>
      <x:c r="K371" s="12" t="str"/>
      <x:c r="L371" s="13" t="str"/>
      <x:c r="M371" s="12" t="str"/>
      <x:c r="N371" s="12" t="str">
        <x:v>İncelenmedi</x:v>
      </x:c>
      <x:c r="O371" s="12" t="str">
        <x:v>İncelenmedi</x:v>
      </x:c>
      <x:c r="P371" s="12" t="str">
        <x:v>İncelenmedi</x:v>
      </x:c>
      <x:c r="Q371" s="12" t="str"/>
      <x:c r="R371" s="12" t="str"/>
      <x:c r="S371" s="13" t="str"/>
      <x:c r="T371" s="12" t="str"/>
      <x:c r="U371" s="12" t="str"/>
      <x:c r="V371" s="14" t="str">
        <x:f>IF(A371="","",IF(NOT(AND(COUNTIF(Exec[TestID],A371)=1,COUNTIF(Controls[ID],B371)=1,COUNTIFS(Scope[KapsamID],D371,Scope[OnayliKapsamID],D371,Scope[Ürün],C371)=1,OR(COUNTIFS(Controls[ID],B371,Controls[Ürün],C371)=1,COUNTIFS(Controls[ID],B371,Controls[Ürün],"MSP Genel")=1),E371&lt;&gt;"",F371&lt;&gt;"",G371&lt;&gt;"",I371&lt;&gt;"",Q371&lt;&gt;"")),"Kimlik / kapsam eksik",IF(NOT(OR(H371="Uygulanır",H371="Uygulanmaz")),"Uygulanabilirlik eksik",IF(AND(H371="Uygulanır",P371="Kanıt yetersiz",U371&lt;&gt;""),IF(AND(R371&lt;&gt;"",R371&lt;&gt;Q371,ISNUMBER(S371),S371&gt;0,S371&gt;=L371),"İnceleme tamam","Gözden geçirme eksik"),IF(NOT(AND(J371&lt;&gt;"",COUNTIFS(Evidence[KanitID],J371,Evidence[Kabul edilen ID],J371)=1,K371&lt;&gt;"",ISNUMBER(L371),L371&gt;0,M371&lt;&gt;"")),"Kanıt / test eksik",IF(NOT(AND(R371&lt;&gt;"",R371&lt;&gt;Q371,ISNUMBER(S371),S371&gt;0,S371&gt;=L371)),"Gözden geçirme eksik",IF(H371="Uygulanmaz","İnceleme tamam",IF(AND(OR(P371="Uygun",P371="Kısmen uygun",P371="Uygunsuz"),OR(N371="Uygun",N371="Kısmen uygun",N371="Uygunsuz"),OR(O371="Uygun",O371="Kısmen uygun",O371="Uygunsuz"),OR(P371&lt;&gt;"Uygun",AND(N371="Uygun",O371="Uygun")),OR(P371="Uygun",AND(T371&lt;&gt;"",COUNTIF(Findings[KayitliBulguID],T371)=1))),"İnceleme tamam","Sonuç / bulgu eksik"))))))))</x:f>
        <x:v>Kimlik / kapsam eksik</x:v>
      </x:c>
      <x:c r="W371" s="14" t="str">
        <x:f>IF(A371="","",IF(V371&lt;&gt;"İnceleme tamam","İncelenmedi",IF(H371="Uygulanmaz","Uygulanmaz",P371)))</x:f>
        <x:v>İncelenmedi</x:v>
      </x:c>
    </x:row>
    <x:row r="372" ht="35" customHeight="1">
      <x:c r="A372" s="12" t="str">
        <x:v>U-0367</x:v>
      </x:c>
      <x:c r="B372" s="12" t="str">
        <x:v>MEC-008</x:v>
      </x:c>
      <x:c r="C372" s="12" t="str">
        <x:v>ManageEngine Endpoint Central</x:v>
      </x:c>
      <x:c r="D372" s="12" t="str"/>
      <x:c r="E372" s="12" t="str"/>
      <x:c r="F372" s="12" t="str"/>
      <x:c r="G372" s="12" t="str"/>
      <x:c r="H372" s="12" t="str">
        <x:v>Belirlenecek</x:v>
      </x:c>
      <x:c r="I372" s="12" t="str"/>
      <x:c r="J372" s="12" t="str"/>
      <x:c r="K372" s="12" t="str"/>
      <x:c r="L372" s="13" t="str"/>
      <x:c r="M372" s="12" t="str"/>
      <x:c r="N372" s="12" t="str">
        <x:v>İncelenmedi</x:v>
      </x:c>
      <x:c r="O372" s="12" t="str">
        <x:v>İncelenmedi</x:v>
      </x:c>
      <x:c r="P372" s="12" t="str">
        <x:v>İncelenmedi</x:v>
      </x:c>
      <x:c r="Q372" s="12" t="str"/>
      <x:c r="R372" s="12" t="str"/>
      <x:c r="S372" s="13" t="str"/>
      <x:c r="T372" s="12" t="str"/>
      <x:c r="U372" s="12" t="str"/>
      <x:c r="V372" s="14" t="str">
        <x:f>IF(A372="","",IF(NOT(AND(COUNTIF(Exec[TestID],A372)=1,COUNTIF(Controls[ID],B372)=1,COUNTIFS(Scope[KapsamID],D372,Scope[OnayliKapsamID],D372,Scope[Ürün],C372)=1,OR(COUNTIFS(Controls[ID],B372,Controls[Ürün],C372)=1,COUNTIFS(Controls[ID],B372,Controls[Ürün],"MSP Genel")=1),E372&lt;&gt;"",F372&lt;&gt;"",G372&lt;&gt;"",I372&lt;&gt;"",Q372&lt;&gt;"")),"Kimlik / kapsam eksik",IF(NOT(OR(H372="Uygulanır",H372="Uygulanmaz")),"Uygulanabilirlik eksik",IF(AND(H372="Uygulanır",P372="Kanıt yetersiz",U372&lt;&gt;""),IF(AND(R372&lt;&gt;"",R372&lt;&gt;Q372,ISNUMBER(S372),S372&gt;0,S372&gt;=L372),"İnceleme tamam","Gözden geçirme eksik"),IF(NOT(AND(J372&lt;&gt;"",COUNTIFS(Evidence[KanitID],J372,Evidence[Kabul edilen ID],J372)=1,K372&lt;&gt;"",ISNUMBER(L372),L372&gt;0,M372&lt;&gt;"")),"Kanıt / test eksik",IF(NOT(AND(R372&lt;&gt;"",R372&lt;&gt;Q372,ISNUMBER(S372),S372&gt;0,S372&gt;=L372)),"Gözden geçirme eksik",IF(H372="Uygulanmaz","İnceleme tamam",IF(AND(OR(P372="Uygun",P372="Kısmen uygun",P372="Uygunsuz"),OR(N372="Uygun",N372="Kısmen uygun",N372="Uygunsuz"),OR(O372="Uygun",O372="Kısmen uygun",O372="Uygunsuz"),OR(P372&lt;&gt;"Uygun",AND(N372="Uygun",O372="Uygun")),OR(P372="Uygun",AND(T372&lt;&gt;"",COUNTIF(Findings[KayitliBulguID],T372)=1))),"İnceleme tamam","Sonuç / bulgu eksik"))))))))</x:f>
        <x:v>Kimlik / kapsam eksik</x:v>
      </x:c>
      <x:c r="W372" s="14" t="str">
        <x:f>IF(A372="","",IF(V372&lt;&gt;"İnceleme tamam","İncelenmedi",IF(H372="Uygulanmaz","Uygulanmaz",P372)))</x:f>
        <x:v>İncelenmedi</x:v>
      </x:c>
    </x:row>
    <x:row r="373" ht="35" customHeight="1">
      <x:c r="A373" s="12" t="str">
        <x:v>U-0368</x:v>
      </x:c>
      <x:c r="B373" s="12" t="str">
        <x:v>MEC-009</x:v>
      </x:c>
      <x:c r="C373" s="12" t="str">
        <x:v>ManageEngine Endpoint Central</x:v>
      </x:c>
      <x:c r="D373" s="12" t="str"/>
      <x:c r="E373" s="12" t="str"/>
      <x:c r="F373" s="12" t="str"/>
      <x:c r="G373" s="12" t="str"/>
      <x:c r="H373" s="12" t="str">
        <x:v>Belirlenecek</x:v>
      </x:c>
      <x:c r="I373" s="12" t="str"/>
      <x:c r="J373" s="12" t="str"/>
      <x:c r="K373" s="12" t="str"/>
      <x:c r="L373" s="13" t="str"/>
      <x:c r="M373" s="12" t="str"/>
      <x:c r="N373" s="12" t="str">
        <x:v>İncelenmedi</x:v>
      </x:c>
      <x:c r="O373" s="12" t="str">
        <x:v>İncelenmedi</x:v>
      </x:c>
      <x:c r="P373" s="12" t="str">
        <x:v>İncelenmedi</x:v>
      </x:c>
      <x:c r="Q373" s="12" t="str"/>
      <x:c r="R373" s="12" t="str"/>
      <x:c r="S373" s="13" t="str"/>
      <x:c r="T373" s="12" t="str"/>
      <x:c r="U373" s="12" t="str"/>
      <x:c r="V373" s="14" t="str">
        <x:f>IF(A373="","",IF(NOT(AND(COUNTIF(Exec[TestID],A373)=1,COUNTIF(Controls[ID],B373)=1,COUNTIFS(Scope[KapsamID],D373,Scope[OnayliKapsamID],D373,Scope[Ürün],C373)=1,OR(COUNTIFS(Controls[ID],B373,Controls[Ürün],C373)=1,COUNTIFS(Controls[ID],B373,Controls[Ürün],"MSP Genel")=1),E373&lt;&gt;"",F373&lt;&gt;"",G373&lt;&gt;"",I373&lt;&gt;"",Q373&lt;&gt;"")),"Kimlik / kapsam eksik",IF(NOT(OR(H373="Uygulanır",H373="Uygulanmaz")),"Uygulanabilirlik eksik",IF(AND(H373="Uygulanır",P373="Kanıt yetersiz",U373&lt;&gt;""),IF(AND(R373&lt;&gt;"",R373&lt;&gt;Q373,ISNUMBER(S373),S373&gt;0,S373&gt;=L373),"İnceleme tamam","Gözden geçirme eksik"),IF(NOT(AND(J373&lt;&gt;"",COUNTIFS(Evidence[KanitID],J373,Evidence[Kabul edilen ID],J373)=1,K373&lt;&gt;"",ISNUMBER(L373),L373&gt;0,M373&lt;&gt;"")),"Kanıt / test eksik",IF(NOT(AND(R373&lt;&gt;"",R373&lt;&gt;Q373,ISNUMBER(S373),S373&gt;0,S373&gt;=L373)),"Gözden geçirme eksik",IF(H373="Uygulanmaz","İnceleme tamam",IF(AND(OR(P373="Uygun",P373="Kısmen uygun",P373="Uygunsuz"),OR(N373="Uygun",N373="Kısmen uygun",N373="Uygunsuz"),OR(O373="Uygun",O373="Kısmen uygun",O373="Uygunsuz"),OR(P373&lt;&gt;"Uygun",AND(N373="Uygun",O373="Uygun")),OR(P373="Uygun",AND(T373&lt;&gt;"",COUNTIF(Findings[KayitliBulguID],T373)=1))),"İnceleme tamam","Sonuç / bulgu eksik"))))))))</x:f>
        <x:v>Kimlik / kapsam eksik</x:v>
      </x:c>
      <x:c r="W373" s="14" t="str">
        <x:f>IF(A373="","",IF(V373&lt;&gt;"İnceleme tamam","İncelenmedi",IF(H373="Uygulanmaz","Uygulanmaz",P373)))</x:f>
        <x:v>İncelenmedi</x:v>
      </x:c>
    </x:row>
    <x:row r="374" ht="35" customHeight="1">
      <x:c r="A374" s="12" t="str">
        <x:v>U-0369</x:v>
      </x:c>
      <x:c r="B374" s="12" t="str">
        <x:v>MEC-010</x:v>
      </x:c>
      <x:c r="C374" s="12" t="str">
        <x:v>ManageEngine Endpoint Central</x:v>
      </x:c>
      <x:c r="D374" s="12" t="str"/>
      <x:c r="E374" s="12" t="str"/>
      <x:c r="F374" s="12" t="str"/>
      <x:c r="G374" s="12" t="str"/>
      <x:c r="H374" s="12" t="str">
        <x:v>Belirlenecek</x:v>
      </x:c>
      <x:c r="I374" s="12" t="str"/>
      <x:c r="J374" s="12" t="str"/>
      <x:c r="K374" s="12" t="str"/>
      <x:c r="L374" s="13" t="str"/>
      <x:c r="M374" s="12" t="str"/>
      <x:c r="N374" s="12" t="str">
        <x:v>İncelenmedi</x:v>
      </x:c>
      <x:c r="O374" s="12" t="str">
        <x:v>İncelenmedi</x:v>
      </x:c>
      <x:c r="P374" s="12" t="str">
        <x:v>İncelenmedi</x:v>
      </x:c>
      <x:c r="Q374" s="12" t="str"/>
      <x:c r="R374" s="12" t="str"/>
      <x:c r="S374" s="13" t="str"/>
      <x:c r="T374" s="12" t="str"/>
      <x:c r="U374" s="12" t="str"/>
      <x:c r="V374" s="14" t="str">
        <x:f>IF(A374="","",IF(NOT(AND(COUNTIF(Exec[TestID],A374)=1,COUNTIF(Controls[ID],B374)=1,COUNTIFS(Scope[KapsamID],D374,Scope[OnayliKapsamID],D374,Scope[Ürün],C374)=1,OR(COUNTIFS(Controls[ID],B374,Controls[Ürün],C374)=1,COUNTIFS(Controls[ID],B374,Controls[Ürün],"MSP Genel")=1),E374&lt;&gt;"",F374&lt;&gt;"",G374&lt;&gt;"",I374&lt;&gt;"",Q374&lt;&gt;"")),"Kimlik / kapsam eksik",IF(NOT(OR(H374="Uygulanır",H374="Uygulanmaz")),"Uygulanabilirlik eksik",IF(AND(H374="Uygulanır",P374="Kanıt yetersiz",U374&lt;&gt;""),IF(AND(R374&lt;&gt;"",R374&lt;&gt;Q374,ISNUMBER(S374),S374&gt;0,S374&gt;=L374),"İnceleme tamam","Gözden geçirme eksik"),IF(NOT(AND(J374&lt;&gt;"",COUNTIFS(Evidence[KanitID],J374,Evidence[Kabul edilen ID],J374)=1,K374&lt;&gt;"",ISNUMBER(L374),L374&gt;0,M374&lt;&gt;"")),"Kanıt / test eksik",IF(NOT(AND(R374&lt;&gt;"",R374&lt;&gt;Q374,ISNUMBER(S374),S374&gt;0,S374&gt;=L374)),"Gözden geçirme eksik",IF(H374="Uygulanmaz","İnceleme tamam",IF(AND(OR(P374="Uygun",P374="Kısmen uygun",P374="Uygunsuz"),OR(N374="Uygun",N374="Kısmen uygun",N374="Uygunsuz"),OR(O374="Uygun",O374="Kısmen uygun",O374="Uygunsuz"),OR(P374&lt;&gt;"Uygun",AND(N374="Uygun",O374="Uygun")),OR(P374="Uygun",AND(T374&lt;&gt;"",COUNTIF(Findings[KayitliBulguID],T374)=1))),"İnceleme tamam","Sonuç / bulgu eksik"))))))))</x:f>
        <x:v>Kimlik / kapsam eksik</x:v>
      </x:c>
      <x:c r="W374" s="14" t="str">
        <x:f>IF(A374="","",IF(V374&lt;&gt;"İnceleme tamam","İncelenmedi",IF(H374="Uygulanmaz","Uygulanmaz",P374)))</x:f>
        <x:v>İncelenmedi</x:v>
      </x:c>
    </x:row>
    <x:row r="375" ht="35" customHeight="1">
      <x:c r="A375" s="12" t="str">
        <x:v>U-0370</x:v>
      </x:c>
      <x:c r="B375" s="12" t="str">
        <x:v>MEC-011</x:v>
      </x:c>
      <x:c r="C375" s="12" t="str">
        <x:v>ManageEngine Endpoint Central</x:v>
      </x:c>
      <x:c r="D375" s="12" t="str"/>
      <x:c r="E375" s="12" t="str"/>
      <x:c r="F375" s="12" t="str"/>
      <x:c r="G375" s="12" t="str"/>
      <x:c r="H375" s="12" t="str">
        <x:v>Belirlenecek</x:v>
      </x:c>
      <x:c r="I375" s="12" t="str"/>
      <x:c r="J375" s="12" t="str"/>
      <x:c r="K375" s="12" t="str"/>
      <x:c r="L375" s="13" t="str"/>
      <x:c r="M375" s="12" t="str"/>
      <x:c r="N375" s="12" t="str">
        <x:v>İncelenmedi</x:v>
      </x:c>
      <x:c r="O375" s="12" t="str">
        <x:v>İncelenmedi</x:v>
      </x:c>
      <x:c r="P375" s="12" t="str">
        <x:v>İncelenmedi</x:v>
      </x:c>
      <x:c r="Q375" s="12" t="str"/>
      <x:c r="R375" s="12" t="str"/>
      <x:c r="S375" s="13" t="str"/>
      <x:c r="T375" s="12" t="str"/>
      <x:c r="U375" s="12" t="str"/>
      <x:c r="V375" s="14" t="str">
        <x:f>IF(A375="","",IF(NOT(AND(COUNTIF(Exec[TestID],A375)=1,COUNTIF(Controls[ID],B375)=1,COUNTIFS(Scope[KapsamID],D375,Scope[OnayliKapsamID],D375,Scope[Ürün],C375)=1,OR(COUNTIFS(Controls[ID],B375,Controls[Ürün],C375)=1,COUNTIFS(Controls[ID],B375,Controls[Ürün],"MSP Genel")=1),E375&lt;&gt;"",F375&lt;&gt;"",G375&lt;&gt;"",I375&lt;&gt;"",Q375&lt;&gt;"")),"Kimlik / kapsam eksik",IF(NOT(OR(H375="Uygulanır",H375="Uygulanmaz")),"Uygulanabilirlik eksik",IF(AND(H375="Uygulanır",P375="Kanıt yetersiz",U375&lt;&gt;""),IF(AND(R375&lt;&gt;"",R375&lt;&gt;Q375,ISNUMBER(S375),S375&gt;0,S375&gt;=L375),"İnceleme tamam","Gözden geçirme eksik"),IF(NOT(AND(J375&lt;&gt;"",COUNTIFS(Evidence[KanitID],J375,Evidence[Kabul edilen ID],J375)=1,K375&lt;&gt;"",ISNUMBER(L375),L375&gt;0,M375&lt;&gt;"")),"Kanıt / test eksik",IF(NOT(AND(R375&lt;&gt;"",R375&lt;&gt;Q375,ISNUMBER(S375),S375&gt;0,S375&gt;=L375)),"Gözden geçirme eksik",IF(H375="Uygulanmaz","İnceleme tamam",IF(AND(OR(P375="Uygun",P375="Kısmen uygun",P375="Uygunsuz"),OR(N375="Uygun",N375="Kısmen uygun",N375="Uygunsuz"),OR(O375="Uygun",O375="Kısmen uygun",O375="Uygunsuz"),OR(P375&lt;&gt;"Uygun",AND(N375="Uygun",O375="Uygun")),OR(P375="Uygun",AND(T375&lt;&gt;"",COUNTIF(Findings[KayitliBulguID],T375)=1))),"İnceleme tamam","Sonuç / bulgu eksik"))))))))</x:f>
        <x:v>Kimlik / kapsam eksik</x:v>
      </x:c>
      <x:c r="W375" s="14" t="str">
        <x:f>IF(A375="","",IF(V375&lt;&gt;"İnceleme tamam","İncelenmedi",IF(H375="Uygulanmaz","Uygulanmaz",P375)))</x:f>
        <x:v>İncelenmedi</x:v>
      </x:c>
    </x:row>
    <x:row r="376" ht="35" customHeight="1">
      <x:c r="A376" s="12" t="str">
        <x:v>U-0371</x:v>
      </x:c>
      <x:c r="B376" s="12" t="str">
        <x:v>MEC-012</x:v>
      </x:c>
      <x:c r="C376" s="12" t="str">
        <x:v>ManageEngine Endpoint Central</x:v>
      </x:c>
      <x:c r="D376" s="12" t="str"/>
      <x:c r="E376" s="12" t="str"/>
      <x:c r="F376" s="12" t="str"/>
      <x:c r="G376" s="12" t="str"/>
      <x:c r="H376" s="12" t="str">
        <x:v>Belirlenecek</x:v>
      </x:c>
      <x:c r="I376" s="12" t="str"/>
      <x:c r="J376" s="12" t="str"/>
      <x:c r="K376" s="12" t="str"/>
      <x:c r="L376" s="13" t="str"/>
      <x:c r="M376" s="12" t="str"/>
      <x:c r="N376" s="12" t="str">
        <x:v>İncelenmedi</x:v>
      </x:c>
      <x:c r="O376" s="12" t="str">
        <x:v>İncelenmedi</x:v>
      </x:c>
      <x:c r="P376" s="12" t="str">
        <x:v>İncelenmedi</x:v>
      </x:c>
      <x:c r="Q376" s="12" t="str"/>
      <x:c r="R376" s="12" t="str"/>
      <x:c r="S376" s="13" t="str"/>
      <x:c r="T376" s="12" t="str"/>
      <x:c r="U376" s="12" t="str"/>
      <x:c r="V376" s="14" t="str">
        <x:f>IF(A376="","",IF(NOT(AND(COUNTIF(Exec[TestID],A376)=1,COUNTIF(Controls[ID],B376)=1,COUNTIFS(Scope[KapsamID],D376,Scope[OnayliKapsamID],D376,Scope[Ürün],C376)=1,OR(COUNTIFS(Controls[ID],B376,Controls[Ürün],C376)=1,COUNTIFS(Controls[ID],B376,Controls[Ürün],"MSP Genel")=1),E376&lt;&gt;"",F376&lt;&gt;"",G376&lt;&gt;"",I376&lt;&gt;"",Q376&lt;&gt;"")),"Kimlik / kapsam eksik",IF(NOT(OR(H376="Uygulanır",H376="Uygulanmaz")),"Uygulanabilirlik eksik",IF(AND(H376="Uygulanır",P376="Kanıt yetersiz",U376&lt;&gt;""),IF(AND(R376&lt;&gt;"",R376&lt;&gt;Q376,ISNUMBER(S376),S376&gt;0,S376&gt;=L376),"İnceleme tamam","Gözden geçirme eksik"),IF(NOT(AND(J376&lt;&gt;"",COUNTIFS(Evidence[KanitID],J376,Evidence[Kabul edilen ID],J376)=1,K376&lt;&gt;"",ISNUMBER(L376),L376&gt;0,M376&lt;&gt;"")),"Kanıt / test eksik",IF(NOT(AND(R376&lt;&gt;"",R376&lt;&gt;Q376,ISNUMBER(S376),S376&gt;0,S376&gt;=L376)),"Gözden geçirme eksik",IF(H376="Uygulanmaz","İnceleme tamam",IF(AND(OR(P376="Uygun",P376="Kısmen uygun",P376="Uygunsuz"),OR(N376="Uygun",N376="Kısmen uygun",N376="Uygunsuz"),OR(O376="Uygun",O376="Kısmen uygun",O376="Uygunsuz"),OR(P376&lt;&gt;"Uygun",AND(N376="Uygun",O376="Uygun")),OR(P376="Uygun",AND(T376&lt;&gt;"",COUNTIF(Findings[KayitliBulguID],T376)=1))),"İnceleme tamam","Sonuç / bulgu eksik"))))))))</x:f>
        <x:v>Kimlik / kapsam eksik</x:v>
      </x:c>
      <x:c r="W376" s="14" t="str">
        <x:f>IF(A376="","",IF(V376&lt;&gt;"İnceleme tamam","İncelenmedi",IF(H376="Uygulanmaz","Uygulanmaz",P376)))</x:f>
        <x:v>İncelenmedi</x:v>
      </x:c>
    </x:row>
    <x:row r="377" ht="35" customHeight="1">
      <x:c r="A377" s="12" t="str">
        <x:v>U-0372</x:v>
      </x:c>
      <x:c r="B377" s="12" t="str">
        <x:v>MEC-013</x:v>
      </x:c>
      <x:c r="C377" s="12" t="str">
        <x:v>ManageEngine Endpoint Central</x:v>
      </x:c>
      <x:c r="D377" s="12" t="str"/>
      <x:c r="E377" s="12" t="str"/>
      <x:c r="F377" s="12" t="str"/>
      <x:c r="G377" s="12" t="str"/>
      <x:c r="H377" s="12" t="str">
        <x:v>Belirlenecek</x:v>
      </x:c>
      <x:c r="I377" s="12" t="str"/>
      <x:c r="J377" s="12" t="str"/>
      <x:c r="K377" s="12" t="str"/>
      <x:c r="L377" s="13" t="str"/>
      <x:c r="M377" s="12" t="str"/>
      <x:c r="N377" s="12" t="str">
        <x:v>İncelenmedi</x:v>
      </x:c>
      <x:c r="O377" s="12" t="str">
        <x:v>İncelenmedi</x:v>
      </x:c>
      <x:c r="P377" s="12" t="str">
        <x:v>İncelenmedi</x:v>
      </x:c>
      <x:c r="Q377" s="12" t="str"/>
      <x:c r="R377" s="12" t="str"/>
      <x:c r="S377" s="13" t="str"/>
      <x:c r="T377" s="12" t="str"/>
      <x:c r="U377" s="12" t="str"/>
      <x:c r="V377" s="14" t="str">
        <x:f>IF(A377="","",IF(NOT(AND(COUNTIF(Exec[TestID],A377)=1,COUNTIF(Controls[ID],B377)=1,COUNTIFS(Scope[KapsamID],D377,Scope[OnayliKapsamID],D377,Scope[Ürün],C377)=1,OR(COUNTIFS(Controls[ID],B377,Controls[Ürün],C377)=1,COUNTIFS(Controls[ID],B377,Controls[Ürün],"MSP Genel")=1),E377&lt;&gt;"",F377&lt;&gt;"",G377&lt;&gt;"",I377&lt;&gt;"",Q377&lt;&gt;"")),"Kimlik / kapsam eksik",IF(NOT(OR(H377="Uygulanır",H377="Uygulanmaz")),"Uygulanabilirlik eksik",IF(AND(H377="Uygulanır",P377="Kanıt yetersiz",U377&lt;&gt;""),IF(AND(R377&lt;&gt;"",R377&lt;&gt;Q377,ISNUMBER(S377),S377&gt;0,S377&gt;=L377),"İnceleme tamam","Gözden geçirme eksik"),IF(NOT(AND(J377&lt;&gt;"",COUNTIFS(Evidence[KanitID],J377,Evidence[Kabul edilen ID],J377)=1,K377&lt;&gt;"",ISNUMBER(L377),L377&gt;0,M377&lt;&gt;"")),"Kanıt / test eksik",IF(NOT(AND(R377&lt;&gt;"",R377&lt;&gt;Q377,ISNUMBER(S377),S377&gt;0,S377&gt;=L377)),"Gözden geçirme eksik",IF(H377="Uygulanmaz","İnceleme tamam",IF(AND(OR(P377="Uygun",P377="Kısmen uygun",P377="Uygunsuz"),OR(N377="Uygun",N377="Kısmen uygun",N377="Uygunsuz"),OR(O377="Uygun",O377="Kısmen uygun",O377="Uygunsuz"),OR(P377&lt;&gt;"Uygun",AND(N377="Uygun",O377="Uygun")),OR(P377="Uygun",AND(T377&lt;&gt;"",COUNTIF(Findings[KayitliBulguID],T377)=1))),"İnceleme tamam","Sonuç / bulgu eksik"))))))))</x:f>
        <x:v>Kimlik / kapsam eksik</x:v>
      </x:c>
      <x:c r="W377" s="14" t="str">
        <x:f>IF(A377="","",IF(V377&lt;&gt;"İnceleme tamam","İncelenmedi",IF(H377="Uygulanmaz","Uygulanmaz",P377)))</x:f>
        <x:v>İncelenmedi</x:v>
      </x:c>
    </x:row>
    <x:row r="378" ht="35" customHeight="1">
      <x:c r="A378" s="12" t="str">
        <x:v>U-0373</x:v>
      </x:c>
      <x:c r="B378" s="12" t="str">
        <x:v>MEC-014</x:v>
      </x:c>
      <x:c r="C378" s="12" t="str">
        <x:v>ManageEngine Endpoint Central</x:v>
      </x:c>
      <x:c r="D378" s="12" t="str"/>
      <x:c r="E378" s="12" t="str"/>
      <x:c r="F378" s="12" t="str"/>
      <x:c r="G378" s="12" t="str"/>
      <x:c r="H378" s="12" t="str">
        <x:v>Belirlenecek</x:v>
      </x:c>
      <x:c r="I378" s="12" t="str"/>
      <x:c r="J378" s="12" t="str"/>
      <x:c r="K378" s="12" t="str"/>
      <x:c r="L378" s="13" t="str"/>
      <x:c r="M378" s="12" t="str"/>
      <x:c r="N378" s="12" t="str">
        <x:v>İncelenmedi</x:v>
      </x:c>
      <x:c r="O378" s="12" t="str">
        <x:v>İncelenmedi</x:v>
      </x:c>
      <x:c r="P378" s="12" t="str">
        <x:v>İncelenmedi</x:v>
      </x:c>
      <x:c r="Q378" s="12" t="str"/>
      <x:c r="R378" s="12" t="str"/>
      <x:c r="S378" s="13" t="str"/>
      <x:c r="T378" s="12" t="str"/>
      <x:c r="U378" s="12" t="str"/>
      <x:c r="V378" s="14" t="str">
        <x:f>IF(A378="","",IF(NOT(AND(COUNTIF(Exec[TestID],A378)=1,COUNTIF(Controls[ID],B378)=1,COUNTIFS(Scope[KapsamID],D378,Scope[OnayliKapsamID],D378,Scope[Ürün],C378)=1,OR(COUNTIFS(Controls[ID],B378,Controls[Ürün],C378)=1,COUNTIFS(Controls[ID],B378,Controls[Ürün],"MSP Genel")=1),E378&lt;&gt;"",F378&lt;&gt;"",G378&lt;&gt;"",I378&lt;&gt;"",Q378&lt;&gt;"")),"Kimlik / kapsam eksik",IF(NOT(OR(H378="Uygulanır",H378="Uygulanmaz")),"Uygulanabilirlik eksik",IF(AND(H378="Uygulanır",P378="Kanıt yetersiz",U378&lt;&gt;""),IF(AND(R378&lt;&gt;"",R378&lt;&gt;Q378,ISNUMBER(S378),S378&gt;0,S378&gt;=L378),"İnceleme tamam","Gözden geçirme eksik"),IF(NOT(AND(J378&lt;&gt;"",COUNTIFS(Evidence[KanitID],J378,Evidence[Kabul edilen ID],J378)=1,K378&lt;&gt;"",ISNUMBER(L378),L378&gt;0,M378&lt;&gt;"")),"Kanıt / test eksik",IF(NOT(AND(R378&lt;&gt;"",R378&lt;&gt;Q378,ISNUMBER(S378),S378&gt;0,S378&gt;=L378)),"Gözden geçirme eksik",IF(H378="Uygulanmaz","İnceleme tamam",IF(AND(OR(P378="Uygun",P378="Kısmen uygun",P378="Uygunsuz"),OR(N378="Uygun",N378="Kısmen uygun",N378="Uygunsuz"),OR(O378="Uygun",O378="Kısmen uygun",O378="Uygunsuz"),OR(P378&lt;&gt;"Uygun",AND(N378="Uygun",O378="Uygun")),OR(P378="Uygun",AND(T378&lt;&gt;"",COUNTIF(Findings[KayitliBulguID],T378)=1))),"İnceleme tamam","Sonuç / bulgu eksik"))))))))</x:f>
        <x:v>Kimlik / kapsam eksik</x:v>
      </x:c>
      <x:c r="W378" s="14" t="str">
        <x:f>IF(A378="","",IF(V378&lt;&gt;"İnceleme tamam","İncelenmedi",IF(H378="Uygulanmaz","Uygulanmaz",P378)))</x:f>
        <x:v>İncelenmedi</x:v>
      </x:c>
    </x:row>
    <x:row r="379" ht="35" customHeight="1">
      <x:c r="A379" s="12" t="str">
        <x:v>U-0374</x:v>
      </x:c>
      <x:c r="B379" s="12" t="str">
        <x:v>MEC-015</x:v>
      </x:c>
      <x:c r="C379" s="12" t="str">
        <x:v>ManageEngine Endpoint Central</x:v>
      </x:c>
      <x:c r="D379" s="12" t="str"/>
      <x:c r="E379" s="12" t="str"/>
      <x:c r="F379" s="12" t="str"/>
      <x:c r="G379" s="12" t="str"/>
      <x:c r="H379" s="12" t="str">
        <x:v>Belirlenecek</x:v>
      </x:c>
      <x:c r="I379" s="12" t="str"/>
      <x:c r="J379" s="12" t="str"/>
      <x:c r="K379" s="12" t="str"/>
      <x:c r="L379" s="13" t="str"/>
      <x:c r="M379" s="12" t="str"/>
      <x:c r="N379" s="12" t="str">
        <x:v>İncelenmedi</x:v>
      </x:c>
      <x:c r="O379" s="12" t="str">
        <x:v>İncelenmedi</x:v>
      </x:c>
      <x:c r="P379" s="12" t="str">
        <x:v>İncelenmedi</x:v>
      </x:c>
      <x:c r="Q379" s="12" t="str"/>
      <x:c r="R379" s="12" t="str"/>
      <x:c r="S379" s="13" t="str"/>
      <x:c r="T379" s="12" t="str"/>
      <x:c r="U379" s="12" t="str"/>
      <x:c r="V379" s="14" t="str">
        <x:f>IF(A379="","",IF(NOT(AND(COUNTIF(Exec[TestID],A379)=1,COUNTIF(Controls[ID],B379)=1,COUNTIFS(Scope[KapsamID],D379,Scope[OnayliKapsamID],D379,Scope[Ürün],C379)=1,OR(COUNTIFS(Controls[ID],B379,Controls[Ürün],C379)=1,COUNTIFS(Controls[ID],B379,Controls[Ürün],"MSP Genel")=1),E379&lt;&gt;"",F379&lt;&gt;"",G379&lt;&gt;"",I379&lt;&gt;"",Q379&lt;&gt;"")),"Kimlik / kapsam eksik",IF(NOT(OR(H379="Uygulanır",H379="Uygulanmaz")),"Uygulanabilirlik eksik",IF(AND(H379="Uygulanır",P379="Kanıt yetersiz",U379&lt;&gt;""),IF(AND(R379&lt;&gt;"",R379&lt;&gt;Q379,ISNUMBER(S379),S379&gt;0,S379&gt;=L379),"İnceleme tamam","Gözden geçirme eksik"),IF(NOT(AND(J379&lt;&gt;"",COUNTIFS(Evidence[KanitID],J379,Evidence[Kabul edilen ID],J379)=1,K379&lt;&gt;"",ISNUMBER(L379),L379&gt;0,M379&lt;&gt;"")),"Kanıt / test eksik",IF(NOT(AND(R379&lt;&gt;"",R379&lt;&gt;Q379,ISNUMBER(S379),S379&gt;0,S379&gt;=L379)),"Gözden geçirme eksik",IF(H379="Uygulanmaz","İnceleme tamam",IF(AND(OR(P379="Uygun",P379="Kısmen uygun",P379="Uygunsuz"),OR(N379="Uygun",N379="Kısmen uygun",N379="Uygunsuz"),OR(O379="Uygun",O379="Kısmen uygun",O379="Uygunsuz"),OR(P379&lt;&gt;"Uygun",AND(N379="Uygun",O379="Uygun")),OR(P379="Uygun",AND(T379&lt;&gt;"",COUNTIF(Findings[KayitliBulguID],T379)=1))),"İnceleme tamam","Sonuç / bulgu eksik"))))))))</x:f>
        <x:v>Kimlik / kapsam eksik</x:v>
      </x:c>
      <x:c r="W379" s="14" t="str">
        <x:f>IF(A379="","",IF(V379&lt;&gt;"İnceleme tamam","İncelenmedi",IF(H379="Uygulanmaz","Uygulanmaz",P379)))</x:f>
        <x:v>İncelenmedi</x:v>
      </x:c>
    </x:row>
    <x:row r="380" ht="35" customHeight="1">
      <x:c r="A380" s="12" t="str">
        <x:v>U-0375</x:v>
      </x:c>
      <x:c r="B380" s="12" t="str">
        <x:v>ENS-007</x:v>
      </x:c>
      <x:c r="C380" s="12" t="str">
        <x:v>Trellix Endpoint Security</x:v>
      </x:c>
      <x:c r="D380" s="12" t="str"/>
      <x:c r="E380" s="12" t="str"/>
      <x:c r="F380" s="12" t="str"/>
      <x:c r="G380" s="12" t="str"/>
      <x:c r="H380" s="12" t="str">
        <x:v>Belirlenecek</x:v>
      </x:c>
      <x:c r="I380" s="12" t="str"/>
      <x:c r="J380" s="12" t="str"/>
      <x:c r="K380" s="12" t="str"/>
      <x:c r="L380" s="13" t="str"/>
      <x:c r="M380" s="12" t="str"/>
      <x:c r="N380" s="12" t="str">
        <x:v>İncelenmedi</x:v>
      </x:c>
      <x:c r="O380" s="12" t="str">
        <x:v>İncelenmedi</x:v>
      </x:c>
      <x:c r="P380" s="12" t="str">
        <x:v>İncelenmedi</x:v>
      </x:c>
      <x:c r="Q380" s="12" t="str"/>
      <x:c r="R380" s="12" t="str"/>
      <x:c r="S380" s="13" t="str"/>
      <x:c r="T380" s="12" t="str"/>
      <x:c r="U380" s="12" t="str"/>
      <x:c r="V380" s="14" t="str">
        <x:f>IF(A380="","",IF(NOT(AND(COUNTIF(Exec[TestID],A380)=1,COUNTIF(Controls[ID],B380)=1,COUNTIFS(Scope[KapsamID],D380,Scope[OnayliKapsamID],D380,Scope[Ürün],C380)=1,OR(COUNTIFS(Controls[ID],B380,Controls[Ürün],C380)=1,COUNTIFS(Controls[ID],B380,Controls[Ürün],"MSP Genel")=1),E380&lt;&gt;"",F380&lt;&gt;"",G380&lt;&gt;"",I380&lt;&gt;"",Q380&lt;&gt;"")),"Kimlik / kapsam eksik",IF(NOT(OR(H380="Uygulanır",H380="Uygulanmaz")),"Uygulanabilirlik eksik",IF(AND(H380="Uygulanır",P380="Kanıt yetersiz",U380&lt;&gt;""),IF(AND(R380&lt;&gt;"",R380&lt;&gt;Q380,ISNUMBER(S380),S380&gt;0,S380&gt;=L380),"İnceleme tamam","Gözden geçirme eksik"),IF(NOT(AND(J380&lt;&gt;"",COUNTIFS(Evidence[KanitID],J380,Evidence[Kabul edilen ID],J380)=1,K380&lt;&gt;"",ISNUMBER(L380),L380&gt;0,M380&lt;&gt;"")),"Kanıt / test eksik",IF(NOT(AND(R380&lt;&gt;"",R380&lt;&gt;Q380,ISNUMBER(S380),S380&gt;0,S380&gt;=L380)),"Gözden geçirme eksik",IF(H380="Uygulanmaz","İnceleme tamam",IF(AND(OR(P380="Uygun",P380="Kısmen uygun",P380="Uygunsuz"),OR(N380="Uygun",N380="Kısmen uygun",N380="Uygunsuz"),OR(O380="Uygun",O380="Kısmen uygun",O380="Uygunsuz"),OR(P380&lt;&gt;"Uygun",AND(N380="Uygun",O380="Uygun")),OR(P380="Uygun",AND(T380&lt;&gt;"",COUNTIF(Findings[KayitliBulguID],T380)=1))),"İnceleme tamam","Sonuç / bulgu eksik"))))))))</x:f>
        <x:v>Kimlik / kapsam eksik</x:v>
      </x:c>
      <x:c r="W380" s="14" t="str">
        <x:f>IF(A380="","",IF(V380&lt;&gt;"İnceleme tamam","İncelenmedi",IF(H380="Uygulanmaz","Uygulanmaz",P380)))</x:f>
        <x:v>İncelenmedi</x:v>
      </x:c>
    </x:row>
    <x:row r="381" ht="35" customHeight="1">
      <x:c r="A381" s="12" t="str">
        <x:v>U-0376</x:v>
      </x:c>
      <x:c r="B381" s="12" t="str">
        <x:v>ENS-008</x:v>
      </x:c>
      <x:c r="C381" s="12" t="str">
        <x:v>Trellix Endpoint Security</x:v>
      </x:c>
      <x:c r="D381" s="12" t="str"/>
      <x:c r="E381" s="12" t="str"/>
      <x:c r="F381" s="12" t="str"/>
      <x:c r="G381" s="12" t="str"/>
      <x:c r="H381" s="12" t="str">
        <x:v>Belirlenecek</x:v>
      </x:c>
      <x:c r="I381" s="12" t="str"/>
      <x:c r="J381" s="12" t="str"/>
      <x:c r="K381" s="12" t="str"/>
      <x:c r="L381" s="13" t="str"/>
      <x:c r="M381" s="12" t="str"/>
      <x:c r="N381" s="12" t="str">
        <x:v>İncelenmedi</x:v>
      </x:c>
      <x:c r="O381" s="12" t="str">
        <x:v>İncelenmedi</x:v>
      </x:c>
      <x:c r="P381" s="12" t="str">
        <x:v>İncelenmedi</x:v>
      </x:c>
      <x:c r="Q381" s="12" t="str"/>
      <x:c r="R381" s="12" t="str"/>
      <x:c r="S381" s="13" t="str"/>
      <x:c r="T381" s="12" t="str"/>
      <x:c r="U381" s="12" t="str"/>
      <x:c r="V381" s="14" t="str">
        <x:f>IF(A381="","",IF(NOT(AND(COUNTIF(Exec[TestID],A381)=1,COUNTIF(Controls[ID],B381)=1,COUNTIFS(Scope[KapsamID],D381,Scope[OnayliKapsamID],D381,Scope[Ürün],C381)=1,OR(COUNTIFS(Controls[ID],B381,Controls[Ürün],C381)=1,COUNTIFS(Controls[ID],B381,Controls[Ürün],"MSP Genel")=1),E381&lt;&gt;"",F381&lt;&gt;"",G381&lt;&gt;"",I381&lt;&gt;"",Q381&lt;&gt;"")),"Kimlik / kapsam eksik",IF(NOT(OR(H381="Uygulanır",H381="Uygulanmaz")),"Uygulanabilirlik eksik",IF(AND(H381="Uygulanır",P381="Kanıt yetersiz",U381&lt;&gt;""),IF(AND(R381&lt;&gt;"",R381&lt;&gt;Q381,ISNUMBER(S381),S381&gt;0,S381&gt;=L381),"İnceleme tamam","Gözden geçirme eksik"),IF(NOT(AND(J381&lt;&gt;"",COUNTIFS(Evidence[KanitID],J381,Evidence[Kabul edilen ID],J381)=1,K381&lt;&gt;"",ISNUMBER(L381),L381&gt;0,M381&lt;&gt;"")),"Kanıt / test eksik",IF(NOT(AND(R381&lt;&gt;"",R381&lt;&gt;Q381,ISNUMBER(S381),S381&gt;0,S381&gt;=L381)),"Gözden geçirme eksik",IF(H381="Uygulanmaz","İnceleme tamam",IF(AND(OR(P381="Uygun",P381="Kısmen uygun",P381="Uygunsuz"),OR(N381="Uygun",N381="Kısmen uygun",N381="Uygunsuz"),OR(O381="Uygun",O381="Kısmen uygun",O381="Uygunsuz"),OR(P381&lt;&gt;"Uygun",AND(N381="Uygun",O381="Uygun")),OR(P381="Uygun",AND(T381&lt;&gt;"",COUNTIF(Findings[KayitliBulguID],T381)=1))),"İnceleme tamam","Sonuç / bulgu eksik"))))))))</x:f>
        <x:v>Kimlik / kapsam eksik</x:v>
      </x:c>
      <x:c r="W381" s="14" t="str">
        <x:f>IF(A381="","",IF(V381&lt;&gt;"İnceleme tamam","İncelenmedi",IF(H381="Uygulanmaz","Uygulanmaz",P381)))</x:f>
        <x:v>İncelenmedi</x:v>
      </x:c>
    </x:row>
    <x:row r="382" ht="35" customHeight="1">
      <x:c r="A382" s="12" t="str">
        <x:v>U-0377</x:v>
      </x:c>
      <x:c r="B382" s="12" t="str">
        <x:v>ENS-009</x:v>
      </x:c>
      <x:c r="C382" s="12" t="str">
        <x:v>Trellix Endpoint Security</x:v>
      </x:c>
      <x:c r="D382" s="12" t="str"/>
      <x:c r="E382" s="12" t="str"/>
      <x:c r="F382" s="12" t="str"/>
      <x:c r="G382" s="12" t="str"/>
      <x:c r="H382" s="12" t="str">
        <x:v>Belirlenecek</x:v>
      </x:c>
      <x:c r="I382" s="12" t="str"/>
      <x:c r="J382" s="12" t="str"/>
      <x:c r="K382" s="12" t="str"/>
      <x:c r="L382" s="13" t="str"/>
      <x:c r="M382" s="12" t="str"/>
      <x:c r="N382" s="12" t="str">
        <x:v>İncelenmedi</x:v>
      </x:c>
      <x:c r="O382" s="12" t="str">
        <x:v>İncelenmedi</x:v>
      </x:c>
      <x:c r="P382" s="12" t="str">
        <x:v>İncelenmedi</x:v>
      </x:c>
      <x:c r="Q382" s="12" t="str"/>
      <x:c r="R382" s="12" t="str"/>
      <x:c r="S382" s="13" t="str"/>
      <x:c r="T382" s="12" t="str"/>
      <x:c r="U382" s="12" t="str"/>
      <x:c r="V382" s="14" t="str">
        <x:f>IF(A382="","",IF(NOT(AND(COUNTIF(Exec[TestID],A382)=1,COUNTIF(Controls[ID],B382)=1,COUNTIFS(Scope[KapsamID],D382,Scope[OnayliKapsamID],D382,Scope[Ürün],C382)=1,OR(COUNTIFS(Controls[ID],B382,Controls[Ürün],C382)=1,COUNTIFS(Controls[ID],B382,Controls[Ürün],"MSP Genel")=1),E382&lt;&gt;"",F382&lt;&gt;"",G382&lt;&gt;"",I382&lt;&gt;"",Q382&lt;&gt;"")),"Kimlik / kapsam eksik",IF(NOT(OR(H382="Uygulanır",H382="Uygulanmaz")),"Uygulanabilirlik eksik",IF(AND(H382="Uygulanır",P382="Kanıt yetersiz",U382&lt;&gt;""),IF(AND(R382&lt;&gt;"",R382&lt;&gt;Q382,ISNUMBER(S382),S382&gt;0,S382&gt;=L382),"İnceleme tamam","Gözden geçirme eksik"),IF(NOT(AND(J382&lt;&gt;"",COUNTIFS(Evidence[KanitID],J382,Evidence[Kabul edilen ID],J382)=1,K382&lt;&gt;"",ISNUMBER(L382),L382&gt;0,M382&lt;&gt;"")),"Kanıt / test eksik",IF(NOT(AND(R382&lt;&gt;"",R382&lt;&gt;Q382,ISNUMBER(S382),S382&gt;0,S382&gt;=L382)),"Gözden geçirme eksik",IF(H382="Uygulanmaz","İnceleme tamam",IF(AND(OR(P382="Uygun",P382="Kısmen uygun",P382="Uygunsuz"),OR(N382="Uygun",N382="Kısmen uygun",N382="Uygunsuz"),OR(O382="Uygun",O382="Kısmen uygun",O382="Uygunsuz"),OR(P382&lt;&gt;"Uygun",AND(N382="Uygun",O382="Uygun")),OR(P382="Uygun",AND(T382&lt;&gt;"",COUNTIF(Findings[KayitliBulguID],T382)=1))),"İnceleme tamam","Sonuç / bulgu eksik"))))))))</x:f>
        <x:v>Kimlik / kapsam eksik</x:v>
      </x:c>
      <x:c r="W382" s="14" t="str">
        <x:f>IF(A382="","",IF(V382&lt;&gt;"İnceleme tamam","İncelenmedi",IF(H382="Uygulanmaz","Uygulanmaz",P382)))</x:f>
        <x:v>İncelenmedi</x:v>
      </x:c>
    </x:row>
    <x:row r="383" ht="35" customHeight="1">
      <x:c r="A383" s="12" t="str">
        <x:v>U-0378</x:v>
      </x:c>
      <x:c r="B383" s="12" t="str">
        <x:v>ENS-010</x:v>
      </x:c>
      <x:c r="C383" s="12" t="str">
        <x:v>Trellix Endpoint Security</x:v>
      </x:c>
      <x:c r="D383" s="12" t="str"/>
      <x:c r="E383" s="12" t="str"/>
      <x:c r="F383" s="12" t="str"/>
      <x:c r="G383" s="12" t="str"/>
      <x:c r="H383" s="12" t="str">
        <x:v>Belirlenecek</x:v>
      </x:c>
      <x:c r="I383" s="12" t="str"/>
      <x:c r="J383" s="12" t="str"/>
      <x:c r="K383" s="12" t="str"/>
      <x:c r="L383" s="13" t="str"/>
      <x:c r="M383" s="12" t="str"/>
      <x:c r="N383" s="12" t="str">
        <x:v>İncelenmedi</x:v>
      </x:c>
      <x:c r="O383" s="12" t="str">
        <x:v>İncelenmedi</x:v>
      </x:c>
      <x:c r="P383" s="12" t="str">
        <x:v>İncelenmedi</x:v>
      </x:c>
      <x:c r="Q383" s="12" t="str"/>
      <x:c r="R383" s="12" t="str"/>
      <x:c r="S383" s="13" t="str"/>
      <x:c r="T383" s="12" t="str"/>
      <x:c r="U383" s="12" t="str"/>
      <x:c r="V383" s="14" t="str">
        <x:f>IF(A383="","",IF(NOT(AND(COUNTIF(Exec[TestID],A383)=1,COUNTIF(Controls[ID],B383)=1,COUNTIFS(Scope[KapsamID],D383,Scope[OnayliKapsamID],D383,Scope[Ürün],C383)=1,OR(COUNTIFS(Controls[ID],B383,Controls[Ürün],C383)=1,COUNTIFS(Controls[ID],B383,Controls[Ürün],"MSP Genel")=1),E383&lt;&gt;"",F383&lt;&gt;"",G383&lt;&gt;"",I383&lt;&gt;"",Q383&lt;&gt;"")),"Kimlik / kapsam eksik",IF(NOT(OR(H383="Uygulanır",H383="Uygulanmaz")),"Uygulanabilirlik eksik",IF(AND(H383="Uygulanır",P383="Kanıt yetersiz",U383&lt;&gt;""),IF(AND(R383&lt;&gt;"",R383&lt;&gt;Q383,ISNUMBER(S383),S383&gt;0,S383&gt;=L383),"İnceleme tamam","Gözden geçirme eksik"),IF(NOT(AND(J383&lt;&gt;"",COUNTIFS(Evidence[KanitID],J383,Evidence[Kabul edilen ID],J383)=1,K383&lt;&gt;"",ISNUMBER(L383),L383&gt;0,M383&lt;&gt;"")),"Kanıt / test eksik",IF(NOT(AND(R383&lt;&gt;"",R383&lt;&gt;Q383,ISNUMBER(S383),S383&gt;0,S383&gt;=L383)),"Gözden geçirme eksik",IF(H383="Uygulanmaz","İnceleme tamam",IF(AND(OR(P383="Uygun",P383="Kısmen uygun",P383="Uygunsuz"),OR(N383="Uygun",N383="Kısmen uygun",N383="Uygunsuz"),OR(O383="Uygun",O383="Kısmen uygun",O383="Uygunsuz"),OR(P383&lt;&gt;"Uygun",AND(N383="Uygun",O383="Uygun")),OR(P383="Uygun",AND(T383&lt;&gt;"",COUNTIF(Findings[KayitliBulguID],T383)=1))),"İnceleme tamam","Sonuç / bulgu eksik"))))))))</x:f>
        <x:v>Kimlik / kapsam eksik</x:v>
      </x:c>
      <x:c r="W383" s="14" t="str">
        <x:f>IF(A383="","",IF(V383&lt;&gt;"İnceleme tamam","İncelenmedi",IF(H383="Uygulanmaz","Uygulanmaz",P383)))</x:f>
        <x:v>İncelenmedi</x:v>
      </x:c>
    </x:row>
    <x:row r="384" ht="35" customHeight="1">
      <x:c r="A384" s="12" t="str">
        <x:v>U-0379</x:v>
      </x:c>
      <x:c r="B384" s="12" t="str">
        <x:v>ENS-011</x:v>
      </x:c>
      <x:c r="C384" s="12" t="str">
        <x:v>Trellix Endpoint Security</x:v>
      </x:c>
      <x:c r="D384" s="12" t="str"/>
      <x:c r="E384" s="12" t="str"/>
      <x:c r="F384" s="12" t="str"/>
      <x:c r="G384" s="12" t="str"/>
      <x:c r="H384" s="12" t="str">
        <x:v>Belirlenecek</x:v>
      </x:c>
      <x:c r="I384" s="12" t="str"/>
      <x:c r="J384" s="12" t="str"/>
      <x:c r="K384" s="12" t="str"/>
      <x:c r="L384" s="13" t="str"/>
      <x:c r="M384" s="12" t="str"/>
      <x:c r="N384" s="12" t="str">
        <x:v>İncelenmedi</x:v>
      </x:c>
      <x:c r="O384" s="12" t="str">
        <x:v>İncelenmedi</x:v>
      </x:c>
      <x:c r="P384" s="12" t="str">
        <x:v>İncelenmedi</x:v>
      </x:c>
      <x:c r="Q384" s="12" t="str"/>
      <x:c r="R384" s="12" t="str"/>
      <x:c r="S384" s="13" t="str"/>
      <x:c r="T384" s="12" t="str"/>
      <x:c r="U384" s="12" t="str"/>
      <x:c r="V384" s="14" t="str">
        <x:f>IF(A384="","",IF(NOT(AND(COUNTIF(Exec[TestID],A384)=1,COUNTIF(Controls[ID],B384)=1,COUNTIFS(Scope[KapsamID],D384,Scope[OnayliKapsamID],D384,Scope[Ürün],C384)=1,OR(COUNTIFS(Controls[ID],B384,Controls[Ürün],C384)=1,COUNTIFS(Controls[ID],B384,Controls[Ürün],"MSP Genel")=1),E384&lt;&gt;"",F384&lt;&gt;"",G384&lt;&gt;"",I384&lt;&gt;"",Q384&lt;&gt;"")),"Kimlik / kapsam eksik",IF(NOT(OR(H384="Uygulanır",H384="Uygulanmaz")),"Uygulanabilirlik eksik",IF(AND(H384="Uygulanır",P384="Kanıt yetersiz",U384&lt;&gt;""),IF(AND(R384&lt;&gt;"",R384&lt;&gt;Q384,ISNUMBER(S384),S384&gt;0,S384&gt;=L384),"İnceleme tamam","Gözden geçirme eksik"),IF(NOT(AND(J384&lt;&gt;"",COUNTIFS(Evidence[KanitID],J384,Evidence[Kabul edilen ID],J384)=1,K384&lt;&gt;"",ISNUMBER(L384),L384&gt;0,M384&lt;&gt;"")),"Kanıt / test eksik",IF(NOT(AND(R384&lt;&gt;"",R384&lt;&gt;Q384,ISNUMBER(S384),S384&gt;0,S384&gt;=L384)),"Gözden geçirme eksik",IF(H384="Uygulanmaz","İnceleme tamam",IF(AND(OR(P384="Uygun",P384="Kısmen uygun",P384="Uygunsuz"),OR(N384="Uygun",N384="Kısmen uygun",N384="Uygunsuz"),OR(O384="Uygun",O384="Kısmen uygun",O384="Uygunsuz"),OR(P384&lt;&gt;"Uygun",AND(N384="Uygun",O384="Uygun")),OR(P384="Uygun",AND(T384&lt;&gt;"",COUNTIF(Findings[KayitliBulguID],T384)=1))),"İnceleme tamam","Sonuç / bulgu eksik"))))))))</x:f>
        <x:v>Kimlik / kapsam eksik</x:v>
      </x:c>
      <x:c r="W384" s="14" t="str">
        <x:f>IF(A384="","",IF(V384&lt;&gt;"İnceleme tamam","İncelenmedi",IF(H384="Uygulanmaz","Uygulanmaz",P384)))</x:f>
        <x:v>İncelenmedi</x:v>
      </x:c>
    </x:row>
    <x:row r="385" ht="35" customHeight="1">
      <x:c r="A385" s="12" t="str">
        <x:v>U-0380</x:v>
      </x:c>
      <x:c r="B385" s="12" t="str">
        <x:v>ENS-012</x:v>
      </x:c>
      <x:c r="C385" s="12" t="str">
        <x:v>Trellix Endpoint Security</x:v>
      </x:c>
      <x:c r="D385" s="12" t="str"/>
      <x:c r="E385" s="12" t="str"/>
      <x:c r="F385" s="12" t="str"/>
      <x:c r="G385" s="12" t="str"/>
      <x:c r="H385" s="12" t="str">
        <x:v>Belirlenecek</x:v>
      </x:c>
      <x:c r="I385" s="12" t="str"/>
      <x:c r="J385" s="12" t="str"/>
      <x:c r="K385" s="12" t="str"/>
      <x:c r="L385" s="13" t="str"/>
      <x:c r="M385" s="12" t="str"/>
      <x:c r="N385" s="12" t="str">
        <x:v>İncelenmedi</x:v>
      </x:c>
      <x:c r="O385" s="12" t="str">
        <x:v>İncelenmedi</x:v>
      </x:c>
      <x:c r="P385" s="12" t="str">
        <x:v>İncelenmedi</x:v>
      </x:c>
      <x:c r="Q385" s="12" t="str"/>
      <x:c r="R385" s="12" t="str"/>
      <x:c r="S385" s="13" t="str"/>
      <x:c r="T385" s="12" t="str"/>
      <x:c r="U385" s="12" t="str"/>
      <x:c r="V385" s="14" t="str">
        <x:f>IF(A385="","",IF(NOT(AND(COUNTIF(Exec[TestID],A385)=1,COUNTIF(Controls[ID],B385)=1,COUNTIFS(Scope[KapsamID],D385,Scope[OnayliKapsamID],D385,Scope[Ürün],C385)=1,OR(COUNTIFS(Controls[ID],B385,Controls[Ürün],C385)=1,COUNTIFS(Controls[ID],B385,Controls[Ürün],"MSP Genel")=1),E385&lt;&gt;"",F385&lt;&gt;"",G385&lt;&gt;"",I385&lt;&gt;"",Q385&lt;&gt;"")),"Kimlik / kapsam eksik",IF(NOT(OR(H385="Uygulanır",H385="Uygulanmaz")),"Uygulanabilirlik eksik",IF(AND(H385="Uygulanır",P385="Kanıt yetersiz",U385&lt;&gt;""),IF(AND(R385&lt;&gt;"",R385&lt;&gt;Q385,ISNUMBER(S385),S385&gt;0,S385&gt;=L385),"İnceleme tamam","Gözden geçirme eksik"),IF(NOT(AND(J385&lt;&gt;"",COUNTIFS(Evidence[KanitID],J385,Evidence[Kabul edilen ID],J385)=1,K385&lt;&gt;"",ISNUMBER(L385),L385&gt;0,M385&lt;&gt;"")),"Kanıt / test eksik",IF(NOT(AND(R385&lt;&gt;"",R385&lt;&gt;Q385,ISNUMBER(S385),S385&gt;0,S385&gt;=L385)),"Gözden geçirme eksik",IF(H385="Uygulanmaz","İnceleme tamam",IF(AND(OR(P385="Uygun",P385="Kısmen uygun",P385="Uygunsuz"),OR(N385="Uygun",N385="Kısmen uygun",N385="Uygunsuz"),OR(O385="Uygun",O385="Kısmen uygun",O385="Uygunsuz"),OR(P385&lt;&gt;"Uygun",AND(N385="Uygun",O385="Uygun")),OR(P385="Uygun",AND(T385&lt;&gt;"",COUNTIF(Findings[KayitliBulguID],T385)=1))),"İnceleme tamam","Sonuç / bulgu eksik"))))))))</x:f>
        <x:v>Kimlik / kapsam eksik</x:v>
      </x:c>
      <x:c r="W385" s="14" t="str">
        <x:f>IF(A385="","",IF(V385&lt;&gt;"İnceleme tamam","İncelenmedi",IF(H385="Uygulanmaz","Uygulanmaz",P385)))</x:f>
        <x:v>İncelenmedi</x:v>
      </x:c>
    </x:row>
    <x:row r="386" ht="35" customHeight="1">
      <x:c r="A386" s="12" t="str">
        <x:v>U-0381</x:v>
      </x:c>
      <x:c r="B386" s="12" t="str">
        <x:v>ENS-013</x:v>
      </x:c>
      <x:c r="C386" s="12" t="str">
        <x:v>Trellix Endpoint Security</x:v>
      </x:c>
      <x:c r="D386" s="12" t="str"/>
      <x:c r="E386" s="12" t="str"/>
      <x:c r="F386" s="12" t="str"/>
      <x:c r="G386" s="12" t="str"/>
      <x:c r="H386" s="12" t="str">
        <x:v>Belirlenecek</x:v>
      </x:c>
      <x:c r="I386" s="12" t="str"/>
      <x:c r="J386" s="12" t="str"/>
      <x:c r="K386" s="12" t="str"/>
      <x:c r="L386" s="13" t="str"/>
      <x:c r="M386" s="12" t="str"/>
      <x:c r="N386" s="12" t="str">
        <x:v>İncelenmedi</x:v>
      </x:c>
      <x:c r="O386" s="12" t="str">
        <x:v>İncelenmedi</x:v>
      </x:c>
      <x:c r="P386" s="12" t="str">
        <x:v>İncelenmedi</x:v>
      </x:c>
      <x:c r="Q386" s="12" t="str"/>
      <x:c r="R386" s="12" t="str"/>
      <x:c r="S386" s="13" t="str"/>
      <x:c r="T386" s="12" t="str"/>
      <x:c r="U386" s="12" t="str"/>
      <x:c r="V386" s="14" t="str">
        <x:f>IF(A386="","",IF(NOT(AND(COUNTIF(Exec[TestID],A386)=1,COUNTIF(Controls[ID],B386)=1,COUNTIFS(Scope[KapsamID],D386,Scope[OnayliKapsamID],D386,Scope[Ürün],C386)=1,OR(COUNTIFS(Controls[ID],B386,Controls[Ürün],C386)=1,COUNTIFS(Controls[ID],B386,Controls[Ürün],"MSP Genel")=1),E386&lt;&gt;"",F386&lt;&gt;"",G386&lt;&gt;"",I386&lt;&gt;"",Q386&lt;&gt;"")),"Kimlik / kapsam eksik",IF(NOT(OR(H386="Uygulanır",H386="Uygulanmaz")),"Uygulanabilirlik eksik",IF(AND(H386="Uygulanır",P386="Kanıt yetersiz",U386&lt;&gt;""),IF(AND(R386&lt;&gt;"",R386&lt;&gt;Q386,ISNUMBER(S386),S386&gt;0,S386&gt;=L386),"İnceleme tamam","Gözden geçirme eksik"),IF(NOT(AND(J386&lt;&gt;"",COUNTIFS(Evidence[KanitID],J386,Evidence[Kabul edilen ID],J386)=1,K386&lt;&gt;"",ISNUMBER(L386),L386&gt;0,M386&lt;&gt;"")),"Kanıt / test eksik",IF(NOT(AND(R386&lt;&gt;"",R386&lt;&gt;Q386,ISNUMBER(S386),S386&gt;0,S386&gt;=L386)),"Gözden geçirme eksik",IF(H386="Uygulanmaz","İnceleme tamam",IF(AND(OR(P386="Uygun",P386="Kısmen uygun",P386="Uygunsuz"),OR(N386="Uygun",N386="Kısmen uygun",N386="Uygunsuz"),OR(O386="Uygun",O386="Kısmen uygun",O386="Uygunsuz"),OR(P386&lt;&gt;"Uygun",AND(N386="Uygun",O386="Uygun")),OR(P386="Uygun",AND(T386&lt;&gt;"",COUNTIF(Findings[KayitliBulguID],T386)=1))),"İnceleme tamam","Sonuç / bulgu eksik"))))))))</x:f>
        <x:v>Kimlik / kapsam eksik</x:v>
      </x:c>
      <x:c r="W386" s="14" t="str">
        <x:f>IF(A386="","",IF(V386&lt;&gt;"İnceleme tamam","İncelenmedi",IF(H386="Uygulanmaz","Uygulanmaz",P386)))</x:f>
        <x:v>İncelenmedi</x:v>
      </x:c>
    </x:row>
    <x:row r="387" ht="35" customHeight="1">
      <x:c r="A387" s="12" t="str">
        <x:v>U-0382</x:v>
      </x:c>
      <x:c r="B387" s="12" t="str">
        <x:v>ENS-014</x:v>
      </x:c>
      <x:c r="C387" s="12" t="str">
        <x:v>Trellix Endpoint Security</x:v>
      </x:c>
      <x:c r="D387" s="12" t="str"/>
      <x:c r="E387" s="12" t="str"/>
      <x:c r="F387" s="12" t="str"/>
      <x:c r="G387" s="12" t="str"/>
      <x:c r="H387" s="12" t="str">
        <x:v>Belirlenecek</x:v>
      </x:c>
      <x:c r="I387" s="12" t="str"/>
      <x:c r="J387" s="12" t="str"/>
      <x:c r="K387" s="12" t="str"/>
      <x:c r="L387" s="13" t="str"/>
      <x:c r="M387" s="12" t="str"/>
      <x:c r="N387" s="12" t="str">
        <x:v>İncelenmedi</x:v>
      </x:c>
      <x:c r="O387" s="12" t="str">
        <x:v>İncelenmedi</x:v>
      </x:c>
      <x:c r="P387" s="12" t="str">
        <x:v>İncelenmedi</x:v>
      </x:c>
      <x:c r="Q387" s="12" t="str"/>
      <x:c r="R387" s="12" t="str"/>
      <x:c r="S387" s="13" t="str"/>
      <x:c r="T387" s="12" t="str"/>
      <x:c r="U387" s="12" t="str"/>
      <x:c r="V387" s="14" t="str">
        <x:f>IF(A387="","",IF(NOT(AND(COUNTIF(Exec[TestID],A387)=1,COUNTIF(Controls[ID],B387)=1,COUNTIFS(Scope[KapsamID],D387,Scope[OnayliKapsamID],D387,Scope[Ürün],C387)=1,OR(COUNTIFS(Controls[ID],B387,Controls[Ürün],C387)=1,COUNTIFS(Controls[ID],B387,Controls[Ürün],"MSP Genel")=1),E387&lt;&gt;"",F387&lt;&gt;"",G387&lt;&gt;"",I387&lt;&gt;"",Q387&lt;&gt;"")),"Kimlik / kapsam eksik",IF(NOT(OR(H387="Uygulanır",H387="Uygulanmaz")),"Uygulanabilirlik eksik",IF(AND(H387="Uygulanır",P387="Kanıt yetersiz",U387&lt;&gt;""),IF(AND(R387&lt;&gt;"",R387&lt;&gt;Q387,ISNUMBER(S387),S387&gt;0,S387&gt;=L387),"İnceleme tamam","Gözden geçirme eksik"),IF(NOT(AND(J387&lt;&gt;"",COUNTIFS(Evidence[KanitID],J387,Evidence[Kabul edilen ID],J387)=1,K387&lt;&gt;"",ISNUMBER(L387),L387&gt;0,M387&lt;&gt;"")),"Kanıt / test eksik",IF(NOT(AND(R387&lt;&gt;"",R387&lt;&gt;Q387,ISNUMBER(S387),S387&gt;0,S387&gt;=L387)),"Gözden geçirme eksik",IF(H387="Uygulanmaz","İnceleme tamam",IF(AND(OR(P387="Uygun",P387="Kısmen uygun",P387="Uygunsuz"),OR(N387="Uygun",N387="Kısmen uygun",N387="Uygunsuz"),OR(O387="Uygun",O387="Kısmen uygun",O387="Uygunsuz"),OR(P387&lt;&gt;"Uygun",AND(N387="Uygun",O387="Uygun")),OR(P387="Uygun",AND(T387&lt;&gt;"",COUNTIF(Findings[KayitliBulguID],T387)=1))),"İnceleme tamam","Sonuç / bulgu eksik"))))))))</x:f>
        <x:v>Kimlik / kapsam eksik</x:v>
      </x:c>
      <x:c r="W387" s="14" t="str">
        <x:f>IF(A387="","",IF(V387&lt;&gt;"İnceleme tamam","İncelenmedi",IF(H387="Uygulanmaz","Uygulanmaz",P387)))</x:f>
        <x:v>İncelenmedi</x:v>
      </x:c>
    </x:row>
    <x:row r="388" ht="35" customHeight="1">
      <x:c r="A388" s="12" t="str">
        <x:v>U-0383</x:v>
      </x:c>
      <x:c r="B388" s="12" t="str">
        <x:v>ENS-015</x:v>
      </x:c>
      <x:c r="C388" s="12" t="str">
        <x:v>Trellix Endpoint Security</x:v>
      </x:c>
      <x:c r="D388" s="12" t="str"/>
      <x:c r="E388" s="12" t="str"/>
      <x:c r="F388" s="12" t="str"/>
      <x:c r="G388" s="12" t="str"/>
      <x:c r="H388" s="12" t="str">
        <x:v>Belirlenecek</x:v>
      </x:c>
      <x:c r="I388" s="12" t="str"/>
      <x:c r="J388" s="12" t="str"/>
      <x:c r="K388" s="12" t="str"/>
      <x:c r="L388" s="13" t="str"/>
      <x:c r="M388" s="12" t="str"/>
      <x:c r="N388" s="12" t="str">
        <x:v>İncelenmedi</x:v>
      </x:c>
      <x:c r="O388" s="12" t="str">
        <x:v>İncelenmedi</x:v>
      </x:c>
      <x:c r="P388" s="12" t="str">
        <x:v>İncelenmedi</x:v>
      </x:c>
      <x:c r="Q388" s="12" t="str"/>
      <x:c r="R388" s="12" t="str"/>
      <x:c r="S388" s="13" t="str"/>
      <x:c r="T388" s="12" t="str"/>
      <x:c r="U388" s="12" t="str"/>
      <x:c r="V388" s="14" t="str">
        <x:f>IF(A388="","",IF(NOT(AND(COUNTIF(Exec[TestID],A388)=1,COUNTIF(Controls[ID],B388)=1,COUNTIFS(Scope[KapsamID],D388,Scope[OnayliKapsamID],D388,Scope[Ürün],C388)=1,OR(COUNTIFS(Controls[ID],B388,Controls[Ürün],C388)=1,COUNTIFS(Controls[ID],B388,Controls[Ürün],"MSP Genel")=1),E388&lt;&gt;"",F388&lt;&gt;"",G388&lt;&gt;"",I388&lt;&gt;"",Q388&lt;&gt;"")),"Kimlik / kapsam eksik",IF(NOT(OR(H388="Uygulanır",H388="Uygulanmaz")),"Uygulanabilirlik eksik",IF(AND(H388="Uygulanır",P388="Kanıt yetersiz",U388&lt;&gt;""),IF(AND(R388&lt;&gt;"",R388&lt;&gt;Q388,ISNUMBER(S388),S388&gt;0,S388&gt;=L388),"İnceleme tamam","Gözden geçirme eksik"),IF(NOT(AND(J388&lt;&gt;"",COUNTIFS(Evidence[KanitID],J388,Evidence[Kabul edilen ID],J388)=1,K388&lt;&gt;"",ISNUMBER(L388),L388&gt;0,M388&lt;&gt;"")),"Kanıt / test eksik",IF(NOT(AND(R388&lt;&gt;"",R388&lt;&gt;Q388,ISNUMBER(S388),S388&gt;0,S388&gt;=L388)),"Gözden geçirme eksik",IF(H388="Uygulanmaz","İnceleme tamam",IF(AND(OR(P388="Uygun",P388="Kısmen uygun",P388="Uygunsuz"),OR(N388="Uygun",N388="Kısmen uygun",N388="Uygunsuz"),OR(O388="Uygun",O388="Kısmen uygun",O388="Uygunsuz"),OR(P388&lt;&gt;"Uygun",AND(N388="Uygun",O388="Uygun")),OR(P388="Uygun",AND(T388&lt;&gt;"",COUNTIF(Findings[KayitliBulguID],T388)=1))),"İnceleme tamam","Sonuç / bulgu eksik"))))))))</x:f>
        <x:v>Kimlik / kapsam eksik</x:v>
      </x:c>
      <x:c r="W388" s="14" t="str">
        <x:f>IF(A388="","",IF(V388&lt;&gt;"İnceleme tamam","İncelenmedi",IF(H388="Uygulanmaz","Uygulanmaz",P388)))</x:f>
        <x:v>İncelenmedi</x:v>
      </x:c>
    </x:row>
    <x:row r="389" ht="35" customHeight="1">
      <x:c r="A389" s="12" t="str">
        <x:v>U-0384</x:v>
      </x:c>
      <x:c r="B389" s="12" t="str">
        <x:v>ADC-007</x:v>
      </x:c>
      <x:c r="C389" s="12" t="str">
        <x:v>Citrix NetScaler ADC</x:v>
      </x:c>
      <x:c r="D389" s="12" t="str"/>
      <x:c r="E389" s="12" t="str"/>
      <x:c r="F389" s="12" t="str"/>
      <x:c r="G389" s="12" t="str"/>
      <x:c r="H389" s="12" t="str">
        <x:v>Belirlenecek</x:v>
      </x:c>
      <x:c r="I389" s="12" t="str"/>
      <x:c r="J389" s="12" t="str"/>
      <x:c r="K389" s="12" t="str"/>
      <x:c r="L389" s="13" t="str"/>
      <x:c r="M389" s="12" t="str"/>
      <x:c r="N389" s="12" t="str">
        <x:v>İncelenmedi</x:v>
      </x:c>
      <x:c r="O389" s="12" t="str">
        <x:v>İncelenmedi</x:v>
      </x:c>
      <x:c r="P389" s="12" t="str">
        <x:v>İncelenmedi</x:v>
      </x:c>
      <x:c r="Q389" s="12" t="str"/>
      <x:c r="R389" s="12" t="str"/>
      <x:c r="S389" s="13" t="str"/>
      <x:c r="T389" s="12" t="str"/>
      <x:c r="U389" s="12" t="str"/>
      <x:c r="V389" s="14" t="str">
        <x:f>IF(A389="","",IF(NOT(AND(COUNTIF(Exec[TestID],A389)=1,COUNTIF(Controls[ID],B389)=1,COUNTIFS(Scope[KapsamID],D389,Scope[OnayliKapsamID],D389,Scope[Ürün],C389)=1,OR(COUNTIFS(Controls[ID],B389,Controls[Ürün],C389)=1,COUNTIFS(Controls[ID],B389,Controls[Ürün],"MSP Genel")=1),E389&lt;&gt;"",F389&lt;&gt;"",G389&lt;&gt;"",I389&lt;&gt;"",Q389&lt;&gt;"")),"Kimlik / kapsam eksik",IF(NOT(OR(H389="Uygulanır",H389="Uygulanmaz")),"Uygulanabilirlik eksik",IF(AND(H389="Uygulanır",P389="Kanıt yetersiz",U389&lt;&gt;""),IF(AND(R389&lt;&gt;"",R389&lt;&gt;Q389,ISNUMBER(S389),S389&gt;0,S389&gt;=L389),"İnceleme tamam","Gözden geçirme eksik"),IF(NOT(AND(J389&lt;&gt;"",COUNTIFS(Evidence[KanitID],J389,Evidence[Kabul edilen ID],J389)=1,K389&lt;&gt;"",ISNUMBER(L389),L389&gt;0,M389&lt;&gt;"")),"Kanıt / test eksik",IF(NOT(AND(R389&lt;&gt;"",R389&lt;&gt;Q389,ISNUMBER(S389),S389&gt;0,S389&gt;=L389)),"Gözden geçirme eksik",IF(H389="Uygulanmaz","İnceleme tamam",IF(AND(OR(P389="Uygun",P389="Kısmen uygun",P389="Uygunsuz"),OR(N389="Uygun",N389="Kısmen uygun",N389="Uygunsuz"),OR(O389="Uygun",O389="Kısmen uygun",O389="Uygunsuz"),OR(P389&lt;&gt;"Uygun",AND(N389="Uygun",O389="Uygun")),OR(P389="Uygun",AND(T389&lt;&gt;"",COUNTIF(Findings[KayitliBulguID],T389)=1))),"İnceleme tamam","Sonuç / bulgu eksik"))))))))</x:f>
        <x:v>Kimlik / kapsam eksik</x:v>
      </x:c>
      <x:c r="W389" s="14" t="str">
        <x:f>IF(A389="","",IF(V389&lt;&gt;"İnceleme tamam","İncelenmedi",IF(H389="Uygulanmaz","Uygulanmaz",P389)))</x:f>
        <x:v>İncelenmedi</x:v>
      </x:c>
    </x:row>
    <x:row r="390" ht="35" customHeight="1">
      <x:c r="A390" s="12" t="str">
        <x:v>U-0385</x:v>
      </x:c>
      <x:c r="B390" s="12" t="str">
        <x:v>ADC-008</x:v>
      </x:c>
      <x:c r="C390" s="12" t="str">
        <x:v>Citrix NetScaler ADC</x:v>
      </x:c>
      <x:c r="D390" s="12" t="str"/>
      <x:c r="E390" s="12" t="str"/>
      <x:c r="F390" s="12" t="str"/>
      <x:c r="G390" s="12" t="str"/>
      <x:c r="H390" s="12" t="str">
        <x:v>Belirlenecek</x:v>
      </x:c>
      <x:c r="I390" s="12" t="str"/>
      <x:c r="J390" s="12" t="str"/>
      <x:c r="K390" s="12" t="str"/>
      <x:c r="L390" s="13" t="str"/>
      <x:c r="M390" s="12" t="str"/>
      <x:c r="N390" s="12" t="str">
        <x:v>İncelenmedi</x:v>
      </x:c>
      <x:c r="O390" s="12" t="str">
        <x:v>İncelenmedi</x:v>
      </x:c>
      <x:c r="P390" s="12" t="str">
        <x:v>İncelenmedi</x:v>
      </x:c>
      <x:c r="Q390" s="12" t="str"/>
      <x:c r="R390" s="12" t="str"/>
      <x:c r="S390" s="13" t="str"/>
      <x:c r="T390" s="12" t="str"/>
      <x:c r="U390" s="12" t="str"/>
      <x:c r="V390" s="14" t="str">
        <x:f>IF(A390="","",IF(NOT(AND(COUNTIF(Exec[TestID],A390)=1,COUNTIF(Controls[ID],B390)=1,COUNTIFS(Scope[KapsamID],D390,Scope[OnayliKapsamID],D390,Scope[Ürün],C390)=1,OR(COUNTIFS(Controls[ID],B390,Controls[Ürün],C390)=1,COUNTIFS(Controls[ID],B390,Controls[Ürün],"MSP Genel")=1),E390&lt;&gt;"",F390&lt;&gt;"",G390&lt;&gt;"",I390&lt;&gt;"",Q390&lt;&gt;"")),"Kimlik / kapsam eksik",IF(NOT(OR(H390="Uygulanır",H390="Uygulanmaz")),"Uygulanabilirlik eksik",IF(AND(H390="Uygulanır",P390="Kanıt yetersiz",U390&lt;&gt;""),IF(AND(R390&lt;&gt;"",R390&lt;&gt;Q390,ISNUMBER(S390),S390&gt;0,S390&gt;=L390),"İnceleme tamam","Gözden geçirme eksik"),IF(NOT(AND(J390&lt;&gt;"",COUNTIFS(Evidence[KanitID],J390,Evidence[Kabul edilen ID],J390)=1,K390&lt;&gt;"",ISNUMBER(L390),L390&gt;0,M390&lt;&gt;"")),"Kanıt / test eksik",IF(NOT(AND(R390&lt;&gt;"",R390&lt;&gt;Q390,ISNUMBER(S390),S390&gt;0,S390&gt;=L390)),"Gözden geçirme eksik",IF(H390="Uygulanmaz","İnceleme tamam",IF(AND(OR(P390="Uygun",P390="Kısmen uygun",P390="Uygunsuz"),OR(N390="Uygun",N390="Kısmen uygun",N390="Uygunsuz"),OR(O390="Uygun",O390="Kısmen uygun",O390="Uygunsuz"),OR(P390&lt;&gt;"Uygun",AND(N390="Uygun",O390="Uygun")),OR(P390="Uygun",AND(T390&lt;&gt;"",COUNTIF(Findings[KayitliBulguID],T390)=1))),"İnceleme tamam","Sonuç / bulgu eksik"))))))))</x:f>
        <x:v>Kimlik / kapsam eksik</x:v>
      </x:c>
      <x:c r="W390" s="14" t="str">
        <x:f>IF(A390="","",IF(V390&lt;&gt;"İnceleme tamam","İncelenmedi",IF(H390="Uygulanmaz","Uygulanmaz",P390)))</x:f>
        <x:v>İncelenmedi</x:v>
      </x:c>
    </x:row>
    <x:row r="391" ht="35" customHeight="1">
      <x:c r="A391" s="12" t="str">
        <x:v>U-0386</x:v>
      </x:c>
      <x:c r="B391" s="12" t="str">
        <x:v>ADC-009</x:v>
      </x:c>
      <x:c r="C391" s="12" t="str">
        <x:v>Citrix NetScaler ADC</x:v>
      </x:c>
      <x:c r="D391" s="12" t="str"/>
      <x:c r="E391" s="12" t="str"/>
      <x:c r="F391" s="12" t="str"/>
      <x:c r="G391" s="12" t="str"/>
      <x:c r="H391" s="12" t="str">
        <x:v>Belirlenecek</x:v>
      </x:c>
      <x:c r="I391" s="12" t="str"/>
      <x:c r="J391" s="12" t="str"/>
      <x:c r="K391" s="12" t="str"/>
      <x:c r="L391" s="13" t="str"/>
      <x:c r="M391" s="12" t="str"/>
      <x:c r="N391" s="12" t="str">
        <x:v>İncelenmedi</x:v>
      </x:c>
      <x:c r="O391" s="12" t="str">
        <x:v>İncelenmedi</x:v>
      </x:c>
      <x:c r="P391" s="12" t="str">
        <x:v>İncelenmedi</x:v>
      </x:c>
      <x:c r="Q391" s="12" t="str"/>
      <x:c r="R391" s="12" t="str"/>
      <x:c r="S391" s="13" t="str"/>
      <x:c r="T391" s="12" t="str"/>
      <x:c r="U391" s="12" t="str"/>
      <x:c r="V391" s="14" t="str">
        <x:f>IF(A391="","",IF(NOT(AND(COUNTIF(Exec[TestID],A391)=1,COUNTIF(Controls[ID],B391)=1,COUNTIFS(Scope[KapsamID],D391,Scope[OnayliKapsamID],D391,Scope[Ürün],C391)=1,OR(COUNTIFS(Controls[ID],B391,Controls[Ürün],C391)=1,COUNTIFS(Controls[ID],B391,Controls[Ürün],"MSP Genel")=1),E391&lt;&gt;"",F391&lt;&gt;"",G391&lt;&gt;"",I391&lt;&gt;"",Q391&lt;&gt;"")),"Kimlik / kapsam eksik",IF(NOT(OR(H391="Uygulanır",H391="Uygulanmaz")),"Uygulanabilirlik eksik",IF(AND(H391="Uygulanır",P391="Kanıt yetersiz",U391&lt;&gt;""),IF(AND(R391&lt;&gt;"",R391&lt;&gt;Q391,ISNUMBER(S391),S391&gt;0,S391&gt;=L391),"İnceleme tamam","Gözden geçirme eksik"),IF(NOT(AND(J391&lt;&gt;"",COUNTIFS(Evidence[KanitID],J391,Evidence[Kabul edilen ID],J391)=1,K391&lt;&gt;"",ISNUMBER(L391),L391&gt;0,M391&lt;&gt;"")),"Kanıt / test eksik",IF(NOT(AND(R391&lt;&gt;"",R391&lt;&gt;Q391,ISNUMBER(S391),S391&gt;0,S391&gt;=L391)),"Gözden geçirme eksik",IF(H391="Uygulanmaz","İnceleme tamam",IF(AND(OR(P391="Uygun",P391="Kısmen uygun",P391="Uygunsuz"),OR(N391="Uygun",N391="Kısmen uygun",N391="Uygunsuz"),OR(O391="Uygun",O391="Kısmen uygun",O391="Uygunsuz"),OR(P391&lt;&gt;"Uygun",AND(N391="Uygun",O391="Uygun")),OR(P391="Uygun",AND(T391&lt;&gt;"",COUNTIF(Findings[KayitliBulguID],T391)=1))),"İnceleme tamam","Sonuç / bulgu eksik"))))))))</x:f>
        <x:v>Kimlik / kapsam eksik</x:v>
      </x:c>
      <x:c r="W391" s="14" t="str">
        <x:f>IF(A391="","",IF(V391&lt;&gt;"İnceleme tamam","İncelenmedi",IF(H391="Uygulanmaz","Uygulanmaz",P391)))</x:f>
        <x:v>İncelenmedi</x:v>
      </x:c>
    </x:row>
    <x:row r="392" ht="35" customHeight="1">
      <x:c r="A392" s="12" t="str">
        <x:v>U-0387</x:v>
      </x:c>
      <x:c r="B392" s="12" t="str">
        <x:v>ADC-010</x:v>
      </x:c>
      <x:c r="C392" s="12" t="str">
        <x:v>Citrix NetScaler ADC</x:v>
      </x:c>
      <x:c r="D392" s="12" t="str"/>
      <x:c r="E392" s="12" t="str"/>
      <x:c r="F392" s="12" t="str"/>
      <x:c r="G392" s="12" t="str"/>
      <x:c r="H392" s="12" t="str">
        <x:v>Belirlenecek</x:v>
      </x:c>
      <x:c r="I392" s="12" t="str"/>
      <x:c r="J392" s="12" t="str"/>
      <x:c r="K392" s="12" t="str"/>
      <x:c r="L392" s="13" t="str"/>
      <x:c r="M392" s="12" t="str"/>
      <x:c r="N392" s="12" t="str">
        <x:v>İncelenmedi</x:v>
      </x:c>
      <x:c r="O392" s="12" t="str">
        <x:v>İncelenmedi</x:v>
      </x:c>
      <x:c r="P392" s="12" t="str">
        <x:v>İncelenmedi</x:v>
      </x:c>
      <x:c r="Q392" s="12" t="str"/>
      <x:c r="R392" s="12" t="str"/>
      <x:c r="S392" s="13" t="str"/>
      <x:c r="T392" s="12" t="str"/>
      <x:c r="U392" s="12" t="str"/>
      <x:c r="V392" s="14" t="str">
        <x:f>IF(A392="","",IF(NOT(AND(COUNTIF(Exec[TestID],A392)=1,COUNTIF(Controls[ID],B392)=1,COUNTIFS(Scope[KapsamID],D392,Scope[OnayliKapsamID],D392,Scope[Ürün],C392)=1,OR(COUNTIFS(Controls[ID],B392,Controls[Ürün],C392)=1,COUNTIFS(Controls[ID],B392,Controls[Ürün],"MSP Genel")=1),E392&lt;&gt;"",F392&lt;&gt;"",G392&lt;&gt;"",I392&lt;&gt;"",Q392&lt;&gt;"")),"Kimlik / kapsam eksik",IF(NOT(OR(H392="Uygulanır",H392="Uygulanmaz")),"Uygulanabilirlik eksik",IF(AND(H392="Uygulanır",P392="Kanıt yetersiz",U392&lt;&gt;""),IF(AND(R392&lt;&gt;"",R392&lt;&gt;Q392,ISNUMBER(S392),S392&gt;0,S392&gt;=L392),"İnceleme tamam","Gözden geçirme eksik"),IF(NOT(AND(J392&lt;&gt;"",COUNTIFS(Evidence[KanitID],J392,Evidence[Kabul edilen ID],J392)=1,K392&lt;&gt;"",ISNUMBER(L392),L392&gt;0,M392&lt;&gt;"")),"Kanıt / test eksik",IF(NOT(AND(R392&lt;&gt;"",R392&lt;&gt;Q392,ISNUMBER(S392),S392&gt;0,S392&gt;=L392)),"Gözden geçirme eksik",IF(H392="Uygulanmaz","İnceleme tamam",IF(AND(OR(P392="Uygun",P392="Kısmen uygun",P392="Uygunsuz"),OR(N392="Uygun",N392="Kısmen uygun",N392="Uygunsuz"),OR(O392="Uygun",O392="Kısmen uygun",O392="Uygunsuz"),OR(P392&lt;&gt;"Uygun",AND(N392="Uygun",O392="Uygun")),OR(P392="Uygun",AND(T392&lt;&gt;"",COUNTIF(Findings[KayitliBulguID],T392)=1))),"İnceleme tamam","Sonuç / bulgu eksik"))))))))</x:f>
        <x:v>Kimlik / kapsam eksik</x:v>
      </x:c>
      <x:c r="W392" s="14" t="str">
        <x:f>IF(A392="","",IF(V392&lt;&gt;"İnceleme tamam","İncelenmedi",IF(H392="Uygulanmaz","Uygulanmaz",P392)))</x:f>
        <x:v>İncelenmedi</x:v>
      </x:c>
    </x:row>
    <x:row r="393" ht="35" customHeight="1">
      <x:c r="A393" s="12" t="str">
        <x:v>U-0388</x:v>
      </x:c>
      <x:c r="B393" s="12" t="str">
        <x:v>ADC-011</x:v>
      </x:c>
      <x:c r="C393" s="12" t="str">
        <x:v>Citrix NetScaler ADC</x:v>
      </x:c>
      <x:c r="D393" s="12" t="str"/>
      <x:c r="E393" s="12" t="str"/>
      <x:c r="F393" s="12" t="str"/>
      <x:c r="G393" s="12" t="str"/>
      <x:c r="H393" s="12" t="str">
        <x:v>Belirlenecek</x:v>
      </x:c>
      <x:c r="I393" s="12" t="str"/>
      <x:c r="J393" s="12" t="str"/>
      <x:c r="K393" s="12" t="str"/>
      <x:c r="L393" s="13" t="str"/>
      <x:c r="M393" s="12" t="str"/>
      <x:c r="N393" s="12" t="str">
        <x:v>İncelenmedi</x:v>
      </x:c>
      <x:c r="O393" s="12" t="str">
        <x:v>İncelenmedi</x:v>
      </x:c>
      <x:c r="P393" s="12" t="str">
        <x:v>İncelenmedi</x:v>
      </x:c>
      <x:c r="Q393" s="12" t="str"/>
      <x:c r="R393" s="12" t="str"/>
      <x:c r="S393" s="13" t="str"/>
      <x:c r="T393" s="12" t="str"/>
      <x:c r="U393" s="12" t="str"/>
      <x:c r="V393" s="14" t="str">
        <x:f>IF(A393="","",IF(NOT(AND(COUNTIF(Exec[TestID],A393)=1,COUNTIF(Controls[ID],B393)=1,COUNTIFS(Scope[KapsamID],D393,Scope[OnayliKapsamID],D393,Scope[Ürün],C393)=1,OR(COUNTIFS(Controls[ID],B393,Controls[Ürün],C393)=1,COUNTIFS(Controls[ID],B393,Controls[Ürün],"MSP Genel")=1),E393&lt;&gt;"",F393&lt;&gt;"",G393&lt;&gt;"",I393&lt;&gt;"",Q393&lt;&gt;"")),"Kimlik / kapsam eksik",IF(NOT(OR(H393="Uygulanır",H393="Uygulanmaz")),"Uygulanabilirlik eksik",IF(AND(H393="Uygulanır",P393="Kanıt yetersiz",U393&lt;&gt;""),IF(AND(R393&lt;&gt;"",R393&lt;&gt;Q393,ISNUMBER(S393),S393&gt;0,S393&gt;=L393),"İnceleme tamam","Gözden geçirme eksik"),IF(NOT(AND(J393&lt;&gt;"",COUNTIFS(Evidence[KanitID],J393,Evidence[Kabul edilen ID],J393)=1,K393&lt;&gt;"",ISNUMBER(L393),L393&gt;0,M393&lt;&gt;"")),"Kanıt / test eksik",IF(NOT(AND(R393&lt;&gt;"",R393&lt;&gt;Q393,ISNUMBER(S393),S393&gt;0,S393&gt;=L393)),"Gözden geçirme eksik",IF(H393="Uygulanmaz","İnceleme tamam",IF(AND(OR(P393="Uygun",P393="Kısmen uygun",P393="Uygunsuz"),OR(N393="Uygun",N393="Kısmen uygun",N393="Uygunsuz"),OR(O393="Uygun",O393="Kısmen uygun",O393="Uygunsuz"),OR(P393&lt;&gt;"Uygun",AND(N393="Uygun",O393="Uygun")),OR(P393="Uygun",AND(T393&lt;&gt;"",COUNTIF(Findings[KayitliBulguID],T393)=1))),"İnceleme tamam","Sonuç / bulgu eksik"))))))))</x:f>
        <x:v>Kimlik / kapsam eksik</x:v>
      </x:c>
      <x:c r="W393" s="14" t="str">
        <x:f>IF(A393="","",IF(V393&lt;&gt;"İnceleme tamam","İncelenmedi",IF(H393="Uygulanmaz","Uygulanmaz",P393)))</x:f>
        <x:v>İncelenmedi</x:v>
      </x:c>
    </x:row>
    <x:row r="394" ht="35" customHeight="1">
      <x:c r="A394" s="12" t="str">
        <x:v>U-0389</x:v>
      </x:c>
      <x:c r="B394" s="12" t="str">
        <x:v>ADC-012</x:v>
      </x:c>
      <x:c r="C394" s="12" t="str">
        <x:v>Citrix NetScaler ADC</x:v>
      </x:c>
      <x:c r="D394" s="12" t="str"/>
      <x:c r="E394" s="12" t="str"/>
      <x:c r="F394" s="12" t="str"/>
      <x:c r="G394" s="12" t="str"/>
      <x:c r="H394" s="12" t="str">
        <x:v>Belirlenecek</x:v>
      </x:c>
      <x:c r="I394" s="12" t="str"/>
      <x:c r="J394" s="12" t="str"/>
      <x:c r="K394" s="12" t="str"/>
      <x:c r="L394" s="13" t="str"/>
      <x:c r="M394" s="12" t="str"/>
      <x:c r="N394" s="12" t="str">
        <x:v>İncelenmedi</x:v>
      </x:c>
      <x:c r="O394" s="12" t="str">
        <x:v>İncelenmedi</x:v>
      </x:c>
      <x:c r="P394" s="12" t="str">
        <x:v>İncelenmedi</x:v>
      </x:c>
      <x:c r="Q394" s="12" t="str"/>
      <x:c r="R394" s="12" t="str"/>
      <x:c r="S394" s="13" t="str"/>
      <x:c r="T394" s="12" t="str"/>
      <x:c r="U394" s="12" t="str"/>
      <x:c r="V394" s="14" t="str">
        <x:f>IF(A394="","",IF(NOT(AND(COUNTIF(Exec[TestID],A394)=1,COUNTIF(Controls[ID],B394)=1,COUNTIFS(Scope[KapsamID],D394,Scope[OnayliKapsamID],D394,Scope[Ürün],C394)=1,OR(COUNTIFS(Controls[ID],B394,Controls[Ürün],C394)=1,COUNTIFS(Controls[ID],B394,Controls[Ürün],"MSP Genel")=1),E394&lt;&gt;"",F394&lt;&gt;"",G394&lt;&gt;"",I394&lt;&gt;"",Q394&lt;&gt;"")),"Kimlik / kapsam eksik",IF(NOT(OR(H394="Uygulanır",H394="Uygulanmaz")),"Uygulanabilirlik eksik",IF(AND(H394="Uygulanır",P394="Kanıt yetersiz",U394&lt;&gt;""),IF(AND(R394&lt;&gt;"",R394&lt;&gt;Q394,ISNUMBER(S394),S394&gt;0,S394&gt;=L394),"İnceleme tamam","Gözden geçirme eksik"),IF(NOT(AND(J394&lt;&gt;"",COUNTIFS(Evidence[KanitID],J394,Evidence[Kabul edilen ID],J394)=1,K394&lt;&gt;"",ISNUMBER(L394),L394&gt;0,M394&lt;&gt;"")),"Kanıt / test eksik",IF(NOT(AND(R394&lt;&gt;"",R394&lt;&gt;Q394,ISNUMBER(S394),S394&gt;0,S394&gt;=L394)),"Gözden geçirme eksik",IF(H394="Uygulanmaz","İnceleme tamam",IF(AND(OR(P394="Uygun",P394="Kısmen uygun",P394="Uygunsuz"),OR(N394="Uygun",N394="Kısmen uygun",N394="Uygunsuz"),OR(O394="Uygun",O394="Kısmen uygun",O394="Uygunsuz"),OR(P394&lt;&gt;"Uygun",AND(N394="Uygun",O394="Uygun")),OR(P394="Uygun",AND(T394&lt;&gt;"",COUNTIF(Findings[KayitliBulguID],T394)=1))),"İnceleme tamam","Sonuç / bulgu eksik"))))))))</x:f>
        <x:v>Kimlik / kapsam eksik</x:v>
      </x:c>
      <x:c r="W394" s="14" t="str">
        <x:f>IF(A394="","",IF(V394&lt;&gt;"İnceleme tamam","İncelenmedi",IF(H394="Uygulanmaz","Uygulanmaz",P394)))</x:f>
        <x:v>İncelenmedi</x:v>
      </x:c>
    </x:row>
    <x:row r="395" ht="35" customHeight="1">
      <x:c r="A395" s="12" t="str">
        <x:v>U-0390</x:v>
      </x:c>
      <x:c r="B395" s="12" t="str">
        <x:v>WAF-007</x:v>
      </x:c>
      <x:c r="C395" s="12" t="str">
        <x:v>Citrix NetScaler WAF</x:v>
      </x:c>
      <x:c r="D395" s="12" t="str"/>
      <x:c r="E395" s="12" t="str"/>
      <x:c r="F395" s="12" t="str"/>
      <x:c r="G395" s="12" t="str"/>
      <x:c r="H395" s="12" t="str">
        <x:v>Belirlenecek</x:v>
      </x:c>
      <x:c r="I395" s="12" t="str"/>
      <x:c r="J395" s="12" t="str"/>
      <x:c r="K395" s="12" t="str"/>
      <x:c r="L395" s="13" t="str"/>
      <x:c r="M395" s="12" t="str"/>
      <x:c r="N395" s="12" t="str">
        <x:v>İncelenmedi</x:v>
      </x:c>
      <x:c r="O395" s="12" t="str">
        <x:v>İncelenmedi</x:v>
      </x:c>
      <x:c r="P395" s="12" t="str">
        <x:v>İncelenmedi</x:v>
      </x:c>
      <x:c r="Q395" s="12" t="str"/>
      <x:c r="R395" s="12" t="str"/>
      <x:c r="S395" s="13" t="str"/>
      <x:c r="T395" s="12" t="str"/>
      <x:c r="U395" s="12" t="str"/>
      <x:c r="V395" s="14" t="str">
        <x:f>IF(A395="","",IF(NOT(AND(COUNTIF(Exec[TestID],A395)=1,COUNTIF(Controls[ID],B395)=1,COUNTIFS(Scope[KapsamID],D395,Scope[OnayliKapsamID],D395,Scope[Ürün],C395)=1,OR(COUNTIFS(Controls[ID],B395,Controls[Ürün],C395)=1,COUNTIFS(Controls[ID],B395,Controls[Ürün],"MSP Genel")=1),E395&lt;&gt;"",F395&lt;&gt;"",G395&lt;&gt;"",I395&lt;&gt;"",Q395&lt;&gt;"")),"Kimlik / kapsam eksik",IF(NOT(OR(H395="Uygulanır",H395="Uygulanmaz")),"Uygulanabilirlik eksik",IF(AND(H395="Uygulanır",P395="Kanıt yetersiz",U395&lt;&gt;""),IF(AND(R395&lt;&gt;"",R395&lt;&gt;Q395,ISNUMBER(S395),S395&gt;0,S395&gt;=L395),"İnceleme tamam","Gözden geçirme eksik"),IF(NOT(AND(J395&lt;&gt;"",COUNTIFS(Evidence[KanitID],J395,Evidence[Kabul edilen ID],J395)=1,K395&lt;&gt;"",ISNUMBER(L395),L395&gt;0,M395&lt;&gt;"")),"Kanıt / test eksik",IF(NOT(AND(R395&lt;&gt;"",R395&lt;&gt;Q395,ISNUMBER(S395),S395&gt;0,S395&gt;=L395)),"Gözden geçirme eksik",IF(H395="Uygulanmaz","İnceleme tamam",IF(AND(OR(P395="Uygun",P395="Kısmen uygun",P395="Uygunsuz"),OR(N395="Uygun",N395="Kısmen uygun",N395="Uygunsuz"),OR(O395="Uygun",O395="Kısmen uygun",O395="Uygunsuz"),OR(P395&lt;&gt;"Uygun",AND(N395="Uygun",O395="Uygun")),OR(P395="Uygun",AND(T395&lt;&gt;"",COUNTIF(Findings[KayitliBulguID],T395)=1))),"İnceleme tamam","Sonuç / bulgu eksik"))))))))</x:f>
        <x:v>Kimlik / kapsam eksik</x:v>
      </x:c>
      <x:c r="W395" s="14" t="str">
        <x:f>IF(A395="","",IF(V395&lt;&gt;"İnceleme tamam","İncelenmedi",IF(H395="Uygulanmaz","Uygulanmaz",P395)))</x:f>
        <x:v>İncelenmedi</x:v>
      </x:c>
    </x:row>
    <x:row r="396" ht="35" customHeight="1">
      <x:c r="A396" s="12" t="str">
        <x:v>U-0391</x:v>
      </x:c>
      <x:c r="B396" s="12" t="str">
        <x:v>WAF-008</x:v>
      </x:c>
      <x:c r="C396" s="12" t="str">
        <x:v>Citrix NetScaler WAF</x:v>
      </x:c>
      <x:c r="D396" s="12" t="str"/>
      <x:c r="E396" s="12" t="str"/>
      <x:c r="F396" s="12" t="str"/>
      <x:c r="G396" s="12" t="str"/>
      <x:c r="H396" s="12" t="str">
        <x:v>Belirlenecek</x:v>
      </x:c>
      <x:c r="I396" s="12" t="str"/>
      <x:c r="J396" s="12" t="str"/>
      <x:c r="K396" s="12" t="str"/>
      <x:c r="L396" s="13" t="str"/>
      <x:c r="M396" s="12" t="str"/>
      <x:c r="N396" s="12" t="str">
        <x:v>İncelenmedi</x:v>
      </x:c>
      <x:c r="O396" s="12" t="str">
        <x:v>İncelenmedi</x:v>
      </x:c>
      <x:c r="P396" s="12" t="str">
        <x:v>İncelenmedi</x:v>
      </x:c>
      <x:c r="Q396" s="12" t="str"/>
      <x:c r="R396" s="12" t="str"/>
      <x:c r="S396" s="13" t="str"/>
      <x:c r="T396" s="12" t="str"/>
      <x:c r="U396" s="12" t="str"/>
      <x:c r="V396" s="14" t="str">
        <x:f>IF(A396="","",IF(NOT(AND(COUNTIF(Exec[TestID],A396)=1,COUNTIF(Controls[ID],B396)=1,COUNTIFS(Scope[KapsamID],D396,Scope[OnayliKapsamID],D396,Scope[Ürün],C396)=1,OR(COUNTIFS(Controls[ID],B396,Controls[Ürün],C396)=1,COUNTIFS(Controls[ID],B396,Controls[Ürün],"MSP Genel")=1),E396&lt;&gt;"",F396&lt;&gt;"",G396&lt;&gt;"",I396&lt;&gt;"",Q396&lt;&gt;"")),"Kimlik / kapsam eksik",IF(NOT(OR(H396="Uygulanır",H396="Uygulanmaz")),"Uygulanabilirlik eksik",IF(AND(H396="Uygulanır",P396="Kanıt yetersiz",U396&lt;&gt;""),IF(AND(R396&lt;&gt;"",R396&lt;&gt;Q396,ISNUMBER(S396),S396&gt;0,S396&gt;=L396),"İnceleme tamam","Gözden geçirme eksik"),IF(NOT(AND(J396&lt;&gt;"",COUNTIFS(Evidence[KanitID],J396,Evidence[Kabul edilen ID],J396)=1,K396&lt;&gt;"",ISNUMBER(L396),L396&gt;0,M396&lt;&gt;"")),"Kanıt / test eksik",IF(NOT(AND(R396&lt;&gt;"",R396&lt;&gt;Q396,ISNUMBER(S396),S396&gt;0,S396&gt;=L396)),"Gözden geçirme eksik",IF(H396="Uygulanmaz","İnceleme tamam",IF(AND(OR(P396="Uygun",P396="Kısmen uygun",P396="Uygunsuz"),OR(N396="Uygun",N396="Kısmen uygun",N396="Uygunsuz"),OR(O396="Uygun",O396="Kısmen uygun",O396="Uygunsuz"),OR(P396&lt;&gt;"Uygun",AND(N396="Uygun",O396="Uygun")),OR(P396="Uygun",AND(T396&lt;&gt;"",COUNTIF(Findings[KayitliBulguID],T396)=1))),"İnceleme tamam","Sonuç / bulgu eksik"))))))))</x:f>
        <x:v>Kimlik / kapsam eksik</x:v>
      </x:c>
      <x:c r="W396" s="14" t="str">
        <x:f>IF(A396="","",IF(V396&lt;&gt;"İnceleme tamam","İncelenmedi",IF(H396="Uygulanmaz","Uygulanmaz",P396)))</x:f>
        <x:v>İncelenmedi</x:v>
      </x:c>
    </x:row>
    <x:row r="397" ht="35" customHeight="1">
      <x:c r="A397" s="12" t="str">
        <x:v>U-0392</x:v>
      </x:c>
      <x:c r="B397" s="12" t="str">
        <x:v>WAF-009</x:v>
      </x:c>
      <x:c r="C397" s="12" t="str">
        <x:v>Citrix NetScaler WAF</x:v>
      </x:c>
      <x:c r="D397" s="12" t="str"/>
      <x:c r="E397" s="12" t="str"/>
      <x:c r="F397" s="12" t="str"/>
      <x:c r="G397" s="12" t="str"/>
      <x:c r="H397" s="12" t="str">
        <x:v>Belirlenecek</x:v>
      </x:c>
      <x:c r="I397" s="12" t="str"/>
      <x:c r="J397" s="12" t="str"/>
      <x:c r="K397" s="12" t="str"/>
      <x:c r="L397" s="13" t="str"/>
      <x:c r="M397" s="12" t="str"/>
      <x:c r="N397" s="12" t="str">
        <x:v>İncelenmedi</x:v>
      </x:c>
      <x:c r="O397" s="12" t="str">
        <x:v>İncelenmedi</x:v>
      </x:c>
      <x:c r="P397" s="12" t="str">
        <x:v>İncelenmedi</x:v>
      </x:c>
      <x:c r="Q397" s="12" t="str"/>
      <x:c r="R397" s="12" t="str"/>
      <x:c r="S397" s="13" t="str"/>
      <x:c r="T397" s="12" t="str"/>
      <x:c r="U397" s="12" t="str"/>
      <x:c r="V397" s="14" t="str">
        <x:f>IF(A397="","",IF(NOT(AND(COUNTIF(Exec[TestID],A397)=1,COUNTIF(Controls[ID],B397)=1,COUNTIFS(Scope[KapsamID],D397,Scope[OnayliKapsamID],D397,Scope[Ürün],C397)=1,OR(COUNTIFS(Controls[ID],B397,Controls[Ürün],C397)=1,COUNTIFS(Controls[ID],B397,Controls[Ürün],"MSP Genel")=1),E397&lt;&gt;"",F397&lt;&gt;"",G397&lt;&gt;"",I397&lt;&gt;"",Q397&lt;&gt;"")),"Kimlik / kapsam eksik",IF(NOT(OR(H397="Uygulanır",H397="Uygulanmaz")),"Uygulanabilirlik eksik",IF(AND(H397="Uygulanır",P397="Kanıt yetersiz",U397&lt;&gt;""),IF(AND(R397&lt;&gt;"",R397&lt;&gt;Q397,ISNUMBER(S397),S397&gt;0,S397&gt;=L397),"İnceleme tamam","Gözden geçirme eksik"),IF(NOT(AND(J397&lt;&gt;"",COUNTIFS(Evidence[KanitID],J397,Evidence[Kabul edilen ID],J397)=1,K397&lt;&gt;"",ISNUMBER(L397),L397&gt;0,M397&lt;&gt;"")),"Kanıt / test eksik",IF(NOT(AND(R397&lt;&gt;"",R397&lt;&gt;Q397,ISNUMBER(S397),S397&gt;0,S397&gt;=L397)),"Gözden geçirme eksik",IF(H397="Uygulanmaz","İnceleme tamam",IF(AND(OR(P397="Uygun",P397="Kısmen uygun",P397="Uygunsuz"),OR(N397="Uygun",N397="Kısmen uygun",N397="Uygunsuz"),OR(O397="Uygun",O397="Kısmen uygun",O397="Uygunsuz"),OR(P397&lt;&gt;"Uygun",AND(N397="Uygun",O397="Uygun")),OR(P397="Uygun",AND(T397&lt;&gt;"",COUNTIF(Findings[KayitliBulguID],T397)=1))),"İnceleme tamam","Sonuç / bulgu eksik"))))))))</x:f>
        <x:v>Kimlik / kapsam eksik</x:v>
      </x:c>
      <x:c r="W397" s="14" t="str">
        <x:f>IF(A397="","",IF(V397&lt;&gt;"İnceleme tamam","İncelenmedi",IF(H397="Uygulanmaz","Uygulanmaz",P397)))</x:f>
        <x:v>İncelenmedi</x:v>
      </x:c>
    </x:row>
    <x:row r="398" ht="35" customHeight="1">
      <x:c r="A398" s="12" t="str">
        <x:v>U-0393</x:v>
      </x:c>
      <x:c r="B398" s="12" t="str">
        <x:v>WAF-010</x:v>
      </x:c>
      <x:c r="C398" s="12" t="str">
        <x:v>Citrix NetScaler WAF</x:v>
      </x:c>
      <x:c r="D398" s="12" t="str"/>
      <x:c r="E398" s="12" t="str"/>
      <x:c r="F398" s="12" t="str"/>
      <x:c r="G398" s="12" t="str"/>
      <x:c r="H398" s="12" t="str">
        <x:v>Belirlenecek</x:v>
      </x:c>
      <x:c r="I398" s="12" t="str"/>
      <x:c r="J398" s="12" t="str"/>
      <x:c r="K398" s="12" t="str"/>
      <x:c r="L398" s="13" t="str"/>
      <x:c r="M398" s="12" t="str"/>
      <x:c r="N398" s="12" t="str">
        <x:v>İncelenmedi</x:v>
      </x:c>
      <x:c r="O398" s="12" t="str">
        <x:v>İncelenmedi</x:v>
      </x:c>
      <x:c r="P398" s="12" t="str">
        <x:v>İncelenmedi</x:v>
      </x:c>
      <x:c r="Q398" s="12" t="str"/>
      <x:c r="R398" s="12" t="str"/>
      <x:c r="S398" s="13" t="str"/>
      <x:c r="T398" s="12" t="str"/>
      <x:c r="U398" s="12" t="str"/>
      <x:c r="V398" s="14" t="str">
        <x:f>IF(A398="","",IF(NOT(AND(COUNTIF(Exec[TestID],A398)=1,COUNTIF(Controls[ID],B398)=1,COUNTIFS(Scope[KapsamID],D398,Scope[OnayliKapsamID],D398,Scope[Ürün],C398)=1,OR(COUNTIFS(Controls[ID],B398,Controls[Ürün],C398)=1,COUNTIFS(Controls[ID],B398,Controls[Ürün],"MSP Genel")=1),E398&lt;&gt;"",F398&lt;&gt;"",G398&lt;&gt;"",I398&lt;&gt;"",Q398&lt;&gt;"")),"Kimlik / kapsam eksik",IF(NOT(OR(H398="Uygulanır",H398="Uygulanmaz")),"Uygulanabilirlik eksik",IF(AND(H398="Uygulanır",P398="Kanıt yetersiz",U398&lt;&gt;""),IF(AND(R398&lt;&gt;"",R398&lt;&gt;Q398,ISNUMBER(S398),S398&gt;0,S398&gt;=L398),"İnceleme tamam","Gözden geçirme eksik"),IF(NOT(AND(J398&lt;&gt;"",COUNTIFS(Evidence[KanitID],J398,Evidence[Kabul edilen ID],J398)=1,K398&lt;&gt;"",ISNUMBER(L398),L398&gt;0,M398&lt;&gt;"")),"Kanıt / test eksik",IF(NOT(AND(R398&lt;&gt;"",R398&lt;&gt;Q398,ISNUMBER(S398),S398&gt;0,S398&gt;=L398)),"Gözden geçirme eksik",IF(H398="Uygulanmaz","İnceleme tamam",IF(AND(OR(P398="Uygun",P398="Kısmen uygun",P398="Uygunsuz"),OR(N398="Uygun",N398="Kısmen uygun",N398="Uygunsuz"),OR(O398="Uygun",O398="Kısmen uygun",O398="Uygunsuz"),OR(P398&lt;&gt;"Uygun",AND(N398="Uygun",O398="Uygun")),OR(P398="Uygun",AND(T398&lt;&gt;"",COUNTIF(Findings[KayitliBulguID],T398)=1))),"İnceleme tamam","Sonuç / bulgu eksik"))))))))</x:f>
        <x:v>Kimlik / kapsam eksik</x:v>
      </x:c>
      <x:c r="W398" s="14" t="str">
        <x:f>IF(A398="","",IF(V398&lt;&gt;"İnceleme tamam","İncelenmedi",IF(H398="Uygulanmaz","Uygulanmaz",P398)))</x:f>
        <x:v>İncelenmedi</x:v>
      </x:c>
    </x:row>
    <x:row r="399" ht="35" customHeight="1">
      <x:c r="A399" s="12" t="str">
        <x:v>U-0394</x:v>
      </x:c>
      <x:c r="B399" s="12" t="str">
        <x:v>WAF-011</x:v>
      </x:c>
      <x:c r="C399" s="12" t="str">
        <x:v>Citrix NetScaler WAF</x:v>
      </x:c>
      <x:c r="D399" s="12" t="str"/>
      <x:c r="E399" s="12" t="str"/>
      <x:c r="F399" s="12" t="str"/>
      <x:c r="G399" s="12" t="str"/>
      <x:c r="H399" s="12" t="str">
        <x:v>Belirlenecek</x:v>
      </x:c>
      <x:c r="I399" s="12" t="str"/>
      <x:c r="J399" s="12" t="str"/>
      <x:c r="K399" s="12" t="str"/>
      <x:c r="L399" s="13" t="str"/>
      <x:c r="M399" s="12" t="str"/>
      <x:c r="N399" s="12" t="str">
        <x:v>İncelenmedi</x:v>
      </x:c>
      <x:c r="O399" s="12" t="str">
        <x:v>İncelenmedi</x:v>
      </x:c>
      <x:c r="P399" s="12" t="str">
        <x:v>İncelenmedi</x:v>
      </x:c>
      <x:c r="Q399" s="12" t="str"/>
      <x:c r="R399" s="12" t="str"/>
      <x:c r="S399" s="13" t="str"/>
      <x:c r="T399" s="12" t="str"/>
      <x:c r="U399" s="12" t="str"/>
      <x:c r="V399" s="14" t="str">
        <x:f>IF(A399="","",IF(NOT(AND(COUNTIF(Exec[TestID],A399)=1,COUNTIF(Controls[ID],B399)=1,COUNTIFS(Scope[KapsamID],D399,Scope[OnayliKapsamID],D399,Scope[Ürün],C399)=1,OR(COUNTIFS(Controls[ID],B399,Controls[Ürün],C399)=1,COUNTIFS(Controls[ID],B399,Controls[Ürün],"MSP Genel")=1),E399&lt;&gt;"",F399&lt;&gt;"",G399&lt;&gt;"",I399&lt;&gt;"",Q399&lt;&gt;"")),"Kimlik / kapsam eksik",IF(NOT(OR(H399="Uygulanır",H399="Uygulanmaz")),"Uygulanabilirlik eksik",IF(AND(H399="Uygulanır",P399="Kanıt yetersiz",U399&lt;&gt;""),IF(AND(R399&lt;&gt;"",R399&lt;&gt;Q399,ISNUMBER(S399),S399&gt;0,S399&gt;=L399),"İnceleme tamam","Gözden geçirme eksik"),IF(NOT(AND(J399&lt;&gt;"",COUNTIFS(Evidence[KanitID],J399,Evidence[Kabul edilen ID],J399)=1,K399&lt;&gt;"",ISNUMBER(L399),L399&gt;0,M399&lt;&gt;"")),"Kanıt / test eksik",IF(NOT(AND(R399&lt;&gt;"",R399&lt;&gt;Q399,ISNUMBER(S399),S399&gt;0,S399&gt;=L399)),"Gözden geçirme eksik",IF(H399="Uygulanmaz","İnceleme tamam",IF(AND(OR(P399="Uygun",P399="Kısmen uygun",P399="Uygunsuz"),OR(N399="Uygun",N399="Kısmen uygun",N399="Uygunsuz"),OR(O399="Uygun",O399="Kısmen uygun",O399="Uygunsuz"),OR(P399&lt;&gt;"Uygun",AND(N399="Uygun",O399="Uygun")),OR(P399="Uygun",AND(T399&lt;&gt;"",COUNTIF(Findings[KayitliBulguID],T399)=1))),"İnceleme tamam","Sonuç / bulgu eksik"))))))))</x:f>
        <x:v>Kimlik / kapsam eksik</x:v>
      </x:c>
      <x:c r="W399" s="14" t="str">
        <x:f>IF(A399="","",IF(V399&lt;&gt;"İnceleme tamam","İncelenmedi",IF(H399="Uygulanmaz","Uygulanmaz",P399)))</x:f>
        <x:v>İncelenmedi</x:v>
      </x:c>
    </x:row>
    <x:row r="400" ht="35" customHeight="1">
      <x:c r="A400" s="12" t="str">
        <x:v>U-0395</x:v>
      </x:c>
      <x:c r="B400" s="12" t="str">
        <x:v>WAF-012</x:v>
      </x:c>
      <x:c r="C400" s="12" t="str">
        <x:v>Citrix NetScaler WAF</x:v>
      </x:c>
      <x:c r="D400" s="12" t="str"/>
      <x:c r="E400" s="12" t="str"/>
      <x:c r="F400" s="12" t="str"/>
      <x:c r="G400" s="12" t="str"/>
      <x:c r="H400" s="12" t="str">
        <x:v>Belirlenecek</x:v>
      </x:c>
      <x:c r="I400" s="12" t="str"/>
      <x:c r="J400" s="12" t="str"/>
      <x:c r="K400" s="12" t="str"/>
      <x:c r="L400" s="13" t="str"/>
      <x:c r="M400" s="12" t="str"/>
      <x:c r="N400" s="12" t="str">
        <x:v>İncelenmedi</x:v>
      </x:c>
      <x:c r="O400" s="12" t="str">
        <x:v>İncelenmedi</x:v>
      </x:c>
      <x:c r="P400" s="12" t="str">
        <x:v>İncelenmedi</x:v>
      </x:c>
      <x:c r="Q400" s="12" t="str"/>
      <x:c r="R400" s="12" t="str"/>
      <x:c r="S400" s="13" t="str"/>
      <x:c r="T400" s="12" t="str"/>
      <x:c r="U400" s="12" t="str"/>
      <x:c r="V400" s="14" t="str">
        <x:f>IF(A400="","",IF(NOT(AND(COUNTIF(Exec[TestID],A400)=1,COUNTIF(Controls[ID],B400)=1,COUNTIFS(Scope[KapsamID],D400,Scope[OnayliKapsamID],D400,Scope[Ürün],C400)=1,OR(COUNTIFS(Controls[ID],B400,Controls[Ürün],C400)=1,COUNTIFS(Controls[ID],B400,Controls[Ürün],"MSP Genel")=1),E400&lt;&gt;"",F400&lt;&gt;"",G400&lt;&gt;"",I400&lt;&gt;"",Q400&lt;&gt;"")),"Kimlik / kapsam eksik",IF(NOT(OR(H400="Uygulanır",H400="Uygulanmaz")),"Uygulanabilirlik eksik",IF(AND(H400="Uygulanır",P400="Kanıt yetersiz",U400&lt;&gt;""),IF(AND(R400&lt;&gt;"",R400&lt;&gt;Q400,ISNUMBER(S400),S400&gt;0,S400&gt;=L400),"İnceleme tamam","Gözden geçirme eksik"),IF(NOT(AND(J400&lt;&gt;"",COUNTIFS(Evidence[KanitID],J400,Evidence[Kabul edilen ID],J400)=1,K400&lt;&gt;"",ISNUMBER(L400),L400&gt;0,M400&lt;&gt;"")),"Kanıt / test eksik",IF(NOT(AND(R400&lt;&gt;"",R400&lt;&gt;Q400,ISNUMBER(S400),S400&gt;0,S400&gt;=L400)),"Gözden geçirme eksik",IF(H400="Uygulanmaz","İnceleme tamam",IF(AND(OR(P400="Uygun",P400="Kısmen uygun",P400="Uygunsuz"),OR(N400="Uygun",N400="Kısmen uygun",N400="Uygunsuz"),OR(O400="Uygun",O400="Kısmen uygun",O400="Uygunsuz"),OR(P400&lt;&gt;"Uygun",AND(N400="Uygun",O400="Uygun")),OR(P400="Uygun",AND(T400&lt;&gt;"",COUNTIF(Findings[KayitliBulguID],T400)=1))),"İnceleme tamam","Sonuç / bulgu eksik"))))))))</x:f>
        <x:v>Kimlik / kapsam eksik</x:v>
      </x:c>
      <x:c r="W400" s="14" t="str">
        <x:f>IF(A400="","",IF(V400&lt;&gt;"İnceleme tamam","İncelenmedi",IF(H400="Uygulanmaz","Uygulanmaz",P400)))</x:f>
        <x:v>İncelenmedi</x:v>
      </x:c>
    </x:row>
    <x:row r="401" ht="35" customHeight="1">
      <x:c r="A401" s="12" t="str">
        <x:v>U-0396</x:v>
      </x:c>
      <x:c r="B401" s="12" t="str">
        <x:v>WAF-013</x:v>
      </x:c>
      <x:c r="C401" s="12" t="str">
        <x:v>Citrix NetScaler WAF</x:v>
      </x:c>
      <x:c r="D401" s="12" t="str"/>
      <x:c r="E401" s="12" t="str"/>
      <x:c r="F401" s="12" t="str"/>
      <x:c r="G401" s="12" t="str"/>
      <x:c r="H401" s="12" t="str">
        <x:v>Belirlenecek</x:v>
      </x:c>
      <x:c r="I401" s="12" t="str"/>
      <x:c r="J401" s="12" t="str"/>
      <x:c r="K401" s="12" t="str"/>
      <x:c r="L401" s="13" t="str"/>
      <x:c r="M401" s="12" t="str"/>
      <x:c r="N401" s="12" t="str">
        <x:v>İncelenmedi</x:v>
      </x:c>
      <x:c r="O401" s="12" t="str">
        <x:v>İncelenmedi</x:v>
      </x:c>
      <x:c r="P401" s="12" t="str">
        <x:v>İncelenmedi</x:v>
      </x:c>
      <x:c r="Q401" s="12" t="str"/>
      <x:c r="R401" s="12" t="str"/>
      <x:c r="S401" s="13" t="str"/>
      <x:c r="T401" s="12" t="str"/>
      <x:c r="U401" s="12" t="str"/>
      <x:c r="V401" s="14" t="str">
        <x:f>IF(A401="","",IF(NOT(AND(COUNTIF(Exec[TestID],A401)=1,COUNTIF(Controls[ID],B401)=1,COUNTIFS(Scope[KapsamID],D401,Scope[OnayliKapsamID],D401,Scope[Ürün],C401)=1,OR(COUNTIFS(Controls[ID],B401,Controls[Ürün],C401)=1,COUNTIFS(Controls[ID],B401,Controls[Ürün],"MSP Genel")=1),E401&lt;&gt;"",F401&lt;&gt;"",G401&lt;&gt;"",I401&lt;&gt;"",Q401&lt;&gt;"")),"Kimlik / kapsam eksik",IF(NOT(OR(H401="Uygulanır",H401="Uygulanmaz")),"Uygulanabilirlik eksik",IF(AND(H401="Uygulanır",P401="Kanıt yetersiz",U401&lt;&gt;""),IF(AND(R401&lt;&gt;"",R401&lt;&gt;Q401,ISNUMBER(S401),S401&gt;0,S401&gt;=L401),"İnceleme tamam","Gözden geçirme eksik"),IF(NOT(AND(J401&lt;&gt;"",COUNTIFS(Evidence[KanitID],J401,Evidence[Kabul edilen ID],J401)=1,K401&lt;&gt;"",ISNUMBER(L401),L401&gt;0,M401&lt;&gt;"")),"Kanıt / test eksik",IF(NOT(AND(R401&lt;&gt;"",R401&lt;&gt;Q401,ISNUMBER(S401),S401&gt;0,S401&gt;=L401)),"Gözden geçirme eksik",IF(H401="Uygulanmaz","İnceleme tamam",IF(AND(OR(P401="Uygun",P401="Kısmen uygun",P401="Uygunsuz"),OR(N401="Uygun",N401="Kısmen uygun",N401="Uygunsuz"),OR(O401="Uygun",O401="Kısmen uygun",O401="Uygunsuz"),OR(P401&lt;&gt;"Uygun",AND(N401="Uygun",O401="Uygun")),OR(P401="Uygun",AND(T401&lt;&gt;"",COUNTIF(Findings[KayitliBulguID],T401)=1))),"İnceleme tamam","Sonuç / bulgu eksik"))))))))</x:f>
        <x:v>Kimlik / kapsam eksik</x:v>
      </x:c>
      <x:c r="W401" s="14" t="str">
        <x:f>IF(A401="","",IF(V401&lt;&gt;"İnceleme tamam","İncelenmedi",IF(H401="Uygulanmaz","Uygulanmaz",P401)))</x:f>
        <x:v>İncelenmedi</x:v>
      </x:c>
    </x:row>
    <x:row r="402" ht="35" customHeight="1">
      <x:c r="A402" s="12" t="str">
        <x:v>U-0397</x:v>
      </x:c>
      <x:c r="B402" s="12" t="str">
        <x:v>WAF-014</x:v>
      </x:c>
      <x:c r="C402" s="12" t="str">
        <x:v>Citrix NetScaler WAF</x:v>
      </x:c>
      <x:c r="D402" s="12" t="str"/>
      <x:c r="E402" s="12" t="str"/>
      <x:c r="F402" s="12" t="str"/>
      <x:c r="G402" s="12" t="str"/>
      <x:c r="H402" s="12" t="str">
        <x:v>Belirlenecek</x:v>
      </x:c>
      <x:c r="I402" s="12" t="str"/>
      <x:c r="J402" s="12" t="str"/>
      <x:c r="K402" s="12" t="str"/>
      <x:c r="L402" s="13" t="str"/>
      <x:c r="M402" s="12" t="str"/>
      <x:c r="N402" s="12" t="str">
        <x:v>İncelenmedi</x:v>
      </x:c>
      <x:c r="O402" s="12" t="str">
        <x:v>İncelenmedi</x:v>
      </x:c>
      <x:c r="P402" s="12" t="str">
        <x:v>İncelenmedi</x:v>
      </x:c>
      <x:c r="Q402" s="12" t="str"/>
      <x:c r="R402" s="12" t="str"/>
      <x:c r="S402" s="13" t="str"/>
      <x:c r="T402" s="12" t="str"/>
      <x:c r="U402" s="12" t="str"/>
      <x:c r="V402" s="14" t="str">
        <x:f>IF(A402="","",IF(NOT(AND(COUNTIF(Exec[TestID],A402)=1,COUNTIF(Controls[ID],B402)=1,COUNTIFS(Scope[KapsamID],D402,Scope[OnayliKapsamID],D402,Scope[Ürün],C402)=1,OR(COUNTIFS(Controls[ID],B402,Controls[Ürün],C402)=1,COUNTIFS(Controls[ID],B402,Controls[Ürün],"MSP Genel")=1),E402&lt;&gt;"",F402&lt;&gt;"",G402&lt;&gt;"",I402&lt;&gt;"",Q402&lt;&gt;"")),"Kimlik / kapsam eksik",IF(NOT(OR(H402="Uygulanır",H402="Uygulanmaz")),"Uygulanabilirlik eksik",IF(AND(H402="Uygulanır",P402="Kanıt yetersiz",U402&lt;&gt;""),IF(AND(R402&lt;&gt;"",R402&lt;&gt;Q402,ISNUMBER(S402),S402&gt;0,S402&gt;=L402),"İnceleme tamam","Gözden geçirme eksik"),IF(NOT(AND(J402&lt;&gt;"",COUNTIFS(Evidence[KanitID],J402,Evidence[Kabul edilen ID],J402)=1,K402&lt;&gt;"",ISNUMBER(L402),L402&gt;0,M402&lt;&gt;"")),"Kanıt / test eksik",IF(NOT(AND(R402&lt;&gt;"",R402&lt;&gt;Q402,ISNUMBER(S402),S402&gt;0,S402&gt;=L402)),"Gözden geçirme eksik",IF(H402="Uygulanmaz","İnceleme tamam",IF(AND(OR(P402="Uygun",P402="Kısmen uygun",P402="Uygunsuz"),OR(N402="Uygun",N402="Kısmen uygun",N402="Uygunsuz"),OR(O402="Uygun",O402="Kısmen uygun",O402="Uygunsuz"),OR(P402&lt;&gt;"Uygun",AND(N402="Uygun",O402="Uygun")),OR(P402="Uygun",AND(T402&lt;&gt;"",COUNTIF(Findings[KayitliBulguID],T402)=1))),"İnceleme tamam","Sonuç / bulgu eksik"))))))))</x:f>
        <x:v>Kimlik / kapsam eksik</x:v>
      </x:c>
      <x:c r="W402" s="14" t="str">
        <x:f>IF(A402="","",IF(V402&lt;&gt;"İnceleme tamam","İncelenmedi",IF(H402="Uygulanmaz","Uygulanmaz",P402)))</x:f>
        <x:v>İncelenmedi</x:v>
      </x:c>
    </x:row>
    <x:row r="403" ht="35" customHeight="1">
      <x:c r="A403" s="12" t="str">
        <x:v>U-0398</x:v>
      </x:c>
      <x:c r="B403" s="12" t="str">
        <x:v>EXC-001</x:v>
      </x:c>
      <x:c r="C403" s="12" t="str">
        <x:v>Exchange 2019</x:v>
      </x:c>
      <x:c r="D403" s="12" t="str"/>
      <x:c r="E403" s="12" t="str"/>
      <x:c r="F403" s="12" t="str"/>
      <x:c r="G403" s="12" t="str"/>
      <x:c r="H403" s="12" t="str">
        <x:v>Belirlenecek</x:v>
      </x:c>
      <x:c r="I403" s="12" t="str"/>
      <x:c r="J403" s="12" t="str"/>
      <x:c r="K403" s="12" t="str"/>
      <x:c r="L403" s="13" t="str"/>
      <x:c r="M403" s="12" t="str"/>
      <x:c r="N403" s="12" t="str">
        <x:v>İncelenmedi</x:v>
      </x:c>
      <x:c r="O403" s="12" t="str">
        <x:v>İncelenmedi</x:v>
      </x:c>
      <x:c r="P403" s="12" t="str">
        <x:v>İncelenmedi</x:v>
      </x:c>
      <x:c r="Q403" s="12" t="str"/>
      <x:c r="R403" s="12" t="str"/>
      <x:c r="S403" s="13" t="str"/>
      <x:c r="T403" s="12" t="str"/>
      <x:c r="U403" s="12" t="str"/>
      <x:c r="V403" s="14" t="str">
        <x:f>IF(A403="","",IF(NOT(AND(COUNTIF(Exec[TestID],A403)=1,COUNTIF(Controls[ID],B403)=1,COUNTIFS(Scope[KapsamID],D403,Scope[OnayliKapsamID],D403,Scope[Ürün],C403)=1,OR(COUNTIFS(Controls[ID],B403,Controls[Ürün],C403)=1,COUNTIFS(Controls[ID],B403,Controls[Ürün],"MSP Genel")=1),E403&lt;&gt;"",F403&lt;&gt;"",G403&lt;&gt;"",I403&lt;&gt;"",Q403&lt;&gt;"")),"Kimlik / kapsam eksik",IF(NOT(OR(H403="Uygulanır",H403="Uygulanmaz")),"Uygulanabilirlik eksik",IF(AND(H403="Uygulanır",P403="Kanıt yetersiz",U403&lt;&gt;""),IF(AND(R403&lt;&gt;"",R403&lt;&gt;Q403,ISNUMBER(S403),S403&gt;0,S403&gt;=L403),"İnceleme tamam","Gözden geçirme eksik"),IF(NOT(AND(J403&lt;&gt;"",COUNTIFS(Evidence[KanitID],J403,Evidence[Kabul edilen ID],J403)=1,K403&lt;&gt;"",ISNUMBER(L403),L403&gt;0,M403&lt;&gt;"")),"Kanıt / test eksik",IF(NOT(AND(R403&lt;&gt;"",R403&lt;&gt;Q403,ISNUMBER(S403),S403&gt;0,S403&gt;=L403)),"Gözden geçirme eksik",IF(H403="Uygulanmaz","İnceleme tamam",IF(AND(OR(P403="Uygun",P403="Kısmen uygun",P403="Uygunsuz"),OR(N403="Uygun",N403="Kısmen uygun",N403="Uygunsuz"),OR(O403="Uygun",O403="Kısmen uygun",O403="Uygunsuz"),OR(P403&lt;&gt;"Uygun",AND(N403="Uygun",O403="Uygun")),OR(P403="Uygun",AND(T403&lt;&gt;"",COUNTIF(Findings[KayitliBulguID],T403)=1))),"İnceleme tamam","Sonuç / bulgu eksik"))))))))</x:f>
        <x:v>Kimlik / kapsam eksik</x:v>
      </x:c>
      <x:c r="W403" s="14" t="str">
        <x:f>IF(A403="","",IF(V403&lt;&gt;"İnceleme tamam","İncelenmedi",IF(H403="Uygulanmaz","Uygulanmaz",P403)))</x:f>
        <x:v>İncelenmedi</x:v>
      </x:c>
    </x:row>
    <x:row r="404" ht="35" customHeight="1">
      <x:c r="A404" s="12" t="str">
        <x:v>U-0399</x:v>
      </x:c>
      <x:c r="B404" s="12" t="str">
        <x:v>EXC-002</x:v>
      </x:c>
      <x:c r="C404" s="12" t="str">
        <x:v>Exchange 2019</x:v>
      </x:c>
      <x:c r="D404" s="12" t="str"/>
      <x:c r="E404" s="12" t="str"/>
      <x:c r="F404" s="12" t="str"/>
      <x:c r="G404" s="12" t="str"/>
      <x:c r="H404" s="12" t="str">
        <x:v>Belirlenecek</x:v>
      </x:c>
      <x:c r="I404" s="12" t="str"/>
      <x:c r="J404" s="12" t="str"/>
      <x:c r="K404" s="12" t="str"/>
      <x:c r="L404" s="13" t="str"/>
      <x:c r="M404" s="12" t="str"/>
      <x:c r="N404" s="12" t="str">
        <x:v>İncelenmedi</x:v>
      </x:c>
      <x:c r="O404" s="12" t="str">
        <x:v>İncelenmedi</x:v>
      </x:c>
      <x:c r="P404" s="12" t="str">
        <x:v>İncelenmedi</x:v>
      </x:c>
      <x:c r="Q404" s="12" t="str"/>
      <x:c r="R404" s="12" t="str"/>
      <x:c r="S404" s="13" t="str"/>
      <x:c r="T404" s="12" t="str"/>
      <x:c r="U404" s="12" t="str"/>
      <x:c r="V404" s="14" t="str">
        <x:f>IF(A404="","",IF(NOT(AND(COUNTIF(Exec[TestID],A404)=1,COUNTIF(Controls[ID],B404)=1,COUNTIFS(Scope[KapsamID],D404,Scope[OnayliKapsamID],D404,Scope[Ürün],C404)=1,OR(COUNTIFS(Controls[ID],B404,Controls[Ürün],C404)=1,COUNTIFS(Controls[ID],B404,Controls[Ürün],"MSP Genel")=1),E404&lt;&gt;"",F404&lt;&gt;"",G404&lt;&gt;"",I404&lt;&gt;"",Q404&lt;&gt;"")),"Kimlik / kapsam eksik",IF(NOT(OR(H404="Uygulanır",H404="Uygulanmaz")),"Uygulanabilirlik eksik",IF(AND(H404="Uygulanır",P404="Kanıt yetersiz",U404&lt;&gt;""),IF(AND(R404&lt;&gt;"",R404&lt;&gt;Q404,ISNUMBER(S404),S404&gt;0,S404&gt;=L404),"İnceleme tamam","Gözden geçirme eksik"),IF(NOT(AND(J404&lt;&gt;"",COUNTIFS(Evidence[KanitID],J404,Evidence[Kabul edilen ID],J404)=1,K404&lt;&gt;"",ISNUMBER(L404),L404&gt;0,M404&lt;&gt;"")),"Kanıt / test eksik",IF(NOT(AND(R404&lt;&gt;"",R404&lt;&gt;Q404,ISNUMBER(S404),S404&gt;0,S404&gt;=L404)),"Gözden geçirme eksik",IF(H404="Uygulanmaz","İnceleme tamam",IF(AND(OR(P404="Uygun",P404="Kısmen uygun",P404="Uygunsuz"),OR(N404="Uygun",N404="Kısmen uygun",N404="Uygunsuz"),OR(O404="Uygun",O404="Kısmen uygun",O404="Uygunsuz"),OR(P404&lt;&gt;"Uygun",AND(N404="Uygun",O404="Uygun")),OR(P404="Uygun",AND(T404&lt;&gt;"",COUNTIF(Findings[KayitliBulguID],T404)=1))),"İnceleme tamam","Sonuç / bulgu eksik"))))))))</x:f>
        <x:v>Kimlik / kapsam eksik</x:v>
      </x:c>
      <x:c r="W404" s="14" t="str">
        <x:f>IF(A404="","",IF(V404&lt;&gt;"İnceleme tamam","İncelenmedi",IF(H404="Uygulanmaz","Uygulanmaz",P404)))</x:f>
        <x:v>İncelenmedi</x:v>
      </x:c>
    </x:row>
    <x:row r="405" ht="35" customHeight="1">
      <x:c r="A405" s="12" t="str">
        <x:v>U-0400</x:v>
      </x:c>
      <x:c r="B405" s="12" t="str">
        <x:v>EXC-003</x:v>
      </x:c>
      <x:c r="C405" s="12" t="str">
        <x:v>Exchange 2019</x:v>
      </x:c>
      <x:c r="D405" s="12" t="str"/>
      <x:c r="E405" s="12" t="str"/>
      <x:c r="F405" s="12" t="str"/>
      <x:c r="G405" s="12" t="str"/>
      <x:c r="H405" s="12" t="str">
        <x:v>Belirlenecek</x:v>
      </x:c>
      <x:c r="I405" s="12" t="str"/>
      <x:c r="J405" s="12" t="str"/>
      <x:c r="K405" s="12" t="str"/>
      <x:c r="L405" s="13" t="str"/>
      <x:c r="M405" s="12" t="str"/>
      <x:c r="N405" s="12" t="str">
        <x:v>İncelenmedi</x:v>
      </x:c>
      <x:c r="O405" s="12" t="str">
        <x:v>İncelenmedi</x:v>
      </x:c>
      <x:c r="P405" s="12" t="str">
        <x:v>İncelenmedi</x:v>
      </x:c>
      <x:c r="Q405" s="12" t="str"/>
      <x:c r="R405" s="12" t="str"/>
      <x:c r="S405" s="13" t="str"/>
      <x:c r="T405" s="12" t="str"/>
      <x:c r="U405" s="12" t="str"/>
      <x:c r="V405" s="14" t="str">
        <x:f>IF(A405="","",IF(NOT(AND(COUNTIF(Exec[TestID],A405)=1,COUNTIF(Controls[ID],B405)=1,COUNTIFS(Scope[KapsamID],D405,Scope[OnayliKapsamID],D405,Scope[Ürün],C405)=1,OR(COUNTIFS(Controls[ID],B405,Controls[Ürün],C405)=1,COUNTIFS(Controls[ID],B405,Controls[Ürün],"MSP Genel")=1),E405&lt;&gt;"",F405&lt;&gt;"",G405&lt;&gt;"",I405&lt;&gt;"",Q405&lt;&gt;"")),"Kimlik / kapsam eksik",IF(NOT(OR(H405="Uygulanır",H405="Uygulanmaz")),"Uygulanabilirlik eksik",IF(AND(H405="Uygulanır",P405="Kanıt yetersiz",U405&lt;&gt;""),IF(AND(R405&lt;&gt;"",R405&lt;&gt;Q405,ISNUMBER(S405),S405&gt;0,S405&gt;=L405),"İnceleme tamam","Gözden geçirme eksik"),IF(NOT(AND(J405&lt;&gt;"",COUNTIFS(Evidence[KanitID],J405,Evidence[Kabul edilen ID],J405)=1,K405&lt;&gt;"",ISNUMBER(L405),L405&gt;0,M405&lt;&gt;"")),"Kanıt / test eksik",IF(NOT(AND(R405&lt;&gt;"",R405&lt;&gt;Q405,ISNUMBER(S405),S405&gt;0,S405&gt;=L405)),"Gözden geçirme eksik",IF(H405="Uygulanmaz","İnceleme tamam",IF(AND(OR(P405="Uygun",P405="Kısmen uygun",P405="Uygunsuz"),OR(N405="Uygun",N405="Kısmen uygun",N405="Uygunsuz"),OR(O405="Uygun",O405="Kısmen uygun",O405="Uygunsuz"),OR(P405&lt;&gt;"Uygun",AND(N405="Uygun",O405="Uygun")),OR(P405="Uygun",AND(T405&lt;&gt;"",COUNTIF(Findings[KayitliBulguID],T405)=1))),"İnceleme tamam","Sonuç / bulgu eksik"))))))))</x:f>
        <x:v>Kimlik / kapsam eksik</x:v>
      </x:c>
      <x:c r="W405" s="14" t="str">
        <x:f>IF(A405="","",IF(V405&lt;&gt;"İnceleme tamam","İncelenmedi",IF(H405="Uygulanmaz","Uygulanmaz",P405)))</x:f>
        <x:v>İncelenmedi</x:v>
      </x:c>
    </x:row>
    <x:row r="406" ht="35" customHeight="1">
      <x:c r="A406" s="12" t="str">
        <x:v>U-0401</x:v>
      </x:c>
      <x:c r="B406" s="12" t="str">
        <x:v>EXC-004</x:v>
      </x:c>
      <x:c r="C406" s="12" t="str">
        <x:v>Exchange 2019</x:v>
      </x:c>
      <x:c r="D406" s="12" t="str"/>
      <x:c r="E406" s="12" t="str"/>
      <x:c r="F406" s="12" t="str"/>
      <x:c r="G406" s="12" t="str"/>
      <x:c r="H406" s="12" t="str">
        <x:v>Belirlenecek</x:v>
      </x:c>
      <x:c r="I406" s="12" t="str"/>
      <x:c r="J406" s="12" t="str"/>
      <x:c r="K406" s="12" t="str"/>
      <x:c r="L406" s="13" t="str"/>
      <x:c r="M406" s="12" t="str"/>
      <x:c r="N406" s="12" t="str">
        <x:v>İncelenmedi</x:v>
      </x:c>
      <x:c r="O406" s="12" t="str">
        <x:v>İncelenmedi</x:v>
      </x:c>
      <x:c r="P406" s="12" t="str">
        <x:v>İncelenmedi</x:v>
      </x:c>
      <x:c r="Q406" s="12" t="str"/>
      <x:c r="R406" s="12" t="str"/>
      <x:c r="S406" s="13" t="str"/>
      <x:c r="T406" s="12" t="str"/>
      <x:c r="U406" s="12" t="str"/>
      <x:c r="V406" s="14" t="str">
        <x:f>IF(A406="","",IF(NOT(AND(COUNTIF(Exec[TestID],A406)=1,COUNTIF(Controls[ID],B406)=1,COUNTIFS(Scope[KapsamID],D406,Scope[OnayliKapsamID],D406,Scope[Ürün],C406)=1,OR(COUNTIFS(Controls[ID],B406,Controls[Ürün],C406)=1,COUNTIFS(Controls[ID],B406,Controls[Ürün],"MSP Genel")=1),E406&lt;&gt;"",F406&lt;&gt;"",G406&lt;&gt;"",I406&lt;&gt;"",Q406&lt;&gt;"")),"Kimlik / kapsam eksik",IF(NOT(OR(H406="Uygulanır",H406="Uygulanmaz")),"Uygulanabilirlik eksik",IF(AND(H406="Uygulanır",P406="Kanıt yetersiz",U406&lt;&gt;""),IF(AND(R406&lt;&gt;"",R406&lt;&gt;Q406,ISNUMBER(S406),S406&gt;0,S406&gt;=L406),"İnceleme tamam","Gözden geçirme eksik"),IF(NOT(AND(J406&lt;&gt;"",COUNTIFS(Evidence[KanitID],J406,Evidence[Kabul edilen ID],J406)=1,K406&lt;&gt;"",ISNUMBER(L406),L406&gt;0,M406&lt;&gt;"")),"Kanıt / test eksik",IF(NOT(AND(R406&lt;&gt;"",R406&lt;&gt;Q406,ISNUMBER(S406),S406&gt;0,S406&gt;=L406)),"Gözden geçirme eksik",IF(H406="Uygulanmaz","İnceleme tamam",IF(AND(OR(P406="Uygun",P406="Kısmen uygun",P406="Uygunsuz"),OR(N406="Uygun",N406="Kısmen uygun",N406="Uygunsuz"),OR(O406="Uygun",O406="Kısmen uygun",O406="Uygunsuz"),OR(P406&lt;&gt;"Uygun",AND(N406="Uygun",O406="Uygun")),OR(P406="Uygun",AND(T406&lt;&gt;"",COUNTIF(Findings[KayitliBulguID],T406)=1))),"İnceleme tamam","Sonuç / bulgu eksik"))))))))</x:f>
        <x:v>Kimlik / kapsam eksik</x:v>
      </x:c>
      <x:c r="W406" s="14" t="str">
        <x:f>IF(A406="","",IF(V406&lt;&gt;"İnceleme tamam","İncelenmedi",IF(H406="Uygulanmaz","Uygulanmaz",P406)))</x:f>
        <x:v>İncelenmedi</x:v>
      </x:c>
    </x:row>
    <x:row r="407" ht="35" customHeight="1">
      <x:c r="A407" s="12" t="str">
        <x:v>U-0402</x:v>
      </x:c>
      <x:c r="B407" s="12" t="str">
        <x:v>EXC-005</x:v>
      </x:c>
      <x:c r="C407" s="12" t="str">
        <x:v>Exchange 2019</x:v>
      </x:c>
      <x:c r="D407" s="12" t="str"/>
      <x:c r="E407" s="12" t="str"/>
      <x:c r="F407" s="12" t="str"/>
      <x:c r="G407" s="12" t="str"/>
      <x:c r="H407" s="12" t="str">
        <x:v>Belirlenecek</x:v>
      </x:c>
      <x:c r="I407" s="12" t="str"/>
      <x:c r="J407" s="12" t="str"/>
      <x:c r="K407" s="12" t="str"/>
      <x:c r="L407" s="13" t="str"/>
      <x:c r="M407" s="12" t="str"/>
      <x:c r="N407" s="12" t="str">
        <x:v>İncelenmedi</x:v>
      </x:c>
      <x:c r="O407" s="12" t="str">
        <x:v>İncelenmedi</x:v>
      </x:c>
      <x:c r="P407" s="12" t="str">
        <x:v>İncelenmedi</x:v>
      </x:c>
      <x:c r="Q407" s="12" t="str"/>
      <x:c r="R407" s="12" t="str"/>
      <x:c r="S407" s="13" t="str"/>
      <x:c r="T407" s="12" t="str"/>
      <x:c r="U407" s="12" t="str"/>
      <x:c r="V407" s="14" t="str">
        <x:f>IF(A407="","",IF(NOT(AND(COUNTIF(Exec[TestID],A407)=1,COUNTIF(Controls[ID],B407)=1,COUNTIFS(Scope[KapsamID],D407,Scope[OnayliKapsamID],D407,Scope[Ürün],C407)=1,OR(COUNTIFS(Controls[ID],B407,Controls[Ürün],C407)=1,COUNTIFS(Controls[ID],B407,Controls[Ürün],"MSP Genel")=1),E407&lt;&gt;"",F407&lt;&gt;"",G407&lt;&gt;"",I407&lt;&gt;"",Q407&lt;&gt;"")),"Kimlik / kapsam eksik",IF(NOT(OR(H407="Uygulanır",H407="Uygulanmaz")),"Uygulanabilirlik eksik",IF(AND(H407="Uygulanır",P407="Kanıt yetersiz",U407&lt;&gt;""),IF(AND(R407&lt;&gt;"",R407&lt;&gt;Q407,ISNUMBER(S407),S407&gt;0,S407&gt;=L407),"İnceleme tamam","Gözden geçirme eksik"),IF(NOT(AND(J407&lt;&gt;"",COUNTIFS(Evidence[KanitID],J407,Evidence[Kabul edilen ID],J407)=1,K407&lt;&gt;"",ISNUMBER(L407),L407&gt;0,M407&lt;&gt;"")),"Kanıt / test eksik",IF(NOT(AND(R407&lt;&gt;"",R407&lt;&gt;Q407,ISNUMBER(S407),S407&gt;0,S407&gt;=L407)),"Gözden geçirme eksik",IF(H407="Uygulanmaz","İnceleme tamam",IF(AND(OR(P407="Uygun",P407="Kısmen uygun",P407="Uygunsuz"),OR(N407="Uygun",N407="Kısmen uygun",N407="Uygunsuz"),OR(O407="Uygun",O407="Kısmen uygun",O407="Uygunsuz"),OR(P407&lt;&gt;"Uygun",AND(N407="Uygun",O407="Uygun")),OR(P407="Uygun",AND(T407&lt;&gt;"",COUNTIF(Findings[KayitliBulguID],T407)=1))),"İnceleme tamam","Sonuç / bulgu eksik"))))))))</x:f>
        <x:v>Kimlik / kapsam eksik</x:v>
      </x:c>
      <x:c r="W407" s="14" t="str">
        <x:f>IF(A407="","",IF(V407&lt;&gt;"İnceleme tamam","İncelenmedi",IF(H407="Uygulanmaz","Uygulanmaz",P407)))</x:f>
        <x:v>İncelenmedi</x:v>
      </x:c>
    </x:row>
    <x:row r="408" ht="35" customHeight="1">
      <x:c r="A408" s="12" t="str">
        <x:v>U-0403</x:v>
      </x:c>
      <x:c r="B408" s="12" t="str">
        <x:v>EXC-006</x:v>
      </x:c>
      <x:c r="C408" s="12" t="str">
        <x:v>Exchange 2019</x:v>
      </x:c>
      <x:c r="D408" s="12" t="str"/>
      <x:c r="E408" s="12" t="str"/>
      <x:c r="F408" s="12" t="str"/>
      <x:c r="G408" s="12" t="str"/>
      <x:c r="H408" s="12" t="str">
        <x:v>Belirlenecek</x:v>
      </x:c>
      <x:c r="I408" s="12" t="str"/>
      <x:c r="J408" s="12" t="str"/>
      <x:c r="K408" s="12" t="str"/>
      <x:c r="L408" s="13" t="str"/>
      <x:c r="M408" s="12" t="str"/>
      <x:c r="N408" s="12" t="str">
        <x:v>İncelenmedi</x:v>
      </x:c>
      <x:c r="O408" s="12" t="str">
        <x:v>İncelenmedi</x:v>
      </x:c>
      <x:c r="P408" s="12" t="str">
        <x:v>İncelenmedi</x:v>
      </x:c>
      <x:c r="Q408" s="12" t="str"/>
      <x:c r="R408" s="12" t="str"/>
      <x:c r="S408" s="13" t="str"/>
      <x:c r="T408" s="12" t="str"/>
      <x:c r="U408" s="12" t="str"/>
      <x:c r="V408" s="14" t="str">
        <x:f>IF(A408="","",IF(NOT(AND(COUNTIF(Exec[TestID],A408)=1,COUNTIF(Controls[ID],B408)=1,COUNTIFS(Scope[KapsamID],D408,Scope[OnayliKapsamID],D408,Scope[Ürün],C408)=1,OR(COUNTIFS(Controls[ID],B408,Controls[Ürün],C408)=1,COUNTIFS(Controls[ID],B408,Controls[Ürün],"MSP Genel")=1),E408&lt;&gt;"",F408&lt;&gt;"",G408&lt;&gt;"",I408&lt;&gt;"",Q408&lt;&gt;"")),"Kimlik / kapsam eksik",IF(NOT(OR(H408="Uygulanır",H408="Uygulanmaz")),"Uygulanabilirlik eksik",IF(AND(H408="Uygulanır",P408="Kanıt yetersiz",U408&lt;&gt;""),IF(AND(R408&lt;&gt;"",R408&lt;&gt;Q408,ISNUMBER(S408),S408&gt;0,S408&gt;=L408),"İnceleme tamam","Gözden geçirme eksik"),IF(NOT(AND(J408&lt;&gt;"",COUNTIFS(Evidence[KanitID],J408,Evidence[Kabul edilen ID],J408)=1,K408&lt;&gt;"",ISNUMBER(L408),L408&gt;0,M408&lt;&gt;"")),"Kanıt / test eksik",IF(NOT(AND(R408&lt;&gt;"",R408&lt;&gt;Q408,ISNUMBER(S408),S408&gt;0,S408&gt;=L408)),"Gözden geçirme eksik",IF(H408="Uygulanmaz","İnceleme tamam",IF(AND(OR(P408="Uygun",P408="Kısmen uygun",P408="Uygunsuz"),OR(N408="Uygun",N408="Kısmen uygun",N408="Uygunsuz"),OR(O408="Uygun",O408="Kısmen uygun",O408="Uygunsuz"),OR(P408&lt;&gt;"Uygun",AND(N408="Uygun",O408="Uygun")),OR(P408="Uygun",AND(T408&lt;&gt;"",COUNTIF(Findings[KayitliBulguID],T408)=1))),"İnceleme tamam","Sonuç / bulgu eksik"))))))))</x:f>
        <x:v>Kimlik / kapsam eksik</x:v>
      </x:c>
      <x:c r="W408" s="14" t="str">
        <x:f>IF(A408="","",IF(V408&lt;&gt;"İnceleme tamam","İncelenmedi",IF(H408="Uygulanmaz","Uygulanmaz",P408)))</x:f>
        <x:v>İncelenmedi</x:v>
      </x:c>
    </x:row>
    <x:row r="409" ht="35" customHeight="1">
      <x:c r="A409" s="12" t="str">
        <x:v>U-0404</x:v>
      </x:c>
      <x:c r="B409" s="12" t="str">
        <x:v>EXC-007</x:v>
      </x:c>
      <x:c r="C409" s="12" t="str">
        <x:v>Exchange 2019</x:v>
      </x:c>
      <x:c r="D409" s="12" t="str"/>
      <x:c r="E409" s="12" t="str"/>
      <x:c r="F409" s="12" t="str"/>
      <x:c r="G409" s="12" t="str"/>
      <x:c r="H409" s="12" t="str">
        <x:v>Belirlenecek</x:v>
      </x:c>
      <x:c r="I409" s="12" t="str"/>
      <x:c r="J409" s="12" t="str"/>
      <x:c r="K409" s="12" t="str"/>
      <x:c r="L409" s="13" t="str"/>
      <x:c r="M409" s="12" t="str"/>
      <x:c r="N409" s="12" t="str">
        <x:v>İncelenmedi</x:v>
      </x:c>
      <x:c r="O409" s="12" t="str">
        <x:v>İncelenmedi</x:v>
      </x:c>
      <x:c r="P409" s="12" t="str">
        <x:v>İncelenmedi</x:v>
      </x:c>
      <x:c r="Q409" s="12" t="str"/>
      <x:c r="R409" s="12" t="str"/>
      <x:c r="S409" s="13" t="str"/>
      <x:c r="T409" s="12" t="str"/>
      <x:c r="U409" s="12" t="str"/>
      <x:c r="V409" s="14" t="str">
        <x:f>IF(A409="","",IF(NOT(AND(COUNTIF(Exec[TestID],A409)=1,COUNTIF(Controls[ID],B409)=1,COUNTIFS(Scope[KapsamID],D409,Scope[OnayliKapsamID],D409,Scope[Ürün],C409)=1,OR(COUNTIFS(Controls[ID],B409,Controls[Ürün],C409)=1,COUNTIFS(Controls[ID],B409,Controls[Ürün],"MSP Genel")=1),E409&lt;&gt;"",F409&lt;&gt;"",G409&lt;&gt;"",I409&lt;&gt;"",Q409&lt;&gt;"")),"Kimlik / kapsam eksik",IF(NOT(OR(H409="Uygulanır",H409="Uygulanmaz")),"Uygulanabilirlik eksik",IF(AND(H409="Uygulanır",P409="Kanıt yetersiz",U409&lt;&gt;""),IF(AND(R409&lt;&gt;"",R409&lt;&gt;Q409,ISNUMBER(S409),S409&gt;0,S409&gt;=L409),"İnceleme tamam","Gözden geçirme eksik"),IF(NOT(AND(J409&lt;&gt;"",COUNTIFS(Evidence[KanitID],J409,Evidence[Kabul edilen ID],J409)=1,K409&lt;&gt;"",ISNUMBER(L409),L409&gt;0,M409&lt;&gt;"")),"Kanıt / test eksik",IF(NOT(AND(R409&lt;&gt;"",R409&lt;&gt;Q409,ISNUMBER(S409),S409&gt;0,S409&gt;=L409)),"Gözden geçirme eksik",IF(H409="Uygulanmaz","İnceleme tamam",IF(AND(OR(P409="Uygun",P409="Kısmen uygun",P409="Uygunsuz"),OR(N409="Uygun",N409="Kısmen uygun",N409="Uygunsuz"),OR(O409="Uygun",O409="Kısmen uygun",O409="Uygunsuz"),OR(P409&lt;&gt;"Uygun",AND(N409="Uygun",O409="Uygun")),OR(P409="Uygun",AND(T409&lt;&gt;"",COUNTIF(Findings[KayitliBulguID],T409)=1))),"İnceleme tamam","Sonuç / bulgu eksik"))))))))</x:f>
        <x:v>Kimlik / kapsam eksik</x:v>
      </x:c>
      <x:c r="W409" s="14" t="str">
        <x:f>IF(A409="","",IF(V409&lt;&gt;"İnceleme tamam","İncelenmedi",IF(H409="Uygulanmaz","Uygulanmaz",P409)))</x:f>
        <x:v>İncelenmedi</x:v>
      </x:c>
    </x:row>
    <x:row r="410" ht="35" customHeight="1">
      <x:c r="A410" s="12" t="str">
        <x:v>U-0405</x:v>
      </x:c>
      <x:c r="B410" s="12" t="str">
        <x:v>EXC-008</x:v>
      </x:c>
      <x:c r="C410" s="12" t="str">
        <x:v>Exchange 2019</x:v>
      </x:c>
      <x:c r="D410" s="12" t="str"/>
      <x:c r="E410" s="12" t="str"/>
      <x:c r="F410" s="12" t="str"/>
      <x:c r="G410" s="12" t="str"/>
      <x:c r="H410" s="12" t="str">
        <x:v>Belirlenecek</x:v>
      </x:c>
      <x:c r="I410" s="12" t="str"/>
      <x:c r="J410" s="12" t="str"/>
      <x:c r="K410" s="12" t="str"/>
      <x:c r="L410" s="13" t="str"/>
      <x:c r="M410" s="12" t="str"/>
      <x:c r="N410" s="12" t="str">
        <x:v>İncelenmedi</x:v>
      </x:c>
      <x:c r="O410" s="12" t="str">
        <x:v>İncelenmedi</x:v>
      </x:c>
      <x:c r="P410" s="12" t="str">
        <x:v>İncelenmedi</x:v>
      </x:c>
      <x:c r="Q410" s="12" t="str"/>
      <x:c r="R410" s="12" t="str"/>
      <x:c r="S410" s="13" t="str"/>
      <x:c r="T410" s="12" t="str"/>
      <x:c r="U410" s="12" t="str"/>
      <x:c r="V410" s="14" t="str">
        <x:f>IF(A410="","",IF(NOT(AND(COUNTIF(Exec[TestID],A410)=1,COUNTIF(Controls[ID],B410)=1,COUNTIFS(Scope[KapsamID],D410,Scope[OnayliKapsamID],D410,Scope[Ürün],C410)=1,OR(COUNTIFS(Controls[ID],B410,Controls[Ürün],C410)=1,COUNTIFS(Controls[ID],B410,Controls[Ürün],"MSP Genel")=1),E410&lt;&gt;"",F410&lt;&gt;"",G410&lt;&gt;"",I410&lt;&gt;"",Q410&lt;&gt;"")),"Kimlik / kapsam eksik",IF(NOT(OR(H410="Uygulanır",H410="Uygulanmaz")),"Uygulanabilirlik eksik",IF(AND(H410="Uygulanır",P410="Kanıt yetersiz",U410&lt;&gt;""),IF(AND(R410&lt;&gt;"",R410&lt;&gt;Q410,ISNUMBER(S410),S410&gt;0,S410&gt;=L410),"İnceleme tamam","Gözden geçirme eksik"),IF(NOT(AND(J410&lt;&gt;"",COUNTIFS(Evidence[KanitID],J410,Evidence[Kabul edilen ID],J410)=1,K410&lt;&gt;"",ISNUMBER(L410),L410&gt;0,M410&lt;&gt;"")),"Kanıt / test eksik",IF(NOT(AND(R410&lt;&gt;"",R410&lt;&gt;Q410,ISNUMBER(S410),S410&gt;0,S410&gt;=L410)),"Gözden geçirme eksik",IF(H410="Uygulanmaz","İnceleme tamam",IF(AND(OR(P410="Uygun",P410="Kısmen uygun",P410="Uygunsuz"),OR(N410="Uygun",N410="Kısmen uygun",N410="Uygunsuz"),OR(O410="Uygun",O410="Kısmen uygun",O410="Uygunsuz"),OR(P410&lt;&gt;"Uygun",AND(N410="Uygun",O410="Uygun")),OR(P410="Uygun",AND(T410&lt;&gt;"",COUNTIF(Findings[KayitliBulguID],T410)=1))),"İnceleme tamam","Sonuç / bulgu eksik"))))))))</x:f>
        <x:v>Kimlik / kapsam eksik</x:v>
      </x:c>
      <x:c r="W410" s="14" t="str">
        <x:f>IF(A410="","",IF(V410&lt;&gt;"İnceleme tamam","İncelenmedi",IF(H410="Uygulanmaz","Uygulanmaz",P410)))</x:f>
        <x:v>İncelenmedi</x:v>
      </x:c>
    </x:row>
    <x:row r="411" ht="35" customHeight="1">
      <x:c r="A411" s="12" t="str">
        <x:v>U-0406</x:v>
      </x:c>
      <x:c r="B411" s="12" t="str">
        <x:v>EXC-009</x:v>
      </x:c>
      <x:c r="C411" s="12" t="str">
        <x:v>Exchange 2019</x:v>
      </x:c>
      <x:c r="D411" s="12" t="str"/>
      <x:c r="E411" s="12" t="str"/>
      <x:c r="F411" s="12" t="str"/>
      <x:c r="G411" s="12" t="str"/>
      <x:c r="H411" s="12" t="str">
        <x:v>Belirlenecek</x:v>
      </x:c>
      <x:c r="I411" s="12" t="str"/>
      <x:c r="J411" s="12" t="str"/>
      <x:c r="K411" s="12" t="str"/>
      <x:c r="L411" s="13" t="str"/>
      <x:c r="M411" s="12" t="str"/>
      <x:c r="N411" s="12" t="str">
        <x:v>İncelenmedi</x:v>
      </x:c>
      <x:c r="O411" s="12" t="str">
        <x:v>İncelenmedi</x:v>
      </x:c>
      <x:c r="P411" s="12" t="str">
        <x:v>İncelenmedi</x:v>
      </x:c>
      <x:c r="Q411" s="12" t="str"/>
      <x:c r="R411" s="12" t="str"/>
      <x:c r="S411" s="13" t="str"/>
      <x:c r="T411" s="12" t="str"/>
      <x:c r="U411" s="12" t="str"/>
      <x:c r="V411" s="14" t="str">
        <x:f>IF(A411="","",IF(NOT(AND(COUNTIF(Exec[TestID],A411)=1,COUNTIF(Controls[ID],B411)=1,COUNTIFS(Scope[KapsamID],D411,Scope[OnayliKapsamID],D411,Scope[Ürün],C411)=1,OR(COUNTIFS(Controls[ID],B411,Controls[Ürün],C411)=1,COUNTIFS(Controls[ID],B411,Controls[Ürün],"MSP Genel")=1),E411&lt;&gt;"",F411&lt;&gt;"",G411&lt;&gt;"",I411&lt;&gt;"",Q411&lt;&gt;"")),"Kimlik / kapsam eksik",IF(NOT(OR(H411="Uygulanır",H411="Uygulanmaz")),"Uygulanabilirlik eksik",IF(AND(H411="Uygulanır",P411="Kanıt yetersiz",U411&lt;&gt;""),IF(AND(R411&lt;&gt;"",R411&lt;&gt;Q411,ISNUMBER(S411),S411&gt;0,S411&gt;=L411),"İnceleme tamam","Gözden geçirme eksik"),IF(NOT(AND(J411&lt;&gt;"",COUNTIFS(Evidence[KanitID],J411,Evidence[Kabul edilen ID],J411)=1,K411&lt;&gt;"",ISNUMBER(L411),L411&gt;0,M411&lt;&gt;"")),"Kanıt / test eksik",IF(NOT(AND(R411&lt;&gt;"",R411&lt;&gt;Q411,ISNUMBER(S411),S411&gt;0,S411&gt;=L411)),"Gözden geçirme eksik",IF(H411="Uygulanmaz","İnceleme tamam",IF(AND(OR(P411="Uygun",P411="Kısmen uygun",P411="Uygunsuz"),OR(N411="Uygun",N411="Kısmen uygun",N411="Uygunsuz"),OR(O411="Uygun",O411="Kısmen uygun",O411="Uygunsuz"),OR(P411&lt;&gt;"Uygun",AND(N411="Uygun",O411="Uygun")),OR(P411="Uygun",AND(T411&lt;&gt;"",COUNTIF(Findings[KayitliBulguID],T411)=1))),"İnceleme tamam","Sonuç / bulgu eksik"))))))))</x:f>
        <x:v>Kimlik / kapsam eksik</x:v>
      </x:c>
      <x:c r="W411" s="14" t="str">
        <x:f>IF(A411="","",IF(V411&lt;&gt;"İnceleme tamam","İncelenmedi",IF(H411="Uygulanmaz","Uygulanmaz",P411)))</x:f>
        <x:v>İncelenmedi</x:v>
      </x:c>
    </x:row>
    <x:row r="412" ht="35" customHeight="1">
      <x:c r="A412" s="12" t="str">
        <x:v>U-0407</x:v>
      </x:c>
      <x:c r="B412" s="12" t="str">
        <x:v>EXC-010</x:v>
      </x:c>
      <x:c r="C412" s="12" t="str">
        <x:v>Exchange 2019</x:v>
      </x:c>
      <x:c r="D412" s="12" t="str"/>
      <x:c r="E412" s="12" t="str"/>
      <x:c r="F412" s="12" t="str"/>
      <x:c r="G412" s="12" t="str"/>
      <x:c r="H412" s="12" t="str">
        <x:v>Belirlenecek</x:v>
      </x:c>
      <x:c r="I412" s="12" t="str"/>
      <x:c r="J412" s="12" t="str"/>
      <x:c r="K412" s="12" t="str"/>
      <x:c r="L412" s="13" t="str"/>
      <x:c r="M412" s="12" t="str"/>
      <x:c r="N412" s="12" t="str">
        <x:v>İncelenmedi</x:v>
      </x:c>
      <x:c r="O412" s="12" t="str">
        <x:v>İncelenmedi</x:v>
      </x:c>
      <x:c r="P412" s="12" t="str">
        <x:v>İncelenmedi</x:v>
      </x:c>
      <x:c r="Q412" s="12" t="str"/>
      <x:c r="R412" s="12" t="str"/>
      <x:c r="S412" s="13" t="str"/>
      <x:c r="T412" s="12" t="str"/>
      <x:c r="U412" s="12" t="str"/>
      <x:c r="V412" s="14" t="str">
        <x:f>IF(A412="","",IF(NOT(AND(COUNTIF(Exec[TestID],A412)=1,COUNTIF(Controls[ID],B412)=1,COUNTIFS(Scope[KapsamID],D412,Scope[OnayliKapsamID],D412,Scope[Ürün],C412)=1,OR(COUNTIFS(Controls[ID],B412,Controls[Ürün],C412)=1,COUNTIFS(Controls[ID],B412,Controls[Ürün],"MSP Genel")=1),E412&lt;&gt;"",F412&lt;&gt;"",G412&lt;&gt;"",I412&lt;&gt;"",Q412&lt;&gt;"")),"Kimlik / kapsam eksik",IF(NOT(OR(H412="Uygulanır",H412="Uygulanmaz")),"Uygulanabilirlik eksik",IF(AND(H412="Uygulanır",P412="Kanıt yetersiz",U412&lt;&gt;""),IF(AND(R412&lt;&gt;"",R412&lt;&gt;Q412,ISNUMBER(S412),S412&gt;0,S412&gt;=L412),"İnceleme tamam","Gözden geçirme eksik"),IF(NOT(AND(J412&lt;&gt;"",COUNTIFS(Evidence[KanitID],J412,Evidence[Kabul edilen ID],J412)=1,K412&lt;&gt;"",ISNUMBER(L412),L412&gt;0,M412&lt;&gt;"")),"Kanıt / test eksik",IF(NOT(AND(R412&lt;&gt;"",R412&lt;&gt;Q412,ISNUMBER(S412),S412&gt;0,S412&gt;=L412)),"Gözden geçirme eksik",IF(H412="Uygulanmaz","İnceleme tamam",IF(AND(OR(P412="Uygun",P412="Kısmen uygun",P412="Uygunsuz"),OR(N412="Uygun",N412="Kısmen uygun",N412="Uygunsuz"),OR(O412="Uygun",O412="Kısmen uygun",O412="Uygunsuz"),OR(P412&lt;&gt;"Uygun",AND(N412="Uygun",O412="Uygun")),OR(P412="Uygun",AND(T412&lt;&gt;"",COUNTIF(Findings[KayitliBulguID],T412)=1))),"İnceleme tamam","Sonuç / bulgu eksik"))))))))</x:f>
        <x:v>Kimlik / kapsam eksik</x:v>
      </x:c>
      <x:c r="W412" s="14" t="str">
        <x:f>IF(A412="","",IF(V412&lt;&gt;"İnceleme tamam","İncelenmedi",IF(H412="Uygulanmaz","Uygulanmaz",P412)))</x:f>
        <x:v>İncelenmedi</x:v>
      </x:c>
    </x:row>
    <x:row r="413" ht="35" customHeight="1">
      <x:c r="A413" s="12" t="str">
        <x:v>U-0408</x:v>
      </x:c>
      <x:c r="B413" s="12" t="str">
        <x:v>EXC-011</x:v>
      </x:c>
      <x:c r="C413" s="12" t="str">
        <x:v>Exchange 2019</x:v>
      </x:c>
      <x:c r="D413" s="12" t="str"/>
      <x:c r="E413" s="12" t="str"/>
      <x:c r="F413" s="12" t="str"/>
      <x:c r="G413" s="12" t="str"/>
      <x:c r="H413" s="12" t="str">
        <x:v>Belirlenecek</x:v>
      </x:c>
      <x:c r="I413" s="12" t="str"/>
      <x:c r="J413" s="12" t="str"/>
      <x:c r="K413" s="12" t="str"/>
      <x:c r="L413" s="13" t="str"/>
      <x:c r="M413" s="12" t="str"/>
      <x:c r="N413" s="12" t="str">
        <x:v>İncelenmedi</x:v>
      </x:c>
      <x:c r="O413" s="12" t="str">
        <x:v>İncelenmedi</x:v>
      </x:c>
      <x:c r="P413" s="12" t="str">
        <x:v>İncelenmedi</x:v>
      </x:c>
      <x:c r="Q413" s="12" t="str"/>
      <x:c r="R413" s="12" t="str"/>
      <x:c r="S413" s="13" t="str"/>
      <x:c r="T413" s="12" t="str"/>
      <x:c r="U413" s="12" t="str"/>
      <x:c r="V413" s="14" t="str">
        <x:f>IF(A413="","",IF(NOT(AND(COUNTIF(Exec[TestID],A413)=1,COUNTIF(Controls[ID],B413)=1,COUNTIFS(Scope[KapsamID],D413,Scope[OnayliKapsamID],D413,Scope[Ürün],C413)=1,OR(COUNTIFS(Controls[ID],B413,Controls[Ürün],C413)=1,COUNTIFS(Controls[ID],B413,Controls[Ürün],"MSP Genel")=1),E413&lt;&gt;"",F413&lt;&gt;"",G413&lt;&gt;"",I413&lt;&gt;"",Q413&lt;&gt;"")),"Kimlik / kapsam eksik",IF(NOT(OR(H413="Uygulanır",H413="Uygulanmaz")),"Uygulanabilirlik eksik",IF(AND(H413="Uygulanır",P413="Kanıt yetersiz",U413&lt;&gt;""),IF(AND(R413&lt;&gt;"",R413&lt;&gt;Q413,ISNUMBER(S413),S413&gt;0,S413&gt;=L413),"İnceleme tamam","Gözden geçirme eksik"),IF(NOT(AND(J413&lt;&gt;"",COUNTIFS(Evidence[KanitID],J413,Evidence[Kabul edilen ID],J413)=1,K413&lt;&gt;"",ISNUMBER(L413),L413&gt;0,M413&lt;&gt;"")),"Kanıt / test eksik",IF(NOT(AND(R413&lt;&gt;"",R413&lt;&gt;Q413,ISNUMBER(S413),S413&gt;0,S413&gt;=L413)),"Gözden geçirme eksik",IF(H413="Uygulanmaz","İnceleme tamam",IF(AND(OR(P413="Uygun",P413="Kısmen uygun",P413="Uygunsuz"),OR(N413="Uygun",N413="Kısmen uygun",N413="Uygunsuz"),OR(O413="Uygun",O413="Kısmen uygun",O413="Uygunsuz"),OR(P413&lt;&gt;"Uygun",AND(N413="Uygun",O413="Uygun")),OR(P413="Uygun",AND(T413&lt;&gt;"",COUNTIF(Findings[KayitliBulguID],T413)=1))),"İnceleme tamam","Sonuç / bulgu eksik"))))))))</x:f>
        <x:v>Kimlik / kapsam eksik</x:v>
      </x:c>
      <x:c r="W413" s="14" t="str">
        <x:f>IF(A413="","",IF(V413&lt;&gt;"İnceleme tamam","İncelenmedi",IF(H413="Uygulanmaz","Uygulanmaz",P413)))</x:f>
        <x:v>İncelenmedi</x:v>
      </x:c>
    </x:row>
    <x:row r="414" ht="35" customHeight="1">
      <x:c r="A414" s="12" t="str">
        <x:v>U-0409</x:v>
      </x:c>
      <x:c r="B414" s="12" t="str">
        <x:v>EXC-012</x:v>
      </x:c>
      <x:c r="C414" s="12" t="str">
        <x:v>Exchange 2019</x:v>
      </x:c>
      <x:c r="D414" s="12" t="str"/>
      <x:c r="E414" s="12" t="str"/>
      <x:c r="F414" s="12" t="str"/>
      <x:c r="G414" s="12" t="str"/>
      <x:c r="H414" s="12" t="str">
        <x:v>Belirlenecek</x:v>
      </x:c>
      <x:c r="I414" s="12" t="str"/>
      <x:c r="J414" s="12" t="str"/>
      <x:c r="K414" s="12" t="str"/>
      <x:c r="L414" s="13" t="str"/>
      <x:c r="M414" s="12" t="str"/>
      <x:c r="N414" s="12" t="str">
        <x:v>İncelenmedi</x:v>
      </x:c>
      <x:c r="O414" s="12" t="str">
        <x:v>İncelenmedi</x:v>
      </x:c>
      <x:c r="P414" s="12" t="str">
        <x:v>İncelenmedi</x:v>
      </x:c>
      <x:c r="Q414" s="12" t="str"/>
      <x:c r="R414" s="12" t="str"/>
      <x:c r="S414" s="13" t="str"/>
      <x:c r="T414" s="12" t="str"/>
      <x:c r="U414" s="12" t="str"/>
      <x:c r="V414" s="14" t="str">
        <x:f>IF(A414="","",IF(NOT(AND(COUNTIF(Exec[TestID],A414)=1,COUNTIF(Controls[ID],B414)=1,COUNTIFS(Scope[KapsamID],D414,Scope[OnayliKapsamID],D414,Scope[Ürün],C414)=1,OR(COUNTIFS(Controls[ID],B414,Controls[Ürün],C414)=1,COUNTIFS(Controls[ID],B414,Controls[Ürün],"MSP Genel")=1),E414&lt;&gt;"",F414&lt;&gt;"",G414&lt;&gt;"",I414&lt;&gt;"",Q414&lt;&gt;"")),"Kimlik / kapsam eksik",IF(NOT(OR(H414="Uygulanır",H414="Uygulanmaz")),"Uygulanabilirlik eksik",IF(AND(H414="Uygulanır",P414="Kanıt yetersiz",U414&lt;&gt;""),IF(AND(R414&lt;&gt;"",R414&lt;&gt;Q414,ISNUMBER(S414),S414&gt;0,S414&gt;=L414),"İnceleme tamam","Gözden geçirme eksik"),IF(NOT(AND(J414&lt;&gt;"",COUNTIFS(Evidence[KanitID],J414,Evidence[Kabul edilen ID],J414)=1,K414&lt;&gt;"",ISNUMBER(L414),L414&gt;0,M414&lt;&gt;"")),"Kanıt / test eksik",IF(NOT(AND(R414&lt;&gt;"",R414&lt;&gt;Q414,ISNUMBER(S414),S414&gt;0,S414&gt;=L414)),"Gözden geçirme eksik",IF(H414="Uygulanmaz","İnceleme tamam",IF(AND(OR(P414="Uygun",P414="Kısmen uygun",P414="Uygunsuz"),OR(N414="Uygun",N414="Kısmen uygun",N414="Uygunsuz"),OR(O414="Uygun",O414="Kısmen uygun",O414="Uygunsuz"),OR(P414&lt;&gt;"Uygun",AND(N414="Uygun",O414="Uygun")),OR(P414="Uygun",AND(T414&lt;&gt;"",COUNTIF(Findings[KayitliBulguID],T414)=1))),"İnceleme tamam","Sonuç / bulgu eksik"))))))))</x:f>
        <x:v>Kimlik / kapsam eksik</x:v>
      </x:c>
      <x:c r="W414" s="14" t="str">
        <x:f>IF(A414="","",IF(V414&lt;&gt;"İnceleme tamam","İncelenmedi",IF(H414="Uygulanmaz","Uygulanmaz",P414)))</x:f>
        <x:v>İncelenmedi</x:v>
      </x:c>
    </x:row>
    <x:row r="415" ht="35" customHeight="1">
      <x:c r="A415" s="12" t="str">
        <x:v>U-0410</x:v>
      </x:c>
      <x:c r="B415" s="12" t="str">
        <x:v>EXC-013</x:v>
      </x:c>
      <x:c r="C415" s="12" t="str">
        <x:v>Exchange 2019</x:v>
      </x:c>
      <x:c r="D415" s="12" t="str"/>
      <x:c r="E415" s="12" t="str"/>
      <x:c r="F415" s="12" t="str"/>
      <x:c r="G415" s="12" t="str"/>
      <x:c r="H415" s="12" t="str">
        <x:v>Belirlenecek</x:v>
      </x:c>
      <x:c r="I415" s="12" t="str"/>
      <x:c r="J415" s="12" t="str"/>
      <x:c r="K415" s="12" t="str"/>
      <x:c r="L415" s="13" t="str"/>
      <x:c r="M415" s="12" t="str"/>
      <x:c r="N415" s="12" t="str">
        <x:v>İncelenmedi</x:v>
      </x:c>
      <x:c r="O415" s="12" t="str">
        <x:v>İncelenmedi</x:v>
      </x:c>
      <x:c r="P415" s="12" t="str">
        <x:v>İncelenmedi</x:v>
      </x:c>
      <x:c r="Q415" s="12" t="str"/>
      <x:c r="R415" s="12" t="str"/>
      <x:c r="S415" s="13" t="str"/>
      <x:c r="T415" s="12" t="str"/>
      <x:c r="U415" s="12" t="str"/>
      <x:c r="V415" s="14" t="str">
        <x:f>IF(A415="","",IF(NOT(AND(COUNTIF(Exec[TestID],A415)=1,COUNTIF(Controls[ID],B415)=1,COUNTIFS(Scope[KapsamID],D415,Scope[OnayliKapsamID],D415,Scope[Ürün],C415)=1,OR(COUNTIFS(Controls[ID],B415,Controls[Ürün],C415)=1,COUNTIFS(Controls[ID],B415,Controls[Ürün],"MSP Genel")=1),E415&lt;&gt;"",F415&lt;&gt;"",G415&lt;&gt;"",I415&lt;&gt;"",Q415&lt;&gt;"")),"Kimlik / kapsam eksik",IF(NOT(OR(H415="Uygulanır",H415="Uygulanmaz")),"Uygulanabilirlik eksik",IF(AND(H415="Uygulanır",P415="Kanıt yetersiz",U415&lt;&gt;""),IF(AND(R415&lt;&gt;"",R415&lt;&gt;Q415,ISNUMBER(S415),S415&gt;0,S415&gt;=L415),"İnceleme tamam","Gözden geçirme eksik"),IF(NOT(AND(J415&lt;&gt;"",COUNTIFS(Evidence[KanitID],J415,Evidence[Kabul edilen ID],J415)=1,K415&lt;&gt;"",ISNUMBER(L415),L415&gt;0,M415&lt;&gt;"")),"Kanıt / test eksik",IF(NOT(AND(R415&lt;&gt;"",R415&lt;&gt;Q415,ISNUMBER(S415),S415&gt;0,S415&gt;=L415)),"Gözden geçirme eksik",IF(H415="Uygulanmaz","İnceleme tamam",IF(AND(OR(P415="Uygun",P415="Kısmen uygun",P415="Uygunsuz"),OR(N415="Uygun",N415="Kısmen uygun",N415="Uygunsuz"),OR(O415="Uygun",O415="Kısmen uygun",O415="Uygunsuz"),OR(P415&lt;&gt;"Uygun",AND(N415="Uygun",O415="Uygun")),OR(P415="Uygun",AND(T415&lt;&gt;"",COUNTIF(Findings[KayitliBulguID],T415)=1))),"İnceleme tamam","Sonuç / bulgu eksik"))))))))</x:f>
        <x:v>Kimlik / kapsam eksik</x:v>
      </x:c>
      <x:c r="W415" s="14" t="str">
        <x:f>IF(A415="","",IF(V415&lt;&gt;"İnceleme tamam","İncelenmedi",IF(H415="Uygulanmaz","Uygulanmaz",P415)))</x:f>
        <x:v>İncelenmedi</x:v>
      </x:c>
    </x:row>
    <x:row r="416" ht="35" customHeight="1">
      <x:c r="A416" s="12" t="str">
        <x:v>U-0411</x:v>
      </x:c>
      <x:c r="B416" s="12" t="str">
        <x:v>EXC-014</x:v>
      </x:c>
      <x:c r="C416" s="12" t="str">
        <x:v>Exchange 2019</x:v>
      </x:c>
      <x:c r="D416" s="12" t="str"/>
      <x:c r="E416" s="12" t="str"/>
      <x:c r="F416" s="12" t="str"/>
      <x:c r="G416" s="12" t="str"/>
      <x:c r="H416" s="12" t="str">
        <x:v>Belirlenecek</x:v>
      </x:c>
      <x:c r="I416" s="12" t="str"/>
      <x:c r="J416" s="12" t="str"/>
      <x:c r="K416" s="12" t="str"/>
      <x:c r="L416" s="13" t="str"/>
      <x:c r="M416" s="12" t="str"/>
      <x:c r="N416" s="12" t="str">
        <x:v>İncelenmedi</x:v>
      </x:c>
      <x:c r="O416" s="12" t="str">
        <x:v>İncelenmedi</x:v>
      </x:c>
      <x:c r="P416" s="12" t="str">
        <x:v>İncelenmedi</x:v>
      </x:c>
      <x:c r="Q416" s="12" t="str"/>
      <x:c r="R416" s="12" t="str"/>
      <x:c r="S416" s="13" t="str"/>
      <x:c r="T416" s="12" t="str"/>
      <x:c r="U416" s="12" t="str"/>
      <x:c r="V416" s="14" t="str">
        <x:f>IF(A416="","",IF(NOT(AND(COUNTIF(Exec[TestID],A416)=1,COUNTIF(Controls[ID],B416)=1,COUNTIFS(Scope[KapsamID],D416,Scope[OnayliKapsamID],D416,Scope[Ürün],C416)=1,OR(COUNTIFS(Controls[ID],B416,Controls[Ürün],C416)=1,COUNTIFS(Controls[ID],B416,Controls[Ürün],"MSP Genel")=1),E416&lt;&gt;"",F416&lt;&gt;"",G416&lt;&gt;"",I416&lt;&gt;"",Q416&lt;&gt;"")),"Kimlik / kapsam eksik",IF(NOT(OR(H416="Uygulanır",H416="Uygulanmaz")),"Uygulanabilirlik eksik",IF(AND(H416="Uygulanır",P416="Kanıt yetersiz",U416&lt;&gt;""),IF(AND(R416&lt;&gt;"",R416&lt;&gt;Q416,ISNUMBER(S416),S416&gt;0,S416&gt;=L416),"İnceleme tamam","Gözden geçirme eksik"),IF(NOT(AND(J416&lt;&gt;"",COUNTIFS(Evidence[KanitID],J416,Evidence[Kabul edilen ID],J416)=1,K416&lt;&gt;"",ISNUMBER(L416),L416&gt;0,M416&lt;&gt;"")),"Kanıt / test eksik",IF(NOT(AND(R416&lt;&gt;"",R416&lt;&gt;Q416,ISNUMBER(S416),S416&gt;0,S416&gt;=L416)),"Gözden geçirme eksik",IF(H416="Uygulanmaz","İnceleme tamam",IF(AND(OR(P416="Uygun",P416="Kısmen uygun",P416="Uygunsuz"),OR(N416="Uygun",N416="Kısmen uygun",N416="Uygunsuz"),OR(O416="Uygun",O416="Kısmen uygun",O416="Uygunsuz"),OR(P416&lt;&gt;"Uygun",AND(N416="Uygun",O416="Uygun")),OR(P416="Uygun",AND(T416&lt;&gt;"",COUNTIF(Findings[KayitliBulguID],T416)=1))),"İnceleme tamam","Sonuç / bulgu eksik"))))))))</x:f>
        <x:v>Kimlik / kapsam eksik</x:v>
      </x:c>
      <x:c r="W416" s="14" t="str">
        <x:f>IF(A416="","",IF(V416&lt;&gt;"İnceleme tamam","İncelenmedi",IF(H416="Uygulanmaz","Uygulanmaz",P416)))</x:f>
        <x:v>İncelenmedi</x:v>
      </x:c>
    </x:row>
    <x:row r="417" ht="35" customHeight="1">
      <x:c r="A417" s="12" t="str">
        <x:v>U-0412</x:v>
      </x:c>
      <x:c r="B417" s="12" t="str">
        <x:v>EXC-015</x:v>
      </x:c>
      <x:c r="C417" s="12" t="str">
        <x:v>Exchange 2019</x:v>
      </x:c>
      <x:c r="D417" s="12" t="str"/>
      <x:c r="E417" s="12" t="str"/>
      <x:c r="F417" s="12" t="str"/>
      <x:c r="G417" s="12" t="str"/>
      <x:c r="H417" s="12" t="str">
        <x:v>Belirlenecek</x:v>
      </x:c>
      <x:c r="I417" s="12" t="str"/>
      <x:c r="J417" s="12" t="str"/>
      <x:c r="K417" s="12" t="str"/>
      <x:c r="L417" s="13" t="str"/>
      <x:c r="M417" s="12" t="str"/>
      <x:c r="N417" s="12" t="str">
        <x:v>İncelenmedi</x:v>
      </x:c>
      <x:c r="O417" s="12" t="str">
        <x:v>İncelenmedi</x:v>
      </x:c>
      <x:c r="P417" s="12" t="str">
        <x:v>İncelenmedi</x:v>
      </x:c>
      <x:c r="Q417" s="12" t="str"/>
      <x:c r="R417" s="12" t="str"/>
      <x:c r="S417" s="13" t="str"/>
      <x:c r="T417" s="12" t="str"/>
      <x:c r="U417" s="12" t="str"/>
      <x:c r="V417" s="14" t="str">
        <x:f>IF(A417="","",IF(NOT(AND(COUNTIF(Exec[TestID],A417)=1,COUNTIF(Controls[ID],B417)=1,COUNTIFS(Scope[KapsamID],D417,Scope[OnayliKapsamID],D417,Scope[Ürün],C417)=1,OR(COUNTIFS(Controls[ID],B417,Controls[Ürün],C417)=1,COUNTIFS(Controls[ID],B417,Controls[Ürün],"MSP Genel")=1),E417&lt;&gt;"",F417&lt;&gt;"",G417&lt;&gt;"",I417&lt;&gt;"",Q417&lt;&gt;"")),"Kimlik / kapsam eksik",IF(NOT(OR(H417="Uygulanır",H417="Uygulanmaz")),"Uygulanabilirlik eksik",IF(AND(H417="Uygulanır",P417="Kanıt yetersiz",U417&lt;&gt;""),IF(AND(R417&lt;&gt;"",R417&lt;&gt;Q417,ISNUMBER(S417),S417&gt;0,S417&gt;=L417),"İnceleme tamam","Gözden geçirme eksik"),IF(NOT(AND(J417&lt;&gt;"",COUNTIFS(Evidence[KanitID],J417,Evidence[Kabul edilen ID],J417)=1,K417&lt;&gt;"",ISNUMBER(L417),L417&gt;0,M417&lt;&gt;"")),"Kanıt / test eksik",IF(NOT(AND(R417&lt;&gt;"",R417&lt;&gt;Q417,ISNUMBER(S417),S417&gt;0,S417&gt;=L417)),"Gözden geçirme eksik",IF(H417="Uygulanmaz","İnceleme tamam",IF(AND(OR(P417="Uygun",P417="Kısmen uygun",P417="Uygunsuz"),OR(N417="Uygun",N417="Kısmen uygun",N417="Uygunsuz"),OR(O417="Uygun",O417="Kısmen uygun",O417="Uygunsuz"),OR(P417&lt;&gt;"Uygun",AND(N417="Uygun",O417="Uygun")),OR(P417="Uygun",AND(T417&lt;&gt;"",COUNTIF(Findings[KayitliBulguID],T417)=1))),"İnceleme tamam","Sonuç / bulgu eksik"))))))))</x:f>
        <x:v>Kimlik / kapsam eksik</x:v>
      </x:c>
      <x:c r="W417" s="14" t="str">
        <x:f>IF(A417="","",IF(V417&lt;&gt;"İnceleme tamam","İncelenmedi",IF(H417="Uygulanmaz","Uygulanmaz",P417)))</x:f>
        <x:v>İncelenmedi</x:v>
      </x:c>
    </x:row>
    <x:row r="418" ht="35" customHeight="1">
      <x:c r="A418" s="12" t="str">
        <x:v>U-0413</x:v>
      </x:c>
      <x:c r="B418" s="12" t="str">
        <x:v>EXC-016</x:v>
      </x:c>
      <x:c r="C418" s="12" t="str">
        <x:v>Exchange 2019</x:v>
      </x:c>
      <x:c r="D418" s="12" t="str"/>
      <x:c r="E418" s="12" t="str"/>
      <x:c r="F418" s="12" t="str"/>
      <x:c r="G418" s="12" t="str"/>
      <x:c r="H418" s="12" t="str">
        <x:v>Belirlenecek</x:v>
      </x:c>
      <x:c r="I418" s="12" t="str"/>
      <x:c r="J418" s="12" t="str"/>
      <x:c r="K418" s="12" t="str"/>
      <x:c r="L418" s="13" t="str"/>
      <x:c r="M418" s="12" t="str"/>
      <x:c r="N418" s="12" t="str">
        <x:v>İncelenmedi</x:v>
      </x:c>
      <x:c r="O418" s="12" t="str">
        <x:v>İncelenmedi</x:v>
      </x:c>
      <x:c r="P418" s="12" t="str">
        <x:v>İncelenmedi</x:v>
      </x:c>
      <x:c r="Q418" s="12" t="str"/>
      <x:c r="R418" s="12" t="str"/>
      <x:c r="S418" s="13" t="str"/>
      <x:c r="T418" s="12" t="str"/>
      <x:c r="U418" s="12" t="str"/>
      <x:c r="V418" s="14" t="str">
        <x:f>IF(A418="","",IF(NOT(AND(COUNTIF(Exec[TestID],A418)=1,COUNTIF(Controls[ID],B418)=1,COUNTIFS(Scope[KapsamID],D418,Scope[OnayliKapsamID],D418,Scope[Ürün],C418)=1,OR(COUNTIFS(Controls[ID],B418,Controls[Ürün],C418)=1,COUNTIFS(Controls[ID],B418,Controls[Ürün],"MSP Genel")=1),E418&lt;&gt;"",F418&lt;&gt;"",G418&lt;&gt;"",I418&lt;&gt;"",Q418&lt;&gt;"")),"Kimlik / kapsam eksik",IF(NOT(OR(H418="Uygulanır",H418="Uygulanmaz")),"Uygulanabilirlik eksik",IF(AND(H418="Uygulanır",P418="Kanıt yetersiz",U418&lt;&gt;""),IF(AND(R418&lt;&gt;"",R418&lt;&gt;Q418,ISNUMBER(S418),S418&gt;0,S418&gt;=L418),"İnceleme tamam","Gözden geçirme eksik"),IF(NOT(AND(J418&lt;&gt;"",COUNTIFS(Evidence[KanitID],J418,Evidence[Kabul edilen ID],J418)=1,K418&lt;&gt;"",ISNUMBER(L418),L418&gt;0,M418&lt;&gt;"")),"Kanıt / test eksik",IF(NOT(AND(R418&lt;&gt;"",R418&lt;&gt;Q418,ISNUMBER(S418),S418&gt;0,S418&gt;=L418)),"Gözden geçirme eksik",IF(H418="Uygulanmaz","İnceleme tamam",IF(AND(OR(P418="Uygun",P418="Kısmen uygun",P418="Uygunsuz"),OR(N418="Uygun",N418="Kısmen uygun",N418="Uygunsuz"),OR(O418="Uygun",O418="Kısmen uygun",O418="Uygunsuz"),OR(P418&lt;&gt;"Uygun",AND(N418="Uygun",O418="Uygun")),OR(P418="Uygun",AND(T418&lt;&gt;"",COUNTIF(Findings[KayitliBulguID],T418)=1))),"İnceleme tamam","Sonuç / bulgu eksik"))))))))</x:f>
        <x:v>Kimlik / kapsam eksik</x:v>
      </x:c>
      <x:c r="W418" s="14" t="str">
        <x:f>IF(A418="","",IF(V418&lt;&gt;"İnceleme tamam","İncelenmedi",IF(H418="Uygulanmaz","Uygulanmaz",P418)))</x:f>
        <x:v>İncelenmedi</x:v>
      </x:c>
    </x:row>
    <x:row r="419" ht="35" customHeight="1">
      <x:c r="A419" s="12" t="str">
        <x:v>U-0414</x:v>
      </x:c>
      <x:c r="B419" s="12" t="str">
        <x:v>EXC-017</x:v>
      </x:c>
      <x:c r="C419" s="12" t="str">
        <x:v>Exchange 2019</x:v>
      </x:c>
      <x:c r="D419" s="12" t="str"/>
      <x:c r="E419" s="12" t="str"/>
      <x:c r="F419" s="12" t="str"/>
      <x:c r="G419" s="12" t="str"/>
      <x:c r="H419" s="12" t="str">
        <x:v>Belirlenecek</x:v>
      </x:c>
      <x:c r="I419" s="12" t="str"/>
      <x:c r="J419" s="12" t="str"/>
      <x:c r="K419" s="12" t="str"/>
      <x:c r="L419" s="13" t="str"/>
      <x:c r="M419" s="12" t="str"/>
      <x:c r="N419" s="12" t="str">
        <x:v>İncelenmedi</x:v>
      </x:c>
      <x:c r="O419" s="12" t="str">
        <x:v>İncelenmedi</x:v>
      </x:c>
      <x:c r="P419" s="12" t="str">
        <x:v>İncelenmedi</x:v>
      </x:c>
      <x:c r="Q419" s="12" t="str"/>
      <x:c r="R419" s="12" t="str"/>
      <x:c r="S419" s="13" t="str"/>
      <x:c r="T419" s="12" t="str"/>
      <x:c r="U419" s="12" t="str"/>
      <x:c r="V419" s="14" t="str">
        <x:f>IF(A419="","",IF(NOT(AND(COUNTIF(Exec[TestID],A419)=1,COUNTIF(Controls[ID],B419)=1,COUNTIFS(Scope[KapsamID],D419,Scope[OnayliKapsamID],D419,Scope[Ürün],C419)=1,OR(COUNTIFS(Controls[ID],B419,Controls[Ürün],C419)=1,COUNTIFS(Controls[ID],B419,Controls[Ürün],"MSP Genel")=1),E419&lt;&gt;"",F419&lt;&gt;"",G419&lt;&gt;"",I419&lt;&gt;"",Q419&lt;&gt;"")),"Kimlik / kapsam eksik",IF(NOT(OR(H419="Uygulanır",H419="Uygulanmaz")),"Uygulanabilirlik eksik",IF(AND(H419="Uygulanır",P419="Kanıt yetersiz",U419&lt;&gt;""),IF(AND(R419&lt;&gt;"",R419&lt;&gt;Q419,ISNUMBER(S419),S419&gt;0,S419&gt;=L419),"İnceleme tamam","Gözden geçirme eksik"),IF(NOT(AND(J419&lt;&gt;"",COUNTIFS(Evidence[KanitID],J419,Evidence[Kabul edilen ID],J419)=1,K419&lt;&gt;"",ISNUMBER(L419),L419&gt;0,M419&lt;&gt;"")),"Kanıt / test eksik",IF(NOT(AND(R419&lt;&gt;"",R419&lt;&gt;Q419,ISNUMBER(S419),S419&gt;0,S419&gt;=L419)),"Gözden geçirme eksik",IF(H419="Uygulanmaz","İnceleme tamam",IF(AND(OR(P419="Uygun",P419="Kısmen uygun",P419="Uygunsuz"),OR(N419="Uygun",N419="Kısmen uygun",N419="Uygunsuz"),OR(O419="Uygun",O419="Kısmen uygun",O419="Uygunsuz"),OR(P419&lt;&gt;"Uygun",AND(N419="Uygun",O419="Uygun")),OR(P419="Uygun",AND(T419&lt;&gt;"",COUNTIF(Findings[KayitliBulguID],T419)=1))),"İnceleme tamam","Sonuç / bulgu eksik"))))))))</x:f>
        <x:v>Kimlik / kapsam eksik</x:v>
      </x:c>
      <x:c r="W419" s="14" t="str">
        <x:f>IF(A419="","",IF(V419&lt;&gt;"İnceleme tamam","İncelenmedi",IF(H419="Uygulanmaz","Uygulanmaz",P419)))</x:f>
        <x:v>İncelenmedi</x:v>
      </x:c>
    </x:row>
    <x:row r="420" ht="35" customHeight="1">
      <x:c r="A420" s="12" t="str">
        <x:v>U-0415</x:v>
      </x:c>
      <x:c r="B420" s="12" t="str">
        <x:v>EXC-018</x:v>
      </x:c>
      <x:c r="C420" s="12" t="str">
        <x:v>Exchange 2019</x:v>
      </x:c>
      <x:c r="D420" s="12" t="str"/>
      <x:c r="E420" s="12" t="str"/>
      <x:c r="F420" s="12" t="str"/>
      <x:c r="G420" s="12" t="str"/>
      <x:c r="H420" s="12" t="str">
        <x:v>Belirlenecek</x:v>
      </x:c>
      <x:c r="I420" s="12" t="str"/>
      <x:c r="J420" s="12" t="str"/>
      <x:c r="K420" s="12" t="str"/>
      <x:c r="L420" s="13" t="str"/>
      <x:c r="M420" s="12" t="str"/>
      <x:c r="N420" s="12" t="str">
        <x:v>İncelenmedi</x:v>
      </x:c>
      <x:c r="O420" s="12" t="str">
        <x:v>İncelenmedi</x:v>
      </x:c>
      <x:c r="P420" s="12" t="str">
        <x:v>İncelenmedi</x:v>
      </x:c>
      <x:c r="Q420" s="12" t="str"/>
      <x:c r="R420" s="12" t="str"/>
      <x:c r="S420" s="13" t="str"/>
      <x:c r="T420" s="12" t="str"/>
      <x:c r="U420" s="12" t="str"/>
      <x:c r="V420" s="14" t="str">
        <x:f>IF(A420="","",IF(NOT(AND(COUNTIF(Exec[TestID],A420)=1,COUNTIF(Controls[ID],B420)=1,COUNTIFS(Scope[KapsamID],D420,Scope[OnayliKapsamID],D420,Scope[Ürün],C420)=1,OR(COUNTIFS(Controls[ID],B420,Controls[Ürün],C420)=1,COUNTIFS(Controls[ID],B420,Controls[Ürün],"MSP Genel")=1),E420&lt;&gt;"",F420&lt;&gt;"",G420&lt;&gt;"",I420&lt;&gt;"",Q420&lt;&gt;"")),"Kimlik / kapsam eksik",IF(NOT(OR(H420="Uygulanır",H420="Uygulanmaz")),"Uygulanabilirlik eksik",IF(AND(H420="Uygulanır",P420="Kanıt yetersiz",U420&lt;&gt;""),IF(AND(R420&lt;&gt;"",R420&lt;&gt;Q420,ISNUMBER(S420),S420&gt;0,S420&gt;=L420),"İnceleme tamam","Gözden geçirme eksik"),IF(NOT(AND(J420&lt;&gt;"",COUNTIFS(Evidence[KanitID],J420,Evidence[Kabul edilen ID],J420)=1,K420&lt;&gt;"",ISNUMBER(L420),L420&gt;0,M420&lt;&gt;"")),"Kanıt / test eksik",IF(NOT(AND(R420&lt;&gt;"",R420&lt;&gt;Q420,ISNUMBER(S420),S420&gt;0,S420&gt;=L420)),"Gözden geçirme eksik",IF(H420="Uygulanmaz","İnceleme tamam",IF(AND(OR(P420="Uygun",P420="Kısmen uygun",P420="Uygunsuz"),OR(N420="Uygun",N420="Kısmen uygun",N420="Uygunsuz"),OR(O420="Uygun",O420="Kısmen uygun",O420="Uygunsuz"),OR(P420&lt;&gt;"Uygun",AND(N420="Uygun",O420="Uygun")),OR(P420="Uygun",AND(T420&lt;&gt;"",COUNTIF(Findings[KayitliBulguID],T420)=1))),"İnceleme tamam","Sonuç / bulgu eksik"))))))))</x:f>
        <x:v>Kimlik / kapsam eksik</x:v>
      </x:c>
      <x:c r="W420" s="14" t="str">
        <x:f>IF(A420="","",IF(V420&lt;&gt;"İnceleme tamam","İncelenmedi",IF(H420="Uygulanmaz","Uygulanmaz",P420)))</x:f>
        <x:v>İncelenmedi</x:v>
      </x:c>
    </x:row>
    <x:row r="421" ht="35" customHeight="1">
      <x:c r="A421" s="12" t="str">
        <x:v>U-0416</x:v>
      </x:c>
      <x:c r="B421" s="12" t="str">
        <x:v>EXC-019</x:v>
      </x:c>
      <x:c r="C421" s="12" t="str">
        <x:v>Exchange 2019</x:v>
      </x:c>
      <x:c r="D421" s="12" t="str"/>
      <x:c r="E421" s="12" t="str"/>
      <x:c r="F421" s="12" t="str"/>
      <x:c r="G421" s="12" t="str"/>
      <x:c r="H421" s="12" t="str">
        <x:v>Belirlenecek</x:v>
      </x:c>
      <x:c r="I421" s="12" t="str"/>
      <x:c r="J421" s="12" t="str"/>
      <x:c r="K421" s="12" t="str"/>
      <x:c r="L421" s="13" t="str"/>
      <x:c r="M421" s="12" t="str"/>
      <x:c r="N421" s="12" t="str">
        <x:v>İncelenmedi</x:v>
      </x:c>
      <x:c r="O421" s="12" t="str">
        <x:v>İncelenmedi</x:v>
      </x:c>
      <x:c r="P421" s="12" t="str">
        <x:v>İncelenmedi</x:v>
      </x:c>
      <x:c r="Q421" s="12" t="str"/>
      <x:c r="R421" s="12" t="str"/>
      <x:c r="S421" s="13" t="str"/>
      <x:c r="T421" s="12" t="str"/>
      <x:c r="U421" s="12" t="str"/>
      <x:c r="V421" s="14" t="str">
        <x:f>IF(A421="","",IF(NOT(AND(COUNTIF(Exec[TestID],A421)=1,COUNTIF(Controls[ID],B421)=1,COUNTIFS(Scope[KapsamID],D421,Scope[OnayliKapsamID],D421,Scope[Ürün],C421)=1,OR(COUNTIFS(Controls[ID],B421,Controls[Ürün],C421)=1,COUNTIFS(Controls[ID],B421,Controls[Ürün],"MSP Genel")=1),E421&lt;&gt;"",F421&lt;&gt;"",G421&lt;&gt;"",I421&lt;&gt;"",Q421&lt;&gt;"")),"Kimlik / kapsam eksik",IF(NOT(OR(H421="Uygulanır",H421="Uygulanmaz")),"Uygulanabilirlik eksik",IF(AND(H421="Uygulanır",P421="Kanıt yetersiz",U421&lt;&gt;""),IF(AND(R421&lt;&gt;"",R421&lt;&gt;Q421,ISNUMBER(S421),S421&gt;0,S421&gt;=L421),"İnceleme tamam","Gözden geçirme eksik"),IF(NOT(AND(J421&lt;&gt;"",COUNTIFS(Evidence[KanitID],J421,Evidence[Kabul edilen ID],J421)=1,K421&lt;&gt;"",ISNUMBER(L421),L421&gt;0,M421&lt;&gt;"")),"Kanıt / test eksik",IF(NOT(AND(R421&lt;&gt;"",R421&lt;&gt;Q421,ISNUMBER(S421),S421&gt;0,S421&gt;=L421)),"Gözden geçirme eksik",IF(H421="Uygulanmaz","İnceleme tamam",IF(AND(OR(P421="Uygun",P421="Kısmen uygun",P421="Uygunsuz"),OR(N421="Uygun",N421="Kısmen uygun",N421="Uygunsuz"),OR(O421="Uygun",O421="Kısmen uygun",O421="Uygunsuz"),OR(P421&lt;&gt;"Uygun",AND(N421="Uygun",O421="Uygun")),OR(P421="Uygun",AND(T421&lt;&gt;"",COUNTIF(Findings[KayitliBulguID],T421)=1))),"İnceleme tamam","Sonuç / bulgu eksik"))))))))</x:f>
        <x:v>Kimlik / kapsam eksik</x:v>
      </x:c>
      <x:c r="W421" s="14" t="str">
        <x:f>IF(A421="","",IF(V421&lt;&gt;"İnceleme tamam","İncelenmedi",IF(H421="Uygulanmaz","Uygulanmaz",P421)))</x:f>
        <x:v>İncelenmedi</x:v>
      </x:c>
    </x:row>
    <x:row r="422" ht="35" customHeight="1">
      <x:c r="A422" s="12" t="str">
        <x:v>U-0417</x:v>
      </x:c>
      <x:c r="B422" s="12" t="str">
        <x:v>EXC-020</x:v>
      </x:c>
      <x:c r="C422" s="12" t="str">
        <x:v>Exchange 2019</x:v>
      </x:c>
      <x:c r="D422" s="12" t="str"/>
      <x:c r="E422" s="12" t="str"/>
      <x:c r="F422" s="12" t="str"/>
      <x:c r="G422" s="12" t="str"/>
      <x:c r="H422" s="12" t="str">
        <x:v>Belirlenecek</x:v>
      </x:c>
      <x:c r="I422" s="12" t="str"/>
      <x:c r="J422" s="12" t="str"/>
      <x:c r="K422" s="12" t="str"/>
      <x:c r="L422" s="13" t="str"/>
      <x:c r="M422" s="12" t="str"/>
      <x:c r="N422" s="12" t="str">
        <x:v>İncelenmedi</x:v>
      </x:c>
      <x:c r="O422" s="12" t="str">
        <x:v>İncelenmedi</x:v>
      </x:c>
      <x:c r="P422" s="12" t="str">
        <x:v>İncelenmedi</x:v>
      </x:c>
      <x:c r="Q422" s="12" t="str"/>
      <x:c r="R422" s="12" t="str"/>
      <x:c r="S422" s="13" t="str"/>
      <x:c r="T422" s="12" t="str"/>
      <x:c r="U422" s="12" t="str"/>
      <x:c r="V422" s="14" t="str">
        <x:f>IF(A422="","",IF(NOT(AND(COUNTIF(Exec[TestID],A422)=1,COUNTIF(Controls[ID],B422)=1,COUNTIFS(Scope[KapsamID],D422,Scope[OnayliKapsamID],D422,Scope[Ürün],C422)=1,OR(COUNTIFS(Controls[ID],B422,Controls[Ürün],C422)=1,COUNTIFS(Controls[ID],B422,Controls[Ürün],"MSP Genel")=1),E422&lt;&gt;"",F422&lt;&gt;"",G422&lt;&gt;"",I422&lt;&gt;"",Q422&lt;&gt;"")),"Kimlik / kapsam eksik",IF(NOT(OR(H422="Uygulanır",H422="Uygulanmaz")),"Uygulanabilirlik eksik",IF(AND(H422="Uygulanır",P422="Kanıt yetersiz",U422&lt;&gt;""),IF(AND(R422&lt;&gt;"",R422&lt;&gt;Q422,ISNUMBER(S422),S422&gt;0,S422&gt;=L422),"İnceleme tamam","Gözden geçirme eksik"),IF(NOT(AND(J422&lt;&gt;"",COUNTIFS(Evidence[KanitID],J422,Evidence[Kabul edilen ID],J422)=1,K422&lt;&gt;"",ISNUMBER(L422),L422&gt;0,M422&lt;&gt;"")),"Kanıt / test eksik",IF(NOT(AND(R422&lt;&gt;"",R422&lt;&gt;Q422,ISNUMBER(S422),S422&gt;0,S422&gt;=L422)),"Gözden geçirme eksik",IF(H422="Uygulanmaz","İnceleme tamam",IF(AND(OR(P422="Uygun",P422="Kısmen uygun",P422="Uygunsuz"),OR(N422="Uygun",N422="Kısmen uygun",N422="Uygunsuz"),OR(O422="Uygun",O422="Kısmen uygun",O422="Uygunsuz"),OR(P422&lt;&gt;"Uygun",AND(N422="Uygun",O422="Uygun")),OR(P422="Uygun",AND(T422&lt;&gt;"",COUNTIF(Findings[KayitliBulguID],T422)=1))),"İnceleme tamam","Sonuç / bulgu eksik"))))))))</x:f>
        <x:v>Kimlik / kapsam eksik</x:v>
      </x:c>
      <x:c r="W422" s="14" t="str">
        <x:f>IF(A422="","",IF(V422&lt;&gt;"İnceleme tamam","İncelenmedi",IF(H422="Uygulanmaz","Uygulanmaz",P422)))</x:f>
        <x:v>İncelenmedi</x:v>
      </x:c>
    </x:row>
    <x:row r="423" ht="35" customHeight="1">
      <x:c r="A423" s="12" t="str">
        <x:v>U-0418</x:v>
      </x:c>
      <x:c r="B423" s="12" t="str">
        <x:v>EXC-021</x:v>
      </x:c>
      <x:c r="C423" s="12" t="str">
        <x:v>Exchange 2019</x:v>
      </x:c>
      <x:c r="D423" s="12" t="str"/>
      <x:c r="E423" s="12" t="str"/>
      <x:c r="F423" s="12" t="str"/>
      <x:c r="G423" s="12" t="str"/>
      <x:c r="H423" s="12" t="str">
        <x:v>Belirlenecek</x:v>
      </x:c>
      <x:c r="I423" s="12" t="str"/>
      <x:c r="J423" s="12" t="str"/>
      <x:c r="K423" s="12" t="str"/>
      <x:c r="L423" s="13" t="str"/>
      <x:c r="M423" s="12" t="str"/>
      <x:c r="N423" s="12" t="str">
        <x:v>İncelenmedi</x:v>
      </x:c>
      <x:c r="O423" s="12" t="str">
        <x:v>İncelenmedi</x:v>
      </x:c>
      <x:c r="P423" s="12" t="str">
        <x:v>İncelenmedi</x:v>
      </x:c>
      <x:c r="Q423" s="12" t="str"/>
      <x:c r="R423" s="12" t="str"/>
      <x:c r="S423" s="13" t="str"/>
      <x:c r="T423" s="12" t="str"/>
      <x:c r="U423" s="12" t="str"/>
      <x:c r="V423" s="14" t="str">
        <x:f>IF(A423="","",IF(NOT(AND(COUNTIF(Exec[TestID],A423)=1,COUNTIF(Controls[ID],B423)=1,COUNTIFS(Scope[KapsamID],D423,Scope[OnayliKapsamID],D423,Scope[Ürün],C423)=1,OR(COUNTIFS(Controls[ID],B423,Controls[Ürün],C423)=1,COUNTIFS(Controls[ID],B423,Controls[Ürün],"MSP Genel")=1),E423&lt;&gt;"",F423&lt;&gt;"",G423&lt;&gt;"",I423&lt;&gt;"",Q423&lt;&gt;"")),"Kimlik / kapsam eksik",IF(NOT(OR(H423="Uygulanır",H423="Uygulanmaz")),"Uygulanabilirlik eksik",IF(AND(H423="Uygulanır",P423="Kanıt yetersiz",U423&lt;&gt;""),IF(AND(R423&lt;&gt;"",R423&lt;&gt;Q423,ISNUMBER(S423),S423&gt;0,S423&gt;=L423),"İnceleme tamam","Gözden geçirme eksik"),IF(NOT(AND(J423&lt;&gt;"",COUNTIFS(Evidence[KanitID],J423,Evidence[Kabul edilen ID],J423)=1,K423&lt;&gt;"",ISNUMBER(L423),L423&gt;0,M423&lt;&gt;"")),"Kanıt / test eksik",IF(NOT(AND(R423&lt;&gt;"",R423&lt;&gt;Q423,ISNUMBER(S423),S423&gt;0,S423&gt;=L423)),"Gözden geçirme eksik",IF(H423="Uygulanmaz","İnceleme tamam",IF(AND(OR(P423="Uygun",P423="Kısmen uygun",P423="Uygunsuz"),OR(N423="Uygun",N423="Kısmen uygun",N423="Uygunsuz"),OR(O423="Uygun",O423="Kısmen uygun",O423="Uygunsuz"),OR(P423&lt;&gt;"Uygun",AND(N423="Uygun",O423="Uygun")),OR(P423="Uygun",AND(T423&lt;&gt;"",COUNTIF(Findings[KayitliBulguID],T423)=1))),"İnceleme tamam","Sonuç / bulgu eksik"))))))))</x:f>
        <x:v>Kimlik / kapsam eksik</x:v>
      </x:c>
      <x:c r="W423" s="14" t="str">
        <x:f>IF(A423="","",IF(V423&lt;&gt;"İnceleme tamam","İncelenmedi",IF(H423="Uygulanmaz","Uygulanmaz",P423)))</x:f>
        <x:v>İncelenmedi</x:v>
      </x:c>
    </x:row>
    <x:row r="424" ht="35" customHeight="1">
      <x:c r="A424" s="12" t="str">
        <x:v>U-0419</x:v>
      </x:c>
      <x:c r="B424" s="12" t="str">
        <x:v>EXC-022</x:v>
      </x:c>
      <x:c r="C424" s="12" t="str">
        <x:v>Exchange 2019</x:v>
      </x:c>
      <x:c r="D424" s="12" t="str"/>
      <x:c r="E424" s="12" t="str"/>
      <x:c r="F424" s="12" t="str"/>
      <x:c r="G424" s="12" t="str"/>
      <x:c r="H424" s="12" t="str">
        <x:v>Belirlenecek</x:v>
      </x:c>
      <x:c r="I424" s="12" t="str"/>
      <x:c r="J424" s="12" t="str"/>
      <x:c r="K424" s="12" t="str"/>
      <x:c r="L424" s="13" t="str"/>
      <x:c r="M424" s="12" t="str"/>
      <x:c r="N424" s="12" t="str">
        <x:v>İncelenmedi</x:v>
      </x:c>
      <x:c r="O424" s="12" t="str">
        <x:v>İncelenmedi</x:v>
      </x:c>
      <x:c r="P424" s="12" t="str">
        <x:v>İncelenmedi</x:v>
      </x:c>
      <x:c r="Q424" s="12" t="str"/>
      <x:c r="R424" s="12" t="str"/>
      <x:c r="S424" s="13" t="str"/>
      <x:c r="T424" s="12" t="str"/>
      <x:c r="U424" s="12" t="str"/>
      <x:c r="V424" s="14" t="str">
        <x:f>IF(A424="","",IF(NOT(AND(COUNTIF(Exec[TestID],A424)=1,COUNTIF(Controls[ID],B424)=1,COUNTIFS(Scope[KapsamID],D424,Scope[OnayliKapsamID],D424,Scope[Ürün],C424)=1,OR(COUNTIFS(Controls[ID],B424,Controls[Ürün],C424)=1,COUNTIFS(Controls[ID],B424,Controls[Ürün],"MSP Genel")=1),E424&lt;&gt;"",F424&lt;&gt;"",G424&lt;&gt;"",I424&lt;&gt;"",Q424&lt;&gt;"")),"Kimlik / kapsam eksik",IF(NOT(OR(H424="Uygulanır",H424="Uygulanmaz")),"Uygulanabilirlik eksik",IF(AND(H424="Uygulanır",P424="Kanıt yetersiz",U424&lt;&gt;""),IF(AND(R424&lt;&gt;"",R424&lt;&gt;Q424,ISNUMBER(S424),S424&gt;0,S424&gt;=L424),"İnceleme tamam","Gözden geçirme eksik"),IF(NOT(AND(J424&lt;&gt;"",COUNTIFS(Evidence[KanitID],J424,Evidence[Kabul edilen ID],J424)=1,K424&lt;&gt;"",ISNUMBER(L424),L424&gt;0,M424&lt;&gt;"")),"Kanıt / test eksik",IF(NOT(AND(R424&lt;&gt;"",R424&lt;&gt;Q424,ISNUMBER(S424),S424&gt;0,S424&gt;=L424)),"Gözden geçirme eksik",IF(H424="Uygulanmaz","İnceleme tamam",IF(AND(OR(P424="Uygun",P424="Kısmen uygun",P424="Uygunsuz"),OR(N424="Uygun",N424="Kısmen uygun",N424="Uygunsuz"),OR(O424="Uygun",O424="Kısmen uygun",O424="Uygunsuz"),OR(P424&lt;&gt;"Uygun",AND(N424="Uygun",O424="Uygun")),OR(P424="Uygun",AND(T424&lt;&gt;"",COUNTIF(Findings[KayitliBulguID],T424)=1))),"İnceleme tamam","Sonuç / bulgu eksik"))))))))</x:f>
        <x:v>Kimlik / kapsam eksik</x:v>
      </x:c>
      <x:c r="W424" s="14" t="str">
        <x:f>IF(A424="","",IF(V424&lt;&gt;"İnceleme tamam","İncelenmedi",IF(H424="Uygulanmaz","Uygulanmaz",P424)))</x:f>
        <x:v>İncelenmedi</x:v>
      </x:c>
    </x:row>
    <x:row r="425" ht="35" customHeight="1">
      <x:c r="A425" s="12" t="str">
        <x:v>U-0420</x:v>
      </x:c>
      <x:c r="B425" s="12" t="str">
        <x:v>EXC-023</x:v>
      </x:c>
      <x:c r="C425" s="12" t="str">
        <x:v>Exchange 2019</x:v>
      </x:c>
      <x:c r="D425" s="12" t="str"/>
      <x:c r="E425" s="12" t="str"/>
      <x:c r="F425" s="12" t="str"/>
      <x:c r="G425" s="12" t="str"/>
      <x:c r="H425" s="12" t="str">
        <x:v>Belirlenecek</x:v>
      </x:c>
      <x:c r="I425" s="12" t="str"/>
      <x:c r="J425" s="12" t="str"/>
      <x:c r="K425" s="12" t="str"/>
      <x:c r="L425" s="13" t="str"/>
      <x:c r="M425" s="12" t="str"/>
      <x:c r="N425" s="12" t="str">
        <x:v>İncelenmedi</x:v>
      </x:c>
      <x:c r="O425" s="12" t="str">
        <x:v>İncelenmedi</x:v>
      </x:c>
      <x:c r="P425" s="12" t="str">
        <x:v>İncelenmedi</x:v>
      </x:c>
      <x:c r="Q425" s="12" t="str"/>
      <x:c r="R425" s="12" t="str"/>
      <x:c r="S425" s="13" t="str"/>
      <x:c r="T425" s="12" t="str"/>
      <x:c r="U425" s="12" t="str"/>
      <x:c r="V425" s="14" t="str">
        <x:f>IF(A425="","",IF(NOT(AND(COUNTIF(Exec[TestID],A425)=1,COUNTIF(Controls[ID],B425)=1,COUNTIFS(Scope[KapsamID],D425,Scope[OnayliKapsamID],D425,Scope[Ürün],C425)=1,OR(COUNTIFS(Controls[ID],B425,Controls[Ürün],C425)=1,COUNTIFS(Controls[ID],B425,Controls[Ürün],"MSP Genel")=1),E425&lt;&gt;"",F425&lt;&gt;"",G425&lt;&gt;"",I425&lt;&gt;"",Q425&lt;&gt;"")),"Kimlik / kapsam eksik",IF(NOT(OR(H425="Uygulanır",H425="Uygulanmaz")),"Uygulanabilirlik eksik",IF(AND(H425="Uygulanır",P425="Kanıt yetersiz",U425&lt;&gt;""),IF(AND(R425&lt;&gt;"",R425&lt;&gt;Q425,ISNUMBER(S425),S425&gt;0,S425&gt;=L425),"İnceleme tamam","Gözden geçirme eksik"),IF(NOT(AND(J425&lt;&gt;"",COUNTIFS(Evidence[KanitID],J425,Evidence[Kabul edilen ID],J425)=1,K425&lt;&gt;"",ISNUMBER(L425),L425&gt;0,M425&lt;&gt;"")),"Kanıt / test eksik",IF(NOT(AND(R425&lt;&gt;"",R425&lt;&gt;Q425,ISNUMBER(S425),S425&gt;0,S425&gt;=L425)),"Gözden geçirme eksik",IF(H425="Uygulanmaz","İnceleme tamam",IF(AND(OR(P425="Uygun",P425="Kısmen uygun",P425="Uygunsuz"),OR(N425="Uygun",N425="Kısmen uygun",N425="Uygunsuz"),OR(O425="Uygun",O425="Kısmen uygun",O425="Uygunsuz"),OR(P425&lt;&gt;"Uygun",AND(N425="Uygun",O425="Uygun")),OR(P425="Uygun",AND(T425&lt;&gt;"",COUNTIF(Findings[KayitliBulguID],T425)=1))),"İnceleme tamam","Sonuç / bulgu eksik"))))))))</x:f>
        <x:v>Kimlik / kapsam eksik</x:v>
      </x:c>
      <x:c r="W425" s="14" t="str">
        <x:f>IF(A425="","",IF(V425&lt;&gt;"İnceleme tamam","İncelenmedi",IF(H425="Uygulanmaz","Uygulanmaz",P425)))</x:f>
        <x:v>İncelenmedi</x:v>
      </x:c>
    </x:row>
    <x:row r="426" ht="35" customHeight="1">
      <x:c r="A426" s="12" t="str">
        <x:v>U-0421</x:v>
      </x:c>
      <x:c r="B426" s="12" t="str">
        <x:v>ADS-V01-01</x:v>
      </x:c>
      <x:c r="C426" s="12" t="str">
        <x:v>Active Directory GPO</x:v>
      </x:c>
      <x:c r="D426" s="12" t="str"/>
      <x:c r="E426" s="12" t="str"/>
      <x:c r="F426" s="12" t="str"/>
      <x:c r="G426" s="12" t="str"/>
      <x:c r="H426" s="12" t="str">
        <x:v>Belirlenecek</x:v>
      </x:c>
      <x:c r="I426" s="12" t="str"/>
      <x:c r="J426" s="12" t="str"/>
      <x:c r="K426" s="12" t="str"/>
      <x:c r="L426" s="13" t="str"/>
      <x:c r="M426" s="12" t="str"/>
      <x:c r="N426" s="12" t="str">
        <x:v>İncelenmedi</x:v>
      </x:c>
      <x:c r="O426" s="12" t="str">
        <x:v>İncelenmedi</x:v>
      </x:c>
      <x:c r="P426" s="12" t="str">
        <x:v>İncelenmedi</x:v>
      </x:c>
      <x:c r="Q426" s="12" t="str"/>
      <x:c r="R426" s="12" t="str"/>
      <x:c r="S426" s="13" t="str"/>
      <x:c r="T426" s="12" t="str"/>
      <x:c r="U426" s="12" t="str"/>
      <x:c r="V426" s="14" t="str">
        <x:f>IF(A426="","",IF(NOT(AND(COUNTIF(Exec[TestID],A426)=1,COUNTIF(Controls[ID],B426)=1,COUNTIFS(Scope[KapsamID],D426,Scope[OnayliKapsamID],D426,Scope[Ürün],C426)=1,OR(COUNTIFS(Controls[ID],B426,Controls[Ürün],C426)=1,COUNTIFS(Controls[ID],B426,Controls[Ürün],"MSP Genel")=1),E426&lt;&gt;"",F426&lt;&gt;"",G426&lt;&gt;"",I426&lt;&gt;"",Q426&lt;&gt;"")),"Kimlik / kapsam eksik",IF(NOT(OR(H426="Uygulanır",H426="Uygulanmaz")),"Uygulanabilirlik eksik",IF(AND(H426="Uygulanır",P426="Kanıt yetersiz",U426&lt;&gt;""),IF(AND(R426&lt;&gt;"",R426&lt;&gt;Q426,ISNUMBER(S426),S426&gt;0,S426&gt;=L426),"İnceleme tamam","Gözden geçirme eksik"),IF(NOT(AND(J426&lt;&gt;"",COUNTIFS(Evidence[KanitID],J426,Evidence[Kabul edilen ID],J426)=1,K426&lt;&gt;"",ISNUMBER(L426),L426&gt;0,M426&lt;&gt;"")),"Kanıt / test eksik",IF(NOT(AND(R426&lt;&gt;"",R426&lt;&gt;Q426,ISNUMBER(S426),S426&gt;0,S426&gt;=L426)),"Gözden geçirme eksik",IF(H426="Uygulanmaz","İnceleme tamam",IF(AND(OR(P426="Uygun",P426="Kısmen uygun",P426="Uygunsuz"),OR(N426="Uygun",N426="Kısmen uygun",N426="Uygunsuz"),OR(O426="Uygun",O426="Kısmen uygun",O426="Uygunsuz"),OR(P426&lt;&gt;"Uygun",AND(N426="Uygun",O426="Uygun")),OR(P426="Uygun",AND(T426&lt;&gt;"",COUNTIF(Findings[KayitliBulguID],T426)=1))),"İnceleme tamam","Sonuç / bulgu eksik"))))))))</x:f>
        <x:v>Kimlik / kapsam eksik</x:v>
      </x:c>
      <x:c r="W426" s="14" t="str">
        <x:f>IF(A426="","",IF(V426&lt;&gt;"İnceleme tamam","İncelenmedi",IF(H426="Uygulanmaz","Uygulanmaz",P426)))</x:f>
        <x:v>İncelenmedi</x:v>
      </x:c>
    </x:row>
    <x:row r="427" ht="35" customHeight="1">
      <x:c r="A427" s="12" t="str">
        <x:v>U-0422</x:v>
      </x:c>
      <x:c r="B427" s="12" t="str">
        <x:v>ADS-V01-02</x:v>
      </x:c>
      <x:c r="C427" s="12" t="str">
        <x:v>Active Directory GPO</x:v>
      </x:c>
      <x:c r="D427" s="12" t="str"/>
      <x:c r="E427" s="12" t="str"/>
      <x:c r="F427" s="12" t="str"/>
      <x:c r="G427" s="12" t="str"/>
      <x:c r="H427" s="12" t="str">
        <x:v>Belirlenecek</x:v>
      </x:c>
      <x:c r="I427" s="12" t="str"/>
      <x:c r="J427" s="12" t="str"/>
      <x:c r="K427" s="12" t="str"/>
      <x:c r="L427" s="13" t="str"/>
      <x:c r="M427" s="12" t="str"/>
      <x:c r="N427" s="12" t="str">
        <x:v>İncelenmedi</x:v>
      </x:c>
      <x:c r="O427" s="12" t="str">
        <x:v>İncelenmedi</x:v>
      </x:c>
      <x:c r="P427" s="12" t="str">
        <x:v>İncelenmedi</x:v>
      </x:c>
      <x:c r="Q427" s="12" t="str"/>
      <x:c r="R427" s="12" t="str"/>
      <x:c r="S427" s="13" t="str"/>
      <x:c r="T427" s="12" t="str"/>
      <x:c r="U427" s="12" t="str"/>
      <x:c r="V427" s="14" t="str">
        <x:f>IF(A427="","",IF(NOT(AND(COUNTIF(Exec[TestID],A427)=1,COUNTIF(Controls[ID],B427)=1,COUNTIFS(Scope[KapsamID],D427,Scope[OnayliKapsamID],D427,Scope[Ürün],C427)=1,OR(COUNTIFS(Controls[ID],B427,Controls[Ürün],C427)=1,COUNTIFS(Controls[ID],B427,Controls[Ürün],"MSP Genel")=1),E427&lt;&gt;"",F427&lt;&gt;"",G427&lt;&gt;"",I427&lt;&gt;"",Q427&lt;&gt;"")),"Kimlik / kapsam eksik",IF(NOT(OR(H427="Uygulanır",H427="Uygulanmaz")),"Uygulanabilirlik eksik",IF(AND(H427="Uygulanır",P427="Kanıt yetersiz",U427&lt;&gt;""),IF(AND(R427&lt;&gt;"",R427&lt;&gt;Q427,ISNUMBER(S427),S427&gt;0,S427&gt;=L427),"İnceleme tamam","Gözden geçirme eksik"),IF(NOT(AND(J427&lt;&gt;"",COUNTIFS(Evidence[KanitID],J427,Evidence[Kabul edilen ID],J427)=1,K427&lt;&gt;"",ISNUMBER(L427),L427&gt;0,M427&lt;&gt;"")),"Kanıt / test eksik",IF(NOT(AND(R427&lt;&gt;"",R427&lt;&gt;Q427,ISNUMBER(S427),S427&gt;0,S427&gt;=L427)),"Gözden geçirme eksik",IF(H427="Uygulanmaz","İnceleme tamam",IF(AND(OR(P427="Uygun",P427="Kısmen uygun",P427="Uygunsuz"),OR(N427="Uygun",N427="Kısmen uygun",N427="Uygunsuz"),OR(O427="Uygun",O427="Kısmen uygun",O427="Uygunsuz"),OR(P427&lt;&gt;"Uygun",AND(N427="Uygun",O427="Uygun")),OR(P427="Uygun",AND(T427&lt;&gt;"",COUNTIF(Findings[KayitliBulguID],T427)=1))),"İnceleme tamam","Sonuç / bulgu eksik"))))))))</x:f>
        <x:v>Kimlik / kapsam eksik</x:v>
      </x:c>
      <x:c r="W427" s="14" t="str">
        <x:f>IF(A427="","",IF(V427&lt;&gt;"İnceleme tamam","İncelenmedi",IF(H427="Uygulanmaz","Uygulanmaz",P427)))</x:f>
        <x:v>İncelenmedi</x:v>
      </x:c>
    </x:row>
    <x:row r="428" ht="35" customHeight="1">
      <x:c r="A428" s="12" t="str">
        <x:v>U-0423</x:v>
      </x:c>
      <x:c r="B428" s="12" t="str">
        <x:v>ADS-V01-03</x:v>
      </x:c>
      <x:c r="C428" s="12" t="str">
        <x:v>Active Directory GPO</x:v>
      </x:c>
      <x:c r="D428" s="12" t="str"/>
      <x:c r="E428" s="12" t="str"/>
      <x:c r="F428" s="12" t="str"/>
      <x:c r="G428" s="12" t="str"/>
      <x:c r="H428" s="12" t="str">
        <x:v>Belirlenecek</x:v>
      </x:c>
      <x:c r="I428" s="12" t="str"/>
      <x:c r="J428" s="12" t="str"/>
      <x:c r="K428" s="12" t="str"/>
      <x:c r="L428" s="13" t="str"/>
      <x:c r="M428" s="12" t="str"/>
      <x:c r="N428" s="12" t="str">
        <x:v>İncelenmedi</x:v>
      </x:c>
      <x:c r="O428" s="12" t="str">
        <x:v>İncelenmedi</x:v>
      </x:c>
      <x:c r="P428" s="12" t="str">
        <x:v>İncelenmedi</x:v>
      </x:c>
      <x:c r="Q428" s="12" t="str"/>
      <x:c r="R428" s="12" t="str"/>
      <x:c r="S428" s="13" t="str"/>
      <x:c r="T428" s="12" t="str"/>
      <x:c r="U428" s="12" t="str"/>
      <x:c r="V428" s="14" t="str">
        <x:f>IF(A428="","",IF(NOT(AND(COUNTIF(Exec[TestID],A428)=1,COUNTIF(Controls[ID],B428)=1,COUNTIFS(Scope[KapsamID],D428,Scope[OnayliKapsamID],D428,Scope[Ürün],C428)=1,OR(COUNTIFS(Controls[ID],B428,Controls[Ürün],C428)=1,COUNTIFS(Controls[ID],B428,Controls[Ürün],"MSP Genel")=1),E428&lt;&gt;"",F428&lt;&gt;"",G428&lt;&gt;"",I428&lt;&gt;"",Q428&lt;&gt;"")),"Kimlik / kapsam eksik",IF(NOT(OR(H428="Uygulanır",H428="Uygulanmaz")),"Uygulanabilirlik eksik",IF(AND(H428="Uygulanır",P428="Kanıt yetersiz",U428&lt;&gt;""),IF(AND(R428&lt;&gt;"",R428&lt;&gt;Q428,ISNUMBER(S428),S428&gt;0,S428&gt;=L428),"İnceleme tamam","Gözden geçirme eksik"),IF(NOT(AND(J428&lt;&gt;"",COUNTIFS(Evidence[KanitID],J428,Evidence[Kabul edilen ID],J428)=1,K428&lt;&gt;"",ISNUMBER(L428),L428&gt;0,M428&lt;&gt;"")),"Kanıt / test eksik",IF(NOT(AND(R428&lt;&gt;"",R428&lt;&gt;Q428,ISNUMBER(S428),S428&gt;0,S428&gt;=L428)),"Gözden geçirme eksik",IF(H428="Uygulanmaz","İnceleme tamam",IF(AND(OR(P428="Uygun",P428="Kısmen uygun",P428="Uygunsuz"),OR(N428="Uygun",N428="Kısmen uygun",N428="Uygunsuz"),OR(O428="Uygun",O428="Kısmen uygun",O428="Uygunsuz"),OR(P428&lt;&gt;"Uygun",AND(N428="Uygun",O428="Uygun")),OR(P428="Uygun",AND(T428&lt;&gt;"",COUNTIF(Findings[KayitliBulguID],T428)=1))),"İnceleme tamam","Sonuç / bulgu eksik"))))))))</x:f>
        <x:v>Kimlik / kapsam eksik</x:v>
      </x:c>
      <x:c r="W428" s="14" t="str">
        <x:f>IF(A428="","",IF(V428&lt;&gt;"İnceleme tamam","İncelenmedi",IF(H428="Uygulanmaz","Uygulanmaz",P428)))</x:f>
        <x:v>İncelenmedi</x:v>
      </x:c>
    </x:row>
    <x:row r="429" ht="35" customHeight="1">
      <x:c r="A429" s="12" t="str">
        <x:v>U-0424</x:v>
      </x:c>
      <x:c r="B429" s="12" t="str">
        <x:v>ADS-V02-01</x:v>
      </x:c>
      <x:c r="C429" s="12" t="str">
        <x:v>Active Directory GPO</x:v>
      </x:c>
      <x:c r="D429" s="12" t="str"/>
      <x:c r="E429" s="12" t="str"/>
      <x:c r="F429" s="12" t="str"/>
      <x:c r="G429" s="12" t="str"/>
      <x:c r="H429" s="12" t="str">
        <x:v>Belirlenecek</x:v>
      </x:c>
      <x:c r="I429" s="12" t="str"/>
      <x:c r="J429" s="12" t="str"/>
      <x:c r="K429" s="12" t="str"/>
      <x:c r="L429" s="13" t="str"/>
      <x:c r="M429" s="12" t="str"/>
      <x:c r="N429" s="12" t="str">
        <x:v>İncelenmedi</x:v>
      </x:c>
      <x:c r="O429" s="12" t="str">
        <x:v>İncelenmedi</x:v>
      </x:c>
      <x:c r="P429" s="12" t="str">
        <x:v>İncelenmedi</x:v>
      </x:c>
      <x:c r="Q429" s="12" t="str"/>
      <x:c r="R429" s="12" t="str"/>
      <x:c r="S429" s="13" t="str"/>
      <x:c r="T429" s="12" t="str"/>
      <x:c r="U429" s="12" t="str"/>
      <x:c r="V429" s="14" t="str">
        <x:f>IF(A429="","",IF(NOT(AND(COUNTIF(Exec[TestID],A429)=1,COUNTIF(Controls[ID],B429)=1,COUNTIFS(Scope[KapsamID],D429,Scope[OnayliKapsamID],D429,Scope[Ürün],C429)=1,OR(COUNTIFS(Controls[ID],B429,Controls[Ürün],C429)=1,COUNTIFS(Controls[ID],B429,Controls[Ürün],"MSP Genel")=1),E429&lt;&gt;"",F429&lt;&gt;"",G429&lt;&gt;"",I429&lt;&gt;"",Q429&lt;&gt;"")),"Kimlik / kapsam eksik",IF(NOT(OR(H429="Uygulanır",H429="Uygulanmaz")),"Uygulanabilirlik eksik",IF(AND(H429="Uygulanır",P429="Kanıt yetersiz",U429&lt;&gt;""),IF(AND(R429&lt;&gt;"",R429&lt;&gt;Q429,ISNUMBER(S429),S429&gt;0,S429&gt;=L429),"İnceleme tamam","Gözden geçirme eksik"),IF(NOT(AND(J429&lt;&gt;"",COUNTIFS(Evidence[KanitID],J429,Evidence[Kabul edilen ID],J429)=1,K429&lt;&gt;"",ISNUMBER(L429),L429&gt;0,M429&lt;&gt;"")),"Kanıt / test eksik",IF(NOT(AND(R429&lt;&gt;"",R429&lt;&gt;Q429,ISNUMBER(S429),S429&gt;0,S429&gt;=L429)),"Gözden geçirme eksik",IF(H429="Uygulanmaz","İnceleme tamam",IF(AND(OR(P429="Uygun",P429="Kısmen uygun",P429="Uygunsuz"),OR(N429="Uygun",N429="Kısmen uygun",N429="Uygunsuz"),OR(O429="Uygun",O429="Kısmen uygun",O429="Uygunsuz"),OR(P429&lt;&gt;"Uygun",AND(N429="Uygun",O429="Uygun")),OR(P429="Uygun",AND(T429&lt;&gt;"",COUNTIF(Findings[KayitliBulguID],T429)=1))),"İnceleme tamam","Sonuç / bulgu eksik"))))))))</x:f>
        <x:v>Kimlik / kapsam eksik</x:v>
      </x:c>
      <x:c r="W429" s="14" t="str">
        <x:f>IF(A429="","",IF(V429&lt;&gt;"İnceleme tamam","İncelenmedi",IF(H429="Uygulanmaz","Uygulanmaz",P429)))</x:f>
        <x:v>İncelenmedi</x:v>
      </x:c>
    </x:row>
    <x:row r="430" ht="35" customHeight="1">
      <x:c r="A430" s="12" t="str">
        <x:v>U-0425</x:v>
      </x:c>
      <x:c r="B430" s="12" t="str">
        <x:v>ADS-V02-02</x:v>
      </x:c>
      <x:c r="C430" s="12" t="str">
        <x:v>Active Directory GPO</x:v>
      </x:c>
      <x:c r="D430" s="12" t="str"/>
      <x:c r="E430" s="12" t="str"/>
      <x:c r="F430" s="12" t="str"/>
      <x:c r="G430" s="12" t="str"/>
      <x:c r="H430" s="12" t="str">
        <x:v>Belirlenecek</x:v>
      </x:c>
      <x:c r="I430" s="12" t="str"/>
      <x:c r="J430" s="12" t="str"/>
      <x:c r="K430" s="12" t="str"/>
      <x:c r="L430" s="13" t="str"/>
      <x:c r="M430" s="12" t="str"/>
      <x:c r="N430" s="12" t="str">
        <x:v>İncelenmedi</x:v>
      </x:c>
      <x:c r="O430" s="12" t="str">
        <x:v>İncelenmedi</x:v>
      </x:c>
      <x:c r="P430" s="12" t="str">
        <x:v>İncelenmedi</x:v>
      </x:c>
      <x:c r="Q430" s="12" t="str"/>
      <x:c r="R430" s="12" t="str"/>
      <x:c r="S430" s="13" t="str"/>
      <x:c r="T430" s="12" t="str"/>
      <x:c r="U430" s="12" t="str"/>
      <x:c r="V430" s="14" t="str">
        <x:f>IF(A430="","",IF(NOT(AND(COUNTIF(Exec[TestID],A430)=1,COUNTIF(Controls[ID],B430)=1,COUNTIFS(Scope[KapsamID],D430,Scope[OnayliKapsamID],D430,Scope[Ürün],C430)=1,OR(COUNTIFS(Controls[ID],B430,Controls[Ürün],C430)=1,COUNTIFS(Controls[ID],B430,Controls[Ürün],"MSP Genel")=1),E430&lt;&gt;"",F430&lt;&gt;"",G430&lt;&gt;"",I430&lt;&gt;"",Q430&lt;&gt;"")),"Kimlik / kapsam eksik",IF(NOT(OR(H430="Uygulanır",H430="Uygulanmaz")),"Uygulanabilirlik eksik",IF(AND(H430="Uygulanır",P430="Kanıt yetersiz",U430&lt;&gt;""),IF(AND(R430&lt;&gt;"",R430&lt;&gt;Q430,ISNUMBER(S430),S430&gt;0,S430&gt;=L430),"İnceleme tamam","Gözden geçirme eksik"),IF(NOT(AND(J430&lt;&gt;"",COUNTIFS(Evidence[KanitID],J430,Evidence[Kabul edilen ID],J430)=1,K430&lt;&gt;"",ISNUMBER(L430),L430&gt;0,M430&lt;&gt;"")),"Kanıt / test eksik",IF(NOT(AND(R430&lt;&gt;"",R430&lt;&gt;Q430,ISNUMBER(S430),S430&gt;0,S430&gt;=L430)),"Gözden geçirme eksik",IF(H430="Uygulanmaz","İnceleme tamam",IF(AND(OR(P430="Uygun",P430="Kısmen uygun",P430="Uygunsuz"),OR(N430="Uygun",N430="Kısmen uygun",N430="Uygunsuz"),OR(O430="Uygun",O430="Kısmen uygun",O430="Uygunsuz"),OR(P430&lt;&gt;"Uygun",AND(N430="Uygun",O430="Uygun")),OR(P430="Uygun",AND(T430&lt;&gt;"",COUNTIF(Findings[KayitliBulguID],T430)=1))),"İnceleme tamam","Sonuç / bulgu eksik"))))))))</x:f>
        <x:v>Kimlik / kapsam eksik</x:v>
      </x:c>
      <x:c r="W430" s="14" t="str">
        <x:f>IF(A430="","",IF(V430&lt;&gt;"İnceleme tamam","İncelenmedi",IF(H430="Uygulanmaz","Uygulanmaz",P430)))</x:f>
        <x:v>İncelenmedi</x:v>
      </x:c>
    </x:row>
    <x:row r="431" ht="35" customHeight="1">
      <x:c r="A431" s="12" t="str">
        <x:v>U-0426</x:v>
      </x:c>
      <x:c r="B431" s="12" t="str">
        <x:v>ADS-V02-03</x:v>
      </x:c>
      <x:c r="C431" s="12" t="str">
        <x:v>Active Directory GPO</x:v>
      </x:c>
      <x:c r="D431" s="12" t="str"/>
      <x:c r="E431" s="12" t="str"/>
      <x:c r="F431" s="12" t="str"/>
      <x:c r="G431" s="12" t="str"/>
      <x:c r="H431" s="12" t="str">
        <x:v>Belirlenecek</x:v>
      </x:c>
      <x:c r="I431" s="12" t="str"/>
      <x:c r="J431" s="12" t="str"/>
      <x:c r="K431" s="12" t="str"/>
      <x:c r="L431" s="13" t="str"/>
      <x:c r="M431" s="12" t="str"/>
      <x:c r="N431" s="12" t="str">
        <x:v>İncelenmedi</x:v>
      </x:c>
      <x:c r="O431" s="12" t="str">
        <x:v>İncelenmedi</x:v>
      </x:c>
      <x:c r="P431" s="12" t="str">
        <x:v>İncelenmedi</x:v>
      </x:c>
      <x:c r="Q431" s="12" t="str"/>
      <x:c r="R431" s="12" t="str"/>
      <x:c r="S431" s="13" t="str"/>
      <x:c r="T431" s="12" t="str"/>
      <x:c r="U431" s="12" t="str"/>
      <x:c r="V431" s="14" t="str">
        <x:f>IF(A431="","",IF(NOT(AND(COUNTIF(Exec[TestID],A431)=1,COUNTIF(Controls[ID],B431)=1,COUNTIFS(Scope[KapsamID],D431,Scope[OnayliKapsamID],D431,Scope[Ürün],C431)=1,OR(COUNTIFS(Controls[ID],B431,Controls[Ürün],C431)=1,COUNTIFS(Controls[ID],B431,Controls[Ürün],"MSP Genel")=1),E431&lt;&gt;"",F431&lt;&gt;"",G431&lt;&gt;"",I431&lt;&gt;"",Q431&lt;&gt;"")),"Kimlik / kapsam eksik",IF(NOT(OR(H431="Uygulanır",H431="Uygulanmaz")),"Uygulanabilirlik eksik",IF(AND(H431="Uygulanır",P431="Kanıt yetersiz",U431&lt;&gt;""),IF(AND(R431&lt;&gt;"",R431&lt;&gt;Q431,ISNUMBER(S431),S431&gt;0,S431&gt;=L431),"İnceleme tamam","Gözden geçirme eksik"),IF(NOT(AND(J431&lt;&gt;"",COUNTIFS(Evidence[KanitID],J431,Evidence[Kabul edilen ID],J431)=1,K431&lt;&gt;"",ISNUMBER(L431),L431&gt;0,M431&lt;&gt;"")),"Kanıt / test eksik",IF(NOT(AND(R431&lt;&gt;"",R431&lt;&gt;Q431,ISNUMBER(S431),S431&gt;0,S431&gt;=L431)),"Gözden geçirme eksik",IF(H431="Uygulanmaz","İnceleme tamam",IF(AND(OR(P431="Uygun",P431="Kısmen uygun",P431="Uygunsuz"),OR(N431="Uygun",N431="Kısmen uygun",N431="Uygunsuz"),OR(O431="Uygun",O431="Kısmen uygun",O431="Uygunsuz"),OR(P431&lt;&gt;"Uygun",AND(N431="Uygun",O431="Uygun")),OR(P431="Uygun",AND(T431&lt;&gt;"",COUNTIF(Findings[KayitliBulguID],T431)=1))),"İnceleme tamam","Sonuç / bulgu eksik"))))))))</x:f>
        <x:v>Kimlik / kapsam eksik</x:v>
      </x:c>
      <x:c r="W431" s="14" t="str">
        <x:f>IF(A431="","",IF(V431&lt;&gt;"İnceleme tamam","İncelenmedi",IF(H431="Uygulanmaz","Uygulanmaz",P431)))</x:f>
        <x:v>İncelenmedi</x:v>
      </x:c>
    </x:row>
    <x:row r="432" ht="35" customHeight="1">
      <x:c r="A432" s="12" t="str">
        <x:v>U-0427</x:v>
      </x:c>
      <x:c r="B432" s="12" t="str">
        <x:v>ADS-V03-01</x:v>
      </x:c>
      <x:c r="C432" s="12" t="str">
        <x:v>Active Directory GPO</x:v>
      </x:c>
      <x:c r="D432" s="12" t="str"/>
      <x:c r="E432" s="12" t="str"/>
      <x:c r="F432" s="12" t="str"/>
      <x:c r="G432" s="12" t="str"/>
      <x:c r="H432" s="12" t="str">
        <x:v>Belirlenecek</x:v>
      </x:c>
      <x:c r="I432" s="12" t="str"/>
      <x:c r="J432" s="12" t="str"/>
      <x:c r="K432" s="12" t="str"/>
      <x:c r="L432" s="13" t="str"/>
      <x:c r="M432" s="12" t="str"/>
      <x:c r="N432" s="12" t="str">
        <x:v>İncelenmedi</x:v>
      </x:c>
      <x:c r="O432" s="12" t="str">
        <x:v>İncelenmedi</x:v>
      </x:c>
      <x:c r="P432" s="12" t="str">
        <x:v>İncelenmedi</x:v>
      </x:c>
      <x:c r="Q432" s="12" t="str"/>
      <x:c r="R432" s="12" t="str"/>
      <x:c r="S432" s="13" t="str"/>
      <x:c r="T432" s="12" t="str"/>
      <x:c r="U432" s="12" t="str"/>
      <x:c r="V432" s="14" t="str">
        <x:f>IF(A432="","",IF(NOT(AND(COUNTIF(Exec[TestID],A432)=1,COUNTIF(Controls[ID],B432)=1,COUNTIFS(Scope[KapsamID],D432,Scope[OnayliKapsamID],D432,Scope[Ürün],C432)=1,OR(COUNTIFS(Controls[ID],B432,Controls[Ürün],C432)=1,COUNTIFS(Controls[ID],B432,Controls[Ürün],"MSP Genel")=1),E432&lt;&gt;"",F432&lt;&gt;"",G432&lt;&gt;"",I432&lt;&gt;"",Q432&lt;&gt;"")),"Kimlik / kapsam eksik",IF(NOT(OR(H432="Uygulanır",H432="Uygulanmaz")),"Uygulanabilirlik eksik",IF(AND(H432="Uygulanır",P432="Kanıt yetersiz",U432&lt;&gt;""),IF(AND(R432&lt;&gt;"",R432&lt;&gt;Q432,ISNUMBER(S432),S432&gt;0,S432&gt;=L432),"İnceleme tamam","Gözden geçirme eksik"),IF(NOT(AND(J432&lt;&gt;"",COUNTIFS(Evidence[KanitID],J432,Evidence[Kabul edilen ID],J432)=1,K432&lt;&gt;"",ISNUMBER(L432),L432&gt;0,M432&lt;&gt;"")),"Kanıt / test eksik",IF(NOT(AND(R432&lt;&gt;"",R432&lt;&gt;Q432,ISNUMBER(S432),S432&gt;0,S432&gt;=L432)),"Gözden geçirme eksik",IF(H432="Uygulanmaz","İnceleme tamam",IF(AND(OR(P432="Uygun",P432="Kısmen uygun",P432="Uygunsuz"),OR(N432="Uygun",N432="Kısmen uygun",N432="Uygunsuz"),OR(O432="Uygun",O432="Kısmen uygun",O432="Uygunsuz"),OR(P432&lt;&gt;"Uygun",AND(N432="Uygun",O432="Uygun")),OR(P432="Uygun",AND(T432&lt;&gt;"",COUNTIF(Findings[KayitliBulguID],T432)=1))),"İnceleme tamam","Sonuç / bulgu eksik"))))))))</x:f>
        <x:v>Kimlik / kapsam eksik</x:v>
      </x:c>
      <x:c r="W432" s="14" t="str">
        <x:f>IF(A432="","",IF(V432&lt;&gt;"İnceleme tamam","İncelenmedi",IF(H432="Uygulanmaz","Uygulanmaz",P432)))</x:f>
        <x:v>İncelenmedi</x:v>
      </x:c>
    </x:row>
    <x:row r="433" ht="35" customHeight="1">
      <x:c r="A433" s="12" t="str">
        <x:v>U-0428</x:v>
      </x:c>
      <x:c r="B433" s="12" t="str">
        <x:v>ADS-V03-02</x:v>
      </x:c>
      <x:c r="C433" s="12" t="str">
        <x:v>Active Directory GPO</x:v>
      </x:c>
      <x:c r="D433" s="12" t="str"/>
      <x:c r="E433" s="12" t="str"/>
      <x:c r="F433" s="12" t="str"/>
      <x:c r="G433" s="12" t="str"/>
      <x:c r="H433" s="12" t="str">
        <x:v>Belirlenecek</x:v>
      </x:c>
      <x:c r="I433" s="12" t="str"/>
      <x:c r="J433" s="12" t="str"/>
      <x:c r="K433" s="12" t="str"/>
      <x:c r="L433" s="13" t="str"/>
      <x:c r="M433" s="12" t="str"/>
      <x:c r="N433" s="12" t="str">
        <x:v>İncelenmedi</x:v>
      </x:c>
      <x:c r="O433" s="12" t="str">
        <x:v>İncelenmedi</x:v>
      </x:c>
      <x:c r="P433" s="12" t="str">
        <x:v>İncelenmedi</x:v>
      </x:c>
      <x:c r="Q433" s="12" t="str"/>
      <x:c r="R433" s="12" t="str"/>
      <x:c r="S433" s="13" t="str"/>
      <x:c r="T433" s="12" t="str"/>
      <x:c r="U433" s="12" t="str"/>
      <x:c r="V433" s="14" t="str">
        <x:f>IF(A433="","",IF(NOT(AND(COUNTIF(Exec[TestID],A433)=1,COUNTIF(Controls[ID],B433)=1,COUNTIFS(Scope[KapsamID],D433,Scope[OnayliKapsamID],D433,Scope[Ürün],C433)=1,OR(COUNTIFS(Controls[ID],B433,Controls[Ürün],C433)=1,COUNTIFS(Controls[ID],B433,Controls[Ürün],"MSP Genel")=1),E433&lt;&gt;"",F433&lt;&gt;"",G433&lt;&gt;"",I433&lt;&gt;"",Q433&lt;&gt;"")),"Kimlik / kapsam eksik",IF(NOT(OR(H433="Uygulanır",H433="Uygulanmaz")),"Uygulanabilirlik eksik",IF(AND(H433="Uygulanır",P433="Kanıt yetersiz",U433&lt;&gt;""),IF(AND(R433&lt;&gt;"",R433&lt;&gt;Q433,ISNUMBER(S433),S433&gt;0,S433&gt;=L433),"İnceleme tamam","Gözden geçirme eksik"),IF(NOT(AND(J433&lt;&gt;"",COUNTIFS(Evidence[KanitID],J433,Evidence[Kabul edilen ID],J433)=1,K433&lt;&gt;"",ISNUMBER(L433),L433&gt;0,M433&lt;&gt;"")),"Kanıt / test eksik",IF(NOT(AND(R433&lt;&gt;"",R433&lt;&gt;Q433,ISNUMBER(S433),S433&gt;0,S433&gt;=L433)),"Gözden geçirme eksik",IF(H433="Uygulanmaz","İnceleme tamam",IF(AND(OR(P433="Uygun",P433="Kısmen uygun",P433="Uygunsuz"),OR(N433="Uygun",N433="Kısmen uygun",N433="Uygunsuz"),OR(O433="Uygun",O433="Kısmen uygun",O433="Uygunsuz"),OR(P433&lt;&gt;"Uygun",AND(N433="Uygun",O433="Uygun")),OR(P433="Uygun",AND(T433&lt;&gt;"",COUNTIF(Findings[KayitliBulguID],T433)=1))),"İnceleme tamam","Sonuç / bulgu eksik"))))))))</x:f>
        <x:v>Kimlik / kapsam eksik</x:v>
      </x:c>
      <x:c r="W433" s="14" t="str">
        <x:f>IF(A433="","",IF(V433&lt;&gt;"İnceleme tamam","İncelenmedi",IF(H433="Uygulanmaz","Uygulanmaz",P433)))</x:f>
        <x:v>İncelenmedi</x:v>
      </x:c>
    </x:row>
    <x:row r="434" ht="35" customHeight="1">
      <x:c r="A434" s="12" t="str">
        <x:v>U-0429</x:v>
      </x:c>
      <x:c r="B434" s="12" t="str">
        <x:v>ADS-V04-01</x:v>
      </x:c>
      <x:c r="C434" s="12" t="str">
        <x:v>Active Directory GPO</x:v>
      </x:c>
      <x:c r="D434" s="12" t="str"/>
      <x:c r="E434" s="12" t="str"/>
      <x:c r="F434" s="12" t="str"/>
      <x:c r="G434" s="12" t="str"/>
      <x:c r="H434" s="12" t="str">
        <x:v>Belirlenecek</x:v>
      </x:c>
      <x:c r="I434" s="12" t="str"/>
      <x:c r="J434" s="12" t="str"/>
      <x:c r="K434" s="12" t="str"/>
      <x:c r="L434" s="13" t="str"/>
      <x:c r="M434" s="12" t="str"/>
      <x:c r="N434" s="12" t="str">
        <x:v>İncelenmedi</x:v>
      </x:c>
      <x:c r="O434" s="12" t="str">
        <x:v>İncelenmedi</x:v>
      </x:c>
      <x:c r="P434" s="12" t="str">
        <x:v>İncelenmedi</x:v>
      </x:c>
      <x:c r="Q434" s="12" t="str"/>
      <x:c r="R434" s="12" t="str"/>
      <x:c r="S434" s="13" t="str"/>
      <x:c r="T434" s="12" t="str"/>
      <x:c r="U434" s="12" t="str"/>
      <x:c r="V434" s="14" t="str">
        <x:f>IF(A434="","",IF(NOT(AND(COUNTIF(Exec[TestID],A434)=1,COUNTIF(Controls[ID],B434)=1,COUNTIFS(Scope[KapsamID],D434,Scope[OnayliKapsamID],D434,Scope[Ürün],C434)=1,OR(COUNTIFS(Controls[ID],B434,Controls[Ürün],C434)=1,COUNTIFS(Controls[ID],B434,Controls[Ürün],"MSP Genel")=1),E434&lt;&gt;"",F434&lt;&gt;"",G434&lt;&gt;"",I434&lt;&gt;"",Q434&lt;&gt;"")),"Kimlik / kapsam eksik",IF(NOT(OR(H434="Uygulanır",H434="Uygulanmaz")),"Uygulanabilirlik eksik",IF(AND(H434="Uygulanır",P434="Kanıt yetersiz",U434&lt;&gt;""),IF(AND(R434&lt;&gt;"",R434&lt;&gt;Q434,ISNUMBER(S434),S434&gt;0,S434&gt;=L434),"İnceleme tamam","Gözden geçirme eksik"),IF(NOT(AND(J434&lt;&gt;"",COUNTIFS(Evidence[KanitID],J434,Evidence[Kabul edilen ID],J434)=1,K434&lt;&gt;"",ISNUMBER(L434),L434&gt;0,M434&lt;&gt;"")),"Kanıt / test eksik",IF(NOT(AND(R434&lt;&gt;"",R434&lt;&gt;Q434,ISNUMBER(S434),S434&gt;0,S434&gt;=L434)),"Gözden geçirme eksik",IF(H434="Uygulanmaz","İnceleme tamam",IF(AND(OR(P434="Uygun",P434="Kısmen uygun",P434="Uygunsuz"),OR(N434="Uygun",N434="Kısmen uygun",N434="Uygunsuz"),OR(O434="Uygun",O434="Kısmen uygun",O434="Uygunsuz"),OR(P434&lt;&gt;"Uygun",AND(N434="Uygun",O434="Uygun")),OR(P434="Uygun",AND(T434&lt;&gt;"",COUNTIF(Findings[KayitliBulguID],T434)=1))),"İnceleme tamam","Sonuç / bulgu eksik"))))))))</x:f>
        <x:v>Kimlik / kapsam eksik</x:v>
      </x:c>
      <x:c r="W434" s="14" t="str">
        <x:f>IF(A434="","",IF(V434&lt;&gt;"İnceleme tamam","İncelenmedi",IF(H434="Uygulanmaz","Uygulanmaz",P434)))</x:f>
        <x:v>İncelenmedi</x:v>
      </x:c>
    </x:row>
    <x:row r="435" ht="35" customHeight="1">
      <x:c r="A435" s="12" t="str">
        <x:v>U-0430</x:v>
      </x:c>
      <x:c r="B435" s="12" t="str">
        <x:v>ADS-V04-03</x:v>
      </x:c>
      <x:c r="C435" s="12" t="str">
        <x:v>Active Directory GPO</x:v>
      </x:c>
      <x:c r="D435" s="12" t="str"/>
      <x:c r="E435" s="12" t="str"/>
      <x:c r="F435" s="12" t="str"/>
      <x:c r="G435" s="12" t="str"/>
      <x:c r="H435" s="12" t="str">
        <x:v>Belirlenecek</x:v>
      </x:c>
      <x:c r="I435" s="12" t="str"/>
      <x:c r="J435" s="12" t="str"/>
      <x:c r="K435" s="12" t="str"/>
      <x:c r="L435" s="13" t="str"/>
      <x:c r="M435" s="12" t="str"/>
      <x:c r="N435" s="12" t="str">
        <x:v>İncelenmedi</x:v>
      </x:c>
      <x:c r="O435" s="12" t="str">
        <x:v>İncelenmedi</x:v>
      </x:c>
      <x:c r="P435" s="12" t="str">
        <x:v>İncelenmedi</x:v>
      </x:c>
      <x:c r="Q435" s="12" t="str"/>
      <x:c r="R435" s="12" t="str"/>
      <x:c r="S435" s="13" t="str"/>
      <x:c r="T435" s="12" t="str"/>
      <x:c r="U435" s="12" t="str"/>
      <x:c r="V435" s="14" t="str">
        <x:f>IF(A435="","",IF(NOT(AND(COUNTIF(Exec[TestID],A435)=1,COUNTIF(Controls[ID],B435)=1,COUNTIFS(Scope[KapsamID],D435,Scope[OnayliKapsamID],D435,Scope[Ürün],C435)=1,OR(COUNTIFS(Controls[ID],B435,Controls[Ürün],C435)=1,COUNTIFS(Controls[ID],B435,Controls[Ürün],"MSP Genel")=1),E435&lt;&gt;"",F435&lt;&gt;"",G435&lt;&gt;"",I435&lt;&gt;"",Q435&lt;&gt;"")),"Kimlik / kapsam eksik",IF(NOT(OR(H435="Uygulanır",H435="Uygulanmaz")),"Uygulanabilirlik eksik",IF(AND(H435="Uygulanır",P435="Kanıt yetersiz",U435&lt;&gt;""),IF(AND(R435&lt;&gt;"",R435&lt;&gt;Q435,ISNUMBER(S435),S435&gt;0,S435&gt;=L435),"İnceleme tamam","Gözden geçirme eksik"),IF(NOT(AND(J435&lt;&gt;"",COUNTIFS(Evidence[KanitID],J435,Evidence[Kabul edilen ID],J435)=1,K435&lt;&gt;"",ISNUMBER(L435),L435&gt;0,M435&lt;&gt;"")),"Kanıt / test eksik",IF(NOT(AND(R435&lt;&gt;"",R435&lt;&gt;Q435,ISNUMBER(S435),S435&gt;0,S435&gt;=L435)),"Gözden geçirme eksik",IF(H435="Uygulanmaz","İnceleme tamam",IF(AND(OR(P435="Uygun",P435="Kısmen uygun",P435="Uygunsuz"),OR(N435="Uygun",N435="Kısmen uygun",N435="Uygunsuz"),OR(O435="Uygun",O435="Kısmen uygun",O435="Uygunsuz"),OR(P435&lt;&gt;"Uygun",AND(N435="Uygun",O435="Uygun")),OR(P435="Uygun",AND(T435&lt;&gt;"",COUNTIF(Findings[KayitliBulguID],T435)=1))),"İnceleme tamam","Sonuç / bulgu eksik"))))))))</x:f>
        <x:v>Kimlik / kapsam eksik</x:v>
      </x:c>
      <x:c r="W435" s="14" t="str">
        <x:f>IF(A435="","",IF(V435&lt;&gt;"İnceleme tamam","İncelenmedi",IF(H435="Uygulanmaz","Uygulanmaz",P435)))</x:f>
        <x:v>İncelenmedi</x:v>
      </x:c>
    </x:row>
    <x:row r="436" ht="35" customHeight="1">
      <x:c r="A436" s="12"/>
      <x:c r="B436" s="12"/>
      <x:c r="C436" s="12"/>
      <x:c r="D436" s="12"/>
      <x:c r="E436" s="12"/>
      <x:c r="F436" s="12"/>
      <x:c r="G436" s="12"/>
      <x:c r="H436" s="12"/>
      <x:c r="I436" s="12"/>
      <x:c r="J436" s="12"/>
      <x:c r="K436" s="12"/>
      <x:c r="L436" s="13"/>
      <x:c r="M436" s="12"/>
      <x:c r="N436" s="12"/>
      <x:c r="O436" s="12"/>
      <x:c r="P436" s="12"/>
      <x:c r="Q436" s="12"/>
      <x:c r="R436" s="12"/>
      <x:c r="S436" s="13"/>
      <x:c r="T436" s="12"/>
      <x:c r="U436" s="12"/>
      <x:c r="V436" s="14" t="str">
        <x:f>IF(A436="","",IF(NOT(AND(COUNTIF(Exec[TestID],A436)=1,COUNTIF(Controls[ID],B436)=1,COUNTIFS(Scope[KapsamID],D436,Scope[OnayliKapsamID],D436,Scope[Ürün],C436)=1,OR(COUNTIFS(Controls[ID],B436,Controls[Ürün],C436)=1,COUNTIFS(Controls[ID],B436,Controls[Ürün],"MSP Genel")=1),E436&lt;&gt;"",F436&lt;&gt;"",G436&lt;&gt;"",I436&lt;&gt;"",Q436&lt;&gt;"")),"Kimlik / kapsam eksik",IF(NOT(OR(H436="Uygulanır",H436="Uygulanmaz")),"Uygulanabilirlik eksik",IF(AND(H436="Uygulanır",P436="Kanıt yetersiz",U436&lt;&gt;""),IF(AND(R436&lt;&gt;"",R436&lt;&gt;Q436,ISNUMBER(S436),S436&gt;0,S436&gt;=L436),"İnceleme tamam","Gözden geçirme eksik"),IF(NOT(AND(J436&lt;&gt;"",COUNTIFS(Evidence[KanitID],J436,Evidence[Kabul edilen ID],J436)=1,K436&lt;&gt;"",ISNUMBER(L436),L436&gt;0,M436&lt;&gt;"")),"Kanıt / test eksik",IF(NOT(AND(R436&lt;&gt;"",R436&lt;&gt;Q436,ISNUMBER(S436),S436&gt;0,S436&gt;=L436)),"Gözden geçirme eksik",IF(H436="Uygulanmaz","İnceleme tamam",IF(AND(OR(P436="Uygun",P436="Kısmen uygun",P436="Uygunsuz"),OR(N436="Uygun",N436="Kısmen uygun",N436="Uygunsuz"),OR(O436="Uygun",O436="Kısmen uygun",O436="Uygunsuz"),OR(P436&lt;&gt;"Uygun",AND(N436="Uygun",O436="Uygun")),OR(P436="Uygun",AND(T436&lt;&gt;"",COUNTIF(Findings[KayitliBulguID],T436)=1))),"İnceleme tamam","Sonuç / bulgu eksik"))))))))</x:f>
      </x:c>
      <x:c r="W436" s="14" t="str">
        <x:f>IF(A436="","",IF(V436&lt;&gt;"İnceleme tamam","İncelenmedi",IF(H436="Uygulanmaz","Uygulanmaz",P436)))</x:f>
      </x:c>
    </x:row>
    <x:row r="437" ht="35" customHeight="1">
      <x:c r="A437" s="12" t="str"/>
      <x:c r="B437" s="12" t="str"/>
      <x:c r="C437" s="12" t="str"/>
      <x:c r="D437" s="12" t="str"/>
      <x:c r="E437" s="12" t="str"/>
      <x:c r="F437" s="12" t="str"/>
      <x:c r="G437" s="12" t="str"/>
      <x:c r="H437" s="12" t="str"/>
      <x:c r="I437" s="12" t="str"/>
      <x:c r="J437" s="12" t="str"/>
      <x:c r="K437" s="12" t="str"/>
      <x:c r="L437" s="13" t="str"/>
      <x:c r="M437" s="12" t="str"/>
      <x:c r="N437" s="12" t="str"/>
      <x:c r="O437" s="12" t="str"/>
      <x:c r="P437" s="12" t="str"/>
      <x:c r="Q437" s="12" t="str"/>
      <x:c r="R437" s="12" t="str"/>
      <x:c r="S437" s="13" t="str"/>
      <x:c r="T437" s="12" t="str"/>
      <x:c r="U437" s="12" t="str"/>
      <x:c r="V437" s="14" t="str">
        <x:f>IF(A437="","",IF(NOT(AND(COUNTIF(Exec[TestID],A437)=1,COUNTIF(Controls[ID],B437)=1,COUNTIFS(Scope[KapsamID],D437,Scope[OnayliKapsamID],D437,Scope[Ürün],C437)=1,OR(COUNTIFS(Controls[ID],B437,Controls[Ürün],C437)=1,COUNTIFS(Controls[ID],B437,Controls[Ürün],"MSP Genel")=1),E437&lt;&gt;"",F437&lt;&gt;"",G437&lt;&gt;"",I437&lt;&gt;"",Q437&lt;&gt;"")),"Kimlik / kapsam eksik",IF(NOT(OR(H437="Uygulanır",H437="Uygulanmaz")),"Uygulanabilirlik eksik",IF(AND(H437="Uygulanır",P437="Kanıt yetersiz",U437&lt;&gt;""),IF(AND(R437&lt;&gt;"",R437&lt;&gt;Q437,ISNUMBER(S437),S437&gt;0,S437&gt;=L437),"İnceleme tamam","Gözden geçirme eksik"),IF(NOT(AND(J437&lt;&gt;"",COUNTIFS(Evidence[KanitID],J437,Evidence[Kabul edilen ID],J437)=1,K437&lt;&gt;"",ISNUMBER(L437),L437&gt;0,M437&lt;&gt;"")),"Kanıt / test eksik",IF(NOT(AND(R437&lt;&gt;"",R437&lt;&gt;Q437,ISNUMBER(S437),S437&gt;0,S437&gt;=L437)),"Gözden geçirme eksik",IF(H437="Uygulanmaz","İnceleme tamam",IF(AND(OR(P437="Uygun",P437="Kısmen uygun",P437="Uygunsuz"),OR(N437="Uygun",N437="Kısmen uygun",N437="Uygunsuz"),OR(O437="Uygun",O437="Kısmen uygun",O437="Uygunsuz"),OR(P437&lt;&gt;"Uygun",AND(N437="Uygun",O437="Uygun")),OR(P437="Uygun",AND(T437&lt;&gt;"",COUNTIF(Findings[KayitliBulguID],T437)=1))),"İnceleme tamam","Sonuç / bulgu eksik"))))))))</x:f>
      </x:c>
      <x:c r="W437" s="14" t="str">
        <x:f>IF(A437="","",IF(V437&lt;&gt;"İnceleme tamam","İncelenmedi",IF(H437="Uygulanmaz","Uygulanmaz",P437)))</x:f>
      </x:c>
    </x:row>
    <x:row r="438" ht="35" customHeight="1">
      <x:c r="A438" s="12" t="str"/>
      <x:c r="B438" s="12" t="str"/>
      <x:c r="C438" s="12" t="str"/>
      <x:c r="D438" s="12" t="str"/>
      <x:c r="E438" s="12" t="str"/>
      <x:c r="F438" s="12" t="str"/>
      <x:c r="G438" s="12" t="str"/>
      <x:c r="H438" s="12" t="str"/>
      <x:c r="I438" s="12" t="str"/>
      <x:c r="J438" s="12" t="str"/>
      <x:c r="K438" s="12" t="str"/>
      <x:c r="L438" s="13" t="str"/>
      <x:c r="M438" s="12" t="str"/>
      <x:c r="N438" s="12" t="str"/>
      <x:c r="O438" s="12" t="str"/>
      <x:c r="P438" s="12" t="str"/>
      <x:c r="Q438" s="12" t="str"/>
      <x:c r="R438" s="12" t="str"/>
      <x:c r="S438" s="13" t="str"/>
      <x:c r="T438" s="12" t="str"/>
      <x:c r="U438" s="12" t="str"/>
      <x:c r="V438" s="14" t="str">
        <x:f>IF(A438="","",IF(NOT(AND(COUNTIF(Exec[TestID],A438)=1,COUNTIF(Controls[ID],B438)=1,COUNTIFS(Scope[KapsamID],D438,Scope[OnayliKapsamID],D438,Scope[Ürün],C438)=1,OR(COUNTIFS(Controls[ID],B438,Controls[Ürün],C438)=1,COUNTIFS(Controls[ID],B438,Controls[Ürün],"MSP Genel")=1),E438&lt;&gt;"",F438&lt;&gt;"",G438&lt;&gt;"",I438&lt;&gt;"",Q438&lt;&gt;"")),"Kimlik / kapsam eksik",IF(NOT(OR(H438="Uygulanır",H438="Uygulanmaz")),"Uygulanabilirlik eksik",IF(AND(H438="Uygulanır",P438="Kanıt yetersiz",U438&lt;&gt;""),IF(AND(R438&lt;&gt;"",R438&lt;&gt;Q438,ISNUMBER(S438),S438&gt;0,S438&gt;=L438),"İnceleme tamam","Gözden geçirme eksik"),IF(NOT(AND(J438&lt;&gt;"",COUNTIFS(Evidence[KanitID],J438,Evidence[Kabul edilen ID],J438)=1,K438&lt;&gt;"",ISNUMBER(L438),L438&gt;0,M438&lt;&gt;"")),"Kanıt / test eksik",IF(NOT(AND(R438&lt;&gt;"",R438&lt;&gt;Q438,ISNUMBER(S438),S438&gt;0,S438&gt;=L438)),"Gözden geçirme eksik",IF(H438="Uygulanmaz","İnceleme tamam",IF(AND(OR(P438="Uygun",P438="Kısmen uygun",P438="Uygunsuz"),OR(N438="Uygun",N438="Kısmen uygun",N438="Uygunsuz"),OR(O438="Uygun",O438="Kısmen uygun",O438="Uygunsuz"),OR(P438&lt;&gt;"Uygun",AND(N438="Uygun",O438="Uygun")),OR(P438="Uygun",AND(T438&lt;&gt;"",COUNTIF(Findings[KayitliBulguID],T438)=1))),"İnceleme tamam","Sonuç / bulgu eksik"))))))))</x:f>
      </x:c>
      <x:c r="W438" s="14" t="str">
        <x:f>IF(A438="","",IF(V438&lt;&gt;"İnceleme tamam","İncelenmedi",IF(H438="Uygulanmaz","Uygulanmaz",P438)))</x:f>
      </x:c>
    </x:row>
    <x:row r="439" ht="35" customHeight="1">
      <x:c r="A439" s="12" t="str"/>
      <x:c r="B439" s="12" t="str"/>
      <x:c r="C439" s="12" t="str"/>
      <x:c r="D439" s="12" t="str"/>
      <x:c r="E439" s="12" t="str"/>
      <x:c r="F439" s="12" t="str"/>
      <x:c r="G439" s="12" t="str"/>
      <x:c r="H439" s="12" t="str"/>
      <x:c r="I439" s="12" t="str"/>
      <x:c r="J439" s="12" t="str"/>
      <x:c r="K439" s="12" t="str"/>
      <x:c r="L439" s="13" t="str"/>
      <x:c r="M439" s="12" t="str"/>
      <x:c r="N439" s="12" t="str"/>
      <x:c r="O439" s="12" t="str"/>
      <x:c r="P439" s="12" t="str"/>
      <x:c r="Q439" s="12" t="str"/>
      <x:c r="R439" s="12" t="str"/>
      <x:c r="S439" s="13" t="str"/>
      <x:c r="T439" s="12" t="str"/>
      <x:c r="U439" s="12" t="str"/>
      <x:c r="V439" s="14" t="str">
        <x:f>IF(A439="","",IF(NOT(AND(COUNTIF(Exec[TestID],A439)=1,COUNTIF(Controls[ID],B439)=1,COUNTIFS(Scope[KapsamID],D439,Scope[OnayliKapsamID],D439,Scope[Ürün],C439)=1,OR(COUNTIFS(Controls[ID],B439,Controls[Ürün],C439)=1,COUNTIFS(Controls[ID],B439,Controls[Ürün],"MSP Genel")=1),E439&lt;&gt;"",F439&lt;&gt;"",G439&lt;&gt;"",I439&lt;&gt;"",Q439&lt;&gt;"")),"Kimlik / kapsam eksik",IF(NOT(OR(H439="Uygulanır",H439="Uygulanmaz")),"Uygulanabilirlik eksik",IF(AND(H439="Uygulanır",P439="Kanıt yetersiz",U439&lt;&gt;""),IF(AND(R439&lt;&gt;"",R439&lt;&gt;Q439,ISNUMBER(S439),S439&gt;0,S439&gt;=L439),"İnceleme tamam","Gözden geçirme eksik"),IF(NOT(AND(J439&lt;&gt;"",COUNTIFS(Evidence[KanitID],J439,Evidence[Kabul edilen ID],J439)=1,K439&lt;&gt;"",ISNUMBER(L439),L439&gt;0,M439&lt;&gt;"")),"Kanıt / test eksik",IF(NOT(AND(R439&lt;&gt;"",R439&lt;&gt;Q439,ISNUMBER(S439),S439&gt;0,S439&gt;=L439)),"Gözden geçirme eksik",IF(H439="Uygulanmaz","İnceleme tamam",IF(AND(OR(P439="Uygun",P439="Kısmen uygun",P439="Uygunsuz"),OR(N439="Uygun",N439="Kısmen uygun",N439="Uygunsuz"),OR(O439="Uygun",O439="Kısmen uygun",O439="Uygunsuz"),OR(P439&lt;&gt;"Uygun",AND(N439="Uygun",O439="Uygun")),OR(P439="Uygun",AND(T439&lt;&gt;"",COUNTIF(Findings[KayitliBulguID],T439)=1))),"İnceleme tamam","Sonuç / bulgu eksik"))))))))</x:f>
      </x:c>
      <x:c r="W439" s="14" t="str">
        <x:f>IF(A439="","",IF(V439&lt;&gt;"İnceleme tamam","İncelenmedi",IF(H439="Uygulanmaz","Uygulanmaz",P439)))</x:f>
      </x:c>
    </x:row>
    <x:row r="440" ht="35" customHeight="1">
      <x:c r="A440" s="12" t="str"/>
      <x:c r="B440" s="12" t="str"/>
      <x:c r="C440" s="12" t="str"/>
      <x:c r="D440" s="12" t="str"/>
      <x:c r="E440" s="12" t="str"/>
      <x:c r="F440" s="12" t="str"/>
      <x:c r="G440" s="12" t="str"/>
      <x:c r="H440" s="12" t="str"/>
      <x:c r="I440" s="12" t="str"/>
      <x:c r="J440" s="12" t="str"/>
      <x:c r="K440" s="12" t="str"/>
      <x:c r="L440" s="13" t="str"/>
      <x:c r="M440" s="12" t="str"/>
      <x:c r="N440" s="12" t="str"/>
      <x:c r="O440" s="12" t="str"/>
      <x:c r="P440" s="12" t="str"/>
      <x:c r="Q440" s="12" t="str"/>
      <x:c r="R440" s="12" t="str"/>
      <x:c r="S440" s="13" t="str"/>
      <x:c r="T440" s="12" t="str"/>
      <x:c r="U440" s="12" t="str"/>
      <x:c r="V440" s="14" t="str">
        <x:f>IF(A440="","",IF(NOT(AND(COUNTIF(Exec[TestID],A440)=1,COUNTIF(Controls[ID],B440)=1,COUNTIFS(Scope[KapsamID],D440,Scope[OnayliKapsamID],D440,Scope[Ürün],C440)=1,OR(COUNTIFS(Controls[ID],B440,Controls[Ürün],C440)=1,COUNTIFS(Controls[ID],B440,Controls[Ürün],"MSP Genel")=1),E440&lt;&gt;"",F440&lt;&gt;"",G440&lt;&gt;"",I440&lt;&gt;"",Q440&lt;&gt;"")),"Kimlik / kapsam eksik",IF(NOT(OR(H440="Uygulanır",H440="Uygulanmaz")),"Uygulanabilirlik eksik",IF(AND(H440="Uygulanır",P440="Kanıt yetersiz",U440&lt;&gt;""),IF(AND(R440&lt;&gt;"",R440&lt;&gt;Q440,ISNUMBER(S440),S440&gt;0,S440&gt;=L440),"İnceleme tamam","Gözden geçirme eksik"),IF(NOT(AND(J440&lt;&gt;"",COUNTIFS(Evidence[KanitID],J440,Evidence[Kabul edilen ID],J440)=1,K440&lt;&gt;"",ISNUMBER(L440),L440&gt;0,M440&lt;&gt;"")),"Kanıt / test eksik",IF(NOT(AND(R440&lt;&gt;"",R440&lt;&gt;Q440,ISNUMBER(S440),S440&gt;0,S440&gt;=L440)),"Gözden geçirme eksik",IF(H440="Uygulanmaz","İnceleme tamam",IF(AND(OR(P440="Uygun",P440="Kısmen uygun",P440="Uygunsuz"),OR(N440="Uygun",N440="Kısmen uygun",N440="Uygunsuz"),OR(O440="Uygun",O440="Kısmen uygun",O440="Uygunsuz"),OR(P440&lt;&gt;"Uygun",AND(N440="Uygun",O440="Uygun")),OR(P440="Uygun",AND(T440&lt;&gt;"",COUNTIF(Findings[KayitliBulguID],T440)=1))),"İnceleme tamam","Sonuç / bulgu eksik"))))))))</x:f>
      </x:c>
      <x:c r="W440" s="14" t="str">
        <x:f>IF(A440="","",IF(V440&lt;&gt;"İnceleme tamam","İncelenmedi",IF(H440="Uygulanmaz","Uygulanmaz",P440)))</x:f>
      </x:c>
    </x:row>
    <x:row r="441" ht="35" customHeight="1">
      <x:c r="A441" s="12" t="str"/>
      <x:c r="B441" s="12" t="str"/>
      <x:c r="C441" s="12" t="str"/>
      <x:c r="D441" s="12" t="str"/>
      <x:c r="E441" s="12" t="str"/>
      <x:c r="F441" s="12" t="str"/>
      <x:c r="G441" s="12" t="str"/>
      <x:c r="H441" s="12" t="str"/>
      <x:c r="I441" s="12" t="str"/>
      <x:c r="J441" s="12" t="str"/>
      <x:c r="K441" s="12" t="str"/>
      <x:c r="L441" s="13" t="str"/>
      <x:c r="M441" s="12" t="str"/>
      <x:c r="N441" s="12" t="str"/>
      <x:c r="O441" s="12" t="str"/>
      <x:c r="P441" s="12" t="str"/>
      <x:c r="Q441" s="12" t="str"/>
      <x:c r="R441" s="12" t="str"/>
      <x:c r="S441" s="13" t="str"/>
      <x:c r="T441" s="12" t="str"/>
      <x:c r="U441" s="12" t="str"/>
      <x:c r="V441" s="14" t="str">
        <x:f>IF(A441="","",IF(NOT(AND(COUNTIF(Exec[TestID],A441)=1,COUNTIF(Controls[ID],B441)=1,COUNTIFS(Scope[KapsamID],D441,Scope[OnayliKapsamID],D441,Scope[Ürün],C441)=1,OR(COUNTIFS(Controls[ID],B441,Controls[Ürün],C441)=1,COUNTIFS(Controls[ID],B441,Controls[Ürün],"MSP Genel")=1),E441&lt;&gt;"",F441&lt;&gt;"",G441&lt;&gt;"",I441&lt;&gt;"",Q441&lt;&gt;"")),"Kimlik / kapsam eksik",IF(NOT(OR(H441="Uygulanır",H441="Uygulanmaz")),"Uygulanabilirlik eksik",IF(AND(H441="Uygulanır",P441="Kanıt yetersiz",U441&lt;&gt;""),IF(AND(R441&lt;&gt;"",R441&lt;&gt;Q441,ISNUMBER(S441),S441&gt;0,S441&gt;=L441),"İnceleme tamam","Gözden geçirme eksik"),IF(NOT(AND(J441&lt;&gt;"",COUNTIFS(Evidence[KanitID],J441,Evidence[Kabul edilen ID],J441)=1,K441&lt;&gt;"",ISNUMBER(L441),L441&gt;0,M441&lt;&gt;"")),"Kanıt / test eksik",IF(NOT(AND(R441&lt;&gt;"",R441&lt;&gt;Q441,ISNUMBER(S441),S441&gt;0,S441&gt;=L441)),"Gözden geçirme eksik",IF(H441="Uygulanmaz","İnceleme tamam",IF(AND(OR(P441="Uygun",P441="Kısmen uygun",P441="Uygunsuz"),OR(N441="Uygun",N441="Kısmen uygun",N441="Uygunsuz"),OR(O441="Uygun",O441="Kısmen uygun",O441="Uygunsuz"),OR(P441&lt;&gt;"Uygun",AND(N441="Uygun",O441="Uygun")),OR(P441="Uygun",AND(T441&lt;&gt;"",COUNTIF(Findings[KayitliBulguID],T441)=1))),"İnceleme tamam","Sonuç / bulgu eksik"))))))))</x:f>
      </x:c>
      <x:c r="W441" s="14" t="str">
        <x:f>IF(A441="","",IF(V441&lt;&gt;"İnceleme tamam","İncelenmedi",IF(H441="Uygulanmaz","Uygulanmaz",P441)))</x:f>
      </x:c>
    </x:row>
    <x:row r="442" ht="35" customHeight="1">
      <x:c r="A442" s="12" t="str"/>
      <x:c r="B442" s="12" t="str"/>
      <x:c r="C442" s="12" t="str"/>
      <x:c r="D442" s="12" t="str"/>
      <x:c r="E442" s="12" t="str"/>
      <x:c r="F442" s="12" t="str"/>
      <x:c r="G442" s="12" t="str"/>
      <x:c r="H442" s="12" t="str"/>
      <x:c r="I442" s="12" t="str"/>
      <x:c r="J442" s="12" t="str"/>
      <x:c r="K442" s="12" t="str"/>
      <x:c r="L442" s="13" t="str"/>
      <x:c r="M442" s="12" t="str"/>
      <x:c r="N442" s="12" t="str"/>
      <x:c r="O442" s="12" t="str"/>
      <x:c r="P442" s="12" t="str"/>
      <x:c r="Q442" s="12" t="str"/>
      <x:c r="R442" s="12" t="str"/>
      <x:c r="S442" s="13" t="str"/>
      <x:c r="T442" s="12" t="str"/>
      <x:c r="U442" s="12" t="str"/>
      <x:c r="V442" s="14" t="str">
        <x:f>IF(A442="","",IF(NOT(AND(COUNTIF(Exec[TestID],A442)=1,COUNTIF(Controls[ID],B442)=1,COUNTIFS(Scope[KapsamID],D442,Scope[OnayliKapsamID],D442,Scope[Ürün],C442)=1,OR(COUNTIFS(Controls[ID],B442,Controls[Ürün],C442)=1,COUNTIFS(Controls[ID],B442,Controls[Ürün],"MSP Genel")=1),E442&lt;&gt;"",F442&lt;&gt;"",G442&lt;&gt;"",I442&lt;&gt;"",Q442&lt;&gt;"")),"Kimlik / kapsam eksik",IF(NOT(OR(H442="Uygulanır",H442="Uygulanmaz")),"Uygulanabilirlik eksik",IF(AND(H442="Uygulanır",P442="Kanıt yetersiz",U442&lt;&gt;""),IF(AND(R442&lt;&gt;"",R442&lt;&gt;Q442,ISNUMBER(S442),S442&gt;0,S442&gt;=L442),"İnceleme tamam","Gözden geçirme eksik"),IF(NOT(AND(J442&lt;&gt;"",COUNTIFS(Evidence[KanitID],J442,Evidence[Kabul edilen ID],J442)=1,K442&lt;&gt;"",ISNUMBER(L442),L442&gt;0,M442&lt;&gt;"")),"Kanıt / test eksik",IF(NOT(AND(R442&lt;&gt;"",R442&lt;&gt;Q442,ISNUMBER(S442),S442&gt;0,S442&gt;=L442)),"Gözden geçirme eksik",IF(H442="Uygulanmaz","İnceleme tamam",IF(AND(OR(P442="Uygun",P442="Kısmen uygun",P442="Uygunsuz"),OR(N442="Uygun",N442="Kısmen uygun",N442="Uygunsuz"),OR(O442="Uygun",O442="Kısmen uygun",O442="Uygunsuz"),OR(P442&lt;&gt;"Uygun",AND(N442="Uygun",O442="Uygun")),OR(P442="Uygun",AND(T442&lt;&gt;"",COUNTIF(Findings[KayitliBulguID],T442)=1))),"İnceleme tamam","Sonuç / bulgu eksik"))))))))</x:f>
      </x:c>
      <x:c r="W442" s="14" t="str">
        <x:f>IF(A442="","",IF(V442&lt;&gt;"İnceleme tamam","İncelenmedi",IF(H442="Uygulanmaz","Uygulanmaz",P442)))</x:f>
      </x:c>
    </x:row>
    <x:row r="443" ht="35" customHeight="1">
      <x:c r="A443" s="12" t="str"/>
      <x:c r="B443" s="12" t="str"/>
      <x:c r="C443" s="12" t="str"/>
      <x:c r="D443" s="12" t="str"/>
      <x:c r="E443" s="12" t="str"/>
      <x:c r="F443" s="12" t="str"/>
      <x:c r="G443" s="12" t="str"/>
      <x:c r="H443" s="12" t="str"/>
      <x:c r="I443" s="12" t="str"/>
      <x:c r="J443" s="12" t="str"/>
      <x:c r="K443" s="12" t="str"/>
      <x:c r="L443" s="13" t="str"/>
      <x:c r="M443" s="12" t="str"/>
      <x:c r="N443" s="12" t="str"/>
      <x:c r="O443" s="12" t="str"/>
      <x:c r="P443" s="12" t="str"/>
      <x:c r="Q443" s="12" t="str"/>
      <x:c r="R443" s="12" t="str"/>
      <x:c r="S443" s="13" t="str"/>
      <x:c r="T443" s="12" t="str"/>
      <x:c r="U443" s="12" t="str"/>
      <x:c r="V443" s="14" t="str">
        <x:f>IF(A443="","",IF(NOT(AND(COUNTIF(Exec[TestID],A443)=1,COUNTIF(Controls[ID],B443)=1,COUNTIFS(Scope[KapsamID],D443,Scope[OnayliKapsamID],D443,Scope[Ürün],C443)=1,OR(COUNTIFS(Controls[ID],B443,Controls[Ürün],C443)=1,COUNTIFS(Controls[ID],B443,Controls[Ürün],"MSP Genel")=1),E443&lt;&gt;"",F443&lt;&gt;"",G443&lt;&gt;"",I443&lt;&gt;"",Q443&lt;&gt;"")),"Kimlik / kapsam eksik",IF(NOT(OR(H443="Uygulanır",H443="Uygulanmaz")),"Uygulanabilirlik eksik",IF(AND(H443="Uygulanır",P443="Kanıt yetersiz",U443&lt;&gt;""),IF(AND(R443&lt;&gt;"",R443&lt;&gt;Q443,ISNUMBER(S443),S443&gt;0,S443&gt;=L443),"İnceleme tamam","Gözden geçirme eksik"),IF(NOT(AND(J443&lt;&gt;"",COUNTIFS(Evidence[KanitID],J443,Evidence[Kabul edilen ID],J443)=1,K443&lt;&gt;"",ISNUMBER(L443),L443&gt;0,M443&lt;&gt;"")),"Kanıt / test eksik",IF(NOT(AND(R443&lt;&gt;"",R443&lt;&gt;Q443,ISNUMBER(S443),S443&gt;0,S443&gt;=L443)),"Gözden geçirme eksik",IF(H443="Uygulanmaz","İnceleme tamam",IF(AND(OR(P443="Uygun",P443="Kısmen uygun",P443="Uygunsuz"),OR(N443="Uygun",N443="Kısmen uygun",N443="Uygunsuz"),OR(O443="Uygun",O443="Kısmen uygun",O443="Uygunsuz"),OR(P443&lt;&gt;"Uygun",AND(N443="Uygun",O443="Uygun")),OR(P443="Uygun",AND(T443&lt;&gt;"",COUNTIF(Findings[KayitliBulguID],T443)=1))),"İnceleme tamam","Sonuç / bulgu eksik"))))))))</x:f>
      </x:c>
      <x:c r="W443" s="14" t="str">
        <x:f>IF(A443="","",IF(V443&lt;&gt;"İnceleme tamam","İncelenmedi",IF(H443="Uygulanmaz","Uygulanmaz",P443)))</x:f>
      </x:c>
    </x:row>
    <x:row r="444" ht="35" customHeight="1">
      <x:c r="A444" s="12" t="str"/>
      <x:c r="B444" s="12" t="str"/>
      <x:c r="C444" s="12" t="str"/>
      <x:c r="D444" s="12" t="str"/>
      <x:c r="E444" s="12" t="str"/>
      <x:c r="F444" s="12" t="str"/>
      <x:c r="G444" s="12" t="str"/>
      <x:c r="H444" s="12" t="str"/>
      <x:c r="I444" s="12" t="str"/>
      <x:c r="J444" s="12" t="str"/>
      <x:c r="K444" s="12" t="str"/>
      <x:c r="L444" s="13" t="str"/>
      <x:c r="M444" s="12" t="str"/>
      <x:c r="N444" s="12" t="str"/>
      <x:c r="O444" s="12" t="str"/>
      <x:c r="P444" s="12" t="str"/>
      <x:c r="Q444" s="12" t="str"/>
      <x:c r="R444" s="12" t="str"/>
      <x:c r="S444" s="13" t="str"/>
      <x:c r="T444" s="12" t="str"/>
      <x:c r="U444" s="12" t="str"/>
      <x:c r="V444" s="14" t="str">
        <x:f>IF(A444="","",IF(NOT(AND(COUNTIF(Exec[TestID],A444)=1,COUNTIF(Controls[ID],B444)=1,COUNTIFS(Scope[KapsamID],D444,Scope[OnayliKapsamID],D444,Scope[Ürün],C444)=1,OR(COUNTIFS(Controls[ID],B444,Controls[Ürün],C444)=1,COUNTIFS(Controls[ID],B444,Controls[Ürün],"MSP Genel")=1),E444&lt;&gt;"",F444&lt;&gt;"",G444&lt;&gt;"",I444&lt;&gt;"",Q444&lt;&gt;"")),"Kimlik / kapsam eksik",IF(NOT(OR(H444="Uygulanır",H444="Uygulanmaz")),"Uygulanabilirlik eksik",IF(AND(H444="Uygulanır",P444="Kanıt yetersiz",U444&lt;&gt;""),IF(AND(R444&lt;&gt;"",R444&lt;&gt;Q444,ISNUMBER(S444),S444&gt;0,S444&gt;=L444),"İnceleme tamam","Gözden geçirme eksik"),IF(NOT(AND(J444&lt;&gt;"",COUNTIFS(Evidence[KanitID],J444,Evidence[Kabul edilen ID],J444)=1,K444&lt;&gt;"",ISNUMBER(L444),L444&gt;0,M444&lt;&gt;"")),"Kanıt / test eksik",IF(NOT(AND(R444&lt;&gt;"",R444&lt;&gt;Q444,ISNUMBER(S444),S444&gt;0,S444&gt;=L444)),"Gözden geçirme eksik",IF(H444="Uygulanmaz","İnceleme tamam",IF(AND(OR(P444="Uygun",P444="Kısmen uygun",P444="Uygunsuz"),OR(N444="Uygun",N444="Kısmen uygun",N444="Uygunsuz"),OR(O444="Uygun",O444="Kısmen uygun",O444="Uygunsuz"),OR(P444&lt;&gt;"Uygun",AND(N444="Uygun",O444="Uygun")),OR(P444="Uygun",AND(T444&lt;&gt;"",COUNTIF(Findings[KayitliBulguID],T444)=1))),"İnceleme tamam","Sonuç / bulgu eksik"))))))))</x:f>
      </x:c>
      <x:c r="W444" s="14" t="str">
        <x:f>IF(A444="","",IF(V444&lt;&gt;"İnceleme tamam","İncelenmedi",IF(H444="Uygulanmaz","Uygulanmaz",P444)))</x:f>
      </x:c>
    </x:row>
    <x:row r="445" ht="35" customHeight="1">
      <x:c r="A445" s="12" t="str"/>
      <x:c r="B445" s="12" t="str"/>
      <x:c r="C445" s="12" t="str"/>
      <x:c r="D445" s="12" t="str"/>
      <x:c r="E445" s="12" t="str"/>
      <x:c r="F445" s="12" t="str"/>
      <x:c r="G445" s="12" t="str"/>
      <x:c r="H445" s="12" t="str"/>
      <x:c r="I445" s="12" t="str"/>
      <x:c r="J445" s="12" t="str"/>
      <x:c r="K445" s="12" t="str"/>
      <x:c r="L445" s="13" t="str"/>
      <x:c r="M445" s="12" t="str"/>
      <x:c r="N445" s="12" t="str"/>
      <x:c r="O445" s="12" t="str"/>
      <x:c r="P445" s="12" t="str"/>
      <x:c r="Q445" s="12" t="str"/>
      <x:c r="R445" s="12" t="str"/>
      <x:c r="S445" s="13" t="str"/>
      <x:c r="T445" s="12" t="str"/>
      <x:c r="U445" s="12" t="str"/>
      <x:c r="V445" s="14" t="str">
        <x:f>IF(A445="","",IF(NOT(AND(COUNTIF(Exec[TestID],A445)=1,COUNTIF(Controls[ID],B445)=1,COUNTIFS(Scope[KapsamID],D445,Scope[OnayliKapsamID],D445,Scope[Ürün],C445)=1,OR(COUNTIFS(Controls[ID],B445,Controls[Ürün],C445)=1,COUNTIFS(Controls[ID],B445,Controls[Ürün],"MSP Genel")=1),E445&lt;&gt;"",F445&lt;&gt;"",G445&lt;&gt;"",I445&lt;&gt;"",Q445&lt;&gt;"")),"Kimlik / kapsam eksik",IF(NOT(OR(H445="Uygulanır",H445="Uygulanmaz")),"Uygulanabilirlik eksik",IF(AND(H445="Uygulanır",P445="Kanıt yetersiz",U445&lt;&gt;""),IF(AND(R445&lt;&gt;"",R445&lt;&gt;Q445,ISNUMBER(S445),S445&gt;0,S445&gt;=L445),"İnceleme tamam","Gözden geçirme eksik"),IF(NOT(AND(J445&lt;&gt;"",COUNTIFS(Evidence[KanitID],J445,Evidence[Kabul edilen ID],J445)=1,K445&lt;&gt;"",ISNUMBER(L445),L445&gt;0,M445&lt;&gt;"")),"Kanıt / test eksik",IF(NOT(AND(R445&lt;&gt;"",R445&lt;&gt;Q445,ISNUMBER(S445),S445&gt;0,S445&gt;=L445)),"Gözden geçirme eksik",IF(H445="Uygulanmaz","İnceleme tamam",IF(AND(OR(P445="Uygun",P445="Kısmen uygun",P445="Uygunsuz"),OR(N445="Uygun",N445="Kısmen uygun",N445="Uygunsuz"),OR(O445="Uygun",O445="Kısmen uygun",O445="Uygunsuz"),OR(P445&lt;&gt;"Uygun",AND(N445="Uygun",O445="Uygun")),OR(P445="Uygun",AND(T445&lt;&gt;"",COUNTIF(Findings[KayitliBulguID],T445)=1))),"İnceleme tamam","Sonuç / bulgu eksik"))))))))</x:f>
      </x:c>
      <x:c r="W445" s="14" t="str">
        <x:f>IF(A445="","",IF(V445&lt;&gt;"İnceleme tamam","İncelenmedi",IF(H445="Uygulanmaz","Uygulanmaz",P445)))</x:f>
      </x:c>
    </x:row>
    <x:row r="446" ht="35" customHeight="1">
      <x:c r="A446" s="12" t="str"/>
      <x:c r="B446" s="12" t="str"/>
      <x:c r="C446" s="12" t="str"/>
      <x:c r="D446" s="12" t="str"/>
      <x:c r="E446" s="12" t="str"/>
      <x:c r="F446" s="12" t="str"/>
      <x:c r="G446" s="12" t="str"/>
      <x:c r="H446" s="12" t="str"/>
      <x:c r="I446" s="12" t="str"/>
      <x:c r="J446" s="12" t="str"/>
      <x:c r="K446" s="12" t="str"/>
      <x:c r="L446" s="13" t="str"/>
      <x:c r="M446" s="12" t="str"/>
      <x:c r="N446" s="12" t="str"/>
      <x:c r="O446" s="12" t="str"/>
      <x:c r="P446" s="12" t="str"/>
      <x:c r="Q446" s="12" t="str"/>
      <x:c r="R446" s="12" t="str"/>
      <x:c r="S446" s="13" t="str"/>
      <x:c r="T446" s="12" t="str"/>
      <x:c r="U446" s="12" t="str"/>
      <x:c r="V446" s="14" t="str">
        <x:f>IF(A446="","",IF(NOT(AND(COUNTIF(Exec[TestID],A446)=1,COUNTIF(Controls[ID],B446)=1,COUNTIFS(Scope[KapsamID],D446,Scope[OnayliKapsamID],D446,Scope[Ürün],C446)=1,OR(COUNTIFS(Controls[ID],B446,Controls[Ürün],C446)=1,COUNTIFS(Controls[ID],B446,Controls[Ürün],"MSP Genel")=1),E446&lt;&gt;"",F446&lt;&gt;"",G446&lt;&gt;"",I446&lt;&gt;"",Q446&lt;&gt;"")),"Kimlik / kapsam eksik",IF(NOT(OR(H446="Uygulanır",H446="Uygulanmaz")),"Uygulanabilirlik eksik",IF(AND(H446="Uygulanır",P446="Kanıt yetersiz",U446&lt;&gt;""),IF(AND(R446&lt;&gt;"",R446&lt;&gt;Q446,ISNUMBER(S446),S446&gt;0,S446&gt;=L446),"İnceleme tamam","Gözden geçirme eksik"),IF(NOT(AND(J446&lt;&gt;"",COUNTIFS(Evidence[KanitID],J446,Evidence[Kabul edilen ID],J446)=1,K446&lt;&gt;"",ISNUMBER(L446),L446&gt;0,M446&lt;&gt;"")),"Kanıt / test eksik",IF(NOT(AND(R446&lt;&gt;"",R446&lt;&gt;Q446,ISNUMBER(S446),S446&gt;0,S446&gt;=L446)),"Gözden geçirme eksik",IF(H446="Uygulanmaz","İnceleme tamam",IF(AND(OR(P446="Uygun",P446="Kısmen uygun",P446="Uygunsuz"),OR(N446="Uygun",N446="Kısmen uygun",N446="Uygunsuz"),OR(O446="Uygun",O446="Kısmen uygun",O446="Uygunsuz"),OR(P446&lt;&gt;"Uygun",AND(N446="Uygun",O446="Uygun")),OR(P446="Uygun",AND(T446&lt;&gt;"",COUNTIF(Findings[KayitliBulguID],T446)=1))),"İnceleme tamam","Sonuç / bulgu eksik"))))))))</x:f>
      </x:c>
      <x:c r="W446" s="14" t="str">
        <x:f>IF(A446="","",IF(V446&lt;&gt;"İnceleme tamam","İncelenmedi",IF(H446="Uygulanmaz","Uygulanmaz",P446)))</x:f>
      </x:c>
    </x:row>
    <x:row r="447" ht="35" customHeight="1">
      <x:c r="A447" s="12" t="str"/>
      <x:c r="B447" s="12" t="str"/>
      <x:c r="C447" s="12" t="str"/>
      <x:c r="D447" s="12" t="str"/>
      <x:c r="E447" s="12" t="str"/>
      <x:c r="F447" s="12" t="str"/>
      <x:c r="G447" s="12" t="str"/>
      <x:c r="H447" s="12" t="str"/>
      <x:c r="I447" s="12" t="str"/>
      <x:c r="J447" s="12" t="str"/>
      <x:c r="K447" s="12" t="str"/>
      <x:c r="L447" s="13" t="str"/>
      <x:c r="M447" s="12" t="str"/>
      <x:c r="N447" s="12" t="str"/>
      <x:c r="O447" s="12" t="str"/>
      <x:c r="P447" s="12" t="str"/>
      <x:c r="Q447" s="12" t="str"/>
      <x:c r="R447" s="12" t="str"/>
      <x:c r="S447" s="13" t="str"/>
      <x:c r="T447" s="12" t="str"/>
      <x:c r="U447" s="12" t="str"/>
      <x:c r="V447" s="14" t="str">
        <x:f>IF(A447="","",IF(NOT(AND(COUNTIF(Exec[TestID],A447)=1,COUNTIF(Controls[ID],B447)=1,COUNTIFS(Scope[KapsamID],D447,Scope[OnayliKapsamID],D447,Scope[Ürün],C447)=1,OR(COUNTIFS(Controls[ID],B447,Controls[Ürün],C447)=1,COUNTIFS(Controls[ID],B447,Controls[Ürün],"MSP Genel")=1),E447&lt;&gt;"",F447&lt;&gt;"",G447&lt;&gt;"",I447&lt;&gt;"",Q447&lt;&gt;"")),"Kimlik / kapsam eksik",IF(NOT(OR(H447="Uygulanır",H447="Uygulanmaz")),"Uygulanabilirlik eksik",IF(AND(H447="Uygulanır",P447="Kanıt yetersiz",U447&lt;&gt;""),IF(AND(R447&lt;&gt;"",R447&lt;&gt;Q447,ISNUMBER(S447),S447&gt;0,S447&gt;=L447),"İnceleme tamam","Gözden geçirme eksik"),IF(NOT(AND(J447&lt;&gt;"",COUNTIFS(Evidence[KanitID],J447,Evidence[Kabul edilen ID],J447)=1,K447&lt;&gt;"",ISNUMBER(L447),L447&gt;0,M447&lt;&gt;"")),"Kanıt / test eksik",IF(NOT(AND(R447&lt;&gt;"",R447&lt;&gt;Q447,ISNUMBER(S447),S447&gt;0,S447&gt;=L447)),"Gözden geçirme eksik",IF(H447="Uygulanmaz","İnceleme tamam",IF(AND(OR(P447="Uygun",P447="Kısmen uygun",P447="Uygunsuz"),OR(N447="Uygun",N447="Kısmen uygun",N447="Uygunsuz"),OR(O447="Uygun",O447="Kısmen uygun",O447="Uygunsuz"),OR(P447&lt;&gt;"Uygun",AND(N447="Uygun",O447="Uygun")),OR(P447="Uygun",AND(T447&lt;&gt;"",COUNTIF(Findings[KayitliBulguID],T447)=1))),"İnceleme tamam","Sonuç / bulgu eksik"))))))))</x:f>
      </x:c>
      <x:c r="W447" s="14" t="str">
        <x:f>IF(A447="","",IF(V447&lt;&gt;"İnceleme tamam","İncelenmedi",IF(H447="Uygulanmaz","Uygulanmaz",P447)))</x:f>
      </x:c>
    </x:row>
    <x:row r="448" ht="35" customHeight="1">
      <x:c r="A448" s="12" t="str"/>
      <x:c r="B448" s="12" t="str"/>
      <x:c r="C448" s="12" t="str"/>
      <x:c r="D448" s="12" t="str"/>
      <x:c r="E448" s="12" t="str"/>
      <x:c r="F448" s="12" t="str"/>
      <x:c r="G448" s="12" t="str"/>
      <x:c r="H448" s="12" t="str"/>
      <x:c r="I448" s="12" t="str"/>
      <x:c r="J448" s="12" t="str"/>
      <x:c r="K448" s="12" t="str"/>
      <x:c r="L448" s="13" t="str"/>
      <x:c r="M448" s="12" t="str"/>
      <x:c r="N448" s="12" t="str"/>
      <x:c r="O448" s="12" t="str"/>
      <x:c r="P448" s="12" t="str"/>
      <x:c r="Q448" s="12" t="str"/>
      <x:c r="R448" s="12" t="str"/>
      <x:c r="S448" s="13" t="str"/>
      <x:c r="T448" s="12" t="str"/>
      <x:c r="U448" s="12" t="str"/>
      <x:c r="V448" s="14" t="str">
        <x:f>IF(A448="","",IF(NOT(AND(COUNTIF(Exec[TestID],A448)=1,COUNTIF(Controls[ID],B448)=1,COUNTIFS(Scope[KapsamID],D448,Scope[OnayliKapsamID],D448,Scope[Ürün],C448)=1,OR(COUNTIFS(Controls[ID],B448,Controls[Ürün],C448)=1,COUNTIFS(Controls[ID],B448,Controls[Ürün],"MSP Genel")=1),E448&lt;&gt;"",F448&lt;&gt;"",G448&lt;&gt;"",I448&lt;&gt;"",Q448&lt;&gt;"")),"Kimlik / kapsam eksik",IF(NOT(OR(H448="Uygulanır",H448="Uygulanmaz")),"Uygulanabilirlik eksik",IF(AND(H448="Uygulanır",P448="Kanıt yetersiz",U448&lt;&gt;""),IF(AND(R448&lt;&gt;"",R448&lt;&gt;Q448,ISNUMBER(S448),S448&gt;0,S448&gt;=L448),"İnceleme tamam","Gözden geçirme eksik"),IF(NOT(AND(J448&lt;&gt;"",COUNTIFS(Evidence[KanitID],J448,Evidence[Kabul edilen ID],J448)=1,K448&lt;&gt;"",ISNUMBER(L448),L448&gt;0,M448&lt;&gt;"")),"Kanıt / test eksik",IF(NOT(AND(R448&lt;&gt;"",R448&lt;&gt;Q448,ISNUMBER(S448),S448&gt;0,S448&gt;=L448)),"Gözden geçirme eksik",IF(H448="Uygulanmaz","İnceleme tamam",IF(AND(OR(P448="Uygun",P448="Kısmen uygun",P448="Uygunsuz"),OR(N448="Uygun",N448="Kısmen uygun",N448="Uygunsuz"),OR(O448="Uygun",O448="Kısmen uygun",O448="Uygunsuz"),OR(P448&lt;&gt;"Uygun",AND(N448="Uygun",O448="Uygun")),OR(P448="Uygun",AND(T448&lt;&gt;"",COUNTIF(Findings[KayitliBulguID],T448)=1))),"İnceleme tamam","Sonuç / bulgu eksik"))))))))</x:f>
      </x:c>
      <x:c r="W448" s="14" t="str">
        <x:f>IF(A448="","",IF(V448&lt;&gt;"İnceleme tamam","İncelenmedi",IF(H448="Uygulanmaz","Uygulanmaz",P448)))</x:f>
      </x:c>
    </x:row>
    <x:row r="449" ht="35" customHeight="1">
      <x:c r="A449" s="12" t="str"/>
      <x:c r="B449" s="12" t="str"/>
      <x:c r="C449" s="12" t="str"/>
      <x:c r="D449" s="12" t="str"/>
      <x:c r="E449" s="12" t="str"/>
      <x:c r="F449" s="12" t="str"/>
      <x:c r="G449" s="12" t="str"/>
      <x:c r="H449" s="12" t="str"/>
      <x:c r="I449" s="12" t="str"/>
      <x:c r="J449" s="12" t="str"/>
      <x:c r="K449" s="12" t="str"/>
      <x:c r="L449" s="13" t="str"/>
      <x:c r="M449" s="12" t="str"/>
      <x:c r="N449" s="12" t="str"/>
      <x:c r="O449" s="12" t="str"/>
      <x:c r="P449" s="12" t="str"/>
      <x:c r="Q449" s="12" t="str"/>
      <x:c r="R449" s="12" t="str"/>
      <x:c r="S449" s="13" t="str"/>
      <x:c r="T449" s="12" t="str"/>
      <x:c r="U449" s="12" t="str"/>
      <x:c r="V449" s="14" t="str">
        <x:f>IF(A449="","",IF(NOT(AND(COUNTIF(Exec[TestID],A449)=1,COUNTIF(Controls[ID],B449)=1,COUNTIFS(Scope[KapsamID],D449,Scope[OnayliKapsamID],D449,Scope[Ürün],C449)=1,OR(COUNTIFS(Controls[ID],B449,Controls[Ürün],C449)=1,COUNTIFS(Controls[ID],B449,Controls[Ürün],"MSP Genel")=1),E449&lt;&gt;"",F449&lt;&gt;"",G449&lt;&gt;"",I449&lt;&gt;"",Q449&lt;&gt;"")),"Kimlik / kapsam eksik",IF(NOT(OR(H449="Uygulanır",H449="Uygulanmaz")),"Uygulanabilirlik eksik",IF(AND(H449="Uygulanır",P449="Kanıt yetersiz",U449&lt;&gt;""),IF(AND(R449&lt;&gt;"",R449&lt;&gt;Q449,ISNUMBER(S449),S449&gt;0,S449&gt;=L449),"İnceleme tamam","Gözden geçirme eksik"),IF(NOT(AND(J449&lt;&gt;"",COUNTIFS(Evidence[KanitID],J449,Evidence[Kabul edilen ID],J449)=1,K449&lt;&gt;"",ISNUMBER(L449),L449&gt;0,M449&lt;&gt;"")),"Kanıt / test eksik",IF(NOT(AND(R449&lt;&gt;"",R449&lt;&gt;Q449,ISNUMBER(S449),S449&gt;0,S449&gt;=L449)),"Gözden geçirme eksik",IF(H449="Uygulanmaz","İnceleme tamam",IF(AND(OR(P449="Uygun",P449="Kısmen uygun",P449="Uygunsuz"),OR(N449="Uygun",N449="Kısmen uygun",N449="Uygunsuz"),OR(O449="Uygun",O449="Kısmen uygun",O449="Uygunsuz"),OR(P449&lt;&gt;"Uygun",AND(N449="Uygun",O449="Uygun")),OR(P449="Uygun",AND(T449&lt;&gt;"",COUNTIF(Findings[KayitliBulguID],T449)=1))),"İnceleme tamam","Sonuç / bulgu eksik"))))))))</x:f>
      </x:c>
      <x:c r="W449" s="14" t="str">
        <x:f>IF(A449="","",IF(V449&lt;&gt;"İnceleme tamam","İncelenmedi",IF(H449="Uygulanmaz","Uygulanmaz",P449)))</x:f>
      </x:c>
    </x:row>
    <x:row r="450" ht="35" customHeight="1">
      <x:c r="A450" s="12" t="str"/>
      <x:c r="B450" s="12" t="str"/>
      <x:c r="C450" s="12" t="str"/>
      <x:c r="D450" s="12" t="str"/>
      <x:c r="E450" s="12" t="str"/>
      <x:c r="F450" s="12" t="str"/>
      <x:c r="G450" s="12" t="str"/>
      <x:c r="H450" s="12" t="str"/>
      <x:c r="I450" s="12" t="str"/>
      <x:c r="J450" s="12" t="str"/>
      <x:c r="K450" s="12" t="str"/>
      <x:c r="L450" s="13" t="str"/>
      <x:c r="M450" s="12" t="str"/>
      <x:c r="N450" s="12" t="str"/>
      <x:c r="O450" s="12" t="str"/>
      <x:c r="P450" s="12" t="str"/>
      <x:c r="Q450" s="12" t="str"/>
      <x:c r="R450" s="12" t="str"/>
      <x:c r="S450" s="13" t="str"/>
      <x:c r="T450" s="12" t="str"/>
      <x:c r="U450" s="12" t="str"/>
      <x:c r="V450" s="14" t="str">
        <x:f>IF(A450="","",IF(NOT(AND(COUNTIF(Exec[TestID],A450)=1,COUNTIF(Controls[ID],B450)=1,COUNTIFS(Scope[KapsamID],D450,Scope[OnayliKapsamID],D450,Scope[Ürün],C450)=1,OR(COUNTIFS(Controls[ID],B450,Controls[Ürün],C450)=1,COUNTIFS(Controls[ID],B450,Controls[Ürün],"MSP Genel")=1),E450&lt;&gt;"",F450&lt;&gt;"",G450&lt;&gt;"",I450&lt;&gt;"",Q450&lt;&gt;"")),"Kimlik / kapsam eksik",IF(NOT(OR(H450="Uygulanır",H450="Uygulanmaz")),"Uygulanabilirlik eksik",IF(AND(H450="Uygulanır",P450="Kanıt yetersiz",U450&lt;&gt;""),IF(AND(R450&lt;&gt;"",R450&lt;&gt;Q450,ISNUMBER(S450),S450&gt;0,S450&gt;=L450),"İnceleme tamam","Gözden geçirme eksik"),IF(NOT(AND(J450&lt;&gt;"",COUNTIFS(Evidence[KanitID],J450,Evidence[Kabul edilen ID],J450)=1,K450&lt;&gt;"",ISNUMBER(L450),L450&gt;0,M450&lt;&gt;"")),"Kanıt / test eksik",IF(NOT(AND(R450&lt;&gt;"",R450&lt;&gt;Q450,ISNUMBER(S450),S450&gt;0,S450&gt;=L450)),"Gözden geçirme eksik",IF(H450="Uygulanmaz","İnceleme tamam",IF(AND(OR(P450="Uygun",P450="Kısmen uygun",P450="Uygunsuz"),OR(N450="Uygun",N450="Kısmen uygun",N450="Uygunsuz"),OR(O450="Uygun",O450="Kısmen uygun",O450="Uygunsuz"),OR(P450&lt;&gt;"Uygun",AND(N450="Uygun",O450="Uygun")),OR(P450="Uygun",AND(T450&lt;&gt;"",COUNTIF(Findings[KayitliBulguID],T450)=1))),"İnceleme tamam","Sonuç / bulgu eksik"))))))))</x:f>
      </x:c>
      <x:c r="W450" s="14" t="str">
        <x:f>IF(A450="","",IF(V450&lt;&gt;"İnceleme tamam","İncelenmedi",IF(H450="Uygulanmaz","Uygulanmaz",P450)))</x:f>
      </x:c>
    </x:row>
    <x:row r="451" ht="35" customHeight="1">
      <x:c r="A451" s="12" t="str"/>
      <x:c r="B451" s="12" t="str"/>
      <x:c r="C451" s="12" t="str"/>
      <x:c r="D451" s="12" t="str"/>
      <x:c r="E451" s="12" t="str"/>
      <x:c r="F451" s="12" t="str"/>
      <x:c r="G451" s="12" t="str"/>
      <x:c r="H451" s="12" t="str"/>
      <x:c r="I451" s="12" t="str"/>
      <x:c r="J451" s="12" t="str"/>
      <x:c r="K451" s="12" t="str"/>
      <x:c r="L451" s="13" t="str"/>
      <x:c r="M451" s="12" t="str"/>
      <x:c r="N451" s="12" t="str"/>
      <x:c r="O451" s="12" t="str"/>
      <x:c r="P451" s="12" t="str"/>
      <x:c r="Q451" s="12" t="str"/>
      <x:c r="R451" s="12" t="str"/>
      <x:c r="S451" s="13" t="str"/>
      <x:c r="T451" s="12" t="str"/>
      <x:c r="U451" s="12" t="str"/>
      <x:c r="V451" s="14" t="str">
        <x:f>IF(A451="","",IF(NOT(AND(COUNTIF(Exec[TestID],A451)=1,COUNTIF(Controls[ID],B451)=1,COUNTIFS(Scope[KapsamID],D451,Scope[OnayliKapsamID],D451,Scope[Ürün],C451)=1,OR(COUNTIFS(Controls[ID],B451,Controls[Ürün],C451)=1,COUNTIFS(Controls[ID],B451,Controls[Ürün],"MSP Genel")=1),E451&lt;&gt;"",F451&lt;&gt;"",G451&lt;&gt;"",I451&lt;&gt;"",Q451&lt;&gt;"")),"Kimlik / kapsam eksik",IF(NOT(OR(H451="Uygulanır",H451="Uygulanmaz")),"Uygulanabilirlik eksik",IF(AND(H451="Uygulanır",P451="Kanıt yetersiz",U451&lt;&gt;""),IF(AND(R451&lt;&gt;"",R451&lt;&gt;Q451,ISNUMBER(S451),S451&gt;0,S451&gt;=L451),"İnceleme tamam","Gözden geçirme eksik"),IF(NOT(AND(J451&lt;&gt;"",COUNTIFS(Evidence[KanitID],J451,Evidence[Kabul edilen ID],J451)=1,K451&lt;&gt;"",ISNUMBER(L451),L451&gt;0,M451&lt;&gt;"")),"Kanıt / test eksik",IF(NOT(AND(R451&lt;&gt;"",R451&lt;&gt;Q451,ISNUMBER(S451),S451&gt;0,S451&gt;=L451)),"Gözden geçirme eksik",IF(H451="Uygulanmaz","İnceleme tamam",IF(AND(OR(P451="Uygun",P451="Kısmen uygun",P451="Uygunsuz"),OR(N451="Uygun",N451="Kısmen uygun",N451="Uygunsuz"),OR(O451="Uygun",O451="Kısmen uygun",O451="Uygunsuz"),OR(P451&lt;&gt;"Uygun",AND(N451="Uygun",O451="Uygun")),OR(P451="Uygun",AND(T451&lt;&gt;"",COUNTIF(Findings[KayitliBulguID],T451)=1))),"İnceleme tamam","Sonuç / bulgu eksik"))))))))</x:f>
      </x:c>
      <x:c r="W451" s="14" t="str">
        <x:f>IF(A451="","",IF(V451&lt;&gt;"İnceleme tamam","İncelenmedi",IF(H451="Uygulanmaz","Uygulanmaz",P451)))</x:f>
      </x:c>
    </x:row>
    <x:row r="452" ht="35" customHeight="1">
      <x:c r="A452" s="12" t="str"/>
      <x:c r="B452" s="12" t="str"/>
      <x:c r="C452" s="12" t="str"/>
      <x:c r="D452" s="12" t="str"/>
      <x:c r="E452" s="12" t="str"/>
      <x:c r="F452" s="12" t="str"/>
      <x:c r="G452" s="12" t="str"/>
      <x:c r="H452" s="12" t="str"/>
      <x:c r="I452" s="12" t="str"/>
      <x:c r="J452" s="12" t="str"/>
      <x:c r="K452" s="12" t="str"/>
      <x:c r="L452" s="13" t="str"/>
      <x:c r="M452" s="12" t="str"/>
      <x:c r="N452" s="12" t="str"/>
      <x:c r="O452" s="12" t="str"/>
      <x:c r="P452" s="12" t="str"/>
      <x:c r="Q452" s="12" t="str"/>
      <x:c r="R452" s="12" t="str"/>
      <x:c r="S452" s="13" t="str"/>
      <x:c r="T452" s="12" t="str"/>
      <x:c r="U452" s="12" t="str"/>
      <x:c r="V452" s="14" t="str">
        <x:f>IF(A452="","",IF(NOT(AND(COUNTIF(Exec[TestID],A452)=1,COUNTIF(Controls[ID],B452)=1,COUNTIFS(Scope[KapsamID],D452,Scope[OnayliKapsamID],D452,Scope[Ürün],C452)=1,OR(COUNTIFS(Controls[ID],B452,Controls[Ürün],C452)=1,COUNTIFS(Controls[ID],B452,Controls[Ürün],"MSP Genel")=1),E452&lt;&gt;"",F452&lt;&gt;"",G452&lt;&gt;"",I452&lt;&gt;"",Q452&lt;&gt;"")),"Kimlik / kapsam eksik",IF(NOT(OR(H452="Uygulanır",H452="Uygulanmaz")),"Uygulanabilirlik eksik",IF(AND(H452="Uygulanır",P452="Kanıt yetersiz",U452&lt;&gt;""),IF(AND(R452&lt;&gt;"",R452&lt;&gt;Q452,ISNUMBER(S452),S452&gt;0,S452&gt;=L452),"İnceleme tamam","Gözden geçirme eksik"),IF(NOT(AND(J452&lt;&gt;"",COUNTIFS(Evidence[KanitID],J452,Evidence[Kabul edilen ID],J452)=1,K452&lt;&gt;"",ISNUMBER(L452),L452&gt;0,M452&lt;&gt;"")),"Kanıt / test eksik",IF(NOT(AND(R452&lt;&gt;"",R452&lt;&gt;Q452,ISNUMBER(S452),S452&gt;0,S452&gt;=L452)),"Gözden geçirme eksik",IF(H452="Uygulanmaz","İnceleme tamam",IF(AND(OR(P452="Uygun",P452="Kısmen uygun",P452="Uygunsuz"),OR(N452="Uygun",N452="Kısmen uygun",N452="Uygunsuz"),OR(O452="Uygun",O452="Kısmen uygun",O452="Uygunsuz"),OR(P452&lt;&gt;"Uygun",AND(N452="Uygun",O452="Uygun")),OR(P452="Uygun",AND(T452&lt;&gt;"",COUNTIF(Findings[KayitliBulguID],T452)=1))),"İnceleme tamam","Sonuç / bulgu eksik"))))))))</x:f>
      </x:c>
      <x:c r="W452" s="14" t="str">
        <x:f>IF(A452="","",IF(V452&lt;&gt;"İnceleme tamam","İncelenmedi",IF(H452="Uygulanmaz","Uygulanmaz",P452)))</x:f>
      </x:c>
    </x:row>
    <x:row r="453" ht="35" customHeight="1">
      <x:c r="A453" s="12" t="str"/>
      <x:c r="B453" s="12" t="str"/>
      <x:c r="C453" s="12" t="str"/>
      <x:c r="D453" s="12" t="str"/>
      <x:c r="E453" s="12" t="str"/>
      <x:c r="F453" s="12" t="str"/>
      <x:c r="G453" s="12" t="str"/>
      <x:c r="H453" s="12" t="str"/>
      <x:c r="I453" s="12" t="str"/>
      <x:c r="J453" s="12" t="str"/>
      <x:c r="K453" s="12" t="str"/>
      <x:c r="L453" s="13" t="str"/>
      <x:c r="M453" s="12" t="str"/>
      <x:c r="N453" s="12" t="str"/>
      <x:c r="O453" s="12" t="str"/>
      <x:c r="P453" s="12" t="str"/>
      <x:c r="Q453" s="12" t="str"/>
      <x:c r="R453" s="12" t="str"/>
      <x:c r="S453" s="13" t="str"/>
      <x:c r="T453" s="12" t="str"/>
      <x:c r="U453" s="12" t="str"/>
      <x:c r="V453" s="14" t="str">
        <x:f>IF(A453="","",IF(NOT(AND(COUNTIF(Exec[TestID],A453)=1,COUNTIF(Controls[ID],B453)=1,COUNTIFS(Scope[KapsamID],D453,Scope[OnayliKapsamID],D453,Scope[Ürün],C453)=1,OR(COUNTIFS(Controls[ID],B453,Controls[Ürün],C453)=1,COUNTIFS(Controls[ID],B453,Controls[Ürün],"MSP Genel")=1),E453&lt;&gt;"",F453&lt;&gt;"",G453&lt;&gt;"",I453&lt;&gt;"",Q453&lt;&gt;"")),"Kimlik / kapsam eksik",IF(NOT(OR(H453="Uygulanır",H453="Uygulanmaz")),"Uygulanabilirlik eksik",IF(AND(H453="Uygulanır",P453="Kanıt yetersiz",U453&lt;&gt;""),IF(AND(R453&lt;&gt;"",R453&lt;&gt;Q453,ISNUMBER(S453),S453&gt;0,S453&gt;=L453),"İnceleme tamam","Gözden geçirme eksik"),IF(NOT(AND(J453&lt;&gt;"",COUNTIFS(Evidence[KanitID],J453,Evidence[Kabul edilen ID],J453)=1,K453&lt;&gt;"",ISNUMBER(L453),L453&gt;0,M453&lt;&gt;"")),"Kanıt / test eksik",IF(NOT(AND(R453&lt;&gt;"",R453&lt;&gt;Q453,ISNUMBER(S453),S453&gt;0,S453&gt;=L453)),"Gözden geçirme eksik",IF(H453="Uygulanmaz","İnceleme tamam",IF(AND(OR(P453="Uygun",P453="Kısmen uygun",P453="Uygunsuz"),OR(N453="Uygun",N453="Kısmen uygun",N453="Uygunsuz"),OR(O453="Uygun",O453="Kısmen uygun",O453="Uygunsuz"),OR(P453&lt;&gt;"Uygun",AND(N453="Uygun",O453="Uygun")),OR(P453="Uygun",AND(T453&lt;&gt;"",COUNTIF(Findings[KayitliBulguID],T453)=1))),"İnceleme tamam","Sonuç / bulgu eksik"))))))))</x:f>
      </x:c>
      <x:c r="W453" s="14" t="str">
        <x:f>IF(A453="","",IF(V453&lt;&gt;"İnceleme tamam","İncelenmedi",IF(H453="Uygulanmaz","Uygulanmaz",P453)))</x:f>
      </x:c>
    </x:row>
    <x:row r="454" ht="35" customHeight="1">
      <x:c r="A454" s="12" t="str"/>
      <x:c r="B454" s="12" t="str"/>
      <x:c r="C454" s="12" t="str"/>
      <x:c r="D454" s="12" t="str"/>
      <x:c r="E454" s="12" t="str"/>
      <x:c r="F454" s="12" t="str"/>
      <x:c r="G454" s="12" t="str"/>
      <x:c r="H454" s="12" t="str"/>
      <x:c r="I454" s="12" t="str"/>
      <x:c r="J454" s="12" t="str"/>
      <x:c r="K454" s="12" t="str"/>
      <x:c r="L454" s="13" t="str"/>
      <x:c r="M454" s="12" t="str"/>
      <x:c r="N454" s="12" t="str"/>
      <x:c r="O454" s="12" t="str"/>
      <x:c r="P454" s="12" t="str"/>
      <x:c r="Q454" s="12" t="str"/>
      <x:c r="R454" s="12" t="str"/>
      <x:c r="S454" s="13" t="str"/>
      <x:c r="T454" s="12" t="str"/>
      <x:c r="U454" s="12" t="str"/>
      <x:c r="V454" s="14" t="str">
        <x:f>IF(A454="","",IF(NOT(AND(COUNTIF(Exec[TestID],A454)=1,COUNTIF(Controls[ID],B454)=1,COUNTIFS(Scope[KapsamID],D454,Scope[OnayliKapsamID],D454,Scope[Ürün],C454)=1,OR(COUNTIFS(Controls[ID],B454,Controls[Ürün],C454)=1,COUNTIFS(Controls[ID],B454,Controls[Ürün],"MSP Genel")=1),E454&lt;&gt;"",F454&lt;&gt;"",G454&lt;&gt;"",I454&lt;&gt;"",Q454&lt;&gt;"")),"Kimlik / kapsam eksik",IF(NOT(OR(H454="Uygulanır",H454="Uygulanmaz")),"Uygulanabilirlik eksik",IF(AND(H454="Uygulanır",P454="Kanıt yetersiz",U454&lt;&gt;""),IF(AND(R454&lt;&gt;"",R454&lt;&gt;Q454,ISNUMBER(S454),S454&gt;0,S454&gt;=L454),"İnceleme tamam","Gözden geçirme eksik"),IF(NOT(AND(J454&lt;&gt;"",COUNTIFS(Evidence[KanitID],J454,Evidence[Kabul edilen ID],J454)=1,K454&lt;&gt;"",ISNUMBER(L454),L454&gt;0,M454&lt;&gt;"")),"Kanıt / test eksik",IF(NOT(AND(R454&lt;&gt;"",R454&lt;&gt;Q454,ISNUMBER(S454),S454&gt;0,S454&gt;=L454)),"Gözden geçirme eksik",IF(H454="Uygulanmaz","İnceleme tamam",IF(AND(OR(P454="Uygun",P454="Kısmen uygun",P454="Uygunsuz"),OR(N454="Uygun",N454="Kısmen uygun",N454="Uygunsuz"),OR(O454="Uygun",O454="Kısmen uygun",O454="Uygunsuz"),OR(P454&lt;&gt;"Uygun",AND(N454="Uygun",O454="Uygun")),OR(P454="Uygun",AND(T454&lt;&gt;"",COUNTIF(Findings[KayitliBulguID],T454)=1))),"İnceleme tamam","Sonuç / bulgu eksik"))))))))</x:f>
      </x:c>
      <x:c r="W454" s="14" t="str">
        <x:f>IF(A454="","",IF(V454&lt;&gt;"İnceleme tamam","İncelenmedi",IF(H454="Uygulanmaz","Uygulanmaz",P454)))</x:f>
      </x:c>
    </x:row>
    <x:row r="455" ht="35" customHeight="1">
      <x:c r="A455" s="12" t="str"/>
      <x:c r="B455" s="12" t="str"/>
      <x:c r="C455" s="12" t="str"/>
      <x:c r="D455" s="12" t="str"/>
      <x:c r="E455" s="12" t="str"/>
      <x:c r="F455" s="12" t="str"/>
      <x:c r="G455" s="12" t="str"/>
      <x:c r="H455" s="12" t="str"/>
      <x:c r="I455" s="12" t="str"/>
      <x:c r="J455" s="12" t="str"/>
      <x:c r="K455" s="12" t="str"/>
      <x:c r="L455" s="13" t="str"/>
      <x:c r="M455" s="12" t="str"/>
      <x:c r="N455" s="12" t="str"/>
      <x:c r="O455" s="12" t="str"/>
      <x:c r="P455" s="12" t="str"/>
      <x:c r="Q455" s="12" t="str"/>
      <x:c r="R455" s="12" t="str"/>
      <x:c r="S455" s="13" t="str"/>
      <x:c r="T455" s="12" t="str"/>
      <x:c r="U455" s="12" t="str"/>
      <x:c r="V455" s="14" t="str">
        <x:f>IF(A455="","",IF(NOT(AND(COUNTIF(Exec[TestID],A455)=1,COUNTIF(Controls[ID],B455)=1,COUNTIFS(Scope[KapsamID],D455,Scope[OnayliKapsamID],D455,Scope[Ürün],C455)=1,OR(COUNTIFS(Controls[ID],B455,Controls[Ürün],C455)=1,COUNTIFS(Controls[ID],B455,Controls[Ürün],"MSP Genel")=1),E455&lt;&gt;"",F455&lt;&gt;"",G455&lt;&gt;"",I455&lt;&gt;"",Q455&lt;&gt;"")),"Kimlik / kapsam eksik",IF(NOT(OR(H455="Uygulanır",H455="Uygulanmaz")),"Uygulanabilirlik eksik",IF(AND(H455="Uygulanır",P455="Kanıt yetersiz",U455&lt;&gt;""),IF(AND(R455&lt;&gt;"",R455&lt;&gt;Q455,ISNUMBER(S455),S455&gt;0,S455&gt;=L455),"İnceleme tamam","Gözden geçirme eksik"),IF(NOT(AND(J455&lt;&gt;"",COUNTIFS(Evidence[KanitID],J455,Evidence[Kabul edilen ID],J455)=1,K455&lt;&gt;"",ISNUMBER(L455),L455&gt;0,M455&lt;&gt;"")),"Kanıt / test eksik",IF(NOT(AND(R455&lt;&gt;"",R455&lt;&gt;Q455,ISNUMBER(S455),S455&gt;0,S455&gt;=L455)),"Gözden geçirme eksik",IF(H455="Uygulanmaz","İnceleme tamam",IF(AND(OR(P455="Uygun",P455="Kısmen uygun",P455="Uygunsuz"),OR(N455="Uygun",N455="Kısmen uygun",N455="Uygunsuz"),OR(O455="Uygun",O455="Kısmen uygun",O455="Uygunsuz"),OR(P455&lt;&gt;"Uygun",AND(N455="Uygun",O455="Uygun")),OR(P455="Uygun",AND(T455&lt;&gt;"",COUNTIF(Findings[KayitliBulguID],T455)=1))),"İnceleme tamam","Sonuç / bulgu eksik"))))))))</x:f>
      </x:c>
      <x:c r="W455" s="14" t="str">
        <x:f>IF(A455="","",IF(V455&lt;&gt;"İnceleme tamam","İncelenmedi",IF(H455="Uygulanmaz","Uygulanmaz",P455)))</x:f>
      </x:c>
    </x:row>
    <x:row r="456" ht="35" customHeight="1">
      <x:c r="A456" s="12" t="str"/>
      <x:c r="B456" s="12" t="str"/>
      <x:c r="C456" s="12" t="str"/>
      <x:c r="D456" s="12" t="str"/>
      <x:c r="E456" s="12" t="str"/>
      <x:c r="F456" s="12" t="str"/>
      <x:c r="G456" s="12" t="str"/>
      <x:c r="H456" s="12" t="str"/>
      <x:c r="I456" s="12" t="str"/>
      <x:c r="J456" s="12" t="str"/>
      <x:c r="K456" s="12" t="str"/>
      <x:c r="L456" s="13" t="str"/>
      <x:c r="M456" s="12" t="str"/>
      <x:c r="N456" s="12" t="str"/>
      <x:c r="O456" s="12" t="str"/>
      <x:c r="P456" s="12" t="str"/>
      <x:c r="Q456" s="12" t="str"/>
      <x:c r="R456" s="12" t="str"/>
      <x:c r="S456" s="13" t="str"/>
      <x:c r="T456" s="12" t="str"/>
      <x:c r="U456" s="12" t="str"/>
      <x:c r="V456" s="14" t="str">
        <x:f>IF(A456="","",IF(NOT(AND(COUNTIF(Exec[TestID],A456)=1,COUNTIF(Controls[ID],B456)=1,COUNTIFS(Scope[KapsamID],D456,Scope[OnayliKapsamID],D456,Scope[Ürün],C456)=1,OR(COUNTIFS(Controls[ID],B456,Controls[Ürün],C456)=1,COUNTIFS(Controls[ID],B456,Controls[Ürün],"MSP Genel")=1),E456&lt;&gt;"",F456&lt;&gt;"",G456&lt;&gt;"",I456&lt;&gt;"",Q456&lt;&gt;"")),"Kimlik / kapsam eksik",IF(NOT(OR(H456="Uygulanır",H456="Uygulanmaz")),"Uygulanabilirlik eksik",IF(AND(H456="Uygulanır",P456="Kanıt yetersiz",U456&lt;&gt;""),IF(AND(R456&lt;&gt;"",R456&lt;&gt;Q456,ISNUMBER(S456),S456&gt;0,S456&gt;=L456),"İnceleme tamam","Gözden geçirme eksik"),IF(NOT(AND(J456&lt;&gt;"",COUNTIFS(Evidence[KanitID],J456,Evidence[Kabul edilen ID],J456)=1,K456&lt;&gt;"",ISNUMBER(L456),L456&gt;0,M456&lt;&gt;"")),"Kanıt / test eksik",IF(NOT(AND(R456&lt;&gt;"",R456&lt;&gt;Q456,ISNUMBER(S456),S456&gt;0,S456&gt;=L456)),"Gözden geçirme eksik",IF(H456="Uygulanmaz","İnceleme tamam",IF(AND(OR(P456="Uygun",P456="Kısmen uygun",P456="Uygunsuz"),OR(N456="Uygun",N456="Kısmen uygun",N456="Uygunsuz"),OR(O456="Uygun",O456="Kısmen uygun",O456="Uygunsuz"),OR(P456&lt;&gt;"Uygun",AND(N456="Uygun",O456="Uygun")),OR(P456="Uygun",AND(T456&lt;&gt;"",COUNTIF(Findings[KayitliBulguID],T456)=1))),"İnceleme tamam","Sonuç / bulgu eksik"))))))))</x:f>
      </x:c>
      <x:c r="W456" s="14" t="str">
        <x:f>IF(A456="","",IF(V456&lt;&gt;"İnceleme tamam","İncelenmedi",IF(H456="Uygulanmaz","Uygulanmaz",P456)))</x:f>
      </x:c>
    </x:row>
    <x:row r="457" ht="35" customHeight="1">
      <x:c r="A457" s="12" t="str"/>
      <x:c r="B457" s="12" t="str"/>
      <x:c r="C457" s="12" t="str"/>
      <x:c r="D457" s="12" t="str"/>
      <x:c r="E457" s="12" t="str"/>
      <x:c r="F457" s="12" t="str"/>
      <x:c r="G457" s="12" t="str"/>
      <x:c r="H457" s="12" t="str"/>
      <x:c r="I457" s="12" t="str"/>
      <x:c r="J457" s="12" t="str"/>
      <x:c r="K457" s="12" t="str"/>
      <x:c r="L457" s="13" t="str"/>
      <x:c r="M457" s="12" t="str"/>
      <x:c r="N457" s="12" t="str"/>
      <x:c r="O457" s="12" t="str"/>
      <x:c r="P457" s="12" t="str"/>
      <x:c r="Q457" s="12" t="str"/>
      <x:c r="R457" s="12" t="str"/>
      <x:c r="S457" s="13" t="str"/>
      <x:c r="T457" s="12" t="str"/>
      <x:c r="U457" s="12" t="str"/>
      <x:c r="V457" s="14" t="str">
        <x:f>IF(A457="","",IF(NOT(AND(COUNTIF(Exec[TestID],A457)=1,COUNTIF(Controls[ID],B457)=1,COUNTIFS(Scope[KapsamID],D457,Scope[OnayliKapsamID],D457,Scope[Ürün],C457)=1,OR(COUNTIFS(Controls[ID],B457,Controls[Ürün],C457)=1,COUNTIFS(Controls[ID],B457,Controls[Ürün],"MSP Genel")=1),E457&lt;&gt;"",F457&lt;&gt;"",G457&lt;&gt;"",I457&lt;&gt;"",Q457&lt;&gt;"")),"Kimlik / kapsam eksik",IF(NOT(OR(H457="Uygulanır",H457="Uygulanmaz")),"Uygulanabilirlik eksik",IF(AND(H457="Uygulanır",P457="Kanıt yetersiz",U457&lt;&gt;""),IF(AND(R457&lt;&gt;"",R457&lt;&gt;Q457,ISNUMBER(S457),S457&gt;0,S457&gt;=L457),"İnceleme tamam","Gözden geçirme eksik"),IF(NOT(AND(J457&lt;&gt;"",COUNTIFS(Evidence[KanitID],J457,Evidence[Kabul edilen ID],J457)=1,K457&lt;&gt;"",ISNUMBER(L457),L457&gt;0,M457&lt;&gt;"")),"Kanıt / test eksik",IF(NOT(AND(R457&lt;&gt;"",R457&lt;&gt;Q457,ISNUMBER(S457),S457&gt;0,S457&gt;=L457)),"Gözden geçirme eksik",IF(H457="Uygulanmaz","İnceleme tamam",IF(AND(OR(P457="Uygun",P457="Kısmen uygun",P457="Uygunsuz"),OR(N457="Uygun",N457="Kısmen uygun",N457="Uygunsuz"),OR(O457="Uygun",O457="Kısmen uygun",O457="Uygunsuz"),OR(P457&lt;&gt;"Uygun",AND(N457="Uygun",O457="Uygun")),OR(P457="Uygun",AND(T457&lt;&gt;"",COUNTIF(Findings[KayitliBulguID],T457)=1))),"İnceleme tamam","Sonuç / bulgu eksik"))))))))</x:f>
      </x:c>
      <x:c r="W457" s="14" t="str">
        <x:f>IF(A457="","",IF(V457&lt;&gt;"İnceleme tamam","İncelenmedi",IF(H457="Uygulanmaz","Uygulanmaz",P457)))</x:f>
      </x:c>
    </x:row>
    <x:row r="458" ht="35" customHeight="1">
      <x:c r="A458" s="12" t="str"/>
      <x:c r="B458" s="12" t="str"/>
      <x:c r="C458" s="12" t="str"/>
      <x:c r="D458" s="12" t="str"/>
      <x:c r="E458" s="12" t="str"/>
      <x:c r="F458" s="12" t="str"/>
      <x:c r="G458" s="12" t="str"/>
      <x:c r="H458" s="12" t="str"/>
      <x:c r="I458" s="12" t="str"/>
      <x:c r="J458" s="12" t="str"/>
      <x:c r="K458" s="12" t="str"/>
      <x:c r="L458" s="13" t="str"/>
      <x:c r="M458" s="12" t="str"/>
      <x:c r="N458" s="12" t="str"/>
      <x:c r="O458" s="12" t="str"/>
      <x:c r="P458" s="12" t="str"/>
      <x:c r="Q458" s="12" t="str"/>
      <x:c r="R458" s="12" t="str"/>
      <x:c r="S458" s="13" t="str"/>
      <x:c r="T458" s="12" t="str"/>
      <x:c r="U458" s="12" t="str"/>
      <x:c r="V458" s="14" t="str">
        <x:f>IF(A458="","",IF(NOT(AND(COUNTIF(Exec[TestID],A458)=1,COUNTIF(Controls[ID],B458)=1,COUNTIFS(Scope[KapsamID],D458,Scope[OnayliKapsamID],D458,Scope[Ürün],C458)=1,OR(COUNTIFS(Controls[ID],B458,Controls[Ürün],C458)=1,COUNTIFS(Controls[ID],B458,Controls[Ürün],"MSP Genel")=1),E458&lt;&gt;"",F458&lt;&gt;"",G458&lt;&gt;"",I458&lt;&gt;"",Q458&lt;&gt;"")),"Kimlik / kapsam eksik",IF(NOT(OR(H458="Uygulanır",H458="Uygulanmaz")),"Uygulanabilirlik eksik",IF(AND(H458="Uygulanır",P458="Kanıt yetersiz",U458&lt;&gt;""),IF(AND(R458&lt;&gt;"",R458&lt;&gt;Q458,ISNUMBER(S458),S458&gt;0,S458&gt;=L458),"İnceleme tamam","Gözden geçirme eksik"),IF(NOT(AND(J458&lt;&gt;"",COUNTIFS(Evidence[KanitID],J458,Evidence[Kabul edilen ID],J458)=1,K458&lt;&gt;"",ISNUMBER(L458),L458&gt;0,M458&lt;&gt;"")),"Kanıt / test eksik",IF(NOT(AND(R458&lt;&gt;"",R458&lt;&gt;Q458,ISNUMBER(S458),S458&gt;0,S458&gt;=L458)),"Gözden geçirme eksik",IF(H458="Uygulanmaz","İnceleme tamam",IF(AND(OR(P458="Uygun",P458="Kısmen uygun",P458="Uygunsuz"),OR(N458="Uygun",N458="Kısmen uygun",N458="Uygunsuz"),OR(O458="Uygun",O458="Kısmen uygun",O458="Uygunsuz"),OR(P458&lt;&gt;"Uygun",AND(N458="Uygun",O458="Uygun")),OR(P458="Uygun",AND(T458&lt;&gt;"",COUNTIF(Findings[KayitliBulguID],T458)=1))),"İnceleme tamam","Sonuç / bulgu eksik"))))))))</x:f>
      </x:c>
      <x:c r="W458" s="14" t="str">
        <x:f>IF(A458="","",IF(V458&lt;&gt;"İnceleme tamam","İncelenmedi",IF(H458="Uygulanmaz","Uygulanmaz",P458)))</x:f>
      </x:c>
    </x:row>
    <x:row r="459" ht="35" customHeight="1">
      <x:c r="A459" s="12" t="str"/>
      <x:c r="B459" s="12" t="str"/>
      <x:c r="C459" s="12" t="str"/>
      <x:c r="D459" s="12" t="str"/>
      <x:c r="E459" s="12" t="str"/>
      <x:c r="F459" s="12" t="str"/>
      <x:c r="G459" s="12" t="str"/>
      <x:c r="H459" s="12" t="str"/>
      <x:c r="I459" s="12" t="str"/>
      <x:c r="J459" s="12" t="str"/>
      <x:c r="K459" s="12" t="str"/>
      <x:c r="L459" s="13" t="str"/>
      <x:c r="M459" s="12" t="str"/>
      <x:c r="N459" s="12" t="str"/>
      <x:c r="O459" s="12" t="str"/>
      <x:c r="P459" s="12" t="str"/>
      <x:c r="Q459" s="12" t="str"/>
      <x:c r="R459" s="12" t="str"/>
      <x:c r="S459" s="13" t="str"/>
      <x:c r="T459" s="12" t="str"/>
      <x:c r="U459" s="12" t="str"/>
      <x:c r="V459" s="14" t="str">
        <x:f>IF(A459="","",IF(NOT(AND(COUNTIF(Exec[TestID],A459)=1,COUNTIF(Controls[ID],B459)=1,COUNTIFS(Scope[KapsamID],D459,Scope[OnayliKapsamID],D459,Scope[Ürün],C459)=1,OR(COUNTIFS(Controls[ID],B459,Controls[Ürün],C459)=1,COUNTIFS(Controls[ID],B459,Controls[Ürün],"MSP Genel")=1),E459&lt;&gt;"",F459&lt;&gt;"",G459&lt;&gt;"",I459&lt;&gt;"",Q459&lt;&gt;"")),"Kimlik / kapsam eksik",IF(NOT(OR(H459="Uygulanır",H459="Uygulanmaz")),"Uygulanabilirlik eksik",IF(AND(H459="Uygulanır",P459="Kanıt yetersiz",U459&lt;&gt;""),IF(AND(R459&lt;&gt;"",R459&lt;&gt;Q459,ISNUMBER(S459),S459&gt;0,S459&gt;=L459),"İnceleme tamam","Gözden geçirme eksik"),IF(NOT(AND(J459&lt;&gt;"",COUNTIFS(Evidence[KanitID],J459,Evidence[Kabul edilen ID],J459)=1,K459&lt;&gt;"",ISNUMBER(L459),L459&gt;0,M459&lt;&gt;"")),"Kanıt / test eksik",IF(NOT(AND(R459&lt;&gt;"",R459&lt;&gt;Q459,ISNUMBER(S459),S459&gt;0,S459&gt;=L459)),"Gözden geçirme eksik",IF(H459="Uygulanmaz","İnceleme tamam",IF(AND(OR(P459="Uygun",P459="Kısmen uygun",P459="Uygunsuz"),OR(N459="Uygun",N459="Kısmen uygun",N459="Uygunsuz"),OR(O459="Uygun",O459="Kısmen uygun",O459="Uygunsuz"),OR(P459&lt;&gt;"Uygun",AND(N459="Uygun",O459="Uygun")),OR(P459="Uygun",AND(T459&lt;&gt;"",COUNTIF(Findings[KayitliBulguID],T459)=1))),"İnceleme tamam","Sonuç / bulgu eksik"))))))))</x:f>
      </x:c>
      <x:c r="W459" s="14" t="str">
        <x:f>IF(A459="","",IF(V459&lt;&gt;"İnceleme tamam","İncelenmedi",IF(H459="Uygulanmaz","Uygulanmaz",P459)))</x:f>
      </x:c>
    </x:row>
    <x:row r="460" ht="35" customHeight="1">
      <x:c r="A460" s="12" t="str"/>
      <x:c r="B460" s="12" t="str"/>
      <x:c r="C460" s="12" t="str"/>
      <x:c r="D460" s="12" t="str"/>
      <x:c r="E460" s="12" t="str"/>
      <x:c r="F460" s="12" t="str"/>
      <x:c r="G460" s="12" t="str"/>
      <x:c r="H460" s="12" t="str"/>
      <x:c r="I460" s="12" t="str"/>
      <x:c r="J460" s="12" t="str"/>
      <x:c r="K460" s="12" t="str"/>
      <x:c r="L460" s="13" t="str"/>
      <x:c r="M460" s="12" t="str"/>
      <x:c r="N460" s="12" t="str"/>
      <x:c r="O460" s="12" t="str"/>
      <x:c r="P460" s="12" t="str"/>
      <x:c r="Q460" s="12" t="str"/>
      <x:c r="R460" s="12" t="str"/>
      <x:c r="S460" s="13" t="str"/>
      <x:c r="T460" s="12" t="str"/>
      <x:c r="U460" s="12" t="str"/>
      <x:c r="V460" s="14" t="str">
        <x:f>IF(A460="","",IF(NOT(AND(COUNTIF(Exec[TestID],A460)=1,COUNTIF(Controls[ID],B460)=1,COUNTIFS(Scope[KapsamID],D460,Scope[OnayliKapsamID],D460,Scope[Ürün],C460)=1,OR(COUNTIFS(Controls[ID],B460,Controls[Ürün],C460)=1,COUNTIFS(Controls[ID],B460,Controls[Ürün],"MSP Genel")=1),E460&lt;&gt;"",F460&lt;&gt;"",G460&lt;&gt;"",I460&lt;&gt;"",Q460&lt;&gt;"")),"Kimlik / kapsam eksik",IF(NOT(OR(H460="Uygulanır",H460="Uygulanmaz")),"Uygulanabilirlik eksik",IF(AND(H460="Uygulanır",P460="Kanıt yetersiz",U460&lt;&gt;""),IF(AND(R460&lt;&gt;"",R460&lt;&gt;Q460,ISNUMBER(S460),S460&gt;0,S460&gt;=L460),"İnceleme tamam","Gözden geçirme eksik"),IF(NOT(AND(J460&lt;&gt;"",COUNTIFS(Evidence[KanitID],J460,Evidence[Kabul edilen ID],J460)=1,K460&lt;&gt;"",ISNUMBER(L460),L460&gt;0,M460&lt;&gt;"")),"Kanıt / test eksik",IF(NOT(AND(R460&lt;&gt;"",R460&lt;&gt;Q460,ISNUMBER(S460),S460&gt;0,S460&gt;=L460)),"Gözden geçirme eksik",IF(H460="Uygulanmaz","İnceleme tamam",IF(AND(OR(P460="Uygun",P460="Kısmen uygun",P460="Uygunsuz"),OR(N460="Uygun",N460="Kısmen uygun",N460="Uygunsuz"),OR(O460="Uygun",O460="Kısmen uygun",O460="Uygunsuz"),OR(P460&lt;&gt;"Uygun",AND(N460="Uygun",O460="Uygun")),OR(P460="Uygun",AND(T460&lt;&gt;"",COUNTIF(Findings[KayitliBulguID],T460)=1))),"İnceleme tamam","Sonuç / bulgu eksik"))))))))</x:f>
      </x:c>
      <x:c r="W460" s="14" t="str">
        <x:f>IF(A460="","",IF(V460&lt;&gt;"İnceleme tamam","İncelenmedi",IF(H460="Uygulanmaz","Uygulanmaz",P460)))</x:f>
      </x:c>
    </x:row>
    <x:row r="461" ht="35" customHeight="1">
      <x:c r="A461" s="12" t="str"/>
      <x:c r="B461" s="12" t="str"/>
      <x:c r="C461" s="12" t="str"/>
      <x:c r="D461" s="12" t="str"/>
      <x:c r="E461" s="12" t="str"/>
      <x:c r="F461" s="12" t="str"/>
      <x:c r="G461" s="12" t="str"/>
      <x:c r="H461" s="12" t="str"/>
      <x:c r="I461" s="12" t="str"/>
      <x:c r="J461" s="12" t="str"/>
      <x:c r="K461" s="12" t="str"/>
      <x:c r="L461" s="13" t="str"/>
      <x:c r="M461" s="12" t="str"/>
      <x:c r="N461" s="12" t="str"/>
      <x:c r="O461" s="12" t="str"/>
      <x:c r="P461" s="12" t="str"/>
      <x:c r="Q461" s="12" t="str"/>
      <x:c r="R461" s="12" t="str"/>
      <x:c r="S461" s="13" t="str"/>
      <x:c r="T461" s="12" t="str"/>
      <x:c r="U461" s="12" t="str"/>
      <x:c r="V461" s="14" t="str">
        <x:f>IF(A461="","",IF(NOT(AND(COUNTIF(Exec[TestID],A461)=1,COUNTIF(Controls[ID],B461)=1,COUNTIFS(Scope[KapsamID],D461,Scope[OnayliKapsamID],D461,Scope[Ürün],C461)=1,OR(COUNTIFS(Controls[ID],B461,Controls[Ürün],C461)=1,COUNTIFS(Controls[ID],B461,Controls[Ürün],"MSP Genel")=1),E461&lt;&gt;"",F461&lt;&gt;"",G461&lt;&gt;"",I461&lt;&gt;"",Q461&lt;&gt;"")),"Kimlik / kapsam eksik",IF(NOT(OR(H461="Uygulanır",H461="Uygulanmaz")),"Uygulanabilirlik eksik",IF(AND(H461="Uygulanır",P461="Kanıt yetersiz",U461&lt;&gt;""),IF(AND(R461&lt;&gt;"",R461&lt;&gt;Q461,ISNUMBER(S461),S461&gt;0,S461&gt;=L461),"İnceleme tamam","Gözden geçirme eksik"),IF(NOT(AND(J461&lt;&gt;"",COUNTIFS(Evidence[KanitID],J461,Evidence[Kabul edilen ID],J461)=1,K461&lt;&gt;"",ISNUMBER(L461),L461&gt;0,M461&lt;&gt;"")),"Kanıt / test eksik",IF(NOT(AND(R461&lt;&gt;"",R461&lt;&gt;Q461,ISNUMBER(S461),S461&gt;0,S461&gt;=L461)),"Gözden geçirme eksik",IF(H461="Uygulanmaz","İnceleme tamam",IF(AND(OR(P461="Uygun",P461="Kısmen uygun",P461="Uygunsuz"),OR(N461="Uygun",N461="Kısmen uygun",N461="Uygunsuz"),OR(O461="Uygun",O461="Kısmen uygun",O461="Uygunsuz"),OR(P461&lt;&gt;"Uygun",AND(N461="Uygun",O461="Uygun")),OR(P461="Uygun",AND(T461&lt;&gt;"",COUNTIF(Findings[KayitliBulguID],T461)=1))),"İnceleme tamam","Sonuç / bulgu eksik"))))))))</x:f>
      </x:c>
      <x:c r="W461" s="14" t="str">
        <x:f>IF(A461="","",IF(V461&lt;&gt;"İnceleme tamam","İncelenmedi",IF(H461="Uygulanmaz","Uygulanmaz",P461)))</x:f>
      </x:c>
    </x:row>
    <x:row r="462" ht="35" customHeight="1">
      <x:c r="A462" s="12" t="str"/>
      <x:c r="B462" s="12" t="str"/>
      <x:c r="C462" s="12" t="str"/>
      <x:c r="D462" s="12" t="str"/>
      <x:c r="E462" s="12" t="str"/>
      <x:c r="F462" s="12" t="str"/>
      <x:c r="G462" s="12" t="str"/>
      <x:c r="H462" s="12" t="str"/>
      <x:c r="I462" s="12" t="str"/>
      <x:c r="J462" s="12" t="str"/>
      <x:c r="K462" s="12" t="str"/>
      <x:c r="L462" s="13" t="str"/>
      <x:c r="M462" s="12" t="str"/>
      <x:c r="N462" s="12" t="str"/>
      <x:c r="O462" s="12" t="str"/>
      <x:c r="P462" s="12" t="str"/>
      <x:c r="Q462" s="12" t="str"/>
      <x:c r="R462" s="12" t="str"/>
      <x:c r="S462" s="13" t="str"/>
      <x:c r="T462" s="12" t="str"/>
      <x:c r="U462" s="12" t="str"/>
      <x:c r="V462" s="14" t="str">
        <x:f>IF(A462="","",IF(NOT(AND(COUNTIF(Exec[TestID],A462)=1,COUNTIF(Controls[ID],B462)=1,COUNTIFS(Scope[KapsamID],D462,Scope[OnayliKapsamID],D462,Scope[Ürün],C462)=1,OR(COUNTIFS(Controls[ID],B462,Controls[Ürün],C462)=1,COUNTIFS(Controls[ID],B462,Controls[Ürün],"MSP Genel")=1),E462&lt;&gt;"",F462&lt;&gt;"",G462&lt;&gt;"",I462&lt;&gt;"",Q462&lt;&gt;"")),"Kimlik / kapsam eksik",IF(NOT(OR(H462="Uygulanır",H462="Uygulanmaz")),"Uygulanabilirlik eksik",IF(AND(H462="Uygulanır",P462="Kanıt yetersiz",U462&lt;&gt;""),IF(AND(R462&lt;&gt;"",R462&lt;&gt;Q462,ISNUMBER(S462),S462&gt;0,S462&gt;=L462),"İnceleme tamam","Gözden geçirme eksik"),IF(NOT(AND(J462&lt;&gt;"",COUNTIFS(Evidence[KanitID],J462,Evidence[Kabul edilen ID],J462)=1,K462&lt;&gt;"",ISNUMBER(L462),L462&gt;0,M462&lt;&gt;"")),"Kanıt / test eksik",IF(NOT(AND(R462&lt;&gt;"",R462&lt;&gt;Q462,ISNUMBER(S462),S462&gt;0,S462&gt;=L462)),"Gözden geçirme eksik",IF(H462="Uygulanmaz","İnceleme tamam",IF(AND(OR(P462="Uygun",P462="Kısmen uygun",P462="Uygunsuz"),OR(N462="Uygun",N462="Kısmen uygun",N462="Uygunsuz"),OR(O462="Uygun",O462="Kısmen uygun",O462="Uygunsuz"),OR(P462&lt;&gt;"Uygun",AND(N462="Uygun",O462="Uygun")),OR(P462="Uygun",AND(T462&lt;&gt;"",COUNTIF(Findings[KayitliBulguID],T462)=1))),"İnceleme tamam","Sonuç / bulgu eksik"))))))))</x:f>
      </x:c>
      <x:c r="W462" s="14" t="str">
        <x:f>IF(A462="","",IF(V462&lt;&gt;"İnceleme tamam","İncelenmedi",IF(H462="Uygulanmaz","Uygulanmaz",P462)))</x:f>
      </x:c>
    </x:row>
    <x:row r="463" ht="35" customHeight="1">
      <x:c r="A463" s="12" t="str"/>
      <x:c r="B463" s="12" t="str"/>
      <x:c r="C463" s="12" t="str"/>
      <x:c r="D463" s="12" t="str"/>
      <x:c r="E463" s="12" t="str"/>
      <x:c r="F463" s="12" t="str"/>
      <x:c r="G463" s="12" t="str"/>
      <x:c r="H463" s="12" t="str"/>
      <x:c r="I463" s="12" t="str"/>
      <x:c r="J463" s="12" t="str"/>
      <x:c r="K463" s="12" t="str"/>
      <x:c r="L463" s="13" t="str"/>
      <x:c r="M463" s="12" t="str"/>
      <x:c r="N463" s="12" t="str"/>
      <x:c r="O463" s="12" t="str"/>
      <x:c r="P463" s="12" t="str"/>
      <x:c r="Q463" s="12" t="str"/>
      <x:c r="R463" s="12" t="str"/>
      <x:c r="S463" s="13" t="str"/>
      <x:c r="T463" s="12" t="str"/>
      <x:c r="U463" s="12" t="str"/>
      <x:c r="V463" s="14" t="str">
        <x:f>IF(A463="","",IF(NOT(AND(COUNTIF(Exec[TestID],A463)=1,COUNTIF(Controls[ID],B463)=1,COUNTIFS(Scope[KapsamID],D463,Scope[OnayliKapsamID],D463,Scope[Ürün],C463)=1,OR(COUNTIFS(Controls[ID],B463,Controls[Ürün],C463)=1,COUNTIFS(Controls[ID],B463,Controls[Ürün],"MSP Genel")=1),E463&lt;&gt;"",F463&lt;&gt;"",G463&lt;&gt;"",I463&lt;&gt;"",Q463&lt;&gt;"")),"Kimlik / kapsam eksik",IF(NOT(OR(H463="Uygulanır",H463="Uygulanmaz")),"Uygulanabilirlik eksik",IF(AND(H463="Uygulanır",P463="Kanıt yetersiz",U463&lt;&gt;""),IF(AND(R463&lt;&gt;"",R463&lt;&gt;Q463,ISNUMBER(S463),S463&gt;0,S463&gt;=L463),"İnceleme tamam","Gözden geçirme eksik"),IF(NOT(AND(J463&lt;&gt;"",COUNTIFS(Evidence[KanitID],J463,Evidence[Kabul edilen ID],J463)=1,K463&lt;&gt;"",ISNUMBER(L463),L463&gt;0,M463&lt;&gt;"")),"Kanıt / test eksik",IF(NOT(AND(R463&lt;&gt;"",R463&lt;&gt;Q463,ISNUMBER(S463),S463&gt;0,S463&gt;=L463)),"Gözden geçirme eksik",IF(H463="Uygulanmaz","İnceleme tamam",IF(AND(OR(P463="Uygun",P463="Kısmen uygun",P463="Uygunsuz"),OR(N463="Uygun",N463="Kısmen uygun",N463="Uygunsuz"),OR(O463="Uygun",O463="Kısmen uygun",O463="Uygunsuz"),OR(P463&lt;&gt;"Uygun",AND(N463="Uygun",O463="Uygun")),OR(P463="Uygun",AND(T463&lt;&gt;"",COUNTIF(Findings[KayitliBulguID],T463)=1))),"İnceleme tamam","Sonuç / bulgu eksik"))))))))</x:f>
      </x:c>
      <x:c r="W463" s="14" t="str">
        <x:f>IF(A463="","",IF(V463&lt;&gt;"İnceleme tamam","İncelenmedi",IF(H463="Uygulanmaz","Uygulanmaz",P463)))</x:f>
      </x:c>
    </x:row>
    <x:row r="464" ht="35" customHeight="1">
      <x:c r="A464" s="12" t="str"/>
      <x:c r="B464" s="12" t="str"/>
      <x:c r="C464" s="12" t="str"/>
      <x:c r="D464" s="12" t="str"/>
      <x:c r="E464" s="12" t="str"/>
      <x:c r="F464" s="12" t="str"/>
      <x:c r="G464" s="12" t="str"/>
      <x:c r="H464" s="12" t="str"/>
      <x:c r="I464" s="12" t="str"/>
      <x:c r="J464" s="12" t="str"/>
      <x:c r="K464" s="12" t="str"/>
      <x:c r="L464" s="13" t="str"/>
      <x:c r="M464" s="12" t="str"/>
      <x:c r="N464" s="12" t="str"/>
      <x:c r="O464" s="12" t="str"/>
      <x:c r="P464" s="12" t="str"/>
      <x:c r="Q464" s="12" t="str"/>
      <x:c r="R464" s="12" t="str"/>
      <x:c r="S464" s="13" t="str"/>
      <x:c r="T464" s="12" t="str"/>
      <x:c r="U464" s="12" t="str"/>
      <x:c r="V464" s="14" t="str">
        <x:f>IF(A464="","",IF(NOT(AND(COUNTIF(Exec[TestID],A464)=1,COUNTIF(Controls[ID],B464)=1,COUNTIFS(Scope[KapsamID],D464,Scope[OnayliKapsamID],D464,Scope[Ürün],C464)=1,OR(COUNTIFS(Controls[ID],B464,Controls[Ürün],C464)=1,COUNTIFS(Controls[ID],B464,Controls[Ürün],"MSP Genel")=1),E464&lt;&gt;"",F464&lt;&gt;"",G464&lt;&gt;"",I464&lt;&gt;"",Q464&lt;&gt;"")),"Kimlik / kapsam eksik",IF(NOT(OR(H464="Uygulanır",H464="Uygulanmaz")),"Uygulanabilirlik eksik",IF(AND(H464="Uygulanır",P464="Kanıt yetersiz",U464&lt;&gt;""),IF(AND(R464&lt;&gt;"",R464&lt;&gt;Q464,ISNUMBER(S464),S464&gt;0,S464&gt;=L464),"İnceleme tamam","Gözden geçirme eksik"),IF(NOT(AND(J464&lt;&gt;"",COUNTIFS(Evidence[KanitID],J464,Evidence[Kabul edilen ID],J464)=1,K464&lt;&gt;"",ISNUMBER(L464),L464&gt;0,M464&lt;&gt;"")),"Kanıt / test eksik",IF(NOT(AND(R464&lt;&gt;"",R464&lt;&gt;Q464,ISNUMBER(S464),S464&gt;0,S464&gt;=L464)),"Gözden geçirme eksik",IF(H464="Uygulanmaz","İnceleme tamam",IF(AND(OR(P464="Uygun",P464="Kısmen uygun",P464="Uygunsuz"),OR(N464="Uygun",N464="Kısmen uygun",N464="Uygunsuz"),OR(O464="Uygun",O464="Kısmen uygun",O464="Uygunsuz"),OR(P464&lt;&gt;"Uygun",AND(N464="Uygun",O464="Uygun")),OR(P464="Uygun",AND(T464&lt;&gt;"",COUNTIF(Findings[KayitliBulguID],T464)=1))),"İnceleme tamam","Sonuç / bulgu eksik"))))))))</x:f>
      </x:c>
      <x:c r="W464" s="14" t="str">
        <x:f>IF(A464="","",IF(V464&lt;&gt;"İnceleme tamam","İncelenmedi",IF(H464="Uygulanmaz","Uygulanmaz",P464)))</x:f>
      </x:c>
    </x:row>
    <x:row r="465" ht="35" customHeight="1">
      <x:c r="A465" s="12" t="str"/>
      <x:c r="B465" s="12" t="str"/>
      <x:c r="C465" s="12" t="str"/>
      <x:c r="D465" s="12" t="str"/>
      <x:c r="E465" s="12" t="str"/>
      <x:c r="F465" s="12" t="str"/>
      <x:c r="G465" s="12" t="str"/>
      <x:c r="H465" s="12" t="str"/>
      <x:c r="I465" s="12" t="str"/>
      <x:c r="J465" s="12" t="str"/>
      <x:c r="K465" s="12" t="str"/>
      <x:c r="L465" s="13" t="str"/>
      <x:c r="M465" s="12" t="str"/>
      <x:c r="N465" s="12" t="str"/>
      <x:c r="O465" s="12" t="str"/>
      <x:c r="P465" s="12" t="str"/>
      <x:c r="Q465" s="12" t="str"/>
      <x:c r="R465" s="12" t="str"/>
      <x:c r="S465" s="13" t="str"/>
      <x:c r="T465" s="12" t="str"/>
      <x:c r="U465" s="12" t="str"/>
      <x:c r="V465" s="14" t="str">
        <x:f>IF(A465="","",IF(NOT(AND(COUNTIF(Exec[TestID],A465)=1,COUNTIF(Controls[ID],B465)=1,COUNTIFS(Scope[KapsamID],D465,Scope[OnayliKapsamID],D465,Scope[Ürün],C465)=1,OR(COUNTIFS(Controls[ID],B465,Controls[Ürün],C465)=1,COUNTIFS(Controls[ID],B465,Controls[Ürün],"MSP Genel")=1),E465&lt;&gt;"",F465&lt;&gt;"",G465&lt;&gt;"",I465&lt;&gt;"",Q465&lt;&gt;"")),"Kimlik / kapsam eksik",IF(NOT(OR(H465="Uygulanır",H465="Uygulanmaz")),"Uygulanabilirlik eksik",IF(AND(H465="Uygulanır",P465="Kanıt yetersiz",U465&lt;&gt;""),IF(AND(R465&lt;&gt;"",R465&lt;&gt;Q465,ISNUMBER(S465),S465&gt;0,S465&gt;=L465),"İnceleme tamam","Gözden geçirme eksik"),IF(NOT(AND(J465&lt;&gt;"",COUNTIFS(Evidence[KanitID],J465,Evidence[Kabul edilen ID],J465)=1,K465&lt;&gt;"",ISNUMBER(L465),L465&gt;0,M465&lt;&gt;"")),"Kanıt / test eksik",IF(NOT(AND(R465&lt;&gt;"",R465&lt;&gt;Q465,ISNUMBER(S465),S465&gt;0,S465&gt;=L465)),"Gözden geçirme eksik",IF(H465="Uygulanmaz","İnceleme tamam",IF(AND(OR(P465="Uygun",P465="Kısmen uygun",P465="Uygunsuz"),OR(N465="Uygun",N465="Kısmen uygun",N465="Uygunsuz"),OR(O465="Uygun",O465="Kısmen uygun",O465="Uygunsuz"),OR(P465&lt;&gt;"Uygun",AND(N465="Uygun",O465="Uygun")),OR(P465="Uygun",AND(T465&lt;&gt;"",COUNTIF(Findings[KayitliBulguID],T465)=1))),"İnceleme tamam","Sonuç / bulgu eksik"))))))))</x:f>
      </x:c>
      <x:c r="W465" s="14" t="str">
        <x:f>IF(A465="","",IF(V465&lt;&gt;"İnceleme tamam","İncelenmedi",IF(H465="Uygulanmaz","Uygulanmaz",P465)))</x:f>
      </x:c>
    </x:row>
    <x:row r="466" ht="35" customHeight="1">
      <x:c r="A466" s="12" t="str"/>
      <x:c r="B466" s="12" t="str"/>
      <x:c r="C466" s="12" t="str"/>
      <x:c r="D466" s="12" t="str"/>
      <x:c r="E466" s="12" t="str"/>
      <x:c r="F466" s="12" t="str"/>
      <x:c r="G466" s="12" t="str"/>
      <x:c r="H466" s="12" t="str"/>
      <x:c r="I466" s="12" t="str"/>
      <x:c r="J466" s="12" t="str"/>
      <x:c r="K466" s="12" t="str"/>
      <x:c r="L466" s="13" t="str"/>
      <x:c r="M466" s="12" t="str"/>
      <x:c r="N466" s="12" t="str"/>
      <x:c r="O466" s="12" t="str"/>
      <x:c r="P466" s="12" t="str"/>
      <x:c r="Q466" s="12" t="str"/>
      <x:c r="R466" s="12" t="str"/>
      <x:c r="S466" s="13" t="str"/>
      <x:c r="T466" s="12" t="str"/>
      <x:c r="U466" s="12" t="str"/>
      <x:c r="V466" s="14" t="str">
        <x:f>IF(A466="","",IF(NOT(AND(COUNTIF(Exec[TestID],A466)=1,COUNTIF(Controls[ID],B466)=1,COUNTIFS(Scope[KapsamID],D466,Scope[OnayliKapsamID],D466,Scope[Ürün],C466)=1,OR(COUNTIFS(Controls[ID],B466,Controls[Ürün],C466)=1,COUNTIFS(Controls[ID],B466,Controls[Ürün],"MSP Genel")=1),E466&lt;&gt;"",F466&lt;&gt;"",G466&lt;&gt;"",I466&lt;&gt;"",Q466&lt;&gt;"")),"Kimlik / kapsam eksik",IF(NOT(OR(H466="Uygulanır",H466="Uygulanmaz")),"Uygulanabilirlik eksik",IF(AND(H466="Uygulanır",P466="Kanıt yetersiz",U466&lt;&gt;""),IF(AND(R466&lt;&gt;"",R466&lt;&gt;Q466,ISNUMBER(S466),S466&gt;0,S466&gt;=L466),"İnceleme tamam","Gözden geçirme eksik"),IF(NOT(AND(J466&lt;&gt;"",COUNTIFS(Evidence[KanitID],J466,Evidence[Kabul edilen ID],J466)=1,K466&lt;&gt;"",ISNUMBER(L466),L466&gt;0,M466&lt;&gt;"")),"Kanıt / test eksik",IF(NOT(AND(R466&lt;&gt;"",R466&lt;&gt;Q466,ISNUMBER(S466),S466&gt;0,S466&gt;=L466)),"Gözden geçirme eksik",IF(H466="Uygulanmaz","İnceleme tamam",IF(AND(OR(P466="Uygun",P466="Kısmen uygun",P466="Uygunsuz"),OR(N466="Uygun",N466="Kısmen uygun",N466="Uygunsuz"),OR(O466="Uygun",O466="Kısmen uygun",O466="Uygunsuz"),OR(P466&lt;&gt;"Uygun",AND(N466="Uygun",O466="Uygun")),OR(P466="Uygun",AND(T466&lt;&gt;"",COUNTIF(Findings[KayitliBulguID],T466)=1))),"İnceleme tamam","Sonuç / bulgu eksik"))))))))</x:f>
      </x:c>
      <x:c r="W466" s="14" t="str">
        <x:f>IF(A466="","",IF(V466&lt;&gt;"İnceleme tamam","İncelenmedi",IF(H466="Uygulanmaz","Uygulanmaz",P466)))</x:f>
      </x:c>
    </x:row>
    <x:row r="467" ht="35" customHeight="1">
      <x:c r="A467" s="12" t="str"/>
      <x:c r="B467" s="12" t="str"/>
      <x:c r="C467" s="12" t="str"/>
      <x:c r="D467" s="12" t="str"/>
      <x:c r="E467" s="12" t="str"/>
      <x:c r="F467" s="12" t="str"/>
      <x:c r="G467" s="12" t="str"/>
      <x:c r="H467" s="12" t="str"/>
      <x:c r="I467" s="12" t="str"/>
      <x:c r="J467" s="12" t="str"/>
      <x:c r="K467" s="12" t="str"/>
      <x:c r="L467" s="13" t="str"/>
      <x:c r="M467" s="12" t="str"/>
      <x:c r="N467" s="12" t="str"/>
      <x:c r="O467" s="12" t="str"/>
      <x:c r="P467" s="12" t="str"/>
      <x:c r="Q467" s="12" t="str"/>
      <x:c r="R467" s="12" t="str"/>
      <x:c r="S467" s="13" t="str"/>
      <x:c r="T467" s="12" t="str"/>
      <x:c r="U467" s="12" t="str"/>
      <x:c r="V467" s="14" t="str">
        <x:f>IF(A467="","",IF(NOT(AND(COUNTIF(Exec[TestID],A467)=1,COUNTIF(Controls[ID],B467)=1,COUNTIFS(Scope[KapsamID],D467,Scope[OnayliKapsamID],D467,Scope[Ürün],C467)=1,OR(COUNTIFS(Controls[ID],B467,Controls[Ürün],C467)=1,COUNTIFS(Controls[ID],B467,Controls[Ürün],"MSP Genel")=1),E467&lt;&gt;"",F467&lt;&gt;"",G467&lt;&gt;"",I467&lt;&gt;"",Q467&lt;&gt;"")),"Kimlik / kapsam eksik",IF(NOT(OR(H467="Uygulanır",H467="Uygulanmaz")),"Uygulanabilirlik eksik",IF(AND(H467="Uygulanır",P467="Kanıt yetersiz",U467&lt;&gt;""),IF(AND(R467&lt;&gt;"",R467&lt;&gt;Q467,ISNUMBER(S467),S467&gt;0,S467&gt;=L467),"İnceleme tamam","Gözden geçirme eksik"),IF(NOT(AND(J467&lt;&gt;"",COUNTIFS(Evidence[KanitID],J467,Evidence[Kabul edilen ID],J467)=1,K467&lt;&gt;"",ISNUMBER(L467),L467&gt;0,M467&lt;&gt;"")),"Kanıt / test eksik",IF(NOT(AND(R467&lt;&gt;"",R467&lt;&gt;Q467,ISNUMBER(S467),S467&gt;0,S467&gt;=L467)),"Gözden geçirme eksik",IF(H467="Uygulanmaz","İnceleme tamam",IF(AND(OR(P467="Uygun",P467="Kısmen uygun",P467="Uygunsuz"),OR(N467="Uygun",N467="Kısmen uygun",N467="Uygunsuz"),OR(O467="Uygun",O467="Kısmen uygun",O467="Uygunsuz"),OR(P467&lt;&gt;"Uygun",AND(N467="Uygun",O467="Uygun")),OR(P467="Uygun",AND(T467&lt;&gt;"",COUNTIF(Findings[KayitliBulguID],T467)=1))),"İnceleme tamam","Sonuç / bulgu eksik"))))))))</x:f>
      </x:c>
      <x:c r="W467" s="14" t="str">
        <x:f>IF(A467="","",IF(V467&lt;&gt;"İnceleme tamam","İncelenmedi",IF(H467="Uygulanmaz","Uygulanmaz",P467)))</x:f>
      </x:c>
    </x:row>
    <x:row r="468" ht="35" customHeight="1">
      <x:c r="A468" s="12" t="str"/>
      <x:c r="B468" s="12" t="str"/>
      <x:c r="C468" s="12" t="str"/>
      <x:c r="D468" s="12" t="str"/>
      <x:c r="E468" s="12" t="str"/>
      <x:c r="F468" s="12" t="str"/>
      <x:c r="G468" s="12" t="str"/>
      <x:c r="H468" s="12" t="str"/>
      <x:c r="I468" s="12" t="str"/>
      <x:c r="J468" s="12" t="str"/>
      <x:c r="K468" s="12" t="str"/>
      <x:c r="L468" s="13" t="str"/>
      <x:c r="M468" s="12" t="str"/>
      <x:c r="N468" s="12" t="str"/>
      <x:c r="O468" s="12" t="str"/>
      <x:c r="P468" s="12" t="str"/>
      <x:c r="Q468" s="12" t="str"/>
      <x:c r="R468" s="12" t="str"/>
      <x:c r="S468" s="13" t="str"/>
      <x:c r="T468" s="12" t="str"/>
      <x:c r="U468" s="12" t="str"/>
      <x:c r="V468" s="14" t="str">
        <x:f>IF(A468="","",IF(NOT(AND(COUNTIF(Exec[TestID],A468)=1,COUNTIF(Controls[ID],B468)=1,COUNTIFS(Scope[KapsamID],D468,Scope[OnayliKapsamID],D468,Scope[Ürün],C468)=1,OR(COUNTIFS(Controls[ID],B468,Controls[Ürün],C468)=1,COUNTIFS(Controls[ID],B468,Controls[Ürün],"MSP Genel")=1),E468&lt;&gt;"",F468&lt;&gt;"",G468&lt;&gt;"",I468&lt;&gt;"",Q468&lt;&gt;"")),"Kimlik / kapsam eksik",IF(NOT(OR(H468="Uygulanır",H468="Uygulanmaz")),"Uygulanabilirlik eksik",IF(AND(H468="Uygulanır",P468="Kanıt yetersiz",U468&lt;&gt;""),IF(AND(R468&lt;&gt;"",R468&lt;&gt;Q468,ISNUMBER(S468),S468&gt;0,S468&gt;=L468),"İnceleme tamam","Gözden geçirme eksik"),IF(NOT(AND(J468&lt;&gt;"",COUNTIFS(Evidence[KanitID],J468,Evidence[Kabul edilen ID],J468)=1,K468&lt;&gt;"",ISNUMBER(L468),L468&gt;0,M468&lt;&gt;"")),"Kanıt / test eksik",IF(NOT(AND(R468&lt;&gt;"",R468&lt;&gt;Q468,ISNUMBER(S468),S468&gt;0,S468&gt;=L468)),"Gözden geçirme eksik",IF(H468="Uygulanmaz","İnceleme tamam",IF(AND(OR(P468="Uygun",P468="Kısmen uygun",P468="Uygunsuz"),OR(N468="Uygun",N468="Kısmen uygun",N468="Uygunsuz"),OR(O468="Uygun",O468="Kısmen uygun",O468="Uygunsuz"),OR(P468&lt;&gt;"Uygun",AND(N468="Uygun",O468="Uygun")),OR(P468="Uygun",AND(T468&lt;&gt;"",COUNTIF(Findings[KayitliBulguID],T468)=1))),"İnceleme tamam","Sonuç / bulgu eksik"))))))))</x:f>
      </x:c>
      <x:c r="W468" s="14" t="str">
        <x:f>IF(A468="","",IF(V468&lt;&gt;"İnceleme tamam","İncelenmedi",IF(H468="Uygulanmaz","Uygulanmaz",P468)))</x:f>
      </x:c>
    </x:row>
    <x:row r="469" ht="35" customHeight="1">
      <x:c r="A469" s="12" t="str"/>
      <x:c r="B469" s="12" t="str"/>
      <x:c r="C469" s="12" t="str"/>
      <x:c r="D469" s="12" t="str"/>
      <x:c r="E469" s="12" t="str"/>
      <x:c r="F469" s="12" t="str"/>
      <x:c r="G469" s="12" t="str"/>
      <x:c r="H469" s="12" t="str"/>
      <x:c r="I469" s="12" t="str"/>
      <x:c r="J469" s="12" t="str"/>
      <x:c r="K469" s="12" t="str"/>
      <x:c r="L469" s="13" t="str"/>
      <x:c r="M469" s="12" t="str"/>
      <x:c r="N469" s="12" t="str"/>
      <x:c r="O469" s="12" t="str"/>
      <x:c r="P469" s="12" t="str"/>
      <x:c r="Q469" s="12" t="str"/>
      <x:c r="R469" s="12" t="str"/>
      <x:c r="S469" s="13" t="str"/>
      <x:c r="T469" s="12" t="str"/>
      <x:c r="U469" s="12" t="str"/>
      <x:c r="V469" s="14" t="str">
        <x:f>IF(A469="","",IF(NOT(AND(COUNTIF(Exec[TestID],A469)=1,COUNTIF(Controls[ID],B469)=1,COUNTIFS(Scope[KapsamID],D469,Scope[OnayliKapsamID],D469,Scope[Ürün],C469)=1,OR(COUNTIFS(Controls[ID],B469,Controls[Ürün],C469)=1,COUNTIFS(Controls[ID],B469,Controls[Ürün],"MSP Genel")=1),E469&lt;&gt;"",F469&lt;&gt;"",G469&lt;&gt;"",I469&lt;&gt;"",Q469&lt;&gt;"")),"Kimlik / kapsam eksik",IF(NOT(OR(H469="Uygulanır",H469="Uygulanmaz")),"Uygulanabilirlik eksik",IF(AND(H469="Uygulanır",P469="Kanıt yetersiz",U469&lt;&gt;""),IF(AND(R469&lt;&gt;"",R469&lt;&gt;Q469,ISNUMBER(S469),S469&gt;0,S469&gt;=L469),"İnceleme tamam","Gözden geçirme eksik"),IF(NOT(AND(J469&lt;&gt;"",COUNTIFS(Evidence[KanitID],J469,Evidence[Kabul edilen ID],J469)=1,K469&lt;&gt;"",ISNUMBER(L469),L469&gt;0,M469&lt;&gt;"")),"Kanıt / test eksik",IF(NOT(AND(R469&lt;&gt;"",R469&lt;&gt;Q469,ISNUMBER(S469),S469&gt;0,S469&gt;=L469)),"Gözden geçirme eksik",IF(H469="Uygulanmaz","İnceleme tamam",IF(AND(OR(P469="Uygun",P469="Kısmen uygun",P469="Uygunsuz"),OR(N469="Uygun",N469="Kısmen uygun",N469="Uygunsuz"),OR(O469="Uygun",O469="Kısmen uygun",O469="Uygunsuz"),OR(P469&lt;&gt;"Uygun",AND(N469="Uygun",O469="Uygun")),OR(P469="Uygun",AND(T469&lt;&gt;"",COUNTIF(Findings[KayitliBulguID],T469)=1))),"İnceleme tamam","Sonuç / bulgu eksik"))))))))</x:f>
      </x:c>
      <x:c r="W469" s="14" t="str">
        <x:f>IF(A469="","",IF(V469&lt;&gt;"İnceleme tamam","İncelenmedi",IF(H469="Uygulanmaz","Uygulanmaz",P469)))</x:f>
      </x:c>
    </x:row>
    <x:row r="470" ht="35" customHeight="1">
      <x:c r="A470" s="12" t="str"/>
      <x:c r="B470" s="12" t="str"/>
      <x:c r="C470" s="12" t="str"/>
      <x:c r="D470" s="12" t="str"/>
      <x:c r="E470" s="12" t="str"/>
      <x:c r="F470" s="12" t="str"/>
      <x:c r="G470" s="12" t="str"/>
      <x:c r="H470" s="12" t="str"/>
      <x:c r="I470" s="12" t="str"/>
      <x:c r="J470" s="12" t="str"/>
      <x:c r="K470" s="12" t="str"/>
      <x:c r="L470" s="13" t="str"/>
      <x:c r="M470" s="12" t="str"/>
      <x:c r="N470" s="12" t="str"/>
      <x:c r="O470" s="12" t="str"/>
      <x:c r="P470" s="12" t="str"/>
      <x:c r="Q470" s="12" t="str"/>
      <x:c r="R470" s="12" t="str"/>
      <x:c r="S470" s="13" t="str"/>
      <x:c r="T470" s="12" t="str"/>
      <x:c r="U470" s="12" t="str"/>
      <x:c r="V470" s="14" t="str">
        <x:f>IF(A470="","",IF(NOT(AND(COUNTIF(Exec[TestID],A470)=1,COUNTIF(Controls[ID],B470)=1,COUNTIFS(Scope[KapsamID],D470,Scope[OnayliKapsamID],D470,Scope[Ürün],C470)=1,OR(COUNTIFS(Controls[ID],B470,Controls[Ürün],C470)=1,COUNTIFS(Controls[ID],B470,Controls[Ürün],"MSP Genel")=1),E470&lt;&gt;"",F470&lt;&gt;"",G470&lt;&gt;"",I470&lt;&gt;"",Q470&lt;&gt;"")),"Kimlik / kapsam eksik",IF(NOT(OR(H470="Uygulanır",H470="Uygulanmaz")),"Uygulanabilirlik eksik",IF(AND(H470="Uygulanır",P470="Kanıt yetersiz",U470&lt;&gt;""),IF(AND(R470&lt;&gt;"",R470&lt;&gt;Q470,ISNUMBER(S470),S470&gt;0,S470&gt;=L470),"İnceleme tamam","Gözden geçirme eksik"),IF(NOT(AND(J470&lt;&gt;"",COUNTIFS(Evidence[KanitID],J470,Evidence[Kabul edilen ID],J470)=1,K470&lt;&gt;"",ISNUMBER(L470),L470&gt;0,M470&lt;&gt;"")),"Kanıt / test eksik",IF(NOT(AND(R470&lt;&gt;"",R470&lt;&gt;Q470,ISNUMBER(S470),S470&gt;0,S470&gt;=L470)),"Gözden geçirme eksik",IF(H470="Uygulanmaz","İnceleme tamam",IF(AND(OR(P470="Uygun",P470="Kısmen uygun",P470="Uygunsuz"),OR(N470="Uygun",N470="Kısmen uygun",N470="Uygunsuz"),OR(O470="Uygun",O470="Kısmen uygun",O470="Uygunsuz"),OR(P470&lt;&gt;"Uygun",AND(N470="Uygun",O470="Uygun")),OR(P470="Uygun",AND(T470&lt;&gt;"",COUNTIF(Findings[KayitliBulguID],T470)=1))),"İnceleme tamam","Sonuç / bulgu eksik"))))))))</x:f>
      </x:c>
      <x:c r="W470" s="14" t="str">
        <x:f>IF(A470="","",IF(V470&lt;&gt;"İnceleme tamam","İncelenmedi",IF(H470="Uygulanmaz","Uygulanmaz",P470)))</x:f>
      </x:c>
    </x:row>
    <x:row r="471" ht="35" customHeight="1">
      <x:c r="A471" s="12" t="str"/>
      <x:c r="B471" s="12" t="str"/>
      <x:c r="C471" s="12" t="str"/>
      <x:c r="D471" s="12" t="str"/>
      <x:c r="E471" s="12" t="str"/>
      <x:c r="F471" s="12" t="str"/>
      <x:c r="G471" s="12" t="str"/>
      <x:c r="H471" s="12" t="str"/>
      <x:c r="I471" s="12" t="str"/>
      <x:c r="J471" s="12" t="str"/>
      <x:c r="K471" s="12" t="str"/>
      <x:c r="L471" s="13" t="str"/>
      <x:c r="M471" s="12" t="str"/>
      <x:c r="N471" s="12" t="str"/>
      <x:c r="O471" s="12" t="str"/>
      <x:c r="P471" s="12" t="str"/>
      <x:c r="Q471" s="12" t="str"/>
      <x:c r="R471" s="12" t="str"/>
      <x:c r="S471" s="13" t="str"/>
      <x:c r="T471" s="12" t="str"/>
      <x:c r="U471" s="12" t="str"/>
      <x:c r="V471" s="14" t="str">
        <x:f>IF(A471="","",IF(NOT(AND(COUNTIF(Exec[TestID],A471)=1,COUNTIF(Controls[ID],B471)=1,COUNTIFS(Scope[KapsamID],D471,Scope[OnayliKapsamID],D471,Scope[Ürün],C471)=1,OR(COUNTIFS(Controls[ID],B471,Controls[Ürün],C471)=1,COUNTIFS(Controls[ID],B471,Controls[Ürün],"MSP Genel")=1),E471&lt;&gt;"",F471&lt;&gt;"",G471&lt;&gt;"",I471&lt;&gt;"",Q471&lt;&gt;"")),"Kimlik / kapsam eksik",IF(NOT(OR(H471="Uygulanır",H471="Uygulanmaz")),"Uygulanabilirlik eksik",IF(AND(H471="Uygulanır",P471="Kanıt yetersiz",U471&lt;&gt;""),IF(AND(R471&lt;&gt;"",R471&lt;&gt;Q471,ISNUMBER(S471),S471&gt;0,S471&gt;=L471),"İnceleme tamam","Gözden geçirme eksik"),IF(NOT(AND(J471&lt;&gt;"",COUNTIFS(Evidence[KanitID],J471,Evidence[Kabul edilen ID],J471)=1,K471&lt;&gt;"",ISNUMBER(L471),L471&gt;0,M471&lt;&gt;"")),"Kanıt / test eksik",IF(NOT(AND(R471&lt;&gt;"",R471&lt;&gt;Q471,ISNUMBER(S471),S471&gt;0,S471&gt;=L471)),"Gözden geçirme eksik",IF(H471="Uygulanmaz","İnceleme tamam",IF(AND(OR(P471="Uygun",P471="Kısmen uygun",P471="Uygunsuz"),OR(N471="Uygun",N471="Kısmen uygun",N471="Uygunsuz"),OR(O471="Uygun",O471="Kısmen uygun",O471="Uygunsuz"),OR(P471&lt;&gt;"Uygun",AND(N471="Uygun",O471="Uygun")),OR(P471="Uygun",AND(T471&lt;&gt;"",COUNTIF(Findings[KayitliBulguID],T471)=1))),"İnceleme tamam","Sonuç / bulgu eksik"))))))))</x:f>
      </x:c>
      <x:c r="W471" s="14" t="str">
        <x:f>IF(A471="","",IF(V471&lt;&gt;"İnceleme tamam","İncelenmedi",IF(H471="Uygulanmaz","Uygulanmaz",P471)))</x:f>
      </x:c>
    </x:row>
    <x:row r="472" ht="35" customHeight="1">
      <x:c r="A472" s="12" t="str"/>
      <x:c r="B472" s="12" t="str"/>
      <x:c r="C472" s="12" t="str"/>
      <x:c r="D472" s="12" t="str"/>
      <x:c r="E472" s="12" t="str"/>
      <x:c r="F472" s="12" t="str"/>
      <x:c r="G472" s="12" t="str"/>
      <x:c r="H472" s="12" t="str"/>
      <x:c r="I472" s="12" t="str"/>
      <x:c r="J472" s="12" t="str"/>
      <x:c r="K472" s="12" t="str"/>
      <x:c r="L472" s="13" t="str"/>
      <x:c r="M472" s="12" t="str"/>
      <x:c r="N472" s="12" t="str"/>
      <x:c r="O472" s="12" t="str"/>
      <x:c r="P472" s="12" t="str"/>
      <x:c r="Q472" s="12" t="str"/>
      <x:c r="R472" s="12" t="str"/>
      <x:c r="S472" s="13" t="str"/>
      <x:c r="T472" s="12" t="str"/>
      <x:c r="U472" s="12" t="str"/>
      <x:c r="V472" s="14" t="str">
        <x:f>IF(A472="","",IF(NOT(AND(COUNTIF(Exec[TestID],A472)=1,COUNTIF(Controls[ID],B472)=1,COUNTIFS(Scope[KapsamID],D472,Scope[OnayliKapsamID],D472,Scope[Ürün],C472)=1,OR(COUNTIFS(Controls[ID],B472,Controls[Ürün],C472)=1,COUNTIFS(Controls[ID],B472,Controls[Ürün],"MSP Genel")=1),E472&lt;&gt;"",F472&lt;&gt;"",G472&lt;&gt;"",I472&lt;&gt;"",Q472&lt;&gt;"")),"Kimlik / kapsam eksik",IF(NOT(OR(H472="Uygulanır",H472="Uygulanmaz")),"Uygulanabilirlik eksik",IF(AND(H472="Uygulanır",P472="Kanıt yetersiz",U472&lt;&gt;""),IF(AND(R472&lt;&gt;"",R472&lt;&gt;Q472,ISNUMBER(S472),S472&gt;0,S472&gt;=L472),"İnceleme tamam","Gözden geçirme eksik"),IF(NOT(AND(J472&lt;&gt;"",COUNTIFS(Evidence[KanitID],J472,Evidence[Kabul edilen ID],J472)=1,K472&lt;&gt;"",ISNUMBER(L472),L472&gt;0,M472&lt;&gt;"")),"Kanıt / test eksik",IF(NOT(AND(R472&lt;&gt;"",R472&lt;&gt;Q472,ISNUMBER(S472),S472&gt;0,S472&gt;=L472)),"Gözden geçirme eksik",IF(H472="Uygulanmaz","İnceleme tamam",IF(AND(OR(P472="Uygun",P472="Kısmen uygun",P472="Uygunsuz"),OR(N472="Uygun",N472="Kısmen uygun",N472="Uygunsuz"),OR(O472="Uygun",O472="Kısmen uygun",O472="Uygunsuz"),OR(P472&lt;&gt;"Uygun",AND(N472="Uygun",O472="Uygun")),OR(P472="Uygun",AND(T472&lt;&gt;"",COUNTIF(Findings[KayitliBulguID],T472)=1))),"İnceleme tamam","Sonuç / bulgu eksik"))))))))</x:f>
      </x:c>
      <x:c r="W472" s="14" t="str">
        <x:f>IF(A472="","",IF(V472&lt;&gt;"İnceleme tamam","İncelenmedi",IF(H472="Uygulanmaz","Uygulanmaz",P472)))</x:f>
      </x:c>
    </x:row>
    <x:row r="473" ht="35" customHeight="1">
      <x:c r="A473" s="12" t="str"/>
      <x:c r="B473" s="12" t="str"/>
      <x:c r="C473" s="12" t="str"/>
      <x:c r="D473" s="12" t="str"/>
      <x:c r="E473" s="12" t="str"/>
      <x:c r="F473" s="12" t="str"/>
      <x:c r="G473" s="12" t="str"/>
      <x:c r="H473" s="12" t="str"/>
      <x:c r="I473" s="12" t="str"/>
      <x:c r="J473" s="12" t="str"/>
      <x:c r="K473" s="12" t="str"/>
      <x:c r="L473" s="13" t="str"/>
      <x:c r="M473" s="12" t="str"/>
      <x:c r="N473" s="12" t="str"/>
      <x:c r="O473" s="12" t="str"/>
      <x:c r="P473" s="12" t="str"/>
      <x:c r="Q473" s="12" t="str"/>
      <x:c r="R473" s="12" t="str"/>
      <x:c r="S473" s="13" t="str"/>
      <x:c r="T473" s="12" t="str"/>
      <x:c r="U473" s="12" t="str"/>
      <x:c r="V473" s="14" t="str">
        <x:f>IF(A473="","",IF(NOT(AND(COUNTIF(Exec[TestID],A473)=1,COUNTIF(Controls[ID],B473)=1,COUNTIFS(Scope[KapsamID],D473,Scope[OnayliKapsamID],D473,Scope[Ürün],C473)=1,OR(COUNTIFS(Controls[ID],B473,Controls[Ürün],C473)=1,COUNTIFS(Controls[ID],B473,Controls[Ürün],"MSP Genel")=1),E473&lt;&gt;"",F473&lt;&gt;"",G473&lt;&gt;"",I473&lt;&gt;"",Q473&lt;&gt;"")),"Kimlik / kapsam eksik",IF(NOT(OR(H473="Uygulanır",H473="Uygulanmaz")),"Uygulanabilirlik eksik",IF(AND(H473="Uygulanır",P473="Kanıt yetersiz",U473&lt;&gt;""),IF(AND(R473&lt;&gt;"",R473&lt;&gt;Q473,ISNUMBER(S473),S473&gt;0,S473&gt;=L473),"İnceleme tamam","Gözden geçirme eksik"),IF(NOT(AND(J473&lt;&gt;"",COUNTIFS(Evidence[KanitID],J473,Evidence[Kabul edilen ID],J473)=1,K473&lt;&gt;"",ISNUMBER(L473),L473&gt;0,M473&lt;&gt;"")),"Kanıt / test eksik",IF(NOT(AND(R473&lt;&gt;"",R473&lt;&gt;Q473,ISNUMBER(S473),S473&gt;0,S473&gt;=L473)),"Gözden geçirme eksik",IF(H473="Uygulanmaz","İnceleme tamam",IF(AND(OR(P473="Uygun",P473="Kısmen uygun",P473="Uygunsuz"),OR(N473="Uygun",N473="Kısmen uygun",N473="Uygunsuz"),OR(O473="Uygun",O473="Kısmen uygun",O473="Uygunsuz"),OR(P473&lt;&gt;"Uygun",AND(N473="Uygun",O473="Uygun")),OR(P473="Uygun",AND(T473&lt;&gt;"",COUNTIF(Findings[KayitliBulguID],T473)=1))),"İnceleme tamam","Sonuç / bulgu eksik"))))))))</x:f>
      </x:c>
      <x:c r="W473" s="14" t="str">
        <x:f>IF(A473="","",IF(V473&lt;&gt;"İnceleme tamam","İncelenmedi",IF(H473="Uygulanmaz","Uygulanmaz",P473)))</x:f>
      </x:c>
    </x:row>
    <x:row r="474" ht="35" customHeight="1">
      <x:c r="A474" s="12" t="str"/>
      <x:c r="B474" s="12" t="str"/>
      <x:c r="C474" s="12" t="str"/>
      <x:c r="D474" s="12" t="str"/>
      <x:c r="E474" s="12" t="str"/>
      <x:c r="F474" s="12" t="str"/>
      <x:c r="G474" s="12" t="str"/>
      <x:c r="H474" s="12" t="str"/>
      <x:c r="I474" s="12" t="str"/>
      <x:c r="J474" s="12" t="str"/>
      <x:c r="K474" s="12" t="str"/>
      <x:c r="L474" s="13" t="str"/>
      <x:c r="M474" s="12" t="str"/>
      <x:c r="N474" s="12" t="str"/>
      <x:c r="O474" s="12" t="str"/>
      <x:c r="P474" s="12" t="str"/>
      <x:c r="Q474" s="12" t="str"/>
      <x:c r="R474" s="12" t="str"/>
      <x:c r="S474" s="13" t="str"/>
      <x:c r="T474" s="12" t="str"/>
      <x:c r="U474" s="12" t="str"/>
      <x:c r="V474" s="14" t="str">
        <x:f>IF(A474="","",IF(NOT(AND(COUNTIF(Exec[TestID],A474)=1,COUNTIF(Controls[ID],B474)=1,COUNTIFS(Scope[KapsamID],D474,Scope[OnayliKapsamID],D474,Scope[Ürün],C474)=1,OR(COUNTIFS(Controls[ID],B474,Controls[Ürün],C474)=1,COUNTIFS(Controls[ID],B474,Controls[Ürün],"MSP Genel")=1),E474&lt;&gt;"",F474&lt;&gt;"",G474&lt;&gt;"",I474&lt;&gt;"",Q474&lt;&gt;"")),"Kimlik / kapsam eksik",IF(NOT(OR(H474="Uygulanır",H474="Uygulanmaz")),"Uygulanabilirlik eksik",IF(AND(H474="Uygulanır",P474="Kanıt yetersiz",U474&lt;&gt;""),IF(AND(R474&lt;&gt;"",R474&lt;&gt;Q474,ISNUMBER(S474),S474&gt;0,S474&gt;=L474),"İnceleme tamam","Gözden geçirme eksik"),IF(NOT(AND(J474&lt;&gt;"",COUNTIFS(Evidence[KanitID],J474,Evidence[Kabul edilen ID],J474)=1,K474&lt;&gt;"",ISNUMBER(L474),L474&gt;0,M474&lt;&gt;"")),"Kanıt / test eksik",IF(NOT(AND(R474&lt;&gt;"",R474&lt;&gt;Q474,ISNUMBER(S474),S474&gt;0,S474&gt;=L474)),"Gözden geçirme eksik",IF(H474="Uygulanmaz","İnceleme tamam",IF(AND(OR(P474="Uygun",P474="Kısmen uygun",P474="Uygunsuz"),OR(N474="Uygun",N474="Kısmen uygun",N474="Uygunsuz"),OR(O474="Uygun",O474="Kısmen uygun",O474="Uygunsuz"),OR(P474&lt;&gt;"Uygun",AND(N474="Uygun",O474="Uygun")),OR(P474="Uygun",AND(T474&lt;&gt;"",COUNTIF(Findings[KayitliBulguID],T474)=1))),"İnceleme tamam","Sonuç / bulgu eksik"))))))))</x:f>
      </x:c>
      <x:c r="W474" s="14" t="str">
        <x:f>IF(A474="","",IF(V474&lt;&gt;"İnceleme tamam","İncelenmedi",IF(H474="Uygulanmaz","Uygulanmaz",P474)))</x:f>
      </x:c>
    </x:row>
    <x:row r="475" ht="35" customHeight="1">
      <x:c r="A475" s="12" t="str"/>
      <x:c r="B475" s="12" t="str"/>
      <x:c r="C475" s="12" t="str"/>
      <x:c r="D475" s="12" t="str"/>
      <x:c r="E475" s="12" t="str"/>
      <x:c r="F475" s="12" t="str"/>
      <x:c r="G475" s="12" t="str"/>
      <x:c r="H475" s="12" t="str"/>
      <x:c r="I475" s="12" t="str"/>
      <x:c r="J475" s="12" t="str"/>
      <x:c r="K475" s="12" t="str"/>
      <x:c r="L475" s="13" t="str"/>
      <x:c r="M475" s="12" t="str"/>
      <x:c r="N475" s="12" t="str"/>
      <x:c r="O475" s="12" t="str"/>
      <x:c r="P475" s="12" t="str"/>
      <x:c r="Q475" s="12" t="str"/>
      <x:c r="R475" s="12" t="str"/>
      <x:c r="S475" s="13" t="str"/>
      <x:c r="T475" s="12" t="str"/>
      <x:c r="U475" s="12" t="str"/>
      <x:c r="V475" s="14" t="str">
        <x:f>IF(A475="","",IF(NOT(AND(COUNTIF(Exec[TestID],A475)=1,COUNTIF(Controls[ID],B475)=1,COUNTIFS(Scope[KapsamID],D475,Scope[OnayliKapsamID],D475,Scope[Ürün],C475)=1,OR(COUNTIFS(Controls[ID],B475,Controls[Ürün],C475)=1,COUNTIFS(Controls[ID],B475,Controls[Ürün],"MSP Genel")=1),E475&lt;&gt;"",F475&lt;&gt;"",G475&lt;&gt;"",I475&lt;&gt;"",Q475&lt;&gt;"")),"Kimlik / kapsam eksik",IF(NOT(OR(H475="Uygulanır",H475="Uygulanmaz")),"Uygulanabilirlik eksik",IF(AND(H475="Uygulanır",P475="Kanıt yetersiz",U475&lt;&gt;""),IF(AND(R475&lt;&gt;"",R475&lt;&gt;Q475,ISNUMBER(S475),S475&gt;0,S475&gt;=L475),"İnceleme tamam","Gözden geçirme eksik"),IF(NOT(AND(J475&lt;&gt;"",COUNTIFS(Evidence[KanitID],J475,Evidence[Kabul edilen ID],J475)=1,K475&lt;&gt;"",ISNUMBER(L475),L475&gt;0,M475&lt;&gt;"")),"Kanıt / test eksik",IF(NOT(AND(R475&lt;&gt;"",R475&lt;&gt;Q475,ISNUMBER(S475),S475&gt;0,S475&gt;=L475)),"Gözden geçirme eksik",IF(H475="Uygulanmaz","İnceleme tamam",IF(AND(OR(P475="Uygun",P475="Kısmen uygun",P475="Uygunsuz"),OR(N475="Uygun",N475="Kısmen uygun",N475="Uygunsuz"),OR(O475="Uygun",O475="Kısmen uygun",O475="Uygunsuz"),OR(P475&lt;&gt;"Uygun",AND(N475="Uygun",O475="Uygun")),OR(P475="Uygun",AND(T475&lt;&gt;"",COUNTIF(Findings[KayitliBulguID],T475)=1))),"İnceleme tamam","Sonuç / bulgu eksik"))))))))</x:f>
      </x:c>
      <x:c r="W475" s="14" t="str">
        <x:f>IF(A475="","",IF(V475&lt;&gt;"İnceleme tamam","İncelenmedi",IF(H475="Uygulanmaz","Uygulanmaz",P475)))</x:f>
      </x:c>
    </x:row>
    <x:row r="476" ht="35" customHeight="1">
      <x:c r="A476" s="12" t="str"/>
      <x:c r="B476" s="12" t="str"/>
      <x:c r="C476" s="12" t="str"/>
      <x:c r="D476" s="12" t="str"/>
      <x:c r="E476" s="12" t="str"/>
      <x:c r="F476" s="12" t="str"/>
      <x:c r="G476" s="12" t="str"/>
      <x:c r="H476" s="12" t="str"/>
      <x:c r="I476" s="12" t="str"/>
      <x:c r="J476" s="12" t="str"/>
      <x:c r="K476" s="12" t="str"/>
      <x:c r="L476" s="13" t="str"/>
      <x:c r="M476" s="12" t="str"/>
      <x:c r="N476" s="12" t="str"/>
      <x:c r="O476" s="12" t="str"/>
      <x:c r="P476" s="12" t="str"/>
      <x:c r="Q476" s="12" t="str"/>
      <x:c r="R476" s="12" t="str"/>
      <x:c r="S476" s="13" t="str"/>
      <x:c r="T476" s="12" t="str"/>
      <x:c r="U476" s="12" t="str"/>
      <x:c r="V476" s="14" t="str">
        <x:f>IF(A476="","",IF(NOT(AND(COUNTIF(Exec[TestID],A476)=1,COUNTIF(Controls[ID],B476)=1,COUNTIFS(Scope[KapsamID],D476,Scope[OnayliKapsamID],D476,Scope[Ürün],C476)=1,OR(COUNTIFS(Controls[ID],B476,Controls[Ürün],C476)=1,COUNTIFS(Controls[ID],B476,Controls[Ürün],"MSP Genel")=1),E476&lt;&gt;"",F476&lt;&gt;"",G476&lt;&gt;"",I476&lt;&gt;"",Q476&lt;&gt;"")),"Kimlik / kapsam eksik",IF(NOT(OR(H476="Uygulanır",H476="Uygulanmaz")),"Uygulanabilirlik eksik",IF(AND(H476="Uygulanır",P476="Kanıt yetersiz",U476&lt;&gt;""),IF(AND(R476&lt;&gt;"",R476&lt;&gt;Q476,ISNUMBER(S476),S476&gt;0,S476&gt;=L476),"İnceleme tamam","Gözden geçirme eksik"),IF(NOT(AND(J476&lt;&gt;"",COUNTIFS(Evidence[KanitID],J476,Evidence[Kabul edilen ID],J476)=1,K476&lt;&gt;"",ISNUMBER(L476),L476&gt;0,M476&lt;&gt;"")),"Kanıt / test eksik",IF(NOT(AND(R476&lt;&gt;"",R476&lt;&gt;Q476,ISNUMBER(S476),S476&gt;0,S476&gt;=L476)),"Gözden geçirme eksik",IF(H476="Uygulanmaz","İnceleme tamam",IF(AND(OR(P476="Uygun",P476="Kısmen uygun",P476="Uygunsuz"),OR(N476="Uygun",N476="Kısmen uygun",N476="Uygunsuz"),OR(O476="Uygun",O476="Kısmen uygun",O476="Uygunsuz"),OR(P476&lt;&gt;"Uygun",AND(N476="Uygun",O476="Uygun")),OR(P476="Uygun",AND(T476&lt;&gt;"",COUNTIF(Findings[KayitliBulguID],T476)=1))),"İnceleme tamam","Sonuç / bulgu eksik"))))))))</x:f>
      </x:c>
      <x:c r="W476" s="14" t="str">
        <x:f>IF(A476="","",IF(V476&lt;&gt;"İnceleme tamam","İncelenmedi",IF(H476="Uygulanmaz","Uygulanmaz",P476)))</x:f>
      </x:c>
    </x:row>
    <x:row r="477" ht="35" customHeight="1">
      <x:c r="A477" s="12" t="str"/>
      <x:c r="B477" s="12" t="str"/>
      <x:c r="C477" s="12" t="str"/>
      <x:c r="D477" s="12" t="str"/>
      <x:c r="E477" s="12" t="str"/>
      <x:c r="F477" s="12" t="str"/>
      <x:c r="G477" s="12" t="str"/>
      <x:c r="H477" s="12" t="str"/>
      <x:c r="I477" s="12" t="str"/>
      <x:c r="J477" s="12" t="str"/>
      <x:c r="K477" s="12" t="str"/>
      <x:c r="L477" s="13" t="str"/>
      <x:c r="M477" s="12" t="str"/>
      <x:c r="N477" s="12" t="str"/>
      <x:c r="O477" s="12" t="str"/>
      <x:c r="P477" s="12" t="str"/>
      <x:c r="Q477" s="12" t="str"/>
      <x:c r="R477" s="12" t="str"/>
      <x:c r="S477" s="13" t="str"/>
      <x:c r="T477" s="12" t="str"/>
      <x:c r="U477" s="12" t="str"/>
      <x:c r="V477" s="14" t="str">
        <x:f>IF(A477="","",IF(NOT(AND(COUNTIF(Exec[TestID],A477)=1,COUNTIF(Controls[ID],B477)=1,COUNTIFS(Scope[KapsamID],D477,Scope[OnayliKapsamID],D477,Scope[Ürün],C477)=1,OR(COUNTIFS(Controls[ID],B477,Controls[Ürün],C477)=1,COUNTIFS(Controls[ID],B477,Controls[Ürün],"MSP Genel")=1),E477&lt;&gt;"",F477&lt;&gt;"",G477&lt;&gt;"",I477&lt;&gt;"",Q477&lt;&gt;"")),"Kimlik / kapsam eksik",IF(NOT(OR(H477="Uygulanır",H477="Uygulanmaz")),"Uygulanabilirlik eksik",IF(AND(H477="Uygulanır",P477="Kanıt yetersiz",U477&lt;&gt;""),IF(AND(R477&lt;&gt;"",R477&lt;&gt;Q477,ISNUMBER(S477),S477&gt;0,S477&gt;=L477),"İnceleme tamam","Gözden geçirme eksik"),IF(NOT(AND(J477&lt;&gt;"",COUNTIFS(Evidence[KanitID],J477,Evidence[Kabul edilen ID],J477)=1,K477&lt;&gt;"",ISNUMBER(L477),L477&gt;0,M477&lt;&gt;"")),"Kanıt / test eksik",IF(NOT(AND(R477&lt;&gt;"",R477&lt;&gt;Q477,ISNUMBER(S477),S477&gt;0,S477&gt;=L477)),"Gözden geçirme eksik",IF(H477="Uygulanmaz","İnceleme tamam",IF(AND(OR(P477="Uygun",P477="Kısmen uygun",P477="Uygunsuz"),OR(N477="Uygun",N477="Kısmen uygun",N477="Uygunsuz"),OR(O477="Uygun",O477="Kısmen uygun",O477="Uygunsuz"),OR(P477&lt;&gt;"Uygun",AND(N477="Uygun",O477="Uygun")),OR(P477="Uygun",AND(T477&lt;&gt;"",COUNTIF(Findings[KayitliBulguID],T477)=1))),"İnceleme tamam","Sonuç / bulgu eksik"))))))))</x:f>
      </x:c>
      <x:c r="W477" s="14" t="str">
        <x:f>IF(A477="","",IF(V477&lt;&gt;"İnceleme tamam","İncelenmedi",IF(H477="Uygulanmaz","Uygulanmaz",P477)))</x:f>
      </x:c>
    </x:row>
    <x:row r="478" ht="35" customHeight="1">
      <x:c r="A478" s="12" t="str"/>
      <x:c r="B478" s="12" t="str"/>
      <x:c r="C478" s="12" t="str"/>
      <x:c r="D478" s="12" t="str"/>
      <x:c r="E478" s="12" t="str"/>
      <x:c r="F478" s="12" t="str"/>
      <x:c r="G478" s="12" t="str"/>
      <x:c r="H478" s="12" t="str"/>
      <x:c r="I478" s="12" t="str"/>
      <x:c r="J478" s="12" t="str"/>
      <x:c r="K478" s="12" t="str"/>
      <x:c r="L478" s="13" t="str"/>
      <x:c r="M478" s="12" t="str"/>
      <x:c r="N478" s="12" t="str"/>
      <x:c r="O478" s="12" t="str"/>
      <x:c r="P478" s="12" t="str"/>
      <x:c r="Q478" s="12" t="str"/>
      <x:c r="R478" s="12" t="str"/>
      <x:c r="S478" s="13" t="str"/>
      <x:c r="T478" s="12" t="str"/>
      <x:c r="U478" s="12" t="str"/>
      <x:c r="V478" s="14" t="str">
        <x:f>IF(A478="","",IF(NOT(AND(COUNTIF(Exec[TestID],A478)=1,COUNTIF(Controls[ID],B478)=1,COUNTIFS(Scope[KapsamID],D478,Scope[OnayliKapsamID],D478,Scope[Ürün],C478)=1,OR(COUNTIFS(Controls[ID],B478,Controls[Ürün],C478)=1,COUNTIFS(Controls[ID],B478,Controls[Ürün],"MSP Genel")=1),E478&lt;&gt;"",F478&lt;&gt;"",G478&lt;&gt;"",I478&lt;&gt;"",Q478&lt;&gt;"")),"Kimlik / kapsam eksik",IF(NOT(OR(H478="Uygulanır",H478="Uygulanmaz")),"Uygulanabilirlik eksik",IF(AND(H478="Uygulanır",P478="Kanıt yetersiz",U478&lt;&gt;""),IF(AND(R478&lt;&gt;"",R478&lt;&gt;Q478,ISNUMBER(S478),S478&gt;0,S478&gt;=L478),"İnceleme tamam","Gözden geçirme eksik"),IF(NOT(AND(J478&lt;&gt;"",COUNTIFS(Evidence[KanitID],J478,Evidence[Kabul edilen ID],J478)=1,K478&lt;&gt;"",ISNUMBER(L478),L478&gt;0,M478&lt;&gt;"")),"Kanıt / test eksik",IF(NOT(AND(R478&lt;&gt;"",R478&lt;&gt;Q478,ISNUMBER(S478),S478&gt;0,S478&gt;=L478)),"Gözden geçirme eksik",IF(H478="Uygulanmaz","İnceleme tamam",IF(AND(OR(P478="Uygun",P478="Kısmen uygun",P478="Uygunsuz"),OR(N478="Uygun",N478="Kısmen uygun",N478="Uygunsuz"),OR(O478="Uygun",O478="Kısmen uygun",O478="Uygunsuz"),OR(P478&lt;&gt;"Uygun",AND(N478="Uygun",O478="Uygun")),OR(P478="Uygun",AND(T478&lt;&gt;"",COUNTIF(Findings[KayitliBulguID],T478)=1))),"İnceleme tamam","Sonuç / bulgu eksik"))))))))</x:f>
      </x:c>
      <x:c r="W478" s="14" t="str">
        <x:f>IF(A478="","",IF(V478&lt;&gt;"İnceleme tamam","İncelenmedi",IF(H478="Uygulanmaz","Uygulanmaz",P478)))</x:f>
      </x:c>
    </x:row>
    <x:row r="479" ht="35" customHeight="1">
      <x:c r="A479" s="12" t="str"/>
      <x:c r="B479" s="12" t="str"/>
      <x:c r="C479" s="12" t="str"/>
      <x:c r="D479" s="12" t="str"/>
      <x:c r="E479" s="12" t="str"/>
      <x:c r="F479" s="12" t="str"/>
      <x:c r="G479" s="12" t="str"/>
      <x:c r="H479" s="12" t="str"/>
      <x:c r="I479" s="12" t="str"/>
      <x:c r="J479" s="12" t="str"/>
      <x:c r="K479" s="12" t="str"/>
      <x:c r="L479" s="13" t="str"/>
      <x:c r="M479" s="12" t="str"/>
      <x:c r="N479" s="12" t="str"/>
      <x:c r="O479" s="12" t="str"/>
      <x:c r="P479" s="12" t="str"/>
      <x:c r="Q479" s="12" t="str"/>
      <x:c r="R479" s="12" t="str"/>
      <x:c r="S479" s="13" t="str"/>
      <x:c r="T479" s="12" t="str"/>
      <x:c r="U479" s="12" t="str"/>
      <x:c r="V479" s="14" t="str">
        <x:f>IF(A479="","",IF(NOT(AND(COUNTIF(Exec[TestID],A479)=1,COUNTIF(Controls[ID],B479)=1,COUNTIFS(Scope[KapsamID],D479,Scope[OnayliKapsamID],D479,Scope[Ürün],C479)=1,OR(COUNTIFS(Controls[ID],B479,Controls[Ürün],C479)=1,COUNTIFS(Controls[ID],B479,Controls[Ürün],"MSP Genel")=1),E479&lt;&gt;"",F479&lt;&gt;"",G479&lt;&gt;"",I479&lt;&gt;"",Q479&lt;&gt;"")),"Kimlik / kapsam eksik",IF(NOT(OR(H479="Uygulanır",H479="Uygulanmaz")),"Uygulanabilirlik eksik",IF(AND(H479="Uygulanır",P479="Kanıt yetersiz",U479&lt;&gt;""),IF(AND(R479&lt;&gt;"",R479&lt;&gt;Q479,ISNUMBER(S479),S479&gt;0,S479&gt;=L479),"İnceleme tamam","Gözden geçirme eksik"),IF(NOT(AND(J479&lt;&gt;"",COUNTIFS(Evidence[KanitID],J479,Evidence[Kabul edilen ID],J479)=1,K479&lt;&gt;"",ISNUMBER(L479),L479&gt;0,M479&lt;&gt;"")),"Kanıt / test eksik",IF(NOT(AND(R479&lt;&gt;"",R479&lt;&gt;Q479,ISNUMBER(S479),S479&gt;0,S479&gt;=L479)),"Gözden geçirme eksik",IF(H479="Uygulanmaz","İnceleme tamam",IF(AND(OR(P479="Uygun",P479="Kısmen uygun",P479="Uygunsuz"),OR(N479="Uygun",N479="Kısmen uygun",N479="Uygunsuz"),OR(O479="Uygun",O479="Kısmen uygun",O479="Uygunsuz"),OR(P479&lt;&gt;"Uygun",AND(N479="Uygun",O479="Uygun")),OR(P479="Uygun",AND(T479&lt;&gt;"",COUNTIF(Findings[KayitliBulguID],T479)=1))),"İnceleme tamam","Sonuç / bulgu eksik"))))))))</x:f>
      </x:c>
      <x:c r="W479" s="14" t="str">
        <x:f>IF(A479="","",IF(V479&lt;&gt;"İnceleme tamam","İncelenmedi",IF(H479="Uygulanmaz","Uygulanmaz",P479)))</x:f>
      </x:c>
    </x:row>
    <x:row r="480" ht="35" customHeight="1">
      <x:c r="A480" s="12" t="str"/>
      <x:c r="B480" s="12" t="str"/>
      <x:c r="C480" s="12" t="str"/>
      <x:c r="D480" s="12" t="str"/>
      <x:c r="E480" s="12" t="str"/>
      <x:c r="F480" s="12" t="str"/>
      <x:c r="G480" s="12" t="str"/>
      <x:c r="H480" s="12" t="str"/>
      <x:c r="I480" s="12" t="str"/>
      <x:c r="J480" s="12" t="str"/>
      <x:c r="K480" s="12" t="str"/>
      <x:c r="L480" s="13" t="str"/>
      <x:c r="M480" s="12" t="str"/>
      <x:c r="N480" s="12" t="str"/>
      <x:c r="O480" s="12" t="str"/>
      <x:c r="P480" s="12" t="str"/>
      <x:c r="Q480" s="12" t="str"/>
      <x:c r="R480" s="12" t="str"/>
      <x:c r="S480" s="13" t="str"/>
      <x:c r="T480" s="12" t="str"/>
      <x:c r="U480" s="12" t="str"/>
      <x:c r="V480" s="14" t="str">
        <x:f>IF(A480="","",IF(NOT(AND(COUNTIF(Exec[TestID],A480)=1,COUNTIF(Controls[ID],B480)=1,COUNTIFS(Scope[KapsamID],D480,Scope[OnayliKapsamID],D480,Scope[Ürün],C480)=1,OR(COUNTIFS(Controls[ID],B480,Controls[Ürün],C480)=1,COUNTIFS(Controls[ID],B480,Controls[Ürün],"MSP Genel")=1),E480&lt;&gt;"",F480&lt;&gt;"",G480&lt;&gt;"",I480&lt;&gt;"",Q480&lt;&gt;"")),"Kimlik / kapsam eksik",IF(NOT(OR(H480="Uygulanır",H480="Uygulanmaz")),"Uygulanabilirlik eksik",IF(AND(H480="Uygulanır",P480="Kanıt yetersiz",U480&lt;&gt;""),IF(AND(R480&lt;&gt;"",R480&lt;&gt;Q480,ISNUMBER(S480),S480&gt;0,S480&gt;=L480),"İnceleme tamam","Gözden geçirme eksik"),IF(NOT(AND(J480&lt;&gt;"",COUNTIFS(Evidence[KanitID],J480,Evidence[Kabul edilen ID],J480)=1,K480&lt;&gt;"",ISNUMBER(L480),L480&gt;0,M480&lt;&gt;"")),"Kanıt / test eksik",IF(NOT(AND(R480&lt;&gt;"",R480&lt;&gt;Q480,ISNUMBER(S480),S480&gt;0,S480&gt;=L480)),"Gözden geçirme eksik",IF(H480="Uygulanmaz","İnceleme tamam",IF(AND(OR(P480="Uygun",P480="Kısmen uygun",P480="Uygunsuz"),OR(N480="Uygun",N480="Kısmen uygun",N480="Uygunsuz"),OR(O480="Uygun",O480="Kısmen uygun",O480="Uygunsuz"),OR(P480&lt;&gt;"Uygun",AND(N480="Uygun",O480="Uygun")),OR(P480="Uygun",AND(T480&lt;&gt;"",COUNTIF(Findings[KayitliBulguID],T480)=1))),"İnceleme tamam","Sonuç / bulgu eksik"))))))))</x:f>
      </x:c>
      <x:c r="W480" s="14" t="str">
        <x:f>IF(A480="","",IF(V480&lt;&gt;"İnceleme tamam","İncelenmedi",IF(H480="Uygulanmaz","Uygulanmaz",P480)))</x:f>
      </x:c>
    </x:row>
    <x:row r="481" ht="35" customHeight="1">
      <x:c r="A481" s="12" t="str"/>
      <x:c r="B481" s="12" t="str"/>
      <x:c r="C481" s="12" t="str"/>
      <x:c r="D481" s="12" t="str"/>
      <x:c r="E481" s="12" t="str"/>
      <x:c r="F481" s="12" t="str"/>
      <x:c r="G481" s="12" t="str"/>
      <x:c r="H481" s="12" t="str"/>
      <x:c r="I481" s="12" t="str"/>
      <x:c r="J481" s="12" t="str"/>
      <x:c r="K481" s="12" t="str"/>
      <x:c r="L481" s="13" t="str"/>
      <x:c r="M481" s="12" t="str"/>
      <x:c r="N481" s="12" t="str"/>
      <x:c r="O481" s="12" t="str"/>
      <x:c r="P481" s="12" t="str"/>
      <x:c r="Q481" s="12" t="str"/>
      <x:c r="R481" s="12" t="str"/>
      <x:c r="S481" s="13" t="str"/>
      <x:c r="T481" s="12" t="str"/>
      <x:c r="U481" s="12" t="str"/>
      <x:c r="V481" s="14" t="str">
        <x:f>IF(A481="","",IF(NOT(AND(COUNTIF(Exec[TestID],A481)=1,COUNTIF(Controls[ID],B481)=1,COUNTIFS(Scope[KapsamID],D481,Scope[OnayliKapsamID],D481,Scope[Ürün],C481)=1,OR(COUNTIFS(Controls[ID],B481,Controls[Ürün],C481)=1,COUNTIFS(Controls[ID],B481,Controls[Ürün],"MSP Genel")=1),E481&lt;&gt;"",F481&lt;&gt;"",G481&lt;&gt;"",I481&lt;&gt;"",Q481&lt;&gt;"")),"Kimlik / kapsam eksik",IF(NOT(OR(H481="Uygulanır",H481="Uygulanmaz")),"Uygulanabilirlik eksik",IF(AND(H481="Uygulanır",P481="Kanıt yetersiz",U481&lt;&gt;""),IF(AND(R481&lt;&gt;"",R481&lt;&gt;Q481,ISNUMBER(S481),S481&gt;0,S481&gt;=L481),"İnceleme tamam","Gözden geçirme eksik"),IF(NOT(AND(J481&lt;&gt;"",COUNTIFS(Evidence[KanitID],J481,Evidence[Kabul edilen ID],J481)=1,K481&lt;&gt;"",ISNUMBER(L481),L481&gt;0,M481&lt;&gt;"")),"Kanıt / test eksik",IF(NOT(AND(R481&lt;&gt;"",R481&lt;&gt;Q481,ISNUMBER(S481),S481&gt;0,S481&gt;=L481)),"Gözden geçirme eksik",IF(H481="Uygulanmaz","İnceleme tamam",IF(AND(OR(P481="Uygun",P481="Kısmen uygun",P481="Uygunsuz"),OR(N481="Uygun",N481="Kısmen uygun",N481="Uygunsuz"),OR(O481="Uygun",O481="Kısmen uygun",O481="Uygunsuz"),OR(P481&lt;&gt;"Uygun",AND(N481="Uygun",O481="Uygun")),OR(P481="Uygun",AND(T481&lt;&gt;"",COUNTIF(Findings[KayitliBulguID],T481)=1))),"İnceleme tamam","Sonuç / bulgu eksik"))))))))</x:f>
      </x:c>
      <x:c r="W481" s="14" t="str">
        <x:f>IF(A481="","",IF(V481&lt;&gt;"İnceleme tamam","İncelenmedi",IF(H481="Uygulanmaz","Uygulanmaz",P481)))</x:f>
      </x:c>
    </x:row>
    <x:row r="482" ht="35" customHeight="1">
      <x:c r="A482" s="12" t="str"/>
      <x:c r="B482" s="12" t="str"/>
      <x:c r="C482" s="12" t="str"/>
      <x:c r="D482" s="12" t="str"/>
      <x:c r="E482" s="12" t="str"/>
      <x:c r="F482" s="12" t="str"/>
      <x:c r="G482" s="12" t="str"/>
      <x:c r="H482" s="12" t="str"/>
      <x:c r="I482" s="12" t="str"/>
      <x:c r="J482" s="12" t="str"/>
      <x:c r="K482" s="12" t="str"/>
      <x:c r="L482" s="13" t="str"/>
      <x:c r="M482" s="12" t="str"/>
      <x:c r="N482" s="12" t="str"/>
      <x:c r="O482" s="12" t="str"/>
      <x:c r="P482" s="12" t="str"/>
      <x:c r="Q482" s="12" t="str"/>
      <x:c r="R482" s="12" t="str"/>
      <x:c r="S482" s="13" t="str"/>
      <x:c r="T482" s="12" t="str"/>
      <x:c r="U482" s="12" t="str"/>
      <x:c r="V482" s="14" t="str">
        <x:f>IF(A482="","",IF(NOT(AND(COUNTIF(Exec[TestID],A482)=1,COUNTIF(Controls[ID],B482)=1,COUNTIFS(Scope[KapsamID],D482,Scope[OnayliKapsamID],D482,Scope[Ürün],C482)=1,OR(COUNTIFS(Controls[ID],B482,Controls[Ürün],C482)=1,COUNTIFS(Controls[ID],B482,Controls[Ürün],"MSP Genel")=1),E482&lt;&gt;"",F482&lt;&gt;"",G482&lt;&gt;"",I482&lt;&gt;"",Q482&lt;&gt;"")),"Kimlik / kapsam eksik",IF(NOT(OR(H482="Uygulanır",H482="Uygulanmaz")),"Uygulanabilirlik eksik",IF(AND(H482="Uygulanır",P482="Kanıt yetersiz",U482&lt;&gt;""),IF(AND(R482&lt;&gt;"",R482&lt;&gt;Q482,ISNUMBER(S482),S482&gt;0,S482&gt;=L482),"İnceleme tamam","Gözden geçirme eksik"),IF(NOT(AND(J482&lt;&gt;"",COUNTIFS(Evidence[KanitID],J482,Evidence[Kabul edilen ID],J482)=1,K482&lt;&gt;"",ISNUMBER(L482),L482&gt;0,M482&lt;&gt;"")),"Kanıt / test eksik",IF(NOT(AND(R482&lt;&gt;"",R482&lt;&gt;Q482,ISNUMBER(S482),S482&gt;0,S482&gt;=L482)),"Gözden geçirme eksik",IF(H482="Uygulanmaz","İnceleme tamam",IF(AND(OR(P482="Uygun",P482="Kısmen uygun",P482="Uygunsuz"),OR(N482="Uygun",N482="Kısmen uygun",N482="Uygunsuz"),OR(O482="Uygun",O482="Kısmen uygun",O482="Uygunsuz"),OR(P482&lt;&gt;"Uygun",AND(N482="Uygun",O482="Uygun")),OR(P482="Uygun",AND(T482&lt;&gt;"",COUNTIF(Findings[KayitliBulguID],T482)=1))),"İnceleme tamam","Sonuç / bulgu eksik"))))))))</x:f>
      </x:c>
      <x:c r="W482" s="14" t="str">
        <x:f>IF(A482="","",IF(V482&lt;&gt;"İnceleme tamam","İncelenmedi",IF(H482="Uygulanmaz","Uygulanmaz",P482)))</x:f>
      </x:c>
    </x:row>
    <x:row r="483" ht="35" customHeight="1">
      <x:c r="A483" s="12" t="str"/>
      <x:c r="B483" s="12" t="str"/>
      <x:c r="C483" s="12" t="str"/>
      <x:c r="D483" s="12" t="str"/>
      <x:c r="E483" s="12" t="str"/>
      <x:c r="F483" s="12" t="str"/>
      <x:c r="G483" s="12" t="str"/>
      <x:c r="H483" s="12" t="str"/>
      <x:c r="I483" s="12" t="str"/>
      <x:c r="J483" s="12" t="str"/>
      <x:c r="K483" s="12" t="str"/>
      <x:c r="L483" s="13" t="str"/>
      <x:c r="M483" s="12" t="str"/>
      <x:c r="N483" s="12" t="str"/>
      <x:c r="O483" s="12" t="str"/>
      <x:c r="P483" s="12" t="str"/>
      <x:c r="Q483" s="12" t="str"/>
      <x:c r="R483" s="12" t="str"/>
      <x:c r="S483" s="13" t="str"/>
      <x:c r="T483" s="12" t="str"/>
      <x:c r="U483" s="12" t="str"/>
      <x:c r="V483" s="14" t="str">
        <x:f>IF(A483="","",IF(NOT(AND(COUNTIF(Exec[TestID],A483)=1,COUNTIF(Controls[ID],B483)=1,COUNTIFS(Scope[KapsamID],D483,Scope[OnayliKapsamID],D483,Scope[Ürün],C483)=1,OR(COUNTIFS(Controls[ID],B483,Controls[Ürün],C483)=1,COUNTIFS(Controls[ID],B483,Controls[Ürün],"MSP Genel")=1),E483&lt;&gt;"",F483&lt;&gt;"",G483&lt;&gt;"",I483&lt;&gt;"",Q483&lt;&gt;"")),"Kimlik / kapsam eksik",IF(NOT(OR(H483="Uygulanır",H483="Uygulanmaz")),"Uygulanabilirlik eksik",IF(AND(H483="Uygulanır",P483="Kanıt yetersiz",U483&lt;&gt;""),IF(AND(R483&lt;&gt;"",R483&lt;&gt;Q483,ISNUMBER(S483),S483&gt;0,S483&gt;=L483),"İnceleme tamam","Gözden geçirme eksik"),IF(NOT(AND(J483&lt;&gt;"",COUNTIFS(Evidence[KanitID],J483,Evidence[Kabul edilen ID],J483)=1,K483&lt;&gt;"",ISNUMBER(L483),L483&gt;0,M483&lt;&gt;"")),"Kanıt / test eksik",IF(NOT(AND(R483&lt;&gt;"",R483&lt;&gt;Q483,ISNUMBER(S483),S483&gt;0,S483&gt;=L483)),"Gözden geçirme eksik",IF(H483="Uygulanmaz","İnceleme tamam",IF(AND(OR(P483="Uygun",P483="Kısmen uygun",P483="Uygunsuz"),OR(N483="Uygun",N483="Kısmen uygun",N483="Uygunsuz"),OR(O483="Uygun",O483="Kısmen uygun",O483="Uygunsuz"),OR(P483&lt;&gt;"Uygun",AND(N483="Uygun",O483="Uygun")),OR(P483="Uygun",AND(T483&lt;&gt;"",COUNTIF(Findings[KayitliBulguID],T483)=1))),"İnceleme tamam","Sonuç / bulgu eksik"))))))))</x:f>
      </x:c>
      <x:c r="W483" s="14" t="str">
        <x:f>IF(A483="","",IF(V483&lt;&gt;"İnceleme tamam","İncelenmedi",IF(H483="Uygulanmaz","Uygulanmaz",P483)))</x:f>
      </x:c>
    </x:row>
    <x:row r="484" ht="35" customHeight="1">
      <x:c r="A484" s="12" t="str"/>
      <x:c r="B484" s="12" t="str"/>
      <x:c r="C484" s="12" t="str"/>
      <x:c r="D484" s="12" t="str"/>
      <x:c r="E484" s="12" t="str"/>
      <x:c r="F484" s="12" t="str"/>
      <x:c r="G484" s="12" t="str"/>
      <x:c r="H484" s="12" t="str"/>
      <x:c r="I484" s="12" t="str"/>
      <x:c r="J484" s="12" t="str"/>
      <x:c r="K484" s="12" t="str"/>
      <x:c r="L484" s="13" t="str"/>
      <x:c r="M484" s="12" t="str"/>
      <x:c r="N484" s="12" t="str"/>
      <x:c r="O484" s="12" t="str"/>
      <x:c r="P484" s="12" t="str"/>
      <x:c r="Q484" s="12" t="str"/>
      <x:c r="R484" s="12" t="str"/>
      <x:c r="S484" s="13" t="str"/>
      <x:c r="T484" s="12" t="str"/>
      <x:c r="U484" s="12" t="str"/>
      <x:c r="V484" s="14" t="str">
        <x:f>IF(A484="","",IF(NOT(AND(COUNTIF(Exec[TestID],A484)=1,COUNTIF(Controls[ID],B484)=1,COUNTIFS(Scope[KapsamID],D484,Scope[OnayliKapsamID],D484,Scope[Ürün],C484)=1,OR(COUNTIFS(Controls[ID],B484,Controls[Ürün],C484)=1,COUNTIFS(Controls[ID],B484,Controls[Ürün],"MSP Genel")=1),E484&lt;&gt;"",F484&lt;&gt;"",G484&lt;&gt;"",I484&lt;&gt;"",Q484&lt;&gt;"")),"Kimlik / kapsam eksik",IF(NOT(OR(H484="Uygulanır",H484="Uygulanmaz")),"Uygulanabilirlik eksik",IF(AND(H484="Uygulanır",P484="Kanıt yetersiz",U484&lt;&gt;""),IF(AND(R484&lt;&gt;"",R484&lt;&gt;Q484,ISNUMBER(S484),S484&gt;0,S484&gt;=L484),"İnceleme tamam","Gözden geçirme eksik"),IF(NOT(AND(J484&lt;&gt;"",COUNTIFS(Evidence[KanitID],J484,Evidence[Kabul edilen ID],J484)=1,K484&lt;&gt;"",ISNUMBER(L484),L484&gt;0,M484&lt;&gt;"")),"Kanıt / test eksik",IF(NOT(AND(R484&lt;&gt;"",R484&lt;&gt;Q484,ISNUMBER(S484),S484&gt;0,S484&gt;=L484)),"Gözden geçirme eksik",IF(H484="Uygulanmaz","İnceleme tamam",IF(AND(OR(P484="Uygun",P484="Kısmen uygun",P484="Uygunsuz"),OR(N484="Uygun",N484="Kısmen uygun",N484="Uygunsuz"),OR(O484="Uygun",O484="Kısmen uygun",O484="Uygunsuz"),OR(P484&lt;&gt;"Uygun",AND(N484="Uygun",O484="Uygun")),OR(P484="Uygun",AND(T484&lt;&gt;"",COUNTIF(Findings[KayitliBulguID],T484)=1))),"İnceleme tamam","Sonuç / bulgu eksik"))))))))</x:f>
      </x:c>
      <x:c r="W484" s="14" t="str">
        <x:f>IF(A484="","",IF(V484&lt;&gt;"İnceleme tamam","İncelenmedi",IF(H484="Uygulanmaz","Uygulanmaz",P484)))</x:f>
      </x:c>
    </x:row>
    <x:row r="485" ht="35" customHeight="1">
      <x:c r="A485" s="12" t="str"/>
      <x:c r="B485" s="12" t="str"/>
      <x:c r="C485" s="12" t="str"/>
      <x:c r="D485" s="12" t="str"/>
      <x:c r="E485" s="12" t="str"/>
      <x:c r="F485" s="12" t="str"/>
      <x:c r="G485" s="12" t="str"/>
      <x:c r="H485" s="12" t="str"/>
      <x:c r="I485" s="12" t="str"/>
      <x:c r="J485" s="12" t="str"/>
      <x:c r="K485" s="12" t="str"/>
      <x:c r="L485" s="13" t="str"/>
      <x:c r="M485" s="12" t="str"/>
      <x:c r="N485" s="12" t="str"/>
      <x:c r="O485" s="12" t="str"/>
      <x:c r="P485" s="12" t="str"/>
      <x:c r="Q485" s="12" t="str"/>
      <x:c r="R485" s="12" t="str"/>
      <x:c r="S485" s="13" t="str"/>
      <x:c r="T485" s="12" t="str"/>
      <x:c r="U485" s="12" t="str"/>
      <x:c r="V485" s="14" t="str">
        <x:f>IF(A485="","",IF(NOT(AND(COUNTIF(Exec[TestID],A485)=1,COUNTIF(Controls[ID],B485)=1,COUNTIFS(Scope[KapsamID],D485,Scope[OnayliKapsamID],D485,Scope[Ürün],C485)=1,OR(COUNTIFS(Controls[ID],B485,Controls[Ürün],C485)=1,COUNTIFS(Controls[ID],B485,Controls[Ürün],"MSP Genel")=1),E485&lt;&gt;"",F485&lt;&gt;"",G485&lt;&gt;"",I485&lt;&gt;"",Q485&lt;&gt;"")),"Kimlik / kapsam eksik",IF(NOT(OR(H485="Uygulanır",H485="Uygulanmaz")),"Uygulanabilirlik eksik",IF(AND(H485="Uygulanır",P485="Kanıt yetersiz",U485&lt;&gt;""),IF(AND(R485&lt;&gt;"",R485&lt;&gt;Q485,ISNUMBER(S485),S485&gt;0,S485&gt;=L485),"İnceleme tamam","Gözden geçirme eksik"),IF(NOT(AND(J485&lt;&gt;"",COUNTIFS(Evidence[KanitID],J485,Evidence[Kabul edilen ID],J485)=1,K485&lt;&gt;"",ISNUMBER(L485),L485&gt;0,M485&lt;&gt;"")),"Kanıt / test eksik",IF(NOT(AND(R485&lt;&gt;"",R485&lt;&gt;Q485,ISNUMBER(S485),S485&gt;0,S485&gt;=L485)),"Gözden geçirme eksik",IF(H485="Uygulanmaz","İnceleme tamam",IF(AND(OR(P485="Uygun",P485="Kısmen uygun",P485="Uygunsuz"),OR(N485="Uygun",N485="Kısmen uygun",N485="Uygunsuz"),OR(O485="Uygun",O485="Kısmen uygun",O485="Uygunsuz"),OR(P485&lt;&gt;"Uygun",AND(N485="Uygun",O485="Uygun")),OR(P485="Uygun",AND(T485&lt;&gt;"",COUNTIF(Findings[KayitliBulguID],T485)=1))),"İnceleme tamam","Sonuç / bulgu eksik"))))))))</x:f>
      </x:c>
      <x:c r="W485" s="14" t="str">
        <x:f>IF(A485="","",IF(V485&lt;&gt;"İnceleme tamam","İncelenmedi",IF(H485="Uygulanmaz","Uygulanmaz",P485)))</x:f>
      </x:c>
    </x:row>
  </x:sheetData>
  <x:conditionalFormatting sqref="V6:V485">
    <x:cfRule type="containsText" dxfId="2" priority="1" operator="containsText" text="eksik"/>
  </x:conditionalFormatting>
  <x:conditionalFormatting sqref="W6:W485">
    <x:cfRule type="containsText" dxfId="3" priority="2" operator="containsText" text="Uygunsuz"/>
  </x:conditionalFormatting>
  <x:dataValidations count="4">
    <x:dataValidation type="list" errorStyle="stop" showErrorMessage="1" errorTitle="Geçersiz seçim" error="Listede tanımlı bir değer seçin." sqref="H6:H485">
      <x:formula1>"Belirlenecek,Uygulanır,Uygulanmaz"</x:formula1>
    </x:dataValidation>
    <x:dataValidation type="list" errorStyle="stop" showErrorMessage="1" errorTitle="Geçersiz seçim" error="Listede tanımlı bir değer seçin." sqref="N6:N485">
      <x:formula1>"İncelenmedi,Uygun,Kısmen uygun,Uygunsuz,Kanıt yetersiz"</x:formula1>
    </x:dataValidation>
    <x:dataValidation type="list" errorStyle="stop" showErrorMessage="1" errorTitle="Geçersiz seçim" error="Listede tanımlı bir değer seçin." sqref="O6:O485">
      <x:formula1>"İncelenmedi,Uygun,Kısmen uygun,Uygunsuz,Kanıt yetersiz"</x:formula1>
    </x:dataValidation>
    <x:dataValidation type="list" errorStyle="stop" showErrorMessage="1" errorTitle="Geçersiz seçim" error="Listede tanımlı bir değer seçin." sqref="P6:P485">
      <x:formula1>"İncelenmedi,Uygun,Kısmen uygun,Uygunsuz,Kanıt yetersiz"</x:formula1>
    </x:dataValidation>
  </x:dataValidations>
  <x:pageMargins left="0.7" right="0.7" top="0.75" bottom="0.75" header="0.3" footer="0.3"/>
  <x:tableParts count="1">
    <x:tablePart xmlns:r="http://schemas.openxmlformats.org/officeDocument/2006/relationships" r:id="Rf3bbc5e537b1443c"/>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9" hidden="0" customWidth="1"/>
    <x:col min="2" max="2" width="26" hidden="0" customWidth="1"/>
    <x:col min="3" max="3" width="64" hidden="0" customWidth="1"/>
    <x:col min="4" max="4" width="29" hidden="0" customWidth="1"/>
    <x:col min="5" max="5" width="20" hidden="0" customWidth="1"/>
    <x:col min="6" max="6" width="20" hidden="0" customWidth="1"/>
    <x:col min="7" max="7" width="23" hidden="0" customWidth="1"/>
    <x:col min="8" max="8" width="20" hidden="0" customWidth="1"/>
    <x:col min="9" max="9" width="54" hidden="0" customWidth="1"/>
    <x:col min="10" max="10" width="70" hidden="0" customWidth="1"/>
    <x:col min="11" max="11" width="72" hidden="0" customWidth="1"/>
    <x:col min="12" max="12" width="54" hidden="0" customWidth="1"/>
    <x:col min="13" max="13" width="28" hidden="0" customWidth="1"/>
    <x:col min="14" max="14" width="22" hidden="0" customWidth="1"/>
    <x:col min="15" max="15" width="27" hidden="0" customWidth="1"/>
    <x:col min="16" max="16" width="29" hidden="0" customWidth="1"/>
    <x:col min="17" max="17" width="26" hidden="0" customWidth="1"/>
  </x:cols>
  <x:sheetData>
    <x:row r="1">
      <x:c r="A1" s="1"/>
      <x:c r="B1" s="1"/>
      <x:c r="C1" s="1"/>
      <x:c r="D1" s="1"/>
      <x:c r="E1" s="1"/>
      <x:c r="F1" s="1"/>
      <x:c r="G1" s="1"/>
      <x:c r="H1" s="1"/>
      <x:c r="I1" s="1"/>
      <x:c r="J1" s="1"/>
      <x:c r="K1" s="1"/>
      <x:c r="L1" s="1"/>
      <x:c r="M1" s="1"/>
      <x:c r="N1" s="1"/>
      <x:c r="O1" s="1"/>
      <x:c r="P1" s="1"/>
      <x:c r="Q1" s="1"/>
    </x:row>
    <x:row r="2" ht="29" customHeight="1">
      <x:c r="A2" s="2" t="str">
        <x:v>Kanıt Takibi</x:v>
      </x:c>
      <x:c r="B2" s="2"/>
      <x:c r="C2" s="2"/>
      <x:c r="D2" s="2"/>
      <x:c r="E2" s="2"/>
      <x:c r="F2" s="2"/>
      <x:c r="G2" s="2"/>
      <x:c r="H2" s="2"/>
      <x:c r="I2" s="2"/>
      <x:c r="J2" s="2"/>
      <x:c r="K2" s="2"/>
      <x:c r="L2" s="2"/>
      <x:c r="M2" s="2"/>
      <x:c r="N2" s="2"/>
      <x:c r="O2" s="2"/>
      <x:c r="P2" s="2"/>
      <x:c r="Q2" s="2"/>
    </x:row>
    <x:row r="3" ht="8" customHeight="1">
      <x:c r="A3" s="3"/>
      <x:c r="B3" s="3"/>
      <x:c r="C3" s="3"/>
      <x:c r="D3" s="3"/>
      <x:c r="E3" s="3"/>
      <x:c r="F3" s="3"/>
      <x:c r="G3" s="3"/>
      <x:c r="H3" s="3"/>
      <x:c r="I3" s="3"/>
      <x:c r="J3" s="3"/>
      <x:c r="K3" s="3"/>
      <x:c r="L3" s="3"/>
      <x:c r="M3" s="3"/>
      <x:c r="N3" s="3"/>
      <x:c r="O3" s="3"/>
      <x:c r="P3" s="3"/>
      <x:c r="Q3" s="3"/>
    </x:row>
    <x:row r="4" ht="24" customHeight="1">
      <x:c r="A4" s="4" t="str">
        <x:v>Bir KanitID bir dosya veya manifest paketini tanımlar. Kabul, teknik kontrolün uygun olduğu anlamına gelmez.</x:v>
      </x:c>
      <x:c r="B4" s="4"/>
      <x:c r="C4" s="4"/>
      <x:c r="D4" s="4"/>
      <x:c r="E4" s="4"/>
      <x:c r="F4" s="4"/>
      <x:c r="G4" s="4"/>
      <x:c r="H4" s="4"/>
      <x:c r="I4" s="4"/>
      <x:c r="J4" s="4"/>
      <x:c r="K4" s="4"/>
      <x:c r="L4" s="4"/>
      <x:c r="M4" s="4"/>
      <x:c r="N4" s="4"/>
      <x:c r="O4" s="4"/>
      <x:c r="P4" s="4"/>
      <x:c r="Q4" s="4"/>
    </x:row>
    <x:row r="5" ht="36" customHeight="1">
      <x:c r="A5" s="10" t="str">
        <x:v>KanitID</x:v>
      </x:c>
      <x:c r="B5" s="10" t="str">
        <x:v>İlgili test ID</x:v>
      </x:c>
      <x:c r="C5" s="10" t="str">
        <x:v>Kanıt talebi / paket içeriği</x:v>
      </x:c>
      <x:c r="D5" s="10" t="str">
        <x:v>Talep sahibi</x:v>
      </x:c>
      <x:c r="E5" s="10" t="str">
        <x:v>Talep tarihi</x:v>
      </x:c>
      <x:c r="F5" s="10" t="str">
        <x:v>Hedef tarih</x:v>
      </x:c>
      <x:c r="G5" s="10" t="str">
        <x:v>Teslim durumu</x:v>
      </x:c>
      <x:c r="H5" s="10" t="str">
        <x:v>Teslim tarihi</x:v>
      </x:c>
      <x:c r="I5" s="10" t="str">
        <x:v>Kaynak sistem / yöntem</x:v>
      </x:c>
      <x:c r="J5" s="10" t="str">
        <x:v>Dosya / paket konumu</x:v>
      </x:c>
      <x:c r="K5" s="10" t="str">
        <x:v>SHA-256 / bütünlük yöntemi</x:v>
      </x:c>
      <x:c r="L5" s="10" t="str">
        <x:v>Tenant / hedef kapsamı</x:v>
      </x:c>
      <x:c r="M5" s="10" t="str">
        <x:v>Toplayan</x:v>
      </x:c>
      <x:c r="N5" s="10" t="str">
        <x:v>Saat dilimi</x:v>
      </x:c>
      <x:c r="O5" s="10" t="str">
        <x:v>İnceleme kararı</x:v>
      </x:c>
      <x:c r="P5" s="10" t="str">
        <x:v>Doğrulayan</x:v>
      </x:c>
      <x:c r="Q5" s="10" t="str">
        <x:v>Kabul edilen ID</x:v>
      </x:c>
    </x:row>
    <x:row r="6" ht="35" customHeight="1">
      <x:c r="A6" s="12"/>
      <x:c r="B6" s="12"/>
      <x:c r="C6" s="12"/>
      <x:c r="D6" s="12"/>
      <x:c r="E6" s="13"/>
      <x:c r="F6" s="13"/>
      <x:c r="G6" s="12"/>
      <x:c r="H6" s="13"/>
      <x:c r="I6" s="12"/>
      <x:c r="J6" s="12"/>
      <x:c r="K6" s="12"/>
      <x:c r="L6" s="12"/>
      <x:c r="M6" s="12"/>
      <x:c r="N6" s="12"/>
      <x:c r="O6" s="12"/>
      <x:c r="P6" s="12"/>
      <x:c r="Q6" s="14" t="str">
        <x:f>IF(A6="","",IF(AND(COUNTIF(Evidence[KanitID],A6)=1,G6="Teslim edildi",ISNUMBER(H6),I6&lt;&gt;"",J6&lt;&gt;"",K6&lt;&gt;"",L6&lt;&gt;"",M6&lt;&gt;"",N6&lt;&gt;"",O6="Kabul",P6&lt;&gt;""),A6,"Kayıt eksik"))</x:f>
      </x:c>
    </x:row>
    <x:row r="7" ht="35" customHeight="1">
      <x:c r="A7" s="12" t="str"/>
      <x:c r="B7" s="12" t="str"/>
      <x:c r="C7" s="12" t="str"/>
      <x:c r="D7" s="12" t="str"/>
      <x:c r="E7" s="13" t="str"/>
      <x:c r="F7" s="13" t="str"/>
      <x:c r="G7" s="12" t="str"/>
      <x:c r="H7" s="13" t="str"/>
      <x:c r="I7" s="12" t="str"/>
      <x:c r="J7" s="12" t="str"/>
      <x:c r="K7" s="12" t="str"/>
      <x:c r="L7" s="12" t="str"/>
      <x:c r="M7" s="12" t="str"/>
      <x:c r="N7" s="12" t="str"/>
      <x:c r="O7" s="12" t="str"/>
      <x:c r="P7" s="12" t="str"/>
      <x:c r="Q7" s="14" t="str">
        <x:f>IF(A7="","",IF(AND(COUNTIF(Evidence[KanitID],A7)=1,G7="Teslim edildi",ISNUMBER(H7),I7&lt;&gt;"",J7&lt;&gt;"",K7&lt;&gt;"",L7&lt;&gt;"",M7&lt;&gt;"",N7&lt;&gt;"",O7="Kabul",P7&lt;&gt;""),A7,"Kayıt eksik"))</x:f>
      </x:c>
    </x:row>
    <x:row r="8" ht="35" customHeight="1">
      <x:c r="A8" s="12" t="str"/>
      <x:c r="B8" s="12" t="str"/>
      <x:c r="C8" s="12" t="str"/>
      <x:c r="D8" s="12" t="str"/>
      <x:c r="E8" s="13" t="str"/>
      <x:c r="F8" s="13" t="str"/>
      <x:c r="G8" s="12" t="str"/>
      <x:c r="H8" s="13" t="str"/>
      <x:c r="I8" s="12" t="str"/>
      <x:c r="J8" s="12" t="str"/>
      <x:c r="K8" s="12" t="str"/>
      <x:c r="L8" s="12" t="str"/>
      <x:c r="M8" s="12" t="str"/>
      <x:c r="N8" s="12" t="str"/>
      <x:c r="O8" s="12" t="str"/>
      <x:c r="P8" s="12" t="str"/>
      <x:c r="Q8" s="14" t="str">
        <x:f>IF(A8="","",IF(AND(COUNTIF(Evidence[KanitID],A8)=1,G8="Teslim edildi",ISNUMBER(H8),I8&lt;&gt;"",J8&lt;&gt;"",K8&lt;&gt;"",L8&lt;&gt;"",M8&lt;&gt;"",N8&lt;&gt;"",O8="Kabul",P8&lt;&gt;""),A8,"Kayıt eksik"))</x:f>
      </x:c>
    </x:row>
    <x:row r="9" ht="35" customHeight="1">
      <x:c r="A9" s="12" t="str"/>
      <x:c r="B9" s="12" t="str"/>
      <x:c r="C9" s="12" t="str"/>
      <x:c r="D9" s="12" t="str"/>
      <x:c r="E9" s="13" t="str"/>
      <x:c r="F9" s="13" t="str"/>
      <x:c r="G9" s="12" t="str"/>
      <x:c r="H9" s="13" t="str"/>
      <x:c r="I9" s="12" t="str"/>
      <x:c r="J9" s="12" t="str"/>
      <x:c r="K9" s="12" t="str"/>
      <x:c r="L9" s="12" t="str"/>
      <x:c r="M9" s="12" t="str"/>
      <x:c r="N9" s="12" t="str"/>
      <x:c r="O9" s="12" t="str"/>
      <x:c r="P9" s="12" t="str"/>
      <x:c r="Q9" s="14" t="str">
        <x:f>IF(A9="","",IF(AND(COUNTIF(Evidence[KanitID],A9)=1,G9="Teslim edildi",ISNUMBER(H9),I9&lt;&gt;"",J9&lt;&gt;"",K9&lt;&gt;"",L9&lt;&gt;"",M9&lt;&gt;"",N9&lt;&gt;"",O9="Kabul",P9&lt;&gt;""),A9,"Kayıt eksik"))</x:f>
      </x:c>
    </x:row>
    <x:row r="10" ht="35" customHeight="1">
      <x:c r="A10" s="12" t="str"/>
      <x:c r="B10" s="12" t="str"/>
      <x:c r="C10" s="12" t="str"/>
      <x:c r="D10" s="12" t="str"/>
      <x:c r="E10" s="13" t="str"/>
      <x:c r="F10" s="13" t="str"/>
      <x:c r="G10" s="12" t="str"/>
      <x:c r="H10" s="13" t="str"/>
      <x:c r="I10" s="12" t="str"/>
      <x:c r="J10" s="12" t="str"/>
      <x:c r="K10" s="12" t="str"/>
      <x:c r="L10" s="12" t="str"/>
      <x:c r="M10" s="12" t="str"/>
      <x:c r="N10" s="12" t="str"/>
      <x:c r="O10" s="12" t="str"/>
      <x:c r="P10" s="12" t="str"/>
      <x:c r="Q10" s="14" t="str">
        <x:f>IF(A10="","",IF(AND(COUNTIF(Evidence[KanitID],A10)=1,G10="Teslim edildi",ISNUMBER(H10),I10&lt;&gt;"",J10&lt;&gt;"",K10&lt;&gt;"",L10&lt;&gt;"",M10&lt;&gt;"",N10&lt;&gt;"",O10="Kabul",P10&lt;&gt;""),A10,"Kayıt eksik"))</x:f>
      </x:c>
    </x:row>
    <x:row r="11" ht="35" customHeight="1">
      <x:c r="A11" s="12" t="str"/>
      <x:c r="B11" s="12" t="str"/>
      <x:c r="C11" s="12" t="str"/>
      <x:c r="D11" s="12" t="str"/>
      <x:c r="E11" s="13" t="str"/>
      <x:c r="F11" s="13" t="str"/>
      <x:c r="G11" s="12" t="str"/>
      <x:c r="H11" s="13" t="str"/>
      <x:c r="I11" s="12" t="str"/>
      <x:c r="J11" s="12" t="str"/>
      <x:c r="K11" s="12" t="str"/>
      <x:c r="L11" s="12" t="str"/>
      <x:c r="M11" s="12" t="str"/>
      <x:c r="N11" s="12" t="str"/>
      <x:c r="O11" s="12" t="str"/>
      <x:c r="P11" s="12" t="str"/>
      <x:c r="Q11" s="14" t="str">
        <x:f>IF(A11="","",IF(AND(COUNTIF(Evidence[KanitID],A11)=1,G11="Teslim edildi",ISNUMBER(H11),I11&lt;&gt;"",J11&lt;&gt;"",K11&lt;&gt;"",L11&lt;&gt;"",M11&lt;&gt;"",N11&lt;&gt;"",O11="Kabul",P11&lt;&gt;""),A11,"Kayıt eksik"))</x:f>
      </x:c>
    </x:row>
    <x:row r="12" ht="35" customHeight="1">
      <x:c r="A12" s="12" t="str"/>
      <x:c r="B12" s="12" t="str"/>
      <x:c r="C12" s="12" t="str"/>
      <x:c r="D12" s="12" t="str"/>
      <x:c r="E12" s="13" t="str"/>
      <x:c r="F12" s="13" t="str"/>
      <x:c r="G12" s="12" t="str"/>
      <x:c r="H12" s="13" t="str"/>
      <x:c r="I12" s="12" t="str"/>
      <x:c r="J12" s="12" t="str"/>
      <x:c r="K12" s="12" t="str"/>
      <x:c r="L12" s="12" t="str"/>
      <x:c r="M12" s="12" t="str"/>
      <x:c r="N12" s="12" t="str"/>
      <x:c r="O12" s="12" t="str"/>
      <x:c r="P12" s="12" t="str"/>
      <x:c r="Q12" s="14" t="str">
        <x:f>IF(A12="","",IF(AND(COUNTIF(Evidence[KanitID],A12)=1,G12="Teslim edildi",ISNUMBER(H12),I12&lt;&gt;"",J12&lt;&gt;"",K12&lt;&gt;"",L12&lt;&gt;"",M12&lt;&gt;"",N12&lt;&gt;"",O12="Kabul",P12&lt;&gt;""),A12,"Kayıt eksik"))</x:f>
      </x:c>
    </x:row>
    <x:row r="13" ht="35" customHeight="1">
      <x:c r="A13" s="12" t="str"/>
      <x:c r="B13" s="12" t="str"/>
      <x:c r="C13" s="12" t="str"/>
      <x:c r="D13" s="12" t="str"/>
      <x:c r="E13" s="13" t="str"/>
      <x:c r="F13" s="13" t="str"/>
      <x:c r="G13" s="12" t="str"/>
      <x:c r="H13" s="13" t="str"/>
      <x:c r="I13" s="12" t="str"/>
      <x:c r="J13" s="12" t="str"/>
      <x:c r="K13" s="12" t="str"/>
      <x:c r="L13" s="12" t="str"/>
      <x:c r="M13" s="12" t="str"/>
      <x:c r="N13" s="12" t="str"/>
      <x:c r="O13" s="12" t="str"/>
      <x:c r="P13" s="12" t="str"/>
      <x:c r="Q13" s="14" t="str">
        <x:f>IF(A13="","",IF(AND(COUNTIF(Evidence[KanitID],A13)=1,G13="Teslim edildi",ISNUMBER(H13),I13&lt;&gt;"",J13&lt;&gt;"",K13&lt;&gt;"",L13&lt;&gt;"",M13&lt;&gt;"",N13&lt;&gt;"",O13="Kabul",P13&lt;&gt;""),A13,"Kayıt eksik"))</x:f>
      </x:c>
    </x:row>
    <x:row r="14" ht="35" customHeight="1">
      <x:c r="A14" s="12" t="str"/>
      <x:c r="B14" s="12" t="str"/>
      <x:c r="C14" s="12" t="str"/>
      <x:c r="D14" s="12" t="str"/>
      <x:c r="E14" s="13" t="str"/>
      <x:c r="F14" s="13" t="str"/>
      <x:c r="G14" s="12" t="str"/>
      <x:c r="H14" s="13" t="str"/>
      <x:c r="I14" s="12" t="str"/>
      <x:c r="J14" s="12" t="str"/>
      <x:c r="K14" s="12" t="str"/>
      <x:c r="L14" s="12" t="str"/>
      <x:c r="M14" s="12" t="str"/>
      <x:c r="N14" s="12" t="str"/>
      <x:c r="O14" s="12" t="str"/>
      <x:c r="P14" s="12" t="str"/>
      <x:c r="Q14" s="14" t="str">
        <x:f>IF(A14="","",IF(AND(COUNTIF(Evidence[KanitID],A14)=1,G14="Teslim edildi",ISNUMBER(H14),I14&lt;&gt;"",J14&lt;&gt;"",K14&lt;&gt;"",L14&lt;&gt;"",M14&lt;&gt;"",N14&lt;&gt;"",O14="Kabul",P14&lt;&gt;""),A14,"Kayıt eksik"))</x:f>
      </x:c>
    </x:row>
    <x:row r="15" ht="35" customHeight="1">
      <x:c r="A15" s="12" t="str"/>
      <x:c r="B15" s="12" t="str"/>
      <x:c r="C15" s="12" t="str"/>
      <x:c r="D15" s="12" t="str"/>
      <x:c r="E15" s="13" t="str"/>
      <x:c r="F15" s="13" t="str"/>
      <x:c r="G15" s="12" t="str"/>
      <x:c r="H15" s="13" t="str"/>
      <x:c r="I15" s="12" t="str"/>
      <x:c r="J15" s="12" t="str"/>
      <x:c r="K15" s="12" t="str"/>
      <x:c r="L15" s="12" t="str"/>
      <x:c r="M15" s="12" t="str"/>
      <x:c r="N15" s="12" t="str"/>
      <x:c r="O15" s="12" t="str"/>
      <x:c r="P15" s="12" t="str"/>
      <x:c r="Q15" s="14" t="str">
        <x:f>IF(A15="","",IF(AND(COUNTIF(Evidence[KanitID],A15)=1,G15="Teslim edildi",ISNUMBER(H15),I15&lt;&gt;"",J15&lt;&gt;"",K15&lt;&gt;"",L15&lt;&gt;"",M15&lt;&gt;"",N15&lt;&gt;"",O15="Kabul",P15&lt;&gt;""),A15,"Kayıt eksik"))</x:f>
      </x:c>
    </x:row>
    <x:row r="16" ht="35" customHeight="1">
      <x:c r="A16" s="12" t="str"/>
      <x:c r="B16" s="12" t="str"/>
      <x:c r="C16" s="12" t="str"/>
      <x:c r="D16" s="12" t="str"/>
      <x:c r="E16" s="13" t="str"/>
      <x:c r="F16" s="13" t="str"/>
      <x:c r="G16" s="12" t="str"/>
      <x:c r="H16" s="13" t="str"/>
      <x:c r="I16" s="12" t="str"/>
      <x:c r="J16" s="12" t="str"/>
      <x:c r="K16" s="12" t="str"/>
      <x:c r="L16" s="12" t="str"/>
      <x:c r="M16" s="12" t="str"/>
      <x:c r="N16" s="12" t="str"/>
      <x:c r="O16" s="12" t="str"/>
      <x:c r="P16" s="12" t="str"/>
      <x:c r="Q16" s="14" t="str">
        <x:f>IF(A16="","",IF(AND(COUNTIF(Evidence[KanitID],A16)=1,G16="Teslim edildi",ISNUMBER(H16),I16&lt;&gt;"",J16&lt;&gt;"",K16&lt;&gt;"",L16&lt;&gt;"",M16&lt;&gt;"",N16&lt;&gt;"",O16="Kabul",P16&lt;&gt;""),A16,"Kayıt eksik"))</x:f>
      </x:c>
    </x:row>
    <x:row r="17" ht="35" customHeight="1">
      <x:c r="A17" s="12" t="str"/>
      <x:c r="B17" s="12" t="str"/>
      <x:c r="C17" s="12" t="str"/>
      <x:c r="D17" s="12" t="str"/>
      <x:c r="E17" s="13" t="str"/>
      <x:c r="F17" s="13" t="str"/>
      <x:c r="G17" s="12" t="str"/>
      <x:c r="H17" s="13" t="str"/>
      <x:c r="I17" s="12" t="str"/>
      <x:c r="J17" s="12" t="str"/>
      <x:c r="K17" s="12" t="str"/>
      <x:c r="L17" s="12" t="str"/>
      <x:c r="M17" s="12" t="str"/>
      <x:c r="N17" s="12" t="str"/>
      <x:c r="O17" s="12" t="str"/>
      <x:c r="P17" s="12" t="str"/>
      <x:c r="Q17" s="14" t="str">
        <x:f>IF(A17="","",IF(AND(COUNTIF(Evidence[KanitID],A17)=1,G17="Teslim edildi",ISNUMBER(H17),I17&lt;&gt;"",J17&lt;&gt;"",K17&lt;&gt;"",L17&lt;&gt;"",M17&lt;&gt;"",N17&lt;&gt;"",O17="Kabul",P17&lt;&gt;""),A17,"Kayıt eksik"))</x:f>
      </x:c>
    </x:row>
    <x:row r="18" ht="35" customHeight="1">
      <x:c r="A18" s="12" t="str"/>
      <x:c r="B18" s="12" t="str"/>
      <x:c r="C18" s="12" t="str"/>
      <x:c r="D18" s="12" t="str"/>
      <x:c r="E18" s="13" t="str"/>
      <x:c r="F18" s="13" t="str"/>
      <x:c r="G18" s="12" t="str"/>
      <x:c r="H18" s="13" t="str"/>
      <x:c r="I18" s="12" t="str"/>
      <x:c r="J18" s="12" t="str"/>
      <x:c r="K18" s="12" t="str"/>
      <x:c r="L18" s="12" t="str"/>
      <x:c r="M18" s="12" t="str"/>
      <x:c r="N18" s="12" t="str"/>
      <x:c r="O18" s="12" t="str"/>
      <x:c r="P18" s="12" t="str"/>
      <x:c r="Q18" s="14" t="str">
        <x:f>IF(A18="","",IF(AND(COUNTIF(Evidence[KanitID],A18)=1,G18="Teslim edildi",ISNUMBER(H18),I18&lt;&gt;"",J18&lt;&gt;"",K18&lt;&gt;"",L18&lt;&gt;"",M18&lt;&gt;"",N18&lt;&gt;"",O18="Kabul",P18&lt;&gt;""),A18,"Kayıt eksik"))</x:f>
      </x:c>
    </x:row>
    <x:row r="19" ht="35" customHeight="1">
      <x:c r="A19" s="12" t="str"/>
      <x:c r="B19" s="12" t="str"/>
      <x:c r="C19" s="12" t="str"/>
      <x:c r="D19" s="12" t="str"/>
      <x:c r="E19" s="13" t="str"/>
      <x:c r="F19" s="13" t="str"/>
      <x:c r="G19" s="12" t="str"/>
      <x:c r="H19" s="13" t="str"/>
      <x:c r="I19" s="12" t="str"/>
      <x:c r="J19" s="12" t="str"/>
      <x:c r="K19" s="12" t="str"/>
      <x:c r="L19" s="12" t="str"/>
      <x:c r="M19" s="12" t="str"/>
      <x:c r="N19" s="12" t="str"/>
      <x:c r="O19" s="12" t="str"/>
      <x:c r="P19" s="12" t="str"/>
      <x:c r="Q19" s="14" t="str">
        <x:f>IF(A19="","",IF(AND(COUNTIF(Evidence[KanitID],A19)=1,G19="Teslim edildi",ISNUMBER(H19),I19&lt;&gt;"",J19&lt;&gt;"",K19&lt;&gt;"",L19&lt;&gt;"",M19&lt;&gt;"",N19&lt;&gt;"",O19="Kabul",P19&lt;&gt;""),A19,"Kayıt eksik"))</x:f>
      </x:c>
    </x:row>
    <x:row r="20" ht="35" customHeight="1">
      <x:c r="A20" s="12" t="str"/>
      <x:c r="B20" s="12" t="str"/>
      <x:c r="C20" s="12" t="str"/>
      <x:c r="D20" s="12" t="str"/>
      <x:c r="E20" s="13" t="str"/>
      <x:c r="F20" s="13" t="str"/>
      <x:c r="G20" s="12" t="str"/>
      <x:c r="H20" s="13" t="str"/>
      <x:c r="I20" s="12" t="str"/>
      <x:c r="J20" s="12" t="str"/>
      <x:c r="K20" s="12" t="str"/>
      <x:c r="L20" s="12" t="str"/>
      <x:c r="M20" s="12" t="str"/>
      <x:c r="N20" s="12" t="str"/>
      <x:c r="O20" s="12" t="str"/>
      <x:c r="P20" s="12" t="str"/>
      <x:c r="Q20" s="14" t="str">
        <x:f>IF(A20="","",IF(AND(COUNTIF(Evidence[KanitID],A20)=1,G20="Teslim edildi",ISNUMBER(H20),I20&lt;&gt;"",J20&lt;&gt;"",K20&lt;&gt;"",L20&lt;&gt;"",M20&lt;&gt;"",N20&lt;&gt;"",O20="Kabul",P20&lt;&gt;""),A20,"Kayıt eksik"))</x:f>
      </x:c>
    </x:row>
    <x:row r="21" ht="35" customHeight="1">
      <x:c r="A21" s="12" t="str"/>
      <x:c r="B21" s="12" t="str"/>
      <x:c r="C21" s="12" t="str"/>
      <x:c r="D21" s="12" t="str"/>
      <x:c r="E21" s="13" t="str"/>
      <x:c r="F21" s="13" t="str"/>
      <x:c r="G21" s="12" t="str"/>
      <x:c r="H21" s="13" t="str"/>
      <x:c r="I21" s="12" t="str"/>
      <x:c r="J21" s="12" t="str"/>
      <x:c r="K21" s="12" t="str"/>
      <x:c r="L21" s="12" t="str"/>
      <x:c r="M21" s="12" t="str"/>
      <x:c r="N21" s="12" t="str"/>
      <x:c r="O21" s="12" t="str"/>
      <x:c r="P21" s="12" t="str"/>
      <x:c r="Q21" s="14" t="str">
        <x:f>IF(A21="","",IF(AND(COUNTIF(Evidence[KanitID],A21)=1,G21="Teslim edildi",ISNUMBER(H21),I21&lt;&gt;"",J21&lt;&gt;"",K21&lt;&gt;"",L21&lt;&gt;"",M21&lt;&gt;"",N21&lt;&gt;"",O21="Kabul",P21&lt;&gt;""),A21,"Kayıt eksik"))</x:f>
      </x:c>
    </x:row>
    <x:row r="22" ht="35" customHeight="1">
      <x:c r="A22" s="12" t="str"/>
      <x:c r="B22" s="12" t="str"/>
      <x:c r="C22" s="12" t="str"/>
      <x:c r="D22" s="12" t="str"/>
      <x:c r="E22" s="13" t="str"/>
      <x:c r="F22" s="13" t="str"/>
      <x:c r="G22" s="12" t="str"/>
      <x:c r="H22" s="13" t="str"/>
      <x:c r="I22" s="12" t="str"/>
      <x:c r="J22" s="12" t="str"/>
      <x:c r="K22" s="12" t="str"/>
      <x:c r="L22" s="12" t="str"/>
      <x:c r="M22" s="12" t="str"/>
      <x:c r="N22" s="12" t="str"/>
      <x:c r="O22" s="12" t="str"/>
      <x:c r="P22" s="12" t="str"/>
      <x:c r="Q22" s="14" t="str">
        <x:f>IF(A22="","",IF(AND(COUNTIF(Evidence[KanitID],A22)=1,G22="Teslim edildi",ISNUMBER(H22),I22&lt;&gt;"",J22&lt;&gt;"",K22&lt;&gt;"",L22&lt;&gt;"",M22&lt;&gt;"",N22&lt;&gt;"",O22="Kabul",P22&lt;&gt;""),A22,"Kayıt eksik"))</x:f>
      </x:c>
    </x:row>
    <x:row r="23" ht="35" customHeight="1">
      <x:c r="A23" s="12" t="str"/>
      <x:c r="B23" s="12" t="str"/>
      <x:c r="C23" s="12" t="str"/>
      <x:c r="D23" s="12" t="str"/>
      <x:c r="E23" s="13" t="str"/>
      <x:c r="F23" s="13" t="str"/>
      <x:c r="G23" s="12" t="str"/>
      <x:c r="H23" s="13" t="str"/>
      <x:c r="I23" s="12" t="str"/>
      <x:c r="J23" s="12" t="str"/>
      <x:c r="K23" s="12" t="str"/>
      <x:c r="L23" s="12" t="str"/>
      <x:c r="M23" s="12" t="str"/>
      <x:c r="N23" s="12" t="str"/>
      <x:c r="O23" s="12" t="str"/>
      <x:c r="P23" s="12" t="str"/>
      <x:c r="Q23" s="14" t="str">
        <x:f>IF(A23="","",IF(AND(COUNTIF(Evidence[KanitID],A23)=1,G23="Teslim edildi",ISNUMBER(H23),I23&lt;&gt;"",J23&lt;&gt;"",K23&lt;&gt;"",L23&lt;&gt;"",M23&lt;&gt;"",N23&lt;&gt;"",O23="Kabul",P23&lt;&gt;""),A23,"Kayıt eksik"))</x:f>
      </x:c>
    </x:row>
    <x:row r="24" ht="35" customHeight="1">
      <x:c r="A24" s="12" t="str"/>
      <x:c r="B24" s="12" t="str"/>
      <x:c r="C24" s="12" t="str"/>
      <x:c r="D24" s="12" t="str"/>
      <x:c r="E24" s="13" t="str"/>
      <x:c r="F24" s="13" t="str"/>
      <x:c r="G24" s="12" t="str"/>
      <x:c r="H24" s="13" t="str"/>
      <x:c r="I24" s="12" t="str"/>
      <x:c r="J24" s="12" t="str"/>
      <x:c r="K24" s="12" t="str"/>
      <x:c r="L24" s="12" t="str"/>
      <x:c r="M24" s="12" t="str"/>
      <x:c r="N24" s="12" t="str"/>
      <x:c r="O24" s="12" t="str"/>
      <x:c r="P24" s="12" t="str"/>
      <x:c r="Q24" s="14" t="str">
        <x:f>IF(A24="","",IF(AND(COUNTIF(Evidence[KanitID],A24)=1,G24="Teslim edildi",ISNUMBER(H24),I24&lt;&gt;"",J24&lt;&gt;"",K24&lt;&gt;"",L24&lt;&gt;"",M24&lt;&gt;"",N24&lt;&gt;"",O24="Kabul",P24&lt;&gt;""),A24,"Kayıt eksik"))</x:f>
      </x:c>
    </x:row>
    <x:row r="25" ht="35" customHeight="1">
      <x:c r="A25" s="12" t="str"/>
      <x:c r="B25" s="12" t="str"/>
      <x:c r="C25" s="12" t="str"/>
      <x:c r="D25" s="12" t="str"/>
      <x:c r="E25" s="13" t="str"/>
      <x:c r="F25" s="13" t="str"/>
      <x:c r="G25" s="12" t="str"/>
      <x:c r="H25" s="13" t="str"/>
      <x:c r="I25" s="12" t="str"/>
      <x:c r="J25" s="12" t="str"/>
      <x:c r="K25" s="12" t="str"/>
      <x:c r="L25" s="12" t="str"/>
      <x:c r="M25" s="12" t="str"/>
      <x:c r="N25" s="12" t="str"/>
      <x:c r="O25" s="12" t="str"/>
      <x:c r="P25" s="12" t="str"/>
      <x:c r="Q25" s="14" t="str">
        <x:f>IF(A25="","",IF(AND(COUNTIF(Evidence[KanitID],A25)=1,G25="Teslim edildi",ISNUMBER(H25),I25&lt;&gt;"",J25&lt;&gt;"",K25&lt;&gt;"",L25&lt;&gt;"",M25&lt;&gt;"",N25&lt;&gt;"",O25="Kabul",P25&lt;&gt;""),A25,"Kayıt eksik"))</x:f>
      </x:c>
    </x:row>
    <x:row r="26" ht="35" customHeight="1">
      <x:c r="A26" s="12" t="str"/>
      <x:c r="B26" s="12" t="str"/>
      <x:c r="C26" s="12" t="str"/>
      <x:c r="D26" s="12" t="str"/>
      <x:c r="E26" s="13" t="str"/>
      <x:c r="F26" s="13" t="str"/>
      <x:c r="G26" s="12" t="str"/>
      <x:c r="H26" s="13" t="str"/>
      <x:c r="I26" s="12" t="str"/>
      <x:c r="J26" s="12" t="str"/>
      <x:c r="K26" s="12" t="str"/>
      <x:c r="L26" s="12" t="str"/>
      <x:c r="M26" s="12" t="str"/>
      <x:c r="N26" s="12" t="str"/>
      <x:c r="O26" s="12" t="str"/>
      <x:c r="P26" s="12" t="str"/>
      <x:c r="Q26" s="14" t="str">
        <x:f>IF(A26="","",IF(AND(COUNTIF(Evidence[KanitID],A26)=1,G26="Teslim edildi",ISNUMBER(H26),I26&lt;&gt;"",J26&lt;&gt;"",K26&lt;&gt;"",L26&lt;&gt;"",M26&lt;&gt;"",N26&lt;&gt;"",O26="Kabul",P26&lt;&gt;""),A26,"Kayıt eksik"))</x:f>
      </x:c>
    </x:row>
    <x:row r="27" ht="35" customHeight="1">
      <x:c r="A27" s="12" t="str"/>
      <x:c r="B27" s="12" t="str"/>
      <x:c r="C27" s="12" t="str"/>
      <x:c r="D27" s="12" t="str"/>
      <x:c r="E27" s="13" t="str"/>
      <x:c r="F27" s="13" t="str"/>
      <x:c r="G27" s="12" t="str"/>
      <x:c r="H27" s="13" t="str"/>
      <x:c r="I27" s="12" t="str"/>
      <x:c r="J27" s="12" t="str"/>
      <x:c r="K27" s="12" t="str"/>
      <x:c r="L27" s="12" t="str"/>
      <x:c r="M27" s="12" t="str"/>
      <x:c r="N27" s="12" t="str"/>
      <x:c r="O27" s="12" t="str"/>
      <x:c r="P27" s="12" t="str"/>
      <x:c r="Q27" s="14" t="str">
        <x:f>IF(A27="","",IF(AND(COUNTIF(Evidence[KanitID],A27)=1,G27="Teslim edildi",ISNUMBER(H27),I27&lt;&gt;"",J27&lt;&gt;"",K27&lt;&gt;"",L27&lt;&gt;"",M27&lt;&gt;"",N27&lt;&gt;"",O27="Kabul",P27&lt;&gt;""),A27,"Kayıt eksik"))</x:f>
      </x:c>
    </x:row>
    <x:row r="28" ht="35" customHeight="1">
      <x:c r="A28" s="12" t="str"/>
      <x:c r="B28" s="12" t="str"/>
      <x:c r="C28" s="12" t="str"/>
      <x:c r="D28" s="12" t="str"/>
      <x:c r="E28" s="13" t="str"/>
      <x:c r="F28" s="13" t="str"/>
      <x:c r="G28" s="12" t="str"/>
      <x:c r="H28" s="13" t="str"/>
      <x:c r="I28" s="12" t="str"/>
      <x:c r="J28" s="12" t="str"/>
      <x:c r="K28" s="12" t="str"/>
      <x:c r="L28" s="12" t="str"/>
      <x:c r="M28" s="12" t="str"/>
      <x:c r="N28" s="12" t="str"/>
      <x:c r="O28" s="12" t="str"/>
      <x:c r="P28" s="12" t="str"/>
      <x:c r="Q28" s="14" t="str">
        <x:f>IF(A28="","",IF(AND(COUNTIF(Evidence[KanitID],A28)=1,G28="Teslim edildi",ISNUMBER(H28),I28&lt;&gt;"",J28&lt;&gt;"",K28&lt;&gt;"",L28&lt;&gt;"",M28&lt;&gt;"",N28&lt;&gt;"",O28="Kabul",P28&lt;&gt;""),A28,"Kayıt eksik"))</x:f>
      </x:c>
    </x:row>
    <x:row r="29" ht="35" customHeight="1">
      <x:c r="A29" s="12" t="str"/>
      <x:c r="B29" s="12" t="str"/>
      <x:c r="C29" s="12" t="str"/>
      <x:c r="D29" s="12" t="str"/>
      <x:c r="E29" s="13" t="str"/>
      <x:c r="F29" s="13" t="str"/>
      <x:c r="G29" s="12" t="str"/>
      <x:c r="H29" s="13" t="str"/>
      <x:c r="I29" s="12" t="str"/>
      <x:c r="J29" s="12" t="str"/>
      <x:c r="K29" s="12" t="str"/>
      <x:c r="L29" s="12" t="str"/>
      <x:c r="M29" s="12" t="str"/>
      <x:c r="N29" s="12" t="str"/>
      <x:c r="O29" s="12" t="str"/>
      <x:c r="P29" s="12" t="str"/>
      <x:c r="Q29" s="14" t="str">
        <x:f>IF(A29="","",IF(AND(COUNTIF(Evidence[KanitID],A29)=1,G29="Teslim edildi",ISNUMBER(H29),I29&lt;&gt;"",J29&lt;&gt;"",K29&lt;&gt;"",L29&lt;&gt;"",M29&lt;&gt;"",N29&lt;&gt;"",O29="Kabul",P29&lt;&gt;""),A29,"Kayıt eksik"))</x:f>
      </x:c>
    </x:row>
    <x:row r="30" ht="35" customHeight="1">
      <x:c r="A30" s="12" t="str"/>
      <x:c r="B30" s="12" t="str"/>
      <x:c r="C30" s="12" t="str"/>
      <x:c r="D30" s="12" t="str"/>
      <x:c r="E30" s="13" t="str"/>
      <x:c r="F30" s="13" t="str"/>
      <x:c r="G30" s="12" t="str"/>
      <x:c r="H30" s="13" t="str"/>
      <x:c r="I30" s="12" t="str"/>
      <x:c r="J30" s="12" t="str"/>
      <x:c r="K30" s="12" t="str"/>
      <x:c r="L30" s="12" t="str"/>
      <x:c r="M30" s="12" t="str"/>
      <x:c r="N30" s="12" t="str"/>
      <x:c r="O30" s="12" t="str"/>
      <x:c r="P30" s="12" t="str"/>
      <x:c r="Q30" s="14" t="str">
        <x:f>IF(A30="","",IF(AND(COUNTIF(Evidence[KanitID],A30)=1,G30="Teslim edildi",ISNUMBER(H30),I30&lt;&gt;"",J30&lt;&gt;"",K30&lt;&gt;"",L30&lt;&gt;"",M30&lt;&gt;"",N30&lt;&gt;"",O30="Kabul",P30&lt;&gt;""),A30,"Kayıt eksik"))</x:f>
      </x:c>
    </x:row>
    <x:row r="31" ht="35" customHeight="1">
      <x:c r="A31" s="12" t="str"/>
      <x:c r="B31" s="12" t="str"/>
      <x:c r="C31" s="12" t="str"/>
      <x:c r="D31" s="12" t="str"/>
      <x:c r="E31" s="13" t="str"/>
      <x:c r="F31" s="13" t="str"/>
      <x:c r="G31" s="12" t="str"/>
      <x:c r="H31" s="13" t="str"/>
      <x:c r="I31" s="12" t="str"/>
      <x:c r="J31" s="12" t="str"/>
      <x:c r="K31" s="12" t="str"/>
      <x:c r="L31" s="12" t="str"/>
      <x:c r="M31" s="12" t="str"/>
      <x:c r="N31" s="12" t="str"/>
      <x:c r="O31" s="12" t="str"/>
      <x:c r="P31" s="12" t="str"/>
      <x:c r="Q31" s="14" t="str">
        <x:f>IF(A31="","",IF(AND(COUNTIF(Evidence[KanitID],A31)=1,G31="Teslim edildi",ISNUMBER(H31),I31&lt;&gt;"",J31&lt;&gt;"",K31&lt;&gt;"",L31&lt;&gt;"",M31&lt;&gt;"",N31&lt;&gt;"",O31="Kabul",P31&lt;&gt;""),A31,"Kayıt eksik"))</x:f>
      </x:c>
    </x:row>
    <x:row r="32" ht="35" customHeight="1">
      <x:c r="A32" s="12" t="str"/>
      <x:c r="B32" s="12" t="str"/>
      <x:c r="C32" s="12" t="str"/>
      <x:c r="D32" s="12" t="str"/>
      <x:c r="E32" s="13" t="str"/>
      <x:c r="F32" s="13" t="str"/>
      <x:c r="G32" s="12" t="str"/>
      <x:c r="H32" s="13" t="str"/>
      <x:c r="I32" s="12" t="str"/>
      <x:c r="J32" s="12" t="str"/>
      <x:c r="K32" s="12" t="str"/>
      <x:c r="L32" s="12" t="str"/>
      <x:c r="M32" s="12" t="str"/>
      <x:c r="N32" s="12" t="str"/>
      <x:c r="O32" s="12" t="str"/>
      <x:c r="P32" s="12" t="str"/>
      <x:c r="Q32" s="14" t="str">
        <x:f>IF(A32="","",IF(AND(COUNTIF(Evidence[KanitID],A32)=1,G32="Teslim edildi",ISNUMBER(H32),I32&lt;&gt;"",J32&lt;&gt;"",K32&lt;&gt;"",L32&lt;&gt;"",M32&lt;&gt;"",N32&lt;&gt;"",O32="Kabul",P32&lt;&gt;""),A32,"Kayıt eksik"))</x:f>
      </x:c>
    </x:row>
    <x:row r="33" ht="35" customHeight="1">
      <x:c r="A33" s="12" t="str"/>
      <x:c r="B33" s="12" t="str"/>
      <x:c r="C33" s="12" t="str"/>
      <x:c r="D33" s="12" t="str"/>
      <x:c r="E33" s="13" t="str"/>
      <x:c r="F33" s="13" t="str"/>
      <x:c r="G33" s="12" t="str"/>
      <x:c r="H33" s="13" t="str"/>
      <x:c r="I33" s="12" t="str"/>
      <x:c r="J33" s="12" t="str"/>
      <x:c r="K33" s="12" t="str"/>
      <x:c r="L33" s="12" t="str"/>
      <x:c r="M33" s="12" t="str"/>
      <x:c r="N33" s="12" t="str"/>
      <x:c r="O33" s="12" t="str"/>
      <x:c r="P33" s="12" t="str"/>
      <x:c r="Q33" s="14" t="str">
        <x:f>IF(A33="","",IF(AND(COUNTIF(Evidence[KanitID],A33)=1,G33="Teslim edildi",ISNUMBER(H33),I33&lt;&gt;"",J33&lt;&gt;"",K33&lt;&gt;"",L33&lt;&gt;"",M33&lt;&gt;"",N33&lt;&gt;"",O33="Kabul",P33&lt;&gt;""),A33,"Kayıt eksik"))</x:f>
      </x:c>
    </x:row>
    <x:row r="34" ht="35" customHeight="1">
      <x:c r="A34" s="12" t="str"/>
      <x:c r="B34" s="12" t="str"/>
      <x:c r="C34" s="12" t="str"/>
      <x:c r="D34" s="12" t="str"/>
      <x:c r="E34" s="13" t="str"/>
      <x:c r="F34" s="13" t="str"/>
      <x:c r="G34" s="12" t="str"/>
      <x:c r="H34" s="13" t="str"/>
      <x:c r="I34" s="12" t="str"/>
      <x:c r="J34" s="12" t="str"/>
      <x:c r="K34" s="12" t="str"/>
      <x:c r="L34" s="12" t="str"/>
      <x:c r="M34" s="12" t="str"/>
      <x:c r="N34" s="12" t="str"/>
      <x:c r="O34" s="12" t="str"/>
      <x:c r="P34" s="12" t="str"/>
      <x:c r="Q34" s="14" t="str">
        <x:f>IF(A34="","",IF(AND(COUNTIF(Evidence[KanitID],A34)=1,G34="Teslim edildi",ISNUMBER(H34),I34&lt;&gt;"",J34&lt;&gt;"",K34&lt;&gt;"",L34&lt;&gt;"",M34&lt;&gt;"",N34&lt;&gt;"",O34="Kabul",P34&lt;&gt;""),A34,"Kayıt eksik"))</x:f>
      </x:c>
    </x:row>
    <x:row r="35" ht="35" customHeight="1">
      <x:c r="A35" s="12" t="str"/>
      <x:c r="B35" s="12" t="str"/>
      <x:c r="C35" s="12" t="str"/>
      <x:c r="D35" s="12" t="str"/>
      <x:c r="E35" s="13" t="str"/>
      <x:c r="F35" s="13" t="str"/>
      <x:c r="G35" s="12" t="str"/>
      <x:c r="H35" s="13" t="str"/>
      <x:c r="I35" s="12" t="str"/>
      <x:c r="J35" s="12" t="str"/>
      <x:c r="K35" s="12" t="str"/>
      <x:c r="L35" s="12" t="str"/>
      <x:c r="M35" s="12" t="str"/>
      <x:c r="N35" s="12" t="str"/>
      <x:c r="O35" s="12" t="str"/>
      <x:c r="P35" s="12" t="str"/>
      <x:c r="Q35" s="14" t="str">
        <x:f>IF(A35="","",IF(AND(COUNTIF(Evidence[KanitID],A35)=1,G35="Teslim edildi",ISNUMBER(H35),I35&lt;&gt;"",J35&lt;&gt;"",K35&lt;&gt;"",L35&lt;&gt;"",M35&lt;&gt;"",N35&lt;&gt;"",O35="Kabul",P35&lt;&gt;""),A35,"Kayıt eksik"))</x:f>
      </x:c>
    </x:row>
    <x:row r="36" ht="35" customHeight="1">
      <x:c r="A36" s="12" t="str"/>
      <x:c r="B36" s="12" t="str"/>
      <x:c r="C36" s="12" t="str"/>
      <x:c r="D36" s="12" t="str"/>
      <x:c r="E36" s="13" t="str"/>
      <x:c r="F36" s="13" t="str"/>
      <x:c r="G36" s="12" t="str"/>
      <x:c r="H36" s="13" t="str"/>
      <x:c r="I36" s="12" t="str"/>
      <x:c r="J36" s="12" t="str"/>
      <x:c r="K36" s="12" t="str"/>
      <x:c r="L36" s="12" t="str"/>
      <x:c r="M36" s="12" t="str"/>
      <x:c r="N36" s="12" t="str"/>
      <x:c r="O36" s="12" t="str"/>
      <x:c r="P36" s="12" t="str"/>
      <x:c r="Q36" s="14" t="str">
        <x:f>IF(A36="","",IF(AND(COUNTIF(Evidence[KanitID],A36)=1,G36="Teslim edildi",ISNUMBER(H36),I36&lt;&gt;"",J36&lt;&gt;"",K36&lt;&gt;"",L36&lt;&gt;"",M36&lt;&gt;"",N36&lt;&gt;"",O36="Kabul",P36&lt;&gt;""),A36,"Kayıt eksik"))</x:f>
      </x:c>
    </x:row>
    <x:row r="37" ht="35" customHeight="1">
      <x:c r="A37" s="12" t="str"/>
      <x:c r="B37" s="12" t="str"/>
      <x:c r="C37" s="12" t="str"/>
      <x:c r="D37" s="12" t="str"/>
      <x:c r="E37" s="13" t="str"/>
      <x:c r="F37" s="13" t="str"/>
      <x:c r="G37" s="12" t="str"/>
      <x:c r="H37" s="13" t="str"/>
      <x:c r="I37" s="12" t="str"/>
      <x:c r="J37" s="12" t="str"/>
      <x:c r="K37" s="12" t="str"/>
      <x:c r="L37" s="12" t="str"/>
      <x:c r="M37" s="12" t="str"/>
      <x:c r="N37" s="12" t="str"/>
      <x:c r="O37" s="12" t="str"/>
      <x:c r="P37" s="12" t="str"/>
      <x:c r="Q37" s="14" t="str">
        <x:f>IF(A37="","",IF(AND(COUNTIF(Evidence[KanitID],A37)=1,G37="Teslim edildi",ISNUMBER(H37),I37&lt;&gt;"",J37&lt;&gt;"",K37&lt;&gt;"",L37&lt;&gt;"",M37&lt;&gt;"",N37&lt;&gt;"",O37="Kabul",P37&lt;&gt;""),A37,"Kayıt eksik"))</x:f>
      </x:c>
    </x:row>
    <x:row r="38" ht="35" customHeight="1">
      <x:c r="A38" s="12" t="str"/>
      <x:c r="B38" s="12" t="str"/>
      <x:c r="C38" s="12" t="str"/>
      <x:c r="D38" s="12" t="str"/>
      <x:c r="E38" s="13" t="str"/>
      <x:c r="F38" s="13" t="str"/>
      <x:c r="G38" s="12" t="str"/>
      <x:c r="H38" s="13" t="str"/>
      <x:c r="I38" s="12" t="str"/>
      <x:c r="J38" s="12" t="str"/>
      <x:c r="K38" s="12" t="str"/>
      <x:c r="L38" s="12" t="str"/>
      <x:c r="M38" s="12" t="str"/>
      <x:c r="N38" s="12" t="str"/>
      <x:c r="O38" s="12" t="str"/>
      <x:c r="P38" s="12" t="str"/>
      <x:c r="Q38" s="14" t="str">
        <x:f>IF(A38="","",IF(AND(COUNTIF(Evidence[KanitID],A38)=1,G38="Teslim edildi",ISNUMBER(H38),I38&lt;&gt;"",J38&lt;&gt;"",K38&lt;&gt;"",L38&lt;&gt;"",M38&lt;&gt;"",N38&lt;&gt;"",O38="Kabul",P38&lt;&gt;""),A38,"Kayıt eksik"))</x:f>
      </x:c>
    </x:row>
    <x:row r="39" ht="35" customHeight="1">
      <x:c r="A39" s="12" t="str"/>
      <x:c r="B39" s="12" t="str"/>
      <x:c r="C39" s="12" t="str"/>
      <x:c r="D39" s="12" t="str"/>
      <x:c r="E39" s="13" t="str"/>
      <x:c r="F39" s="13" t="str"/>
      <x:c r="G39" s="12" t="str"/>
      <x:c r="H39" s="13" t="str"/>
      <x:c r="I39" s="12" t="str"/>
      <x:c r="J39" s="12" t="str"/>
      <x:c r="K39" s="12" t="str"/>
      <x:c r="L39" s="12" t="str"/>
      <x:c r="M39" s="12" t="str"/>
      <x:c r="N39" s="12" t="str"/>
      <x:c r="O39" s="12" t="str"/>
      <x:c r="P39" s="12" t="str"/>
      <x:c r="Q39" s="14" t="str">
        <x:f>IF(A39="","",IF(AND(COUNTIF(Evidence[KanitID],A39)=1,G39="Teslim edildi",ISNUMBER(H39),I39&lt;&gt;"",J39&lt;&gt;"",K39&lt;&gt;"",L39&lt;&gt;"",M39&lt;&gt;"",N39&lt;&gt;"",O39="Kabul",P39&lt;&gt;""),A39,"Kayıt eksik"))</x:f>
      </x:c>
    </x:row>
    <x:row r="40" ht="35" customHeight="1">
      <x:c r="A40" s="12" t="str"/>
      <x:c r="B40" s="12" t="str"/>
      <x:c r="C40" s="12" t="str"/>
      <x:c r="D40" s="12" t="str"/>
      <x:c r="E40" s="13" t="str"/>
      <x:c r="F40" s="13" t="str"/>
      <x:c r="G40" s="12" t="str"/>
      <x:c r="H40" s="13" t="str"/>
      <x:c r="I40" s="12" t="str"/>
      <x:c r="J40" s="12" t="str"/>
      <x:c r="K40" s="12" t="str"/>
      <x:c r="L40" s="12" t="str"/>
      <x:c r="M40" s="12" t="str"/>
      <x:c r="N40" s="12" t="str"/>
      <x:c r="O40" s="12" t="str"/>
      <x:c r="P40" s="12" t="str"/>
      <x:c r="Q40" s="14" t="str">
        <x:f>IF(A40="","",IF(AND(COUNTIF(Evidence[KanitID],A40)=1,G40="Teslim edildi",ISNUMBER(H40),I40&lt;&gt;"",J40&lt;&gt;"",K40&lt;&gt;"",L40&lt;&gt;"",M40&lt;&gt;"",N40&lt;&gt;"",O40="Kabul",P40&lt;&gt;""),A40,"Kayıt eksik"))</x:f>
      </x:c>
    </x:row>
    <x:row r="41" ht="35" customHeight="1">
      <x:c r="A41" s="12" t="str"/>
      <x:c r="B41" s="12" t="str"/>
      <x:c r="C41" s="12" t="str"/>
      <x:c r="D41" s="12" t="str"/>
      <x:c r="E41" s="13" t="str"/>
      <x:c r="F41" s="13" t="str"/>
      <x:c r="G41" s="12" t="str"/>
      <x:c r="H41" s="13" t="str"/>
      <x:c r="I41" s="12" t="str"/>
      <x:c r="J41" s="12" t="str"/>
      <x:c r="K41" s="12" t="str"/>
      <x:c r="L41" s="12" t="str"/>
      <x:c r="M41" s="12" t="str"/>
      <x:c r="N41" s="12" t="str"/>
      <x:c r="O41" s="12" t="str"/>
      <x:c r="P41" s="12" t="str"/>
      <x:c r="Q41" s="14" t="str">
        <x:f>IF(A41="","",IF(AND(COUNTIF(Evidence[KanitID],A41)=1,G41="Teslim edildi",ISNUMBER(H41),I41&lt;&gt;"",J41&lt;&gt;"",K41&lt;&gt;"",L41&lt;&gt;"",M41&lt;&gt;"",N41&lt;&gt;"",O41="Kabul",P41&lt;&gt;""),A41,"Kayıt eksik"))</x:f>
      </x:c>
    </x:row>
    <x:row r="42" ht="35" customHeight="1">
      <x:c r="A42" s="12" t="str"/>
      <x:c r="B42" s="12" t="str"/>
      <x:c r="C42" s="12" t="str"/>
      <x:c r="D42" s="12" t="str"/>
      <x:c r="E42" s="13" t="str"/>
      <x:c r="F42" s="13" t="str"/>
      <x:c r="G42" s="12" t="str"/>
      <x:c r="H42" s="13" t="str"/>
      <x:c r="I42" s="12" t="str"/>
      <x:c r="J42" s="12" t="str"/>
      <x:c r="K42" s="12" t="str"/>
      <x:c r="L42" s="12" t="str"/>
      <x:c r="M42" s="12" t="str"/>
      <x:c r="N42" s="12" t="str"/>
      <x:c r="O42" s="12" t="str"/>
      <x:c r="P42" s="12" t="str"/>
      <x:c r="Q42" s="14" t="str">
        <x:f>IF(A42="","",IF(AND(COUNTIF(Evidence[KanitID],A42)=1,G42="Teslim edildi",ISNUMBER(H42),I42&lt;&gt;"",J42&lt;&gt;"",K42&lt;&gt;"",L42&lt;&gt;"",M42&lt;&gt;"",N42&lt;&gt;"",O42="Kabul",P42&lt;&gt;""),A42,"Kayıt eksik"))</x:f>
      </x:c>
    </x:row>
    <x:row r="43" ht="35" customHeight="1">
      <x:c r="A43" s="12" t="str"/>
      <x:c r="B43" s="12" t="str"/>
      <x:c r="C43" s="12" t="str"/>
      <x:c r="D43" s="12" t="str"/>
      <x:c r="E43" s="13" t="str"/>
      <x:c r="F43" s="13" t="str"/>
      <x:c r="G43" s="12" t="str"/>
      <x:c r="H43" s="13" t="str"/>
      <x:c r="I43" s="12" t="str"/>
      <x:c r="J43" s="12" t="str"/>
      <x:c r="K43" s="12" t="str"/>
      <x:c r="L43" s="12" t="str"/>
      <x:c r="M43" s="12" t="str"/>
      <x:c r="N43" s="12" t="str"/>
      <x:c r="O43" s="12" t="str"/>
      <x:c r="P43" s="12" t="str"/>
      <x:c r="Q43" s="14" t="str">
        <x:f>IF(A43="","",IF(AND(COUNTIF(Evidence[KanitID],A43)=1,G43="Teslim edildi",ISNUMBER(H43),I43&lt;&gt;"",J43&lt;&gt;"",K43&lt;&gt;"",L43&lt;&gt;"",M43&lt;&gt;"",N43&lt;&gt;"",O43="Kabul",P43&lt;&gt;""),A43,"Kayıt eksik"))</x:f>
      </x:c>
    </x:row>
    <x:row r="44" ht="35" customHeight="1">
      <x:c r="A44" s="12" t="str"/>
      <x:c r="B44" s="12" t="str"/>
      <x:c r="C44" s="12" t="str"/>
      <x:c r="D44" s="12" t="str"/>
      <x:c r="E44" s="13" t="str"/>
      <x:c r="F44" s="13" t="str"/>
      <x:c r="G44" s="12" t="str"/>
      <x:c r="H44" s="13" t="str"/>
      <x:c r="I44" s="12" t="str"/>
      <x:c r="J44" s="12" t="str"/>
      <x:c r="K44" s="12" t="str"/>
      <x:c r="L44" s="12" t="str"/>
      <x:c r="M44" s="12" t="str"/>
      <x:c r="N44" s="12" t="str"/>
      <x:c r="O44" s="12" t="str"/>
      <x:c r="P44" s="12" t="str"/>
      <x:c r="Q44" s="14" t="str">
        <x:f>IF(A44="","",IF(AND(COUNTIF(Evidence[KanitID],A44)=1,G44="Teslim edildi",ISNUMBER(H44),I44&lt;&gt;"",J44&lt;&gt;"",K44&lt;&gt;"",L44&lt;&gt;"",M44&lt;&gt;"",N44&lt;&gt;"",O44="Kabul",P44&lt;&gt;""),A44,"Kayıt eksik"))</x:f>
      </x:c>
    </x:row>
    <x:row r="45" ht="35" customHeight="1">
      <x:c r="A45" s="12" t="str"/>
      <x:c r="B45" s="12" t="str"/>
      <x:c r="C45" s="12" t="str"/>
      <x:c r="D45" s="12" t="str"/>
      <x:c r="E45" s="13" t="str"/>
      <x:c r="F45" s="13" t="str"/>
      <x:c r="G45" s="12" t="str"/>
      <x:c r="H45" s="13" t="str"/>
      <x:c r="I45" s="12" t="str"/>
      <x:c r="J45" s="12" t="str"/>
      <x:c r="K45" s="12" t="str"/>
      <x:c r="L45" s="12" t="str"/>
      <x:c r="M45" s="12" t="str"/>
      <x:c r="N45" s="12" t="str"/>
      <x:c r="O45" s="12" t="str"/>
      <x:c r="P45" s="12" t="str"/>
      <x:c r="Q45" s="14" t="str">
        <x:f>IF(A45="","",IF(AND(COUNTIF(Evidence[KanitID],A45)=1,G45="Teslim edildi",ISNUMBER(H45),I45&lt;&gt;"",J45&lt;&gt;"",K45&lt;&gt;"",L45&lt;&gt;"",M45&lt;&gt;"",N45&lt;&gt;"",O45="Kabul",P45&lt;&gt;""),A45,"Kayıt eksik"))</x:f>
      </x:c>
    </x:row>
    <x:row r="46" ht="35" customHeight="1">
      <x:c r="A46" s="12" t="str"/>
      <x:c r="B46" s="12" t="str"/>
      <x:c r="C46" s="12" t="str"/>
      <x:c r="D46" s="12" t="str"/>
      <x:c r="E46" s="13" t="str"/>
      <x:c r="F46" s="13" t="str"/>
      <x:c r="G46" s="12" t="str"/>
      <x:c r="H46" s="13" t="str"/>
      <x:c r="I46" s="12" t="str"/>
      <x:c r="J46" s="12" t="str"/>
      <x:c r="K46" s="12" t="str"/>
      <x:c r="L46" s="12" t="str"/>
      <x:c r="M46" s="12" t="str"/>
      <x:c r="N46" s="12" t="str"/>
      <x:c r="O46" s="12" t="str"/>
      <x:c r="P46" s="12" t="str"/>
      <x:c r="Q46" s="14" t="str">
        <x:f>IF(A46="","",IF(AND(COUNTIF(Evidence[KanitID],A46)=1,G46="Teslim edildi",ISNUMBER(H46),I46&lt;&gt;"",J46&lt;&gt;"",K46&lt;&gt;"",L46&lt;&gt;"",M46&lt;&gt;"",N46&lt;&gt;"",O46="Kabul",P46&lt;&gt;""),A46,"Kayıt eksik"))</x:f>
      </x:c>
    </x:row>
    <x:row r="47" ht="35" customHeight="1">
      <x:c r="A47" s="12" t="str"/>
      <x:c r="B47" s="12" t="str"/>
      <x:c r="C47" s="12" t="str"/>
      <x:c r="D47" s="12" t="str"/>
      <x:c r="E47" s="13" t="str"/>
      <x:c r="F47" s="13" t="str"/>
      <x:c r="G47" s="12" t="str"/>
      <x:c r="H47" s="13" t="str"/>
      <x:c r="I47" s="12" t="str"/>
      <x:c r="J47" s="12" t="str"/>
      <x:c r="K47" s="12" t="str"/>
      <x:c r="L47" s="12" t="str"/>
      <x:c r="M47" s="12" t="str"/>
      <x:c r="N47" s="12" t="str"/>
      <x:c r="O47" s="12" t="str"/>
      <x:c r="P47" s="12" t="str"/>
      <x:c r="Q47" s="14" t="str">
        <x:f>IF(A47="","",IF(AND(COUNTIF(Evidence[KanitID],A47)=1,G47="Teslim edildi",ISNUMBER(H47),I47&lt;&gt;"",J47&lt;&gt;"",K47&lt;&gt;"",L47&lt;&gt;"",M47&lt;&gt;"",N47&lt;&gt;"",O47="Kabul",P47&lt;&gt;""),A47,"Kayıt eksik"))</x:f>
      </x:c>
    </x:row>
    <x:row r="48" ht="35" customHeight="1">
      <x:c r="A48" s="12" t="str"/>
      <x:c r="B48" s="12" t="str"/>
      <x:c r="C48" s="12" t="str"/>
      <x:c r="D48" s="12" t="str"/>
      <x:c r="E48" s="13" t="str"/>
      <x:c r="F48" s="13" t="str"/>
      <x:c r="G48" s="12" t="str"/>
      <x:c r="H48" s="13" t="str"/>
      <x:c r="I48" s="12" t="str"/>
      <x:c r="J48" s="12" t="str"/>
      <x:c r="K48" s="12" t="str"/>
      <x:c r="L48" s="12" t="str"/>
      <x:c r="M48" s="12" t="str"/>
      <x:c r="N48" s="12" t="str"/>
      <x:c r="O48" s="12" t="str"/>
      <x:c r="P48" s="12" t="str"/>
      <x:c r="Q48" s="14" t="str">
        <x:f>IF(A48="","",IF(AND(COUNTIF(Evidence[KanitID],A48)=1,G48="Teslim edildi",ISNUMBER(H48),I48&lt;&gt;"",J48&lt;&gt;"",K48&lt;&gt;"",L48&lt;&gt;"",M48&lt;&gt;"",N48&lt;&gt;"",O48="Kabul",P48&lt;&gt;""),A48,"Kayıt eksik"))</x:f>
      </x:c>
    </x:row>
    <x:row r="49" ht="35" customHeight="1">
      <x:c r="A49" s="12" t="str"/>
      <x:c r="B49" s="12" t="str"/>
      <x:c r="C49" s="12" t="str"/>
      <x:c r="D49" s="12" t="str"/>
      <x:c r="E49" s="13" t="str"/>
      <x:c r="F49" s="13" t="str"/>
      <x:c r="G49" s="12" t="str"/>
      <x:c r="H49" s="13" t="str"/>
      <x:c r="I49" s="12" t="str"/>
      <x:c r="J49" s="12" t="str"/>
      <x:c r="K49" s="12" t="str"/>
      <x:c r="L49" s="12" t="str"/>
      <x:c r="M49" s="12" t="str"/>
      <x:c r="N49" s="12" t="str"/>
      <x:c r="O49" s="12" t="str"/>
      <x:c r="P49" s="12" t="str"/>
      <x:c r="Q49" s="14" t="str">
        <x:f>IF(A49="","",IF(AND(COUNTIF(Evidence[KanitID],A49)=1,G49="Teslim edildi",ISNUMBER(H49),I49&lt;&gt;"",J49&lt;&gt;"",K49&lt;&gt;"",L49&lt;&gt;"",M49&lt;&gt;"",N49&lt;&gt;"",O49="Kabul",P49&lt;&gt;""),A49,"Kayıt eksik"))</x:f>
      </x:c>
    </x:row>
    <x:row r="50" ht="35" customHeight="1">
      <x:c r="A50" s="12" t="str"/>
      <x:c r="B50" s="12" t="str"/>
      <x:c r="C50" s="12" t="str"/>
      <x:c r="D50" s="12" t="str"/>
      <x:c r="E50" s="13" t="str"/>
      <x:c r="F50" s="13" t="str"/>
      <x:c r="G50" s="12" t="str"/>
      <x:c r="H50" s="13" t="str"/>
      <x:c r="I50" s="12" t="str"/>
      <x:c r="J50" s="12" t="str"/>
      <x:c r="K50" s="12" t="str"/>
      <x:c r="L50" s="12" t="str"/>
      <x:c r="M50" s="12" t="str"/>
      <x:c r="N50" s="12" t="str"/>
      <x:c r="O50" s="12" t="str"/>
      <x:c r="P50" s="12" t="str"/>
      <x:c r="Q50" s="14" t="str">
        <x:f>IF(A50="","",IF(AND(COUNTIF(Evidence[KanitID],A50)=1,G50="Teslim edildi",ISNUMBER(H50),I50&lt;&gt;"",J50&lt;&gt;"",K50&lt;&gt;"",L50&lt;&gt;"",M50&lt;&gt;"",N50&lt;&gt;"",O50="Kabul",P50&lt;&gt;""),A50,"Kayıt eksik"))</x:f>
      </x:c>
    </x:row>
    <x:row r="51" ht="35" customHeight="1">
      <x:c r="A51" s="12" t="str"/>
      <x:c r="B51" s="12" t="str"/>
      <x:c r="C51" s="12" t="str"/>
      <x:c r="D51" s="12" t="str"/>
      <x:c r="E51" s="13" t="str"/>
      <x:c r="F51" s="13" t="str"/>
      <x:c r="G51" s="12" t="str"/>
      <x:c r="H51" s="13" t="str"/>
      <x:c r="I51" s="12" t="str"/>
      <x:c r="J51" s="12" t="str"/>
      <x:c r="K51" s="12" t="str"/>
      <x:c r="L51" s="12" t="str"/>
      <x:c r="M51" s="12" t="str"/>
      <x:c r="N51" s="12" t="str"/>
      <x:c r="O51" s="12" t="str"/>
      <x:c r="P51" s="12" t="str"/>
      <x:c r="Q51" s="14" t="str">
        <x:f>IF(A51="","",IF(AND(COUNTIF(Evidence[KanitID],A51)=1,G51="Teslim edildi",ISNUMBER(H51),I51&lt;&gt;"",J51&lt;&gt;"",K51&lt;&gt;"",L51&lt;&gt;"",M51&lt;&gt;"",N51&lt;&gt;"",O51="Kabul",P51&lt;&gt;""),A51,"Kayıt eksik"))</x:f>
      </x:c>
    </x:row>
    <x:row r="52" ht="35" customHeight="1">
      <x:c r="A52" s="12" t="str"/>
      <x:c r="B52" s="12" t="str"/>
      <x:c r="C52" s="12" t="str"/>
      <x:c r="D52" s="12" t="str"/>
      <x:c r="E52" s="13" t="str"/>
      <x:c r="F52" s="13" t="str"/>
      <x:c r="G52" s="12" t="str"/>
      <x:c r="H52" s="13" t="str"/>
      <x:c r="I52" s="12" t="str"/>
      <x:c r="J52" s="12" t="str"/>
      <x:c r="K52" s="12" t="str"/>
      <x:c r="L52" s="12" t="str"/>
      <x:c r="M52" s="12" t="str"/>
      <x:c r="N52" s="12" t="str"/>
      <x:c r="O52" s="12" t="str"/>
      <x:c r="P52" s="12" t="str"/>
      <x:c r="Q52" s="14" t="str">
        <x:f>IF(A52="","",IF(AND(COUNTIF(Evidence[KanitID],A52)=1,G52="Teslim edildi",ISNUMBER(H52),I52&lt;&gt;"",J52&lt;&gt;"",K52&lt;&gt;"",L52&lt;&gt;"",M52&lt;&gt;"",N52&lt;&gt;"",O52="Kabul",P52&lt;&gt;""),A52,"Kayıt eksik"))</x:f>
      </x:c>
    </x:row>
    <x:row r="53" ht="35" customHeight="1">
      <x:c r="A53" s="12" t="str"/>
      <x:c r="B53" s="12" t="str"/>
      <x:c r="C53" s="12" t="str"/>
      <x:c r="D53" s="12" t="str"/>
      <x:c r="E53" s="13" t="str"/>
      <x:c r="F53" s="13" t="str"/>
      <x:c r="G53" s="12" t="str"/>
      <x:c r="H53" s="13" t="str"/>
      <x:c r="I53" s="12" t="str"/>
      <x:c r="J53" s="12" t="str"/>
      <x:c r="K53" s="12" t="str"/>
      <x:c r="L53" s="12" t="str"/>
      <x:c r="M53" s="12" t="str"/>
      <x:c r="N53" s="12" t="str"/>
      <x:c r="O53" s="12" t="str"/>
      <x:c r="P53" s="12" t="str"/>
      <x:c r="Q53" s="14" t="str">
        <x:f>IF(A53="","",IF(AND(COUNTIF(Evidence[KanitID],A53)=1,G53="Teslim edildi",ISNUMBER(H53),I53&lt;&gt;"",J53&lt;&gt;"",K53&lt;&gt;"",L53&lt;&gt;"",M53&lt;&gt;"",N53&lt;&gt;"",O53="Kabul",P53&lt;&gt;""),A53,"Kayıt eksik"))</x:f>
      </x:c>
    </x:row>
    <x:row r="54" ht="35" customHeight="1">
      <x:c r="A54" s="12" t="str"/>
      <x:c r="B54" s="12" t="str"/>
      <x:c r="C54" s="12" t="str"/>
      <x:c r="D54" s="12" t="str"/>
      <x:c r="E54" s="13" t="str"/>
      <x:c r="F54" s="13" t="str"/>
      <x:c r="G54" s="12" t="str"/>
      <x:c r="H54" s="13" t="str"/>
      <x:c r="I54" s="12" t="str"/>
      <x:c r="J54" s="12" t="str"/>
      <x:c r="K54" s="12" t="str"/>
      <x:c r="L54" s="12" t="str"/>
      <x:c r="M54" s="12" t="str"/>
      <x:c r="N54" s="12" t="str"/>
      <x:c r="O54" s="12" t="str"/>
      <x:c r="P54" s="12" t="str"/>
      <x:c r="Q54" s="14" t="str">
        <x:f>IF(A54="","",IF(AND(COUNTIF(Evidence[KanitID],A54)=1,G54="Teslim edildi",ISNUMBER(H54),I54&lt;&gt;"",J54&lt;&gt;"",K54&lt;&gt;"",L54&lt;&gt;"",M54&lt;&gt;"",N54&lt;&gt;"",O54="Kabul",P54&lt;&gt;""),A54,"Kayıt eksik"))</x:f>
      </x:c>
    </x:row>
    <x:row r="55" ht="35" customHeight="1">
      <x:c r="A55" s="12" t="str"/>
      <x:c r="B55" s="12" t="str"/>
      <x:c r="C55" s="12" t="str"/>
      <x:c r="D55" s="12" t="str"/>
      <x:c r="E55" s="13" t="str"/>
      <x:c r="F55" s="13" t="str"/>
      <x:c r="G55" s="12" t="str"/>
      <x:c r="H55" s="13" t="str"/>
      <x:c r="I55" s="12" t="str"/>
      <x:c r="J55" s="12" t="str"/>
      <x:c r="K55" s="12" t="str"/>
      <x:c r="L55" s="12" t="str"/>
      <x:c r="M55" s="12" t="str"/>
      <x:c r="N55" s="12" t="str"/>
      <x:c r="O55" s="12" t="str"/>
      <x:c r="P55" s="12" t="str"/>
      <x:c r="Q55" s="14" t="str">
        <x:f>IF(A55="","",IF(AND(COUNTIF(Evidence[KanitID],A55)=1,G55="Teslim edildi",ISNUMBER(H55),I55&lt;&gt;"",J55&lt;&gt;"",K55&lt;&gt;"",L55&lt;&gt;"",M55&lt;&gt;"",N55&lt;&gt;"",O55="Kabul",P55&lt;&gt;""),A55,"Kayıt eksik"))</x:f>
      </x:c>
    </x:row>
    <x:row r="56" ht="35" customHeight="1">
      <x:c r="A56" s="12" t="str"/>
      <x:c r="B56" s="12" t="str"/>
      <x:c r="C56" s="12" t="str"/>
      <x:c r="D56" s="12" t="str"/>
      <x:c r="E56" s="13" t="str"/>
      <x:c r="F56" s="13" t="str"/>
      <x:c r="G56" s="12" t="str"/>
      <x:c r="H56" s="13" t="str"/>
      <x:c r="I56" s="12" t="str"/>
      <x:c r="J56" s="12" t="str"/>
      <x:c r="K56" s="12" t="str"/>
      <x:c r="L56" s="12" t="str"/>
      <x:c r="M56" s="12" t="str"/>
      <x:c r="N56" s="12" t="str"/>
      <x:c r="O56" s="12" t="str"/>
      <x:c r="P56" s="12" t="str"/>
      <x:c r="Q56" s="14" t="str">
        <x:f>IF(A56="","",IF(AND(COUNTIF(Evidence[KanitID],A56)=1,G56="Teslim edildi",ISNUMBER(H56),I56&lt;&gt;"",J56&lt;&gt;"",K56&lt;&gt;"",L56&lt;&gt;"",M56&lt;&gt;"",N56&lt;&gt;"",O56="Kabul",P56&lt;&gt;""),A56,"Kayıt eksik"))</x:f>
      </x:c>
    </x:row>
    <x:row r="57" ht="35" customHeight="1">
      <x:c r="A57" s="12" t="str"/>
      <x:c r="B57" s="12" t="str"/>
      <x:c r="C57" s="12" t="str"/>
      <x:c r="D57" s="12" t="str"/>
      <x:c r="E57" s="13" t="str"/>
      <x:c r="F57" s="13" t="str"/>
      <x:c r="G57" s="12" t="str"/>
      <x:c r="H57" s="13" t="str"/>
      <x:c r="I57" s="12" t="str"/>
      <x:c r="J57" s="12" t="str"/>
      <x:c r="K57" s="12" t="str"/>
      <x:c r="L57" s="12" t="str"/>
      <x:c r="M57" s="12" t="str"/>
      <x:c r="N57" s="12" t="str"/>
      <x:c r="O57" s="12" t="str"/>
      <x:c r="P57" s="12" t="str"/>
      <x:c r="Q57" s="14" t="str">
        <x:f>IF(A57="","",IF(AND(COUNTIF(Evidence[KanitID],A57)=1,G57="Teslim edildi",ISNUMBER(H57),I57&lt;&gt;"",J57&lt;&gt;"",K57&lt;&gt;"",L57&lt;&gt;"",M57&lt;&gt;"",N57&lt;&gt;"",O57="Kabul",P57&lt;&gt;""),A57,"Kayıt eksik"))</x:f>
      </x:c>
    </x:row>
    <x:row r="58" ht="35" customHeight="1">
      <x:c r="A58" s="12" t="str"/>
      <x:c r="B58" s="12" t="str"/>
      <x:c r="C58" s="12" t="str"/>
      <x:c r="D58" s="12" t="str"/>
      <x:c r="E58" s="13" t="str"/>
      <x:c r="F58" s="13" t="str"/>
      <x:c r="G58" s="12" t="str"/>
      <x:c r="H58" s="13" t="str"/>
      <x:c r="I58" s="12" t="str"/>
      <x:c r="J58" s="12" t="str"/>
      <x:c r="K58" s="12" t="str"/>
      <x:c r="L58" s="12" t="str"/>
      <x:c r="M58" s="12" t="str"/>
      <x:c r="N58" s="12" t="str"/>
      <x:c r="O58" s="12" t="str"/>
      <x:c r="P58" s="12" t="str"/>
      <x:c r="Q58" s="14" t="str">
        <x:f>IF(A58="","",IF(AND(COUNTIF(Evidence[KanitID],A58)=1,G58="Teslim edildi",ISNUMBER(H58),I58&lt;&gt;"",J58&lt;&gt;"",K58&lt;&gt;"",L58&lt;&gt;"",M58&lt;&gt;"",N58&lt;&gt;"",O58="Kabul",P58&lt;&gt;""),A58,"Kayıt eksik"))</x:f>
      </x:c>
    </x:row>
    <x:row r="59" ht="35" customHeight="1">
      <x:c r="A59" s="12" t="str"/>
      <x:c r="B59" s="12" t="str"/>
      <x:c r="C59" s="12" t="str"/>
      <x:c r="D59" s="12" t="str"/>
      <x:c r="E59" s="13" t="str"/>
      <x:c r="F59" s="13" t="str"/>
      <x:c r="G59" s="12" t="str"/>
      <x:c r="H59" s="13" t="str"/>
      <x:c r="I59" s="12" t="str"/>
      <x:c r="J59" s="12" t="str"/>
      <x:c r="K59" s="12" t="str"/>
      <x:c r="L59" s="12" t="str"/>
      <x:c r="M59" s="12" t="str"/>
      <x:c r="N59" s="12" t="str"/>
      <x:c r="O59" s="12" t="str"/>
      <x:c r="P59" s="12" t="str"/>
      <x:c r="Q59" s="14" t="str">
        <x:f>IF(A59="","",IF(AND(COUNTIF(Evidence[KanitID],A59)=1,G59="Teslim edildi",ISNUMBER(H59),I59&lt;&gt;"",J59&lt;&gt;"",K59&lt;&gt;"",L59&lt;&gt;"",M59&lt;&gt;"",N59&lt;&gt;"",O59="Kabul",P59&lt;&gt;""),A59,"Kayıt eksik"))</x:f>
      </x:c>
    </x:row>
    <x:row r="60" ht="35" customHeight="1">
      <x:c r="A60" s="12" t="str"/>
      <x:c r="B60" s="12" t="str"/>
      <x:c r="C60" s="12" t="str"/>
      <x:c r="D60" s="12" t="str"/>
      <x:c r="E60" s="13" t="str"/>
      <x:c r="F60" s="13" t="str"/>
      <x:c r="G60" s="12" t="str"/>
      <x:c r="H60" s="13" t="str"/>
      <x:c r="I60" s="12" t="str"/>
      <x:c r="J60" s="12" t="str"/>
      <x:c r="K60" s="12" t="str"/>
      <x:c r="L60" s="12" t="str"/>
      <x:c r="M60" s="12" t="str"/>
      <x:c r="N60" s="12" t="str"/>
      <x:c r="O60" s="12" t="str"/>
      <x:c r="P60" s="12" t="str"/>
      <x:c r="Q60" s="14" t="str">
        <x:f>IF(A60="","",IF(AND(COUNTIF(Evidence[KanitID],A60)=1,G60="Teslim edildi",ISNUMBER(H60),I60&lt;&gt;"",J60&lt;&gt;"",K60&lt;&gt;"",L60&lt;&gt;"",M60&lt;&gt;"",N60&lt;&gt;"",O60="Kabul",P60&lt;&gt;""),A60,"Kayıt eksik"))</x:f>
      </x:c>
    </x:row>
    <x:row r="61" ht="35" customHeight="1">
      <x:c r="A61" s="12" t="str"/>
      <x:c r="B61" s="12" t="str"/>
      <x:c r="C61" s="12" t="str"/>
      <x:c r="D61" s="12" t="str"/>
      <x:c r="E61" s="13" t="str"/>
      <x:c r="F61" s="13" t="str"/>
      <x:c r="G61" s="12" t="str"/>
      <x:c r="H61" s="13" t="str"/>
      <x:c r="I61" s="12" t="str"/>
      <x:c r="J61" s="12" t="str"/>
      <x:c r="K61" s="12" t="str"/>
      <x:c r="L61" s="12" t="str"/>
      <x:c r="M61" s="12" t="str"/>
      <x:c r="N61" s="12" t="str"/>
      <x:c r="O61" s="12" t="str"/>
      <x:c r="P61" s="12" t="str"/>
      <x:c r="Q61" s="14" t="str">
        <x:f>IF(A61="","",IF(AND(COUNTIF(Evidence[KanitID],A61)=1,G61="Teslim edildi",ISNUMBER(H61),I61&lt;&gt;"",J61&lt;&gt;"",K61&lt;&gt;"",L61&lt;&gt;"",M61&lt;&gt;"",N61&lt;&gt;"",O61="Kabul",P61&lt;&gt;""),A61,"Kayıt eksik"))</x:f>
      </x:c>
    </x:row>
    <x:row r="62" ht="35" customHeight="1">
      <x:c r="A62" s="12" t="str"/>
      <x:c r="B62" s="12" t="str"/>
      <x:c r="C62" s="12" t="str"/>
      <x:c r="D62" s="12" t="str"/>
      <x:c r="E62" s="13" t="str"/>
      <x:c r="F62" s="13" t="str"/>
      <x:c r="G62" s="12" t="str"/>
      <x:c r="H62" s="13" t="str"/>
      <x:c r="I62" s="12" t="str"/>
      <x:c r="J62" s="12" t="str"/>
      <x:c r="K62" s="12" t="str"/>
      <x:c r="L62" s="12" t="str"/>
      <x:c r="M62" s="12" t="str"/>
      <x:c r="N62" s="12" t="str"/>
      <x:c r="O62" s="12" t="str"/>
      <x:c r="P62" s="12" t="str"/>
      <x:c r="Q62" s="14" t="str">
        <x:f>IF(A62="","",IF(AND(COUNTIF(Evidence[KanitID],A62)=1,G62="Teslim edildi",ISNUMBER(H62),I62&lt;&gt;"",J62&lt;&gt;"",K62&lt;&gt;"",L62&lt;&gt;"",M62&lt;&gt;"",N62&lt;&gt;"",O62="Kabul",P62&lt;&gt;""),A62,"Kayıt eksik"))</x:f>
      </x:c>
    </x:row>
    <x:row r="63" ht="35" customHeight="1">
      <x:c r="A63" s="12" t="str"/>
      <x:c r="B63" s="12" t="str"/>
      <x:c r="C63" s="12" t="str"/>
      <x:c r="D63" s="12" t="str"/>
      <x:c r="E63" s="13" t="str"/>
      <x:c r="F63" s="13" t="str"/>
      <x:c r="G63" s="12" t="str"/>
      <x:c r="H63" s="13" t="str"/>
      <x:c r="I63" s="12" t="str"/>
      <x:c r="J63" s="12" t="str"/>
      <x:c r="K63" s="12" t="str"/>
      <x:c r="L63" s="12" t="str"/>
      <x:c r="M63" s="12" t="str"/>
      <x:c r="N63" s="12" t="str"/>
      <x:c r="O63" s="12" t="str"/>
      <x:c r="P63" s="12" t="str"/>
      <x:c r="Q63" s="14" t="str">
        <x:f>IF(A63="","",IF(AND(COUNTIF(Evidence[KanitID],A63)=1,G63="Teslim edildi",ISNUMBER(H63),I63&lt;&gt;"",J63&lt;&gt;"",K63&lt;&gt;"",L63&lt;&gt;"",M63&lt;&gt;"",N63&lt;&gt;"",O63="Kabul",P63&lt;&gt;""),A63,"Kayıt eksik"))</x:f>
      </x:c>
    </x:row>
    <x:row r="64" ht="35" customHeight="1">
      <x:c r="A64" s="12" t="str"/>
      <x:c r="B64" s="12" t="str"/>
      <x:c r="C64" s="12" t="str"/>
      <x:c r="D64" s="12" t="str"/>
      <x:c r="E64" s="13" t="str"/>
      <x:c r="F64" s="13" t="str"/>
      <x:c r="G64" s="12" t="str"/>
      <x:c r="H64" s="13" t="str"/>
      <x:c r="I64" s="12" t="str"/>
      <x:c r="J64" s="12" t="str"/>
      <x:c r="K64" s="12" t="str"/>
      <x:c r="L64" s="12" t="str"/>
      <x:c r="M64" s="12" t="str"/>
      <x:c r="N64" s="12" t="str"/>
      <x:c r="O64" s="12" t="str"/>
      <x:c r="P64" s="12" t="str"/>
      <x:c r="Q64" s="14" t="str">
        <x:f>IF(A64="","",IF(AND(COUNTIF(Evidence[KanitID],A64)=1,G64="Teslim edildi",ISNUMBER(H64),I64&lt;&gt;"",J64&lt;&gt;"",K64&lt;&gt;"",L64&lt;&gt;"",M64&lt;&gt;"",N64&lt;&gt;"",O64="Kabul",P64&lt;&gt;""),A64,"Kayıt eksik"))</x:f>
      </x:c>
    </x:row>
    <x:row r="65" ht="35" customHeight="1">
      <x:c r="A65" s="12" t="str"/>
      <x:c r="B65" s="12" t="str"/>
      <x:c r="C65" s="12" t="str"/>
      <x:c r="D65" s="12" t="str"/>
      <x:c r="E65" s="13" t="str"/>
      <x:c r="F65" s="13" t="str"/>
      <x:c r="G65" s="12" t="str"/>
      <x:c r="H65" s="13" t="str"/>
      <x:c r="I65" s="12" t="str"/>
      <x:c r="J65" s="12" t="str"/>
      <x:c r="K65" s="12" t="str"/>
      <x:c r="L65" s="12" t="str"/>
      <x:c r="M65" s="12" t="str"/>
      <x:c r="N65" s="12" t="str"/>
      <x:c r="O65" s="12" t="str"/>
      <x:c r="P65" s="12" t="str"/>
      <x:c r="Q65" s="14" t="str">
        <x:f>IF(A65="","",IF(AND(COUNTIF(Evidence[KanitID],A65)=1,G65="Teslim edildi",ISNUMBER(H65),I65&lt;&gt;"",J65&lt;&gt;"",K65&lt;&gt;"",L65&lt;&gt;"",M65&lt;&gt;"",N65&lt;&gt;"",O65="Kabul",P65&lt;&gt;""),A65,"Kayıt eksik"))</x:f>
      </x:c>
    </x:row>
    <x:row r="66" ht="35" customHeight="1">
      <x:c r="A66" s="12" t="str"/>
      <x:c r="B66" s="12" t="str"/>
      <x:c r="C66" s="12" t="str"/>
      <x:c r="D66" s="12" t="str"/>
      <x:c r="E66" s="13" t="str"/>
      <x:c r="F66" s="13" t="str"/>
      <x:c r="G66" s="12" t="str"/>
      <x:c r="H66" s="13" t="str"/>
      <x:c r="I66" s="12" t="str"/>
      <x:c r="J66" s="12" t="str"/>
      <x:c r="K66" s="12" t="str"/>
      <x:c r="L66" s="12" t="str"/>
      <x:c r="M66" s="12" t="str"/>
      <x:c r="N66" s="12" t="str"/>
      <x:c r="O66" s="12" t="str"/>
      <x:c r="P66" s="12" t="str"/>
      <x:c r="Q66" s="14" t="str">
        <x:f>IF(A66="","",IF(AND(COUNTIF(Evidence[KanitID],A66)=1,G66="Teslim edildi",ISNUMBER(H66),I66&lt;&gt;"",J66&lt;&gt;"",K66&lt;&gt;"",L66&lt;&gt;"",M66&lt;&gt;"",N66&lt;&gt;"",O66="Kabul",P66&lt;&gt;""),A66,"Kayıt eksik"))</x:f>
      </x:c>
    </x:row>
    <x:row r="67" ht="35" customHeight="1">
      <x:c r="A67" s="12" t="str"/>
      <x:c r="B67" s="12" t="str"/>
      <x:c r="C67" s="12" t="str"/>
      <x:c r="D67" s="12" t="str"/>
      <x:c r="E67" s="13" t="str"/>
      <x:c r="F67" s="13" t="str"/>
      <x:c r="G67" s="12" t="str"/>
      <x:c r="H67" s="13" t="str"/>
      <x:c r="I67" s="12" t="str"/>
      <x:c r="J67" s="12" t="str"/>
      <x:c r="K67" s="12" t="str"/>
      <x:c r="L67" s="12" t="str"/>
      <x:c r="M67" s="12" t="str"/>
      <x:c r="N67" s="12" t="str"/>
      <x:c r="O67" s="12" t="str"/>
      <x:c r="P67" s="12" t="str"/>
      <x:c r="Q67" s="14" t="str">
        <x:f>IF(A67="","",IF(AND(COUNTIF(Evidence[KanitID],A67)=1,G67="Teslim edildi",ISNUMBER(H67),I67&lt;&gt;"",J67&lt;&gt;"",K67&lt;&gt;"",L67&lt;&gt;"",M67&lt;&gt;"",N67&lt;&gt;"",O67="Kabul",P67&lt;&gt;""),A67,"Kayıt eksik"))</x:f>
      </x:c>
    </x:row>
    <x:row r="68" ht="35" customHeight="1">
      <x:c r="A68" s="12" t="str"/>
      <x:c r="B68" s="12" t="str"/>
      <x:c r="C68" s="12" t="str"/>
      <x:c r="D68" s="12" t="str"/>
      <x:c r="E68" s="13" t="str"/>
      <x:c r="F68" s="13" t="str"/>
      <x:c r="G68" s="12" t="str"/>
      <x:c r="H68" s="13" t="str"/>
      <x:c r="I68" s="12" t="str"/>
      <x:c r="J68" s="12" t="str"/>
      <x:c r="K68" s="12" t="str"/>
      <x:c r="L68" s="12" t="str"/>
      <x:c r="M68" s="12" t="str"/>
      <x:c r="N68" s="12" t="str"/>
      <x:c r="O68" s="12" t="str"/>
      <x:c r="P68" s="12" t="str"/>
      <x:c r="Q68" s="14" t="str">
        <x:f>IF(A68="","",IF(AND(COUNTIF(Evidence[KanitID],A68)=1,G68="Teslim edildi",ISNUMBER(H68),I68&lt;&gt;"",J68&lt;&gt;"",K68&lt;&gt;"",L68&lt;&gt;"",M68&lt;&gt;"",N68&lt;&gt;"",O68="Kabul",P68&lt;&gt;""),A68,"Kayıt eksik"))</x:f>
      </x:c>
    </x:row>
    <x:row r="69" ht="35" customHeight="1">
      <x:c r="A69" s="12" t="str"/>
      <x:c r="B69" s="12" t="str"/>
      <x:c r="C69" s="12" t="str"/>
      <x:c r="D69" s="12" t="str"/>
      <x:c r="E69" s="13" t="str"/>
      <x:c r="F69" s="13" t="str"/>
      <x:c r="G69" s="12" t="str"/>
      <x:c r="H69" s="13" t="str"/>
      <x:c r="I69" s="12" t="str"/>
      <x:c r="J69" s="12" t="str"/>
      <x:c r="K69" s="12" t="str"/>
      <x:c r="L69" s="12" t="str"/>
      <x:c r="M69" s="12" t="str"/>
      <x:c r="N69" s="12" t="str"/>
      <x:c r="O69" s="12" t="str"/>
      <x:c r="P69" s="12" t="str"/>
      <x:c r="Q69" s="14" t="str">
        <x:f>IF(A69="","",IF(AND(COUNTIF(Evidence[KanitID],A69)=1,G69="Teslim edildi",ISNUMBER(H69),I69&lt;&gt;"",J69&lt;&gt;"",K69&lt;&gt;"",L69&lt;&gt;"",M69&lt;&gt;"",N69&lt;&gt;"",O69="Kabul",P69&lt;&gt;""),A69,"Kayıt eksik"))</x:f>
      </x:c>
    </x:row>
    <x:row r="70" ht="35" customHeight="1">
      <x:c r="A70" s="12" t="str"/>
      <x:c r="B70" s="12" t="str"/>
      <x:c r="C70" s="12" t="str"/>
      <x:c r="D70" s="12" t="str"/>
      <x:c r="E70" s="13" t="str"/>
      <x:c r="F70" s="13" t="str"/>
      <x:c r="G70" s="12" t="str"/>
      <x:c r="H70" s="13" t="str"/>
      <x:c r="I70" s="12" t="str"/>
      <x:c r="J70" s="12" t="str"/>
      <x:c r="K70" s="12" t="str"/>
      <x:c r="L70" s="12" t="str"/>
      <x:c r="M70" s="12" t="str"/>
      <x:c r="N70" s="12" t="str"/>
      <x:c r="O70" s="12" t="str"/>
      <x:c r="P70" s="12" t="str"/>
      <x:c r="Q70" s="14" t="str">
        <x:f>IF(A70="","",IF(AND(COUNTIF(Evidence[KanitID],A70)=1,G70="Teslim edildi",ISNUMBER(H70),I70&lt;&gt;"",J70&lt;&gt;"",K70&lt;&gt;"",L70&lt;&gt;"",M70&lt;&gt;"",N70&lt;&gt;"",O70="Kabul",P70&lt;&gt;""),A70,"Kayıt eksik"))</x:f>
      </x:c>
    </x:row>
    <x:row r="71" ht="35" customHeight="1">
      <x:c r="A71" s="12" t="str"/>
      <x:c r="B71" s="12" t="str"/>
      <x:c r="C71" s="12" t="str"/>
      <x:c r="D71" s="12" t="str"/>
      <x:c r="E71" s="13" t="str"/>
      <x:c r="F71" s="13" t="str"/>
      <x:c r="G71" s="12" t="str"/>
      <x:c r="H71" s="13" t="str"/>
      <x:c r="I71" s="12" t="str"/>
      <x:c r="J71" s="12" t="str"/>
      <x:c r="K71" s="12" t="str"/>
      <x:c r="L71" s="12" t="str"/>
      <x:c r="M71" s="12" t="str"/>
      <x:c r="N71" s="12" t="str"/>
      <x:c r="O71" s="12" t="str"/>
      <x:c r="P71" s="12" t="str"/>
      <x:c r="Q71" s="14" t="str">
        <x:f>IF(A71="","",IF(AND(COUNTIF(Evidence[KanitID],A71)=1,G71="Teslim edildi",ISNUMBER(H71),I71&lt;&gt;"",J71&lt;&gt;"",K71&lt;&gt;"",L71&lt;&gt;"",M71&lt;&gt;"",N71&lt;&gt;"",O71="Kabul",P71&lt;&gt;""),A71,"Kayıt eksik"))</x:f>
      </x:c>
    </x:row>
    <x:row r="72" ht="35" customHeight="1">
      <x:c r="A72" s="12" t="str"/>
      <x:c r="B72" s="12" t="str"/>
      <x:c r="C72" s="12" t="str"/>
      <x:c r="D72" s="12" t="str"/>
      <x:c r="E72" s="13" t="str"/>
      <x:c r="F72" s="13" t="str"/>
      <x:c r="G72" s="12" t="str"/>
      <x:c r="H72" s="13" t="str"/>
      <x:c r="I72" s="12" t="str"/>
      <x:c r="J72" s="12" t="str"/>
      <x:c r="K72" s="12" t="str"/>
      <x:c r="L72" s="12" t="str"/>
      <x:c r="M72" s="12" t="str"/>
      <x:c r="N72" s="12" t="str"/>
      <x:c r="O72" s="12" t="str"/>
      <x:c r="P72" s="12" t="str"/>
      <x:c r="Q72" s="14" t="str">
        <x:f>IF(A72="","",IF(AND(COUNTIF(Evidence[KanitID],A72)=1,G72="Teslim edildi",ISNUMBER(H72),I72&lt;&gt;"",J72&lt;&gt;"",K72&lt;&gt;"",L72&lt;&gt;"",M72&lt;&gt;"",N72&lt;&gt;"",O72="Kabul",P72&lt;&gt;""),A72,"Kayıt eksik"))</x:f>
      </x:c>
    </x:row>
    <x:row r="73" ht="35" customHeight="1">
      <x:c r="A73" s="12" t="str"/>
      <x:c r="B73" s="12" t="str"/>
      <x:c r="C73" s="12" t="str"/>
      <x:c r="D73" s="12" t="str"/>
      <x:c r="E73" s="13" t="str"/>
      <x:c r="F73" s="13" t="str"/>
      <x:c r="G73" s="12" t="str"/>
      <x:c r="H73" s="13" t="str"/>
      <x:c r="I73" s="12" t="str"/>
      <x:c r="J73" s="12" t="str"/>
      <x:c r="K73" s="12" t="str"/>
      <x:c r="L73" s="12" t="str"/>
      <x:c r="M73" s="12" t="str"/>
      <x:c r="N73" s="12" t="str"/>
      <x:c r="O73" s="12" t="str"/>
      <x:c r="P73" s="12" t="str"/>
      <x:c r="Q73" s="14" t="str">
        <x:f>IF(A73="","",IF(AND(COUNTIF(Evidence[KanitID],A73)=1,G73="Teslim edildi",ISNUMBER(H73),I73&lt;&gt;"",J73&lt;&gt;"",K73&lt;&gt;"",L73&lt;&gt;"",M73&lt;&gt;"",N73&lt;&gt;"",O73="Kabul",P73&lt;&gt;""),A73,"Kayıt eksik"))</x:f>
      </x:c>
    </x:row>
    <x:row r="74" ht="35" customHeight="1">
      <x:c r="A74" s="12" t="str"/>
      <x:c r="B74" s="12" t="str"/>
      <x:c r="C74" s="12" t="str"/>
      <x:c r="D74" s="12" t="str"/>
      <x:c r="E74" s="13" t="str"/>
      <x:c r="F74" s="13" t="str"/>
      <x:c r="G74" s="12" t="str"/>
      <x:c r="H74" s="13" t="str"/>
      <x:c r="I74" s="12" t="str"/>
      <x:c r="J74" s="12" t="str"/>
      <x:c r="K74" s="12" t="str"/>
      <x:c r="L74" s="12" t="str"/>
      <x:c r="M74" s="12" t="str"/>
      <x:c r="N74" s="12" t="str"/>
      <x:c r="O74" s="12" t="str"/>
      <x:c r="P74" s="12" t="str"/>
      <x:c r="Q74" s="14" t="str">
        <x:f>IF(A74="","",IF(AND(COUNTIF(Evidence[KanitID],A74)=1,G74="Teslim edildi",ISNUMBER(H74),I74&lt;&gt;"",J74&lt;&gt;"",K74&lt;&gt;"",L74&lt;&gt;"",M74&lt;&gt;"",N74&lt;&gt;"",O74="Kabul",P74&lt;&gt;""),A74,"Kayıt eksik"))</x:f>
      </x:c>
    </x:row>
    <x:row r="75" ht="35" customHeight="1">
      <x:c r="A75" s="12" t="str"/>
      <x:c r="B75" s="12" t="str"/>
      <x:c r="C75" s="12" t="str"/>
      <x:c r="D75" s="12" t="str"/>
      <x:c r="E75" s="13" t="str"/>
      <x:c r="F75" s="13" t="str"/>
      <x:c r="G75" s="12" t="str"/>
      <x:c r="H75" s="13" t="str"/>
      <x:c r="I75" s="12" t="str"/>
      <x:c r="J75" s="12" t="str"/>
      <x:c r="K75" s="12" t="str"/>
      <x:c r="L75" s="12" t="str"/>
      <x:c r="M75" s="12" t="str"/>
      <x:c r="N75" s="12" t="str"/>
      <x:c r="O75" s="12" t="str"/>
      <x:c r="P75" s="12" t="str"/>
      <x:c r="Q75" s="14" t="str">
        <x:f>IF(A75="","",IF(AND(COUNTIF(Evidence[KanitID],A75)=1,G75="Teslim edildi",ISNUMBER(H75),I75&lt;&gt;"",J75&lt;&gt;"",K75&lt;&gt;"",L75&lt;&gt;"",M75&lt;&gt;"",N75&lt;&gt;"",O75="Kabul",P75&lt;&gt;""),A75,"Kayıt eksik"))</x:f>
      </x:c>
    </x:row>
    <x:row r="76" ht="35" customHeight="1">
      <x:c r="A76" s="12" t="str"/>
      <x:c r="B76" s="12" t="str"/>
      <x:c r="C76" s="12" t="str"/>
      <x:c r="D76" s="12" t="str"/>
      <x:c r="E76" s="13" t="str"/>
      <x:c r="F76" s="13" t="str"/>
      <x:c r="G76" s="12" t="str"/>
      <x:c r="H76" s="13" t="str"/>
      <x:c r="I76" s="12" t="str"/>
      <x:c r="J76" s="12" t="str"/>
      <x:c r="K76" s="12" t="str"/>
      <x:c r="L76" s="12" t="str"/>
      <x:c r="M76" s="12" t="str"/>
      <x:c r="N76" s="12" t="str"/>
      <x:c r="O76" s="12" t="str"/>
      <x:c r="P76" s="12" t="str"/>
      <x:c r="Q76" s="14" t="str">
        <x:f>IF(A76="","",IF(AND(COUNTIF(Evidence[KanitID],A76)=1,G76="Teslim edildi",ISNUMBER(H76),I76&lt;&gt;"",J76&lt;&gt;"",K76&lt;&gt;"",L76&lt;&gt;"",M76&lt;&gt;"",N76&lt;&gt;"",O76="Kabul",P76&lt;&gt;""),A76,"Kayıt eksik"))</x:f>
      </x:c>
    </x:row>
    <x:row r="77" ht="35" customHeight="1">
      <x:c r="A77" s="12" t="str"/>
      <x:c r="B77" s="12" t="str"/>
      <x:c r="C77" s="12" t="str"/>
      <x:c r="D77" s="12" t="str"/>
      <x:c r="E77" s="13" t="str"/>
      <x:c r="F77" s="13" t="str"/>
      <x:c r="G77" s="12" t="str"/>
      <x:c r="H77" s="13" t="str"/>
      <x:c r="I77" s="12" t="str"/>
      <x:c r="J77" s="12" t="str"/>
      <x:c r="K77" s="12" t="str"/>
      <x:c r="L77" s="12" t="str"/>
      <x:c r="M77" s="12" t="str"/>
      <x:c r="N77" s="12" t="str"/>
      <x:c r="O77" s="12" t="str"/>
      <x:c r="P77" s="12" t="str"/>
      <x:c r="Q77" s="14" t="str">
        <x:f>IF(A77="","",IF(AND(COUNTIF(Evidence[KanitID],A77)=1,G77="Teslim edildi",ISNUMBER(H77),I77&lt;&gt;"",J77&lt;&gt;"",K77&lt;&gt;"",L77&lt;&gt;"",M77&lt;&gt;"",N77&lt;&gt;"",O77="Kabul",P77&lt;&gt;""),A77,"Kayıt eksik"))</x:f>
      </x:c>
    </x:row>
    <x:row r="78" ht="35" customHeight="1">
      <x:c r="A78" s="12" t="str"/>
      <x:c r="B78" s="12" t="str"/>
      <x:c r="C78" s="12" t="str"/>
      <x:c r="D78" s="12" t="str"/>
      <x:c r="E78" s="13" t="str"/>
      <x:c r="F78" s="13" t="str"/>
      <x:c r="G78" s="12" t="str"/>
      <x:c r="H78" s="13" t="str"/>
      <x:c r="I78" s="12" t="str"/>
      <x:c r="J78" s="12" t="str"/>
      <x:c r="K78" s="12" t="str"/>
      <x:c r="L78" s="12" t="str"/>
      <x:c r="M78" s="12" t="str"/>
      <x:c r="N78" s="12" t="str"/>
      <x:c r="O78" s="12" t="str"/>
      <x:c r="P78" s="12" t="str"/>
      <x:c r="Q78" s="14" t="str">
        <x:f>IF(A78="","",IF(AND(COUNTIF(Evidence[KanitID],A78)=1,G78="Teslim edildi",ISNUMBER(H78),I78&lt;&gt;"",J78&lt;&gt;"",K78&lt;&gt;"",L78&lt;&gt;"",M78&lt;&gt;"",N78&lt;&gt;"",O78="Kabul",P78&lt;&gt;""),A78,"Kayıt eksik"))</x:f>
      </x:c>
    </x:row>
    <x:row r="79" ht="35" customHeight="1">
      <x:c r="A79" s="12" t="str"/>
      <x:c r="B79" s="12" t="str"/>
      <x:c r="C79" s="12" t="str"/>
      <x:c r="D79" s="12" t="str"/>
      <x:c r="E79" s="13" t="str"/>
      <x:c r="F79" s="13" t="str"/>
      <x:c r="G79" s="12" t="str"/>
      <x:c r="H79" s="13" t="str"/>
      <x:c r="I79" s="12" t="str"/>
      <x:c r="J79" s="12" t="str"/>
      <x:c r="K79" s="12" t="str"/>
      <x:c r="L79" s="12" t="str"/>
      <x:c r="M79" s="12" t="str"/>
      <x:c r="N79" s="12" t="str"/>
      <x:c r="O79" s="12" t="str"/>
      <x:c r="P79" s="12" t="str"/>
      <x:c r="Q79" s="14" t="str">
        <x:f>IF(A79="","",IF(AND(COUNTIF(Evidence[KanitID],A79)=1,G79="Teslim edildi",ISNUMBER(H79),I79&lt;&gt;"",J79&lt;&gt;"",K79&lt;&gt;"",L79&lt;&gt;"",M79&lt;&gt;"",N79&lt;&gt;"",O79="Kabul",P79&lt;&gt;""),A79,"Kayıt eksik"))</x:f>
      </x:c>
    </x:row>
    <x:row r="80" ht="35" customHeight="1">
      <x:c r="A80" s="12" t="str"/>
      <x:c r="B80" s="12" t="str"/>
      <x:c r="C80" s="12" t="str"/>
      <x:c r="D80" s="12" t="str"/>
      <x:c r="E80" s="13" t="str"/>
      <x:c r="F80" s="13" t="str"/>
      <x:c r="G80" s="12" t="str"/>
      <x:c r="H80" s="13" t="str"/>
      <x:c r="I80" s="12" t="str"/>
      <x:c r="J80" s="12" t="str"/>
      <x:c r="K80" s="12" t="str"/>
      <x:c r="L80" s="12" t="str"/>
      <x:c r="M80" s="12" t="str"/>
      <x:c r="N80" s="12" t="str"/>
      <x:c r="O80" s="12" t="str"/>
      <x:c r="P80" s="12" t="str"/>
      <x:c r="Q80" s="14" t="str">
        <x:f>IF(A80="","",IF(AND(COUNTIF(Evidence[KanitID],A80)=1,G80="Teslim edildi",ISNUMBER(H80),I80&lt;&gt;"",J80&lt;&gt;"",K80&lt;&gt;"",L80&lt;&gt;"",M80&lt;&gt;"",N80&lt;&gt;"",O80="Kabul",P80&lt;&gt;""),A80,"Kayıt eksik"))</x:f>
      </x:c>
    </x:row>
    <x:row r="81" ht="35" customHeight="1">
      <x:c r="A81" s="12" t="str"/>
      <x:c r="B81" s="12" t="str"/>
      <x:c r="C81" s="12" t="str"/>
      <x:c r="D81" s="12" t="str"/>
      <x:c r="E81" s="13" t="str"/>
      <x:c r="F81" s="13" t="str"/>
      <x:c r="G81" s="12" t="str"/>
      <x:c r="H81" s="13" t="str"/>
      <x:c r="I81" s="12" t="str"/>
      <x:c r="J81" s="12" t="str"/>
      <x:c r="K81" s="12" t="str"/>
      <x:c r="L81" s="12" t="str"/>
      <x:c r="M81" s="12" t="str"/>
      <x:c r="N81" s="12" t="str"/>
      <x:c r="O81" s="12" t="str"/>
      <x:c r="P81" s="12" t="str"/>
      <x:c r="Q81" s="14" t="str">
        <x:f>IF(A81="","",IF(AND(COUNTIF(Evidence[KanitID],A81)=1,G81="Teslim edildi",ISNUMBER(H81),I81&lt;&gt;"",J81&lt;&gt;"",K81&lt;&gt;"",L81&lt;&gt;"",M81&lt;&gt;"",N81&lt;&gt;"",O81="Kabul",P81&lt;&gt;""),A81,"Kayıt eksik"))</x:f>
      </x:c>
    </x:row>
    <x:row r="82" ht="35" customHeight="1">
      <x:c r="A82" s="12" t="str"/>
      <x:c r="B82" s="12" t="str"/>
      <x:c r="C82" s="12" t="str"/>
      <x:c r="D82" s="12" t="str"/>
      <x:c r="E82" s="13" t="str"/>
      <x:c r="F82" s="13" t="str"/>
      <x:c r="G82" s="12" t="str"/>
      <x:c r="H82" s="13" t="str"/>
      <x:c r="I82" s="12" t="str"/>
      <x:c r="J82" s="12" t="str"/>
      <x:c r="K82" s="12" t="str"/>
      <x:c r="L82" s="12" t="str"/>
      <x:c r="M82" s="12" t="str"/>
      <x:c r="N82" s="12" t="str"/>
      <x:c r="O82" s="12" t="str"/>
      <x:c r="P82" s="12" t="str"/>
      <x:c r="Q82" s="14" t="str">
        <x:f>IF(A82="","",IF(AND(COUNTIF(Evidence[KanitID],A82)=1,G82="Teslim edildi",ISNUMBER(H82),I82&lt;&gt;"",J82&lt;&gt;"",K82&lt;&gt;"",L82&lt;&gt;"",M82&lt;&gt;"",N82&lt;&gt;"",O82="Kabul",P82&lt;&gt;""),A82,"Kayıt eksik"))</x:f>
      </x:c>
    </x:row>
    <x:row r="83" ht="35" customHeight="1">
      <x:c r="A83" s="12" t="str"/>
      <x:c r="B83" s="12" t="str"/>
      <x:c r="C83" s="12" t="str"/>
      <x:c r="D83" s="12" t="str"/>
      <x:c r="E83" s="13" t="str"/>
      <x:c r="F83" s="13" t="str"/>
      <x:c r="G83" s="12" t="str"/>
      <x:c r="H83" s="13" t="str"/>
      <x:c r="I83" s="12" t="str"/>
      <x:c r="J83" s="12" t="str"/>
      <x:c r="K83" s="12" t="str"/>
      <x:c r="L83" s="12" t="str"/>
      <x:c r="M83" s="12" t="str"/>
      <x:c r="N83" s="12" t="str"/>
      <x:c r="O83" s="12" t="str"/>
      <x:c r="P83" s="12" t="str"/>
      <x:c r="Q83" s="14" t="str">
        <x:f>IF(A83="","",IF(AND(COUNTIF(Evidence[KanitID],A83)=1,G83="Teslim edildi",ISNUMBER(H83),I83&lt;&gt;"",J83&lt;&gt;"",K83&lt;&gt;"",L83&lt;&gt;"",M83&lt;&gt;"",N83&lt;&gt;"",O83="Kabul",P83&lt;&gt;""),A83,"Kayıt eksik"))</x:f>
      </x:c>
    </x:row>
    <x:row r="84" ht="35" customHeight="1">
      <x:c r="A84" s="12" t="str"/>
      <x:c r="B84" s="12" t="str"/>
      <x:c r="C84" s="12" t="str"/>
      <x:c r="D84" s="12" t="str"/>
      <x:c r="E84" s="13" t="str"/>
      <x:c r="F84" s="13" t="str"/>
      <x:c r="G84" s="12" t="str"/>
      <x:c r="H84" s="13" t="str"/>
      <x:c r="I84" s="12" t="str"/>
      <x:c r="J84" s="12" t="str"/>
      <x:c r="K84" s="12" t="str"/>
      <x:c r="L84" s="12" t="str"/>
      <x:c r="M84" s="12" t="str"/>
      <x:c r="N84" s="12" t="str"/>
      <x:c r="O84" s="12" t="str"/>
      <x:c r="P84" s="12" t="str"/>
      <x:c r="Q84" s="14" t="str">
        <x:f>IF(A84="","",IF(AND(COUNTIF(Evidence[KanitID],A84)=1,G84="Teslim edildi",ISNUMBER(H84),I84&lt;&gt;"",J84&lt;&gt;"",K84&lt;&gt;"",L84&lt;&gt;"",M84&lt;&gt;"",N84&lt;&gt;"",O84="Kabul",P84&lt;&gt;""),A84,"Kayıt eksik"))</x:f>
      </x:c>
    </x:row>
    <x:row r="85" ht="35" customHeight="1">
      <x:c r="A85" s="12" t="str"/>
      <x:c r="B85" s="12" t="str"/>
      <x:c r="C85" s="12" t="str"/>
      <x:c r="D85" s="12" t="str"/>
      <x:c r="E85" s="13" t="str"/>
      <x:c r="F85" s="13" t="str"/>
      <x:c r="G85" s="12" t="str"/>
      <x:c r="H85" s="13" t="str"/>
      <x:c r="I85" s="12" t="str"/>
      <x:c r="J85" s="12" t="str"/>
      <x:c r="K85" s="12" t="str"/>
      <x:c r="L85" s="12" t="str"/>
      <x:c r="M85" s="12" t="str"/>
      <x:c r="N85" s="12" t="str"/>
      <x:c r="O85" s="12" t="str"/>
      <x:c r="P85" s="12" t="str"/>
      <x:c r="Q85" s="14" t="str">
        <x:f>IF(A85="","",IF(AND(COUNTIF(Evidence[KanitID],A85)=1,G85="Teslim edildi",ISNUMBER(H85),I85&lt;&gt;"",J85&lt;&gt;"",K85&lt;&gt;"",L85&lt;&gt;"",M85&lt;&gt;"",N85&lt;&gt;"",O85="Kabul",P85&lt;&gt;""),A85,"Kayıt eksik"))</x:f>
      </x:c>
    </x:row>
    <x:row r="86" ht="35" customHeight="1">
      <x:c r="A86" s="12" t="str"/>
      <x:c r="B86" s="12" t="str"/>
      <x:c r="C86" s="12" t="str"/>
      <x:c r="D86" s="12" t="str"/>
      <x:c r="E86" s="13" t="str"/>
      <x:c r="F86" s="13" t="str"/>
      <x:c r="G86" s="12" t="str"/>
      <x:c r="H86" s="13" t="str"/>
      <x:c r="I86" s="12" t="str"/>
      <x:c r="J86" s="12" t="str"/>
      <x:c r="K86" s="12" t="str"/>
      <x:c r="L86" s="12" t="str"/>
      <x:c r="M86" s="12" t="str"/>
      <x:c r="N86" s="12" t="str"/>
      <x:c r="O86" s="12" t="str"/>
      <x:c r="P86" s="12" t="str"/>
      <x:c r="Q86" s="14" t="str">
        <x:f>IF(A86="","",IF(AND(COUNTIF(Evidence[KanitID],A86)=1,G86="Teslim edildi",ISNUMBER(H86),I86&lt;&gt;"",J86&lt;&gt;"",K86&lt;&gt;"",L86&lt;&gt;"",M86&lt;&gt;"",N86&lt;&gt;"",O86="Kabul",P86&lt;&gt;""),A86,"Kayıt eksik"))</x:f>
      </x:c>
    </x:row>
    <x:row r="87" ht="35" customHeight="1">
      <x:c r="A87" s="12" t="str"/>
      <x:c r="B87" s="12" t="str"/>
      <x:c r="C87" s="12" t="str"/>
      <x:c r="D87" s="12" t="str"/>
      <x:c r="E87" s="13" t="str"/>
      <x:c r="F87" s="13" t="str"/>
      <x:c r="G87" s="12" t="str"/>
      <x:c r="H87" s="13" t="str"/>
      <x:c r="I87" s="12" t="str"/>
      <x:c r="J87" s="12" t="str"/>
      <x:c r="K87" s="12" t="str"/>
      <x:c r="L87" s="12" t="str"/>
      <x:c r="M87" s="12" t="str"/>
      <x:c r="N87" s="12" t="str"/>
      <x:c r="O87" s="12" t="str"/>
      <x:c r="P87" s="12" t="str"/>
      <x:c r="Q87" s="14" t="str">
        <x:f>IF(A87="","",IF(AND(COUNTIF(Evidence[KanitID],A87)=1,G87="Teslim edildi",ISNUMBER(H87),I87&lt;&gt;"",J87&lt;&gt;"",K87&lt;&gt;"",L87&lt;&gt;"",M87&lt;&gt;"",N87&lt;&gt;"",O87="Kabul",P87&lt;&gt;""),A87,"Kayıt eksik"))</x:f>
      </x:c>
    </x:row>
    <x:row r="88" ht="35" customHeight="1">
      <x:c r="A88" s="12" t="str"/>
      <x:c r="B88" s="12" t="str"/>
      <x:c r="C88" s="12" t="str"/>
      <x:c r="D88" s="12" t="str"/>
      <x:c r="E88" s="13" t="str"/>
      <x:c r="F88" s="13" t="str"/>
      <x:c r="G88" s="12" t="str"/>
      <x:c r="H88" s="13" t="str"/>
      <x:c r="I88" s="12" t="str"/>
      <x:c r="J88" s="12" t="str"/>
      <x:c r="K88" s="12" t="str"/>
      <x:c r="L88" s="12" t="str"/>
      <x:c r="M88" s="12" t="str"/>
      <x:c r="N88" s="12" t="str"/>
      <x:c r="O88" s="12" t="str"/>
      <x:c r="P88" s="12" t="str"/>
      <x:c r="Q88" s="14" t="str">
        <x:f>IF(A88="","",IF(AND(COUNTIF(Evidence[KanitID],A88)=1,G88="Teslim edildi",ISNUMBER(H88),I88&lt;&gt;"",J88&lt;&gt;"",K88&lt;&gt;"",L88&lt;&gt;"",M88&lt;&gt;"",N88&lt;&gt;"",O88="Kabul",P88&lt;&gt;""),A88,"Kayıt eksik"))</x:f>
      </x:c>
    </x:row>
    <x:row r="89" ht="35" customHeight="1">
      <x:c r="A89" s="12" t="str"/>
      <x:c r="B89" s="12" t="str"/>
      <x:c r="C89" s="12" t="str"/>
      <x:c r="D89" s="12" t="str"/>
      <x:c r="E89" s="13" t="str"/>
      <x:c r="F89" s="13" t="str"/>
      <x:c r="G89" s="12" t="str"/>
      <x:c r="H89" s="13" t="str"/>
      <x:c r="I89" s="12" t="str"/>
      <x:c r="J89" s="12" t="str"/>
      <x:c r="K89" s="12" t="str"/>
      <x:c r="L89" s="12" t="str"/>
      <x:c r="M89" s="12" t="str"/>
      <x:c r="N89" s="12" t="str"/>
      <x:c r="O89" s="12" t="str"/>
      <x:c r="P89" s="12" t="str"/>
      <x:c r="Q89" s="14" t="str">
        <x:f>IF(A89="","",IF(AND(COUNTIF(Evidence[KanitID],A89)=1,G89="Teslim edildi",ISNUMBER(H89),I89&lt;&gt;"",J89&lt;&gt;"",K89&lt;&gt;"",L89&lt;&gt;"",M89&lt;&gt;"",N89&lt;&gt;"",O89="Kabul",P89&lt;&gt;""),A89,"Kayıt eksik"))</x:f>
      </x:c>
    </x:row>
    <x:row r="90" ht="35" customHeight="1">
      <x:c r="A90" s="12" t="str"/>
      <x:c r="B90" s="12" t="str"/>
      <x:c r="C90" s="12" t="str"/>
      <x:c r="D90" s="12" t="str"/>
      <x:c r="E90" s="13" t="str"/>
      <x:c r="F90" s="13" t="str"/>
      <x:c r="G90" s="12" t="str"/>
      <x:c r="H90" s="13" t="str"/>
      <x:c r="I90" s="12" t="str"/>
      <x:c r="J90" s="12" t="str"/>
      <x:c r="K90" s="12" t="str"/>
      <x:c r="L90" s="12" t="str"/>
      <x:c r="M90" s="12" t="str"/>
      <x:c r="N90" s="12" t="str"/>
      <x:c r="O90" s="12" t="str"/>
      <x:c r="P90" s="12" t="str"/>
      <x:c r="Q90" s="14" t="str">
        <x:f>IF(A90="","",IF(AND(COUNTIF(Evidence[KanitID],A90)=1,G90="Teslim edildi",ISNUMBER(H90),I90&lt;&gt;"",J90&lt;&gt;"",K90&lt;&gt;"",L90&lt;&gt;"",M90&lt;&gt;"",N90&lt;&gt;"",O90="Kabul",P90&lt;&gt;""),A90,"Kayıt eksik"))</x:f>
      </x:c>
    </x:row>
    <x:row r="91" ht="35" customHeight="1">
      <x:c r="A91" s="12" t="str"/>
      <x:c r="B91" s="12" t="str"/>
      <x:c r="C91" s="12" t="str"/>
      <x:c r="D91" s="12" t="str"/>
      <x:c r="E91" s="13" t="str"/>
      <x:c r="F91" s="13" t="str"/>
      <x:c r="G91" s="12" t="str"/>
      <x:c r="H91" s="13" t="str"/>
      <x:c r="I91" s="12" t="str"/>
      <x:c r="J91" s="12" t="str"/>
      <x:c r="K91" s="12" t="str"/>
      <x:c r="L91" s="12" t="str"/>
      <x:c r="M91" s="12" t="str"/>
      <x:c r="N91" s="12" t="str"/>
      <x:c r="O91" s="12" t="str"/>
      <x:c r="P91" s="12" t="str"/>
      <x:c r="Q91" s="14" t="str">
        <x:f>IF(A91="","",IF(AND(COUNTIF(Evidence[KanitID],A91)=1,G91="Teslim edildi",ISNUMBER(H91),I91&lt;&gt;"",J91&lt;&gt;"",K91&lt;&gt;"",L91&lt;&gt;"",M91&lt;&gt;"",N91&lt;&gt;"",O91="Kabul",P91&lt;&gt;""),A91,"Kayıt eksik"))</x:f>
      </x:c>
    </x:row>
    <x:row r="92" ht="35" customHeight="1">
      <x:c r="A92" s="12" t="str"/>
      <x:c r="B92" s="12" t="str"/>
      <x:c r="C92" s="12" t="str"/>
      <x:c r="D92" s="12" t="str"/>
      <x:c r="E92" s="13" t="str"/>
      <x:c r="F92" s="13" t="str"/>
      <x:c r="G92" s="12" t="str"/>
      <x:c r="H92" s="13" t="str"/>
      <x:c r="I92" s="12" t="str"/>
      <x:c r="J92" s="12" t="str"/>
      <x:c r="K92" s="12" t="str"/>
      <x:c r="L92" s="12" t="str"/>
      <x:c r="M92" s="12" t="str"/>
      <x:c r="N92" s="12" t="str"/>
      <x:c r="O92" s="12" t="str"/>
      <x:c r="P92" s="12" t="str"/>
      <x:c r="Q92" s="14" t="str">
        <x:f>IF(A92="","",IF(AND(COUNTIF(Evidence[KanitID],A92)=1,G92="Teslim edildi",ISNUMBER(H92),I92&lt;&gt;"",J92&lt;&gt;"",K92&lt;&gt;"",L92&lt;&gt;"",M92&lt;&gt;"",N92&lt;&gt;"",O92="Kabul",P92&lt;&gt;""),A92,"Kayıt eksik"))</x:f>
      </x:c>
    </x:row>
    <x:row r="93" ht="35" customHeight="1">
      <x:c r="A93" s="12" t="str"/>
      <x:c r="B93" s="12" t="str"/>
      <x:c r="C93" s="12" t="str"/>
      <x:c r="D93" s="12" t="str"/>
      <x:c r="E93" s="13" t="str"/>
      <x:c r="F93" s="13" t="str"/>
      <x:c r="G93" s="12" t="str"/>
      <x:c r="H93" s="13" t="str"/>
      <x:c r="I93" s="12" t="str"/>
      <x:c r="J93" s="12" t="str"/>
      <x:c r="K93" s="12" t="str"/>
      <x:c r="L93" s="12" t="str"/>
      <x:c r="M93" s="12" t="str"/>
      <x:c r="N93" s="12" t="str"/>
      <x:c r="O93" s="12" t="str"/>
      <x:c r="P93" s="12" t="str"/>
      <x:c r="Q93" s="14" t="str">
        <x:f>IF(A93="","",IF(AND(COUNTIF(Evidence[KanitID],A93)=1,G93="Teslim edildi",ISNUMBER(H93),I93&lt;&gt;"",J93&lt;&gt;"",K93&lt;&gt;"",L93&lt;&gt;"",M93&lt;&gt;"",N93&lt;&gt;"",O93="Kabul",P93&lt;&gt;""),A93,"Kayıt eksik"))</x:f>
      </x:c>
    </x:row>
    <x:row r="94" ht="35" customHeight="1">
      <x:c r="A94" s="12" t="str"/>
      <x:c r="B94" s="12" t="str"/>
      <x:c r="C94" s="12" t="str"/>
      <x:c r="D94" s="12" t="str"/>
      <x:c r="E94" s="13" t="str"/>
      <x:c r="F94" s="13" t="str"/>
      <x:c r="G94" s="12" t="str"/>
      <x:c r="H94" s="13" t="str"/>
      <x:c r="I94" s="12" t="str"/>
      <x:c r="J94" s="12" t="str"/>
      <x:c r="K94" s="12" t="str"/>
      <x:c r="L94" s="12" t="str"/>
      <x:c r="M94" s="12" t="str"/>
      <x:c r="N94" s="12" t="str"/>
      <x:c r="O94" s="12" t="str"/>
      <x:c r="P94" s="12" t="str"/>
      <x:c r="Q94" s="14" t="str">
        <x:f>IF(A94="","",IF(AND(COUNTIF(Evidence[KanitID],A94)=1,G94="Teslim edildi",ISNUMBER(H94),I94&lt;&gt;"",J94&lt;&gt;"",K94&lt;&gt;"",L94&lt;&gt;"",M94&lt;&gt;"",N94&lt;&gt;"",O94="Kabul",P94&lt;&gt;""),A94,"Kayıt eksik"))</x:f>
      </x:c>
    </x:row>
    <x:row r="95" ht="35" customHeight="1">
      <x:c r="A95" s="12" t="str"/>
      <x:c r="B95" s="12" t="str"/>
      <x:c r="C95" s="12" t="str"/>
      <x:c r="D95" s="12" t="str"/>
      <x:c r="E95" s="13" t="str"/>
      <x:c r="F95" s="13" t="str"/>
      <x:c r="G95" s="12" t="str"/>
      <x:c r="H95" s="13" t="str"/>
      <x:c r="I95" s="12" t="str"/>
      <x:c r="J95" s="12" t="str"/>
      <x:c r="K95" s="12" t="str"/>
      <x:c r="L95" s="12" t="str"/>
      <x:c r="M95" s="12" t="str"/>
      <x:c r="N95" s="12" t="str"/>
      <x:c r="O95" s="12" t="str"/>
      <x:c r="P95" s="12" t="str"/>
      <x:c r="Q95" s="14" t="str">
        <x:f>IF(A95="","",IF(AND(COUNTIF(Evidence[KanitID],A95)=1,G95="Teslim edildi",ISNUMBER(H95),I95&lt;&gt;"",J95&lt;&gt;"",K95&lt;&gt;"",L95&lt;&gt;"",M95&lt;&gt;"",N95&lt;&gt;"",O95="Kabul",P95&lt;&gt;""),A95,"Kayıt eksik"))</x:f>
      </x:c>
    </x:row>
    <x:row r="96" ht="35" customHeight="1">
      <x:c r="A96" s="12" t="str"/>
      <x:c r="B96" s="12" t="str"/>
      <x:c r="C96" s="12" t="str"/>
      <x:c r="D96" s="12" t="str"/>
      <x:c r="E96" s="13" t="str"/>
      <x:c r="F96" s="13" t="str"/>
      <x:c r="G96" s="12" t="str"/>
      <x:c r="H96" s="13" t="str"/>
      <x:c r="I96" s="12" t="str"/>
      <x:c r="J96" s="12" t="str"/>
      <x:c r="K96" s="12" t="str"/>
      <x:c r="L96" s="12" t="str"/>
      <x:c r="M96" s="12" t="str"/>
      <x:c r="N96" s="12" t="str"/>
      <x:c r="O96" s="12" t="str"/>
      <x:c r="P96" s="12" t="str"/>
      <x:c r="Q96" s="14" t="str">
        <x:f>IF(A96="","",IF(AND(COUNTIF(Evidence[KanitID],A96)=1,G96="Teslim edildi",ISNUMBER(H96),I96&lt;&gt;"",J96&lt;&gt;"",K96&lt;&gt;"",L96&lt;&gt;"",M96&lt;&gt;"",N96&lt;&gt;"",O96="Kabul",P96&lt;&gt;""),A96,"Kayıt eksik"))</x:f>
      </x:c>
    </x:row>
    <x:row r="97" ht="35" customHeight="1">
      <x:c r="A97" s="12" t="str"/>
      <x:c r="B97" s="12" t="str"/>
      <x:c r="C97" s="12" t="str"/>
      <x:c r="D97" s="12" t="str"/>
      <x:c r="E97" s="13" t="str"/>
      <x:c r="F97" s="13" t="str"/>
      <x:c r="G97" s="12" t="str"/>
      <x:c r="H97" s="13" t="str"/>
      <x:c r="I97" s="12" t="str"/>
      <x:c r="J97" s="12" t="str"/>
      <x:c r="K97" s="12" t="str"/>
      <x:c r="L97" s="12" t="str"/>
      <x:c r="M97" s="12" t="str"/>
      <x:c r="N97" s="12" t="str"/>
      <x:c r="O97" s="12" t="str"/>
      <x:c r="P97" s="12" t="str"/>
      <x:c r="Q97" s="14" t="str">
        <x:f>IF(A97="","",IF(AND(COUNTIF(Evidence[KanitID],A97)=1,G97="Teslim edildi",ISNUMBER(H97),I97&lt;&gt;"",J97&lt;&gt;"",K97&lt;&gt;"",L97&lt;&gt;"",M97&lt;&gt;"",N97&lt;&gt;"",O97="Kabul",P97&lt;&gt;""),A97,"Kayıt eksik"))</x:f>
      </x:c>
    </x:row>
    <x:row r="98" ht="35" customHeight="1">
      <x:c r="A98" s="12" t="str"/>
      <x:c r="B98" s="12" t="str"/>
      <x:c r="C98" s="12" t="str"/>
      <x:c r="D98" s="12" t="str"/>
      <x:c r="E98" s="13" t="str"/>
      <x:c r="F98" s="13" t="str"/>
      <x:c r="G98" s="12" t="str"/>
      <x:c r="H98" s="13" t="str"/>
      <x:c r="I98" s="12" t="str"/>
      <x:c r="J98" s="12" t="str"/>
      <x:c r="K98" s="12" t="str"/>
      <x:c r="L98" s="12" t="str"/>
      <x:c r="M98" s="12" t="str"/>
      <x:c r="N98" s="12" t="str"/>
      <x:c r="O98" s="12" t="str"/>
      <x:c r="P98" s="12" t="str"/>
      <x:c r="Q98" s="14" t="str">
        <x:f>IF(A98="","",IF(AND(COUNTIF(Evidence[KanitID],A98)=1,G98="Teslim edildi",ISNUMBER(H98),I98&lt;&gt;"",J98&lt;&gt;"",K98&lt;&gt;"",L98&lt;&gt;"",M98&lt;&gt;"",N98&lt;&gt;"",O98="Kabul",P98&lt;&gt;""),A98,"Kayıt eksik"))</x:f>
      </x:c>
    </x:row>
    <x:row r="99" ht="35" customHeight="1">
      <x:c r="A99" s="12" t="str"/>
      <x:c r="B99" s="12" t="str"/>
      <x:c r="C99" s="12" t="str"/>
      <x:c r="D99" s="12" t="str"/>
      <x:c r="E99" s="13" t="str"/>
      <x:c r="F99" s="13" t="str"/>
      <x:c r="G99" s="12" t="str"/>
      <x:c r="H99" s="13" t="str"/>
      <x:c r="I99" s="12" t="str"/>
      <x:c r="J99" s="12" t="str"/>
      <x:c r="K99" s="12" t="str"/>
      <x:c r="L99" s="12" t="str"/>
      <x:c r="M99" s="12" t="str"/>
      <x:c r="N99" s="12" t="str"/>
      <x:c r="O99" s="12" t="str"/>
      <x:c r="P99" s="12" t="str"/>
      <x:c r="Q99" s="14" t="str">
        <x:f>IF(A99="","",IF(AND(COUNTIF(Evidence[KanitID],A99)=1,G99="Teslim edildi",ISNUMBER(H99),I99&lt;&gt;"",J99&lt;&gt;"",K99&lt;&gt;"",L99&lt;&gt;"",M99&lt;&gt;"",N99&lt;&gt;"",O99="Kabul",P99&lt;&gt;""),A99,"Kayıt eksik"))</x:f>
      </x:c>
    </x:row>
    <x:row r="100" ht="35" customHeight="1">
      <x:c r="A100" s="12" t="str"/>
      <x:c r="B100" s="12" t="str"/>
      <x:c r="C100" s="12" t="str"/>
      <x:c r="D100" s="12" t="str"/>
      <x:c r="E100" s="13" t="str"/>
      <x:c r="F100" s="13" t="str"/>
      <x:c r="G100" s="12" t="str"/>
      <x:c r="H100" s="13" t="str"/>
      <x:c r="I100" s="12" t="str"/>
      <x:c r="J100" s="12" t="str"/>
      <x:c r="K100" s="12" t="str"/>
      <x:c r="L100" s="12" t="str"/>
      <x:c r="M100" s="12" t="str"/>
      <x:c r="N100" s="12" t="str"/>
      <x:c r="O100" s="12" t="str"/>
      <x:c r="P100" s="12" t="str"/>
      <x:c r="Q100" s="14" t="str">
        <x:f>IF(A100="","",IF(AND(COUNTIF(Evidence[KanitID],A100)=1,G100="Teslim edildi",ISNUMBER(H100),I100&lt;&gt;"",J100&lt;&gt;"",K100&lt;&gt;"",L100&lt;&gt;"",M100&lt;&gt;"",N100&lt;&gt;"",O100="Kabul",P100&lt;&gt;""),A100,"Kayıt eksik"))</x:f>
      </x:c>
    </x:row>
    <x:row r="101" ht="35" customHeight="1">
      <x:c r="A101" s="12" t="str"/>
      <x:c r="B101" s="12" t="str"/>
      <x:c r="C101" s="12" t="str"/>
      <x:c r="D101" s="12" t="str"/>
      <x:c r="E101" s="13" t="str"/>
      <x:c r="F101" s="13" t="str"/>
      <x:c r="G101" s="12" t="str"/>
      <x:c r="H101" s="13" t="str"/>
      <x:c r="I101" s="12" t="str"/>
      <x:c r="J101" s="12" t="str"/>
      <x:c r="K101" s="12" t="str"/>
      <x:c r="L101" s="12" t="str"/>
      <x:c r="M101" s="12" t="str"/>
      <x:c r="N101" s="12" t="str"/>
      <x:c r="O101" s="12" t="str"/>
      <x:c r="P101" s="12" t="str"/>
      <x:c r="Q101" s="14" t="str">
        <x:f>IF(A101="","",IF(AND(COUNTIF(Evidence[KanitID],A101)=1,G101="Teslim edildi",ISNUMBER(H101),I101&lt;&gt;"",J101&lt;&gt;"",K101&lt;&gt;"",L101&lt;&gt;"",M101&lt;&gt;"",N101&lt;&gt;"",O101="Kabul",P101&lt;&gt;""),A101,"Kayıt eksik"))</x:f>
      </x:c>
    </x:row>
    <x:row r="102" ht="35" customHeight="1">
      <x:c r="A102" s="12" t="str"/>
      <x:c r="B102" s="12" t="str"/>
      <x:c r="C102" s="12" t="str"/>
      <x:c r="D102" s="12" t="str"/>
      <x:c r="E102" s="13" t="str"/>
      <x:c r="F102" s="13" t="str"/>
      <x:c r="G102" s="12" t="str"/>
      <x:c r="H102" s="13" t="str"/>
      <x:c r="I102" s="12" t="str"/>
      <x:c r="J102" s="12" t="str"/>
      <x:c r="K102" s="12" t="str"/>
      <x:c r="L102" s="12" t="str"/>
      <x:c r="M102" s="12" t="str"/>
      <x:c r="N102" s="12" t="str"/>
      <x:c r="O102" s="12" t="str"/>
      <x:c r="P102" s="12" t="str"/>
      <x:c r="Q102" s="14" t="str">
        <x:f>IF(A102="","",IF(AND(COUNTIF(Evidence[KanitID],A102)=1,G102="Teslim edildi",ISNUMBER(H102),I102&lt;&gt;"",J102&lt;&gt;"",K102&lt;&gt;"",L102&lt;&gt;"",M102&lt;&gt;"",N102&lt;&gt;"",O102="Kabul",P102&lt;&gt;""),A102,"Kayıt eksik"))</x:f>
      </x:c>
    </x:row>
    <x:row r="103" ht="35" customHeight="1">
      <x:c r="A103" s="12" t="str"/>
      <x:c r="B103" s="12" t="str"/>
      <x:c r="C103" s="12" t="str"/>
      <x:c r="D103" s="12" t="str"/>
      <x:c r="E103" s="13" t="str"/>
      <x:c r="F103" s="13" t="str"/>
      <x:c r="G103" s="12" t="str"/>
      <x:c r="H103" s="13" t="str"/>
      <x:c r="I103" s="12" t="str"/>
      <x:c r="J103" s="12" t="str"/>
      <x:c r="K103" s="12" t="str"/>
      <x:c r="L103" s="12" t="str"/>
      <x:c r="M103" s="12" t="str"/>
      <x:c r="N103" s="12" t="str"/>
      <x:c r="O103" s="12" t="str"/>
      <x:c r="P103" s="12" t="str"/>
      <x:c r="Q103" s="14" t="str">
        <x:f>IF(A103="","",IF(AND(COUNTIF(Evidence[KanitID],A103)=1,G103="Teslim edildi",ISNUMBER(H103),I103&lt;&gt;"",J103&lt;&gt;"",K103&lt;&gt;"",L103&lt;&gt;"",M103&lt;&gt;"",N103&lt;&gt;"",O103="Kabul",P103&lt;&gt;""),A103,"Kayıt eksik"))</x:f>
      </x:c>
    </x:row>
    <x:row r="104" ht="35" customHeight="1">
      <x:c r="A104" s="12" t="str"/>
      <x:c r="B104" s="12" t="str"/>
      <x:c r="C104" s="12" t="str"/>
      <x:c r="D104" s="12" t="str"/>
      <x:c r="E104" s="13" t="str"/>
      <x:c r="F104" s="13" t="str"/>
      <x:c r="G104" s="12" t="str"/>
      <x:c r="H104" s="13" t="str"/>
      <x:c r="I104" s="12" t="str"/>
      <x:c r="J104" s="12" t="str"/>
      <x:c r="K104" s="12" t="str"/>
      <x:c r="L104" s="12" t="str"/>
      <x:c r="M104" s="12" t="str"/>
      <x:c r="N104" s="12" t="str"/>
      <x:c r="O104" s="12" t="str"/>
      <x:c r="P104" s="12" t="str"/>
      <x:c r="Q104" s="14" t="str">
        <x:f>IF(A104="","",IF(AND(COUNTIF(Evidence[KanitID],A104)=1,G104="Teslim edildi",ISNUMBER(H104),I104&lt;&gt;"",J104&lt;&gt;"",K104&lt;&gt;"",L104&lt;&gt;"",M104&lt;&gt;"",N104&lt;&gt;"",O104="Kabul",P104&lt;&gt;""),A104,"Kayıt eksik"))</x:f>
      </x:c>
    </x:row>
    <x:row r="105" ht="35" customHeight="1">
      <x:c r="A105" s="12" t="str"/>
      <x:c r="B105" s="12" t="str"/>
      <x:c r="C105" s="12" t="str"/>
      <x:c r="D105" s="12" t="str"/>
      <x:c r="E105" s="13" t="str"/>
      <x:c r="F105" s="13" t="str"/>
      <x:c r="G105" s="12" t="str"/>
      <x:c r="H105" s="13" t="str"/>
      <x:c r="I105" s="12" t="str"/>
      <x:c r="J105" s="12" t="str"/>
      <x:c r="K105" s="12" t="str"/>
      <x:c r="L105" s="12" t="str"/>
      <x:c r="M105" s="12" t="str"/>
      <x:c r="N105" s="12" t="str"/>
      <x:c r="O105" s="12" t="str"/>
      <x:c r="P105" s="12" t="str"/>
      <x:c r="Q105" s="14" t="str">
        <x:f>IF(A105="","",IF(AND(COUNTIF(Evidence[KanitID],A105)=1,G105="Teslim edildi",ISNUMBER(H105),I105&lt;&gt;"",J105&lt;&gt;"",K105&lt;&gt;"",L105&lt;&gt;"",M105&lt;&gt;"",N105&lt;&gt;"",O105="Kabul",P105&lt;&gt;""),A105,"Kayıt eksik"))</x:f>
      </x:c>
    </x:row>
  </x:sheetData>
  <x:conditionalFormatting sqref="Q6:Q105">
    <x:cfRule type="containsText" dxfId="1" priority="1" operator="containsText" text="eksik"/>
  </x:conditionalFormatting>
  <x:dataValidations count="2">
    <x:dataValidation type="list" errorStyle="stop" showErrorMessage="1" errorTitle="Geçersiz seçim" error="Listede tanımlı bir değer seçin." sqref="G6:G105">
      <x:formula1>"Talep edilmedi,Talep edildi,Kısmi teslim,Teslim edildi"</x:formula1>
    </x:dataValidation>
    <x:dataValidation type="list" errorStyle="stop" showErrorMessage="1" errorTitle="Geçersiz seçim" error="Listede tanımlı bir değer seçin." sqref="O6:O105">
      <x:formula1>"İncelenmedi,Kabul,Yetersiz,Reddedildi"</x:formula1>
    </x:dataValidation>
  </x:dataValidations>
  <x:pageMargins left="0.7" right="0.7" top="0.75" bottom="0.75" header="0.3" footer="0.3"/>
  <x:tableParts count="1">
    <x:tablePart xmlns:r="http://schemas.openxmlformats.org/officeDocument/2006/relationships" r:id="R4ff56d00169e4fde"/>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24" hidden="0" customWidth="1"/>
    <x:col min="3" max="3" width="50" hidden="0" customWidth="1"/>
    <x:col min="4" max="4" width="76" hidden="0" customWidth="1"/>
    <x:col min="5" max="5" width="65" hidden="0" customWidth="1"/>
    <x:col min="6" max="6" width="64" hidden="0" customWidth="1"/>
    <x:col min="7" max="7" width="52" hidden="0" customWidth="1"/>
    <x:col min="8" max="8" width="65" hidden="0" customWidth="1"/>
    <x:col min="9" max="9" width="73" hidden="0" customWidth="1"/>
    <x:col min="10" max="10" width="23" hidden="0" customWidth="1"/>
    <x:col min="11" max="11" width="67" hidden="0" customWidth="1"/>
    <x:col min="12" max="12" width="73" hidden="0" customWidth="1"/>
    <x:col min="13" max="13" width="23" hidden="0" customWidth="1"/>
    <x:col min="14" max="14" width="64" hidden="0" customWidth="1"/>
    <x:col min="15" max="15" width="72" hidden="0" customWidth="1"/>
    <x:col min="16" max="16" width="29" hidden="0" customWidth="1"/>
    <x:col min="17" max="17" width="21" hidden="0" customWidth="1"/>
    <x:col min="18" max="18" width="74" hidden="0" customWidth="1"/>
    <x:col min="19" max="19" width="27" hidden="0" customWidth="1"/>
    <x:col min="20" max="20" width="30" hidden="0" customWidth="1"/>
    <x:col min="21" max="21" width="21" hidden="0" customWidth="1"/>
    <x:col min="22" max="22" width="28" hidden="0" customWidth="1"/>
    <x:col min="23" max="23" width="30" hidden="0" customWidth="1"/>
    <x:col min="24" max="24" width="27"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row>
    <x:row r="2" ht="29" customHeight="1">
      <x:c r="A2" s="2" t="str">
        <x:v>Bulgu ve Risk</x:v>
      </x:c>
      <x:c r="B2" s="2"/>
      <x:c r="C2" s="2"/>
      <x:c r="D2" s="2"/>
      <x:c r="E2" s="2"/>
      <x:c r="F2" s="2"/>
      <x:c r="G2" s="2"/>
      <x:c r="H2" s="2"/>
      <x:c r="I2" s="2"/>
      <x:c r="J2" s="2"/>
      <x:c r="K2" s="2"/>
      <x:c r="L2" s="2"/>
      <x:c r="M2" s="2"/>
      <x:c r="N2" s="2"/>
      <x:c r="O2" s="2"/>
      <x:c r="P2" s="2"/>
      <x:c r="Q2" s="2"/>
      <x:c r="R2" s="2"/>
      <x:c r="S2" s="2"/>
      <x:c r="T2" s="2"/>
      <x:c r="U2" s="2"/>
      <x:c r="V2" s="2"/>
      <x:c r="W2" s="2"/>
      <x:c r="X2" s="2"/>
    </x:row>
    <x:row r="3" ht="8" customHeight="1">
      <x:c r="A3" s="3"/>
      <x:c r="B3" s="3"/>
      <x:c r="C3" s="3"/>
      <x:c r="D3" s="3"/>
      <x:c r="E3" s="3"/>
      <x:c r="F3" s="3"/>
      <x:c r="G3" s="3"/>
      <x:c r="H3" s="3"/>
      <x:c r="I3" s="3"/>
      <x:c r="J3" s="3"/>
      <x:c r="K3" s="3"/>
      <x:c r="L3" s="3"/>
      <x:c r="M3" s="3"/>
      <x:c r="N3" s="3"/>
      <x:c r="O3" s="3"/>
      <x:c r="P3" s="3"/>
      <x:c r="Q3" s="3"/>
      <x:c r="R3" s="3"/>
      <x:c r="S3" s="3"/>
      <x:c r="T3" s="3"/>
      <x:c r="U3" s="3"/>
      <x:c r="V3" s="3"/>
      <x:c r="W3" s="3"/>
      <x:c r="X3" s="3"/>
    </x:row>
    <x:row r="4" ht="24" customHeight="1">
      <x:c r="A4" s="4" t="str">
        <x:v>Risk sınıfları kurumun onaylı yöntemiyle girilir. Etkin kontrol sonucu artık riski kendiliğinden sıfırlamaz.</x:v>
      </x:c>
      <x:c r="B4" s="4"/>
      <x:c r="C4" s="4"/>
      <x:c r="D4" s="4"/>
      <x:c r="E4" s="4"/>
      <x:c r="F4" s="4"/>
      <x:c r="G4" s="4"/>
      <x:c r="H4" s="4"/>
      <x:c r="I4" s="4"/>
      <x:c r="J4" s="4"/>
      <x:c r="K4" s="4"/>
      <x:c r="L4" s="4"/>
      <x:c r="M4" s="4"/>
      <x:c r="N4" s="4"/>
      <x:c r="O4" s="4"/>
      <x:c r="P4" s="4"/>
      <x:c r="Q4" s="4"/>
      <x:c r="R4" s="4"/>
      <x:c r="S4" s="4"/>
      <x:c r="T4" s="4"/>
      <x:c r="U4" s="4"/>
      <x:c r="V4" s="4"/>
      <x:c r="W4" s="4"/>
      <x:c r="X4" s="4"/>
    </x:row>
    <x:row r="5" ht="36" customHeight="1">
      <x:c r="A5" s="10" t="str">
        <x:v>BulguID</x:v>
      </x:c>
      <x:c r="B5" s="10" t="str">
        <x:v>İlk test ID</x:v>
      </x:c>
      <x:c r="C5" s="10" t="str">
        <x:v>Başlık</x:v>
      </x:c>
      <x:c r="D5" s="10" t="str">
        <x:v>Fiili durum ve kanıt</x:v>
      </x:c>
      <x:c r="E5" s="10" t="str">
        <x:v>Karşılanmayan ölçüt / kaynak</x:v>
      </x:c>
      <x:c r="F5" s="10" t="str">
        <x:v>Kök neden</x:v>
      </x:c>
      <x:c r="G5" s="10" t="str">
        <x:v>Etkilenen tenant / evren</x:v>
      </x:c>
      <x:c r="H5" s="10" t="str">
        <x:v>İş etkisi</x:v>
      </x:c>
      <x:c r="I5" s="10" t="str">
        <x:v>Brüt risk gerekçesi</x:v>
      </x:c>
      <x:c r="J5" s="10" t="str">
        <x:v>Brüt risk sınıfı</x:v>
      </x:c>
      <x:c r="K5" s="10" t="str">
        <x:v>Mevcut telafi ve kanıt</x:v>
      </x:c>
      <x:c r="L5" s="10" t="str">
        <x:v>Artık risk gerekçesi</x:v>
      </x:c>
      <x:c r="M5" s="10" t="str">
        <x:v>Artık risk sınıfı</x:v>
      </x:c>
      <x:c r="N5" s="10" t="str">
        <x:v>Risk yöntemi / onay kaydı</x:v>
      </x:c>
      <x:c r="O5" s="10" t="str">
        <x:v>Aksiyon</x:v>
      </x:c>
      <x:c r="P5" s="10" t="str">
        <x:v>Sorumlu</x:v>
      </x:c>
      <x:c r="Q5" s="10" t="str">
        <x:v>Hedef tarih</x:v>
      </x:c>
      <x:c r="R5" s="10" t="str">
        <x:v>Yönetim cevabı / risk kabulü</x:v>
      </x:c>
      <x:c r="S5" s="10" t="str">
        <x:v>Tekrar test ID</x:v>
      </x:c>
      <x:c r="T5" s="10" t="str">
        <x:v>Bağımsız kapatan</x:v>
      </x:c>
      <x:c r="U5" s="10" t="str">
        <x:v>Kapanış tarihi</x:v>
      </x:c>
      <x:c r="V5" s="10" t="str">
        <x:v>Beyan edilen durum</x:v>
      </x:c>
      <x:c r="W5" s="10" t="str">
        <x:v>GecerliDurum</x:v>
      </x:c>
      <x:c r="X5" s="10" t="str">
        <x:v>KayitliBulguID</x:v>
      </x:c>
    </x:row>
    <x:row r="6" ht="35" customHeight="1">
      <x:c r="A6" s="12"/>
      <x:c r="B6" s="12"/>
      <x:c r="C6" s="12"/>
      <x:c r="D6" s="12"/>
      <x:c r="E6" s="12"/>
      <x:c r="F6" s="12"/>
      <x:c r="G6" s="12"/>
      <x:c r="H6" s="12"/>
      <x:c r="I6" s="12"/>
      <x:c r="J6" s="12"/>
      <x:c r="K6" s="12"/>
      <x:c r="L6" s="12"/>
      <x:c r="M6" s="12"/>
      <x:c r="N6" s="12"/>
      <x:c r="O6" s="12"/>
      <x:c r="P6" s="12"/>
      <x:c r="Q6" s="13"/>
      <x:c r="R6" s="12"/>
      <x:c r="S6" s="12"/>
      <x:c r="T6" s="12"/>
      <x:c r="U6" s="13"/>
      <x:c r="V6" s="12"/>
      <x:c r="W6" s="14" t="str">
        <x:f>IF(A6="","",IF(X6&lt;&gt;A6,"Bulgu kaydı eksik",IF(V6="Kapalı",IF(AND(S6&lt;&gt;B6,S6&lt;&gt;"",COUNTIFS(Exec[TestID],S6,Exec[GecerliSonuc],"Uygun",Exec[KontrolID],INDEX(Exec[KontrolID],MATCH(B6,Exec[TestID],0)),Exec[KapsamID],INDEX(Exec[KapsamID],MATCH(B6,Exec[TestID],0)),Exec[Hedef / tenant / örneklem],INDEX(Exec[Hedef / tenant / örneklem],MATCH(B6,Exec[TestID],0)))=1,T6&lt;&gt;"",ISNUMBER(U6),U6&gt;0),"Kapalı","Kapanış kanıtı eksik"),IF(V6="Risk kabulü",IF(AND(R6&lt;&gt;"",N6&lt;&gt;"",L6&lt;&gt;"",M6&lt;&gt;""),"Risk kabulü","Risk kabul kaydı eksik"),IF(V6="","Durum eksik",V6)))))</x:f>
      </x:c>
      <x:c r="X6" s="14" t="str">
        <x:f>IF(A6="","",IF(AND(COUNTIF(Findings[BulguID],A6)=1,COUNTIF(Exec[TestID],B6)=1,C6&lt;&gt;"",D6&lt;&gt;"",E6&lt;&gt;"",G6&lt;&gt;"",H6&lt;&gt;""),A6,"Bulgu kaydı eksik"))</x:f>
      </x:c>
    </x:row>
    <x:row r="7" ht="35" customHeight="1">
      <x:c r="A7" s="12" t="str"/>
      <x:c r="B7" s="12" t="str"/>
      <x:c r="C7" s="12" t="str"/>
      <x:c r="D7" s="12" t="str"/>
      <x:c r="E7" s="12" t="str"/>
      <x:c r="F7" s="12" t="str"/>
      <x:c r="G7" s="12" t="str"/>
      <x:c r="H7" s="12" t="str"/>
      <x:c r="I7" s="12" t="str"/>
      <x:c r="J7" s="12" t="str"/>
      <x:c r="K7" s="12" t="str"/>
      <x:c r="L7" s="12" t="str"/>
      <x:c r="M7" s="12" t="str"/>
      <x:c r="N7" s="12" t="str"/>
      <x:c r="O7" s="12" t="str"/>
      <x:c r="P7" s="12" t="str"/>
      <x:c r="Q7" s="13" t="str"/>
      <x:c r="R7" s="12" t="str"/>
      <x:c r="S7" s="12" t="str"/>
      <x:c r="T7" s="12" t="str"/>
      <x:c r="U7" s="13" t="str"/>
      <x:c r="V7" s="12" t="str"/>
      <x:c r="W7" s="14" t="str">
        <x:f>IF(A7="","",IF(X7&lt;&gt;A7,"Bulgu kaydı eksik",IF(V7="Kapalı",IF(AND(S7&lt;&gt;B7,S7&lt;&gt;"",COUNTIFS(Exec[TestID],S7,Exec[GecerliSonuc],"Uygun",Exec[KontrolID],INDEX(Exec[KontrolID],MATCH(B7,Exec[TestID],0)),Exec[KapsamID],INDEX(Exec[KapsamID],MATCH(B7,Exec[TestID],0)),Exec[Hedef / tenant / örneklem],INDEX(Exec[Hedef / tenant / örneklem],MATCH(B7,Exec[TestID],0)))=1,T7&lt;&gt;"",ISNUMBER(U7),U7&gt;0),"Kapalı","Kapanış kanıtı eksik"),IF(V7="Risk kabulü",IF(AND(R7&lt;&gt;"",N7&lt;&gt;"",L7&lt;&gt;"",M7&lt;&gt;""),"Risk kabulü","Risk kabul kaydı eksik"),IF(V7="","Durum eksik",V7)))))</x:f>
      </x:c>
      <x:c r="X7" s="14" t="str">
        <x:f>IF(A7="","",IF(AND(COUNTIF(Findings[BulguID],A7)=1,COUNTIF(Exec[TestID],B7)=1,C7&lt;&gt;"",D7&lt;&gt;"",E7&lt;&gt;"",G7&lt;&gt;"",H7&lt;&gt;""),A7,"Bulgu kaydı eksik"))</x:f>
      </x:c>
    </x:row>
    <x:row r="8" ht="35" customHeight="1">
      <x:c r="A8" s="12" t="str"/>
      <x:c r="B8" s="12" t="str"/>
      <x:c r="C8" s="12" t="str"/>
      <x:c r="D8" s="12" t="str"/>
      <x:c r="E8" s="12" t="str"/>
      <x:c r="F8" s="12" t="str"/>
      <x:c r="G8" s="12" t="str"/>
      <x:c r="H8" s="12" t="str"/>
      <x:c r="I8" s="12" t="str"/>
      <x:c r="J8" s="12" t="str"/>
      <x:c r="K8" s="12" t="str"/>
      <x:c r="L8" s="12" t="str"/>
      <x:c r="M8" s="12" t="str"/>
      <x:c r="N8" s="12" t="str"/>
      <x:c r="O8" s="12" t="str"/>
      <x:c r="P8" s="12" t="str"/>
      <x:c r="Q8" s="13" t="str"/>
      <x:c r="R8" s="12" t="str"/>
      <x:c r="S8" s="12" t="str"/>
      <x:c r="T8" s="12" t="str"/>
      <x:c r="U8" s="13" t="str"/>
      <x:c r="V8" s="12" t="str"/>
      <x:c r="W8" s="14" t="str">
        <x:f>IF(A8="","",IF(X8&lt;&gt;A8,"Bulgu kaydı eksik",IF(V8="Kapalı",IF(AND(S8&lt;&gt;B8,S8&lt;&gt;"",COUNTIFS(Exec[TestID],S8,Exec[GecerliSonuc],"Uygun",Exec[KontrolID],INDEX(Exec[KontrolID],MATCH(B8,Exec[TestID],0)),Exec[KapsamID],INDEX(Exec[KapsamID],MATCH(B8,Exec[TestID],0)),Exec[Hedef / tenant / örneklem],INDEX(Exec[Hedef / tenant / örneklem],MATCH(B8,Exec[TestID],0)))=1,T8&lt;&gt;"",ISNUMBER(U8),U8&gt;0),"Kapalı","Kapanış kanıtı eksik"),IF(V8="Risk kabulü",IF(AND(R8&lt;&gt;"",N8&lt;&gt;"",L8&lt;&gt;"",M8&lt;&gt;""),"Risk kabulü","Risk kabul kaydı eksik"),IF(V8="","Durum eksik",V8)))))</x:f>
      </x:c>
      <x:c r="X8" s="14" t="str">
        <x:f>IF(A8="","",IF(AND(COUNTIF(Findings[BulguID],A8)=1,COUNTIF(Exec[TestID],B8)=1,C8&lt;&gt;"",D8&lt;&gt;"",E8&lt;&gt;"",G8&lt;&gt;"",H8&lt;&gt;""),A8,"Bulgu kaydı eksik"))</x:f>
      </x:c>
    </x:row>
    <x:row r="9" ht="35" customHeight="1">
      <x:c r="A9" s="12" t="str"/>
      <x:c r="B9" s="12" t="str"/>
      <x:c r="C9" s="12" t="str"/>
      <x:c r="D9" s="12" t="str"/>
      <x:c r="E9" s="12" t="str"/>
      <x:c r="F9" s="12" t="str"/>
      <x:c r="G9" s="12" t="str"/>
      <x:c r="H9" s="12" t="str"/>
      <x:c r="I9" s="12" t="str"/>
      <x:c r="J9" s="12" t="str"/>
      <x:c r="K9" s="12" t="str"/>
      <x:c r="L9" s="12" t="str"/>
      <x:c r="M9" s="12" t="str"/>
      <x:c r="N9" s="12" t="str"/>
      <x:c r="O9" s="12" t="str"/>
      <x:c r="P9" s="12" t="str"/>
      <x:c r="Q9" s="13" t="str"/>
      <x:c r="R9" s="12" t="str"/>
      <x:c r="S9" s="12" t="str"/>
      <x:c r="T9" s="12" t="str"/>
      <x:c r="U9" s="13" t="str"/>
      <x:c r="V9" s="12" t="str"/>
      <x:c r="W9" s="14" t="str">
        <x:f>IF(A9="","",IF(X9&lt;&gt;A9,"Bulgu kaydı eksik",IF(V9="Kapalı",IF(AND(S9&lt;&gt;B9,S9&lt;&gt;"",COUNTIFS(Exec[TestID],S9,Exec[GecerliSonuc],"Uygun",Exec[KontrolID],INDEX(Exec[KontrolID],MATCH(B9,Exec[TestID],0)),Exec[KapsamID],INDEX(Exec[KapsamID],MATCH(B9,Exec[TestID],0)),Exec[Hedef / tenant / örneklem],INDEX(Exec[Hedef / tenant / örneklem],MATCH(B9,Exec[TestID],0)))=1,T9&lt;&gt;"",ISNUMBER(U9),U9&gt;0),"Kapalı","Kapanış kanıtı eksik"),IF(V9="Risk kabulü",IF(AND(R9&lt;&gt;"",N9&lt;&gt;"",L9&lt;&gt;"",M9&lt;&gt;""),"Risk kabulü","Risk kabul kaydı eksik"),IF(V9="","Durum eksik",V9)))))</x:f>
      </x:c>
      <x:c r="X9" s="14" t="str">
        <x:f>IF(A9="","",IF(AND(COUNTIF(Findings[BulguID],A9)=1,COUNTIF(Exec[TestID],B9)=1,C9&lt;&gt;"",D9&lt;&gt;"",E9&lt;&gt;"",G9&lt;&gt;"",H9&lt;&gt;""),A9,"Bulgu kaydı eksik"))</x:f>
      </x:c>
    </x:row>
    <x:row r="10" ht="35" customHeight="1">
      <x:c r="A10" s="12" t="str"/>
      <x:c r="B10" s="12" t="str"/>
      <x:c r="C10" s="12" t="str"/>
      <x:c r="D10" s="12" t="str"/>
      <x:c r="E10" s="12" t="str"/>
      <x:c r="F10" s="12" t="str"/>
      <x:c r="G10" s="12" t="str"/>
      <x:c r="H10" s="12" t="str"/>
      <x:c r="I10" s="12" t="str"/>
      <x:c r="J10" s="12" t="str"/>
      <x:c r="K10" s="12" t="str"/>
      <x:c r="L10" s="12" t="str"/>
      <x:c r="M10" s="12" t="str"/>
      <x:c r="N10" s="12" t="str"/>
      <x:c r="O10" s="12" t="str"/>
      <x:c r="P10" s="12" t="str"/>
      <x:c r="Q10" s="13" t="str"/>
      <x:c r="R10" s="12" t="str"/>
      <x:c r="S10" s="12" t="str"/>
      <x:c r="T10" s="12" t="str"/>
      <x:c r="U10" s="13" t="str"/>
      <x:c r="V10" s="12" t="str"/>
      <x:c r="W10" s="14" t="str">
        <x:f>IF(A10="","",IF(X10&lt;&gt;A10,"Bulgu kaydı eksik",IF(V10="Kapalı",IF(AND(S10&lt;&gt;B10,S10&lt;&gt;"",COUNTIFS(Exec[TestID],S10,Exec[GecerliSonuc],"Uygun",Exec[KontrolID],INDEX(Exec[KontrolID],MATCH(B10,Exec[TestID],0)),Exec[KapsamID],INDEX(Exec[KapsamID],MATCH(B10,Exec[TestID],0)),Exec[Hedef / tenant / örneklem],INDEX(Exec[Hedef / tenant / örneklem],MATCH(B10,Exec[TestID],0)))=1,T10&lt;&gt;"",ISNUMBER(U10),U10&gt;0),"Kapalı","Kapanış kanıtı eksik"),IF(V10="Risk kabulü",IF(AND(R10&lt;&gt;"",N10&lt;&gt;"",L10&lt;&gt;"",M10&lt;&gt;""),"Risk kabulü","Risk kabul kaydı eksik"),IF(V10="","Durum eksik",V10)))))</x:f>
      </x:c>
      <x:c r="X10" s="14" t="str">
        <x:f>IF(A10="","",IF(AND(COUNTIF(Findings[BulguID],A10)=1,COUNTIF(Exec[TestID],B10)=1,C10&lt;&gt;"",D10&lt;&gt;"",E10&lt;&gt;"",G10&lt;&gt;"",H10&lt;&gt;""),A10,"Bulgu kaydı eksik"))</x:f>
      </x:c>
    </x:row>
    <x:row r="11" ht="35" customHeight="1">
      <x:c r="A11" s="12" t="str"/>
      <x:c r="B11" s="12" t="str"/>
      <x:c r="C11" s="12" t="str"/>
      <x:c r="D11" s="12" t="str"/>
      <x:c r="E11" s="12" t="str"/>
      <x:c r="F11" s="12" t="str"/>
      <x:c r="G11" s="12" t="str"/>
      <x:c r="H11" s="12" t="str"/>
      <x:c r="I11" s="12" t="str"/>
      <x:c r="J11" s="12" t="str"/>
      <x:c r="K11" s="12" t="str"/>
      <x:c r="L11" s="12" t="str"/>
      <x:c r="M11" s="12" t="str"/>
      <x:c r="N11" s="12" t="str"/>
      <x:c r="O11" s="12" t="str"/>
      <x:c r="P11" s="12" t="str"/>
      <x:c r="Q11" s="13" t="str"/>
      <x:c r="R11" s="12" t="str"/>
      <x:c r="S11" s="12" t="str"/>
      <x:c r="T11" s="12" t="str"/>
      <x:c r="U11" s="13" t="str"/>
      <x:c r="V11" s="12" t="str"/>
      <x:c r="W11" s="14" t="str">
        <x:f>IF(A11="","",IF(X11&lt;&gt;A11,"Bulgu kaydı eksik",IF(V11="Kapalı",IF(AND(S11&lt;&gt;B11,S11&lt;&gt;"",COUNTIFS(Exec[TestID],S11,Exec[GecerliSonuc],"Uygun",Exec[KontrolID],INDEX(Exec[KontrolID],MATCH(B11,Exec[TestID],0)),Exec[KapsamID],INDEX(Exec[KapsamID],MATCH(B11,Exec[TestID],0)),Exec[Hedef / tenant / örneklem],INDEX(Exec[Hedef / tenant / örneklem],MATCH(B11,Exec[TestID],0)))=1,T11&lt;&gt;"",ISNUMBER(U11),U11&gt;0),"Kapalı","Kapanış kanıtı eksik"),IF(V11="Risk kabulü",IF(AND(R11&lt;&gt;"",N11&lt;&gt;"",L11&lt;&gt;"",M11&lt;&gt;""),"Risk kabulü","Risk kabul kaydı eksik"),IF(V11="","Durum eksik",V11)))))</x:f>
      </x:c>
      <x:c r="X11" s="14" t="str">
        <x:f>IF(A11="","",IF(AND(COUNTIF(Findings[BulguID],A11)=1,COUNTIF(Exec[TestID],B11)=1,C11&lt;&gt;"",D11&lt;&gt;"",E11&lt;&gt;"",G11&lt;&gt;"",H11&lt;&gt;""),A11,"Bulgu kaydı eksik"))</x:f>
      </x:c>
    </x:row>
    <x:row r="12" ht="35" customHeight="1">
      <x:c r="A12" s="12" t="str"/>
      <x:c r="B12" s="12" t="str"/>
      <x:c r="C12" s="12" t="str"/>
      <x:c r="D12" s="12" t="str"/>
      <x:c r="E12" s="12" t="str"/>
      <x:c r="F12" s="12" t="str"/>
      <x:c r="G12" s="12" t="str"/>
      <x:c r="H12" s="12" t="str"/>
      <x:c r="I12" s="12" t="str"/>
      <x:c r="J12" s="12" t="str"/>
      <x:c r="K12" s="12" t="str"/>
      <x:c r="L12" s="12" t="str"/>
      <x:c r="M12" s="12" t="str"/>
      <x:c r="N12" s="12" t="str"/>
      <x:c r="O12" s="12" t="str"/>
      <x:c r="P12" s="12" t="str"/>
      <x:c r="Q12" s="13" t="str"/>
      <x:c r="R12" s="12" t="str"/>
      <x:c r="S12" s="12" t="str"/>
      <x:c r="T12" s="12" t="str"/>
      <x:c r="U12" s="13" t="str"/>
      <x:c r="V12" s="12" t="str"/>
      <x:c r="W12" s="14" t="str">
        <x:f>IF(A12="","",IF(X12&lt;&gt;A12,"Bulgu kaydı eksik",IF(V12="Kapalı",IF(AND(S12&lt;&gt;B12,S12&lt;&gt;"",COUNTIFS(Exec[TestID],S12,Exec[GecerliSonuc],"Uygun",Exec[KontrolID],INDEX(Exec[KontrolID],MATCH(B12,Exec[TestID],0)),Exec[KapsamID],INDEX(Exec[KapsamID],MATCH(B12,Exec[TestID],0)),Exec[Hedef / tenant / örneklem],INDEX(Exec[Hedef / tenant / örneklem],MATCH(B12,Exec[TestID],0)))=1,T12&lt;&gt;"",ISNUMBER(U12),U12&gt;0),"Kapalı","Kapanış kanıtı eksik"),IF(V12="Risk kabulü",IF(AND(R12&lt;&gt;"",N12&lt;&gt;"",L12&lt;&gt;"",M12&lt;&gt;""),"Risk kabulü","Risk kabul kaydı eksik"),IF(V12="","Durum eksik",V12)))))</x:f>
      </x:c>
      <x:c r="X12" s="14" t="str">
        <x:f>IF(A12="","",IF(AND(COUNTIF(Findings[BulguID],A12)=1,COUNTIF(Exec[TestID],B12)=1,C12&lt;&gt;"",D12&lt;&gt;"",E12&lt;&gt;"",G12&lt;&gt;"",H12&lt;&gt;""),A12,"Bulgu kaydı eksik"))</x:f>
      </x:c>
    </x:row>
    <x:row r="13" ht="35" customHeight="1">
      <x:c r="A13" s="12" t="str"/>
      <x:c r="B13" s="12" t="str"/>
      <x:c r="C13" s="12" t="str"/>
      <x:c r="D13" s="12" t="str"/>
      <x:c r="E13" s="12" t="str"/>
      <x:c r="F13" s="12" t="str"/>
      <x:c r="G13" s="12" t="str"/>
      <x:c r="H13" s="12" t="str"/>
      <x:c r="I13" s="12" t="str"/>
      <x:c r="J13" s="12" t="str"/>
      <x:c r="K13" s="12" t="str"/>
      <x:c r="L13" s="12" t="str"/>
      <x:c r="M13" s="12" t="str"/>
      <x:c r="N13" s="12" t="str"/>
      <x:c r="O13" s="12" t="str"/>
      <x:c r="P13" s="12" t="str"/>
      <x:c r="Q13" s="13" t="str"/>
      <x:c r="R13" s="12" t="str"/>
      <x:c r="S13" s="12" t="str"/>
      <x:c r="T13" s="12" t="str"/>
      <x:c r="U13" s="13" t="str"/>
      <x:c r="V13" s="12" t="str"/>
      <x:c r="W13" s="14" t="str">
        <x:f>IF(A13="","",IF(X13&lt;&gt;A13,"Bulgu kaydı eksik",IF(V13="Kapalı",IF(AND(S13&lt;&gt;B13,S13&lt;&gt;"",COUNTIFS(Exec[TestID],S13,Exec[GecerliSonuc],"Uygun",Exec[KontrolID],INDEX(Exec[KontrolID],MATCH(B13,Exec[TestID],0)),Exec[KapsamID],INDEX(Exec[KapsamID],MATCH(B13,Exec[TestID],0)),Exec[Hedef / tenant / örneklem],INDEX(Exec[Hedef / tenant / örneklem],MATCH(B13,Exec[TestID],0)))=1,T13&lt;&gt;"",ISNUMBER(U13),U13&gt;0),"Kapalı","Kapanış kanıtı eksik"),IF(V13="Risk kabulü",IF(AND(R13&lt;&gt;"",N13&lt;&gt;"",L13&lt;&gt;"",M13&lt;&gt;""),"Risk kabulü","Risk kabul kaydı eksik"),IF(V13="","Durum eksik",V13)))))</x:f>
      </x:c>
      <x:c r="X13" s="14" t="str">
        <x:f>IF(A13="","",IF(AND(COUNTIF(Findings[BulguID],A13)=1,COUNTIF(Exec[TestID],B13)=1,C13&lt;&gt;"",D13&lt;&gt;"",E13&lt;&gt;"",G13&lt;&gt;"",H13&lt;&gt;""),A13,"Bulgu kaydı eksik"))</x:f>
      </x:c>
    </x:row>
    <x:row r="14" ht="35" customHeight="1">
      <x:c r="A14" s="12" t="str"/>
      <x:c r="B14" s="12" t="str"/>
      <x:c r="C14" s="12" t="str"/>
      <x:c r="D14" s="12" t="str"/>
      <x:c r="E14" s="12" t="str"/>
      <x:c r="F14" s="12" t="str"/>
      <x:c r="G14" s="12" t="str"/>
      <x:c r="H14" s="12" t="str"/>
      <x:c r="I14" s="12" t="str"/>
      <x:c r="J14" s="12" t="str"/>
      <x:c r="K14" s="12" t="str"/>
      <x:c r="L14" s="12" t="str"/>
      <x:c r="M14" s="12" t="str"/>
      <x:c r="N14" s="12" t="str"/>
      <x:c r="O14" s="12" t="str"/>
      <x:c r="P14" s="12" t="str"/>
      <x:c r="Q14" s="13" t="str"/>
      <x:c r="R14" s="12" t="str"/>
      <x:c r="S14" s="12" t="str"/>
      <x:c r="T14" s="12" t="str"/>
      <x:c r="U14" s="13" t="str"/>
      <x:c r="V14" s="12" t="str"/>
      <x:c r="W14" s="14" t="str">
        <x:f>IF(A14="","",IF(X14&lt;&gt;A14,"Bulgu kaydı eksik",IF(V14="Kapalı",IF(AND(S14&lt;&gt;B14,S14&lt;&gt;"",COUNTIFS(Exec[TestID],S14,Exec[GecerliSonuc],"Uygun",Exec[KontrolID],INDEX(Exec[KontrolID],MATCH(B14,Exec[TestID],0)),Exec[KapsamID],INDEX(Exec[KapsamID],MATCH(B14,Exec[TestID],0)),Exec[Hedef / tenant / örneklem],INDEX(Exec[Hedef / tenant / örneklem],MATCH(B14,Exec[TestID],0)))=1,T14&lt;&gt;"",ISNUMBER(U14),U14&gt;0),"Kapalı","Kapanış kanıtı eksik"),IF(V14="Risk kabulü",IF(AND(R14&lt;&gt;"",N14&lt;&gt;"",L14&lt;&gt;"",M14&lt;&gt;""),"Risk kabulü","Risk kabul kaydı eksik"),IF(V14="","Durum eksik",V14)))))</x:f>
      </x:c>
      <x:c r="X14" s="14" t="str">
        <x:f>IF(A14="","",IF(AND(COUNTIF(Findings[BulguID],A14)=1,COUNTIF(Exec[TestID],B14)=1,C14&lt;&gt;"",D14&lt;&gt;"",E14&lt;&gt;"",G14&lt;&gt;"",H14&lt;&gt;""),A14,"Bulgu kaydı eksik"))</x:f>
      </x:c>
    </x:row>
    <x:row r="15" ht="35" customHeight="1">
      <x:c r="A15" s="12" t="str"/>
      <x:c r="B15" s="12" t="str"/>
      <x:c r="C15" s="12" t="str"/>
      <x:c r="D15" s="12" t="str"/>
      <x:c r="E15" s="12" t="str"/>
      <x:c r="F15" s="12" t="str"/>
      <x:c r="G15" s="12" t="str"/>
      <x:c r="H15" s="12" t="str"/>
      <x:c r="I15" s="12" t="str"/>
      <x:c r="J15" s="12" t="str"/>
      <x:c r="K15" s="12" t="str"/>
      <x:c r="L15" s="12" t="str"/>
      <x:c r="M15" s="12" t="str"/>
      <x:c r="N15" s="12" t="str"/>
      <x:c r="O15" s="12" t="str"/>
      <x:c r="P15" s="12" t="str"/>
      <x:c r="Q15" s="13" t="str"/>
      <x:c r="R15" s="12" t="str"/>
      <x:c r="S15" s="12" t="str"/>
      <x:c r="T15" s="12" t="str"/>
      <x:c r="U15" s="13" t="str"/>
      <x:c r="V15" s="12" t="str"/>
      <x:c r="W15" s="14" t="str">
        <x:f>IF(A15="","",IF(X15&lt;&gt;A15,"Bulgu kaydı eksik",IF(V15="Kapalı",IF(AND(S15&lt;&gt;B15,S15&lt;&gt;"",COUNTIFS(Exec[TestID],S15,Exec[GecerliSonuc],"Uygun",Exec[KontrolID],INDEX(Exec[KontrolID],MATCH(B15,Exec[TestID],0)),Exec[KapsamID],INDEX(Exec[KapsamID],MATCH(B15,Exec[TestID],0)),Exec[Hedef / tenant / örneklem],INDEX(Exec[Hedef / tenant / örneklem],MATCH(B15,Exec[TestID],0)))=1,T15&lt;&gt;"",ISNUMBER(U15),U15&gt;0),"Kapalı","Kapanış kanıtı eksik"),IF(V15="Risk kabulü",IF(AND(R15&lt;&gt;"",N15&lt;&gt;"",L15&lt;&gt;"",M15&lt;&gt;""),"Risk kabulü","Risk kabul kaydı eksik"),IF(V15="","Durum eksik",V15)))))</x:f>
      </x:c>
      <x:c r="X15" s="14" t="str">
        <x:f>IF(A15="","",IF(AND(COUNTIF(Findings[BulguID],A15)=1,COUNTIF(Exec[TestID],B15)=1,C15&lt;&gt;"",D15&lt;&gt;"",E15&lt;&gt;"",G15&lt;&gt;"",H15&lt;&gt;""),A15,"Bulgu kaydı eksik"))</x:f>
      </x:c>
    </x:row>
    <x:row r="16" ht="35" customHeight="1">
      <x:c r="A16" s="12" t="str"/>
      <x:c r="B16" s="12" t="str"/>
      <x:c r="C16" s="12" t="str"/>
      <x:c r="D16" s="12" t="str"/>
      <x:c r="E16" s="12" t="str"/>
      <x:c r="F16" s="12" t="str"/>
      <x:c r="G16" s="12" t="str"/>
      <x:c r="H16" s="12" t="str"/>
      <x:c r="I16" s="12" t="str"/>
      <x:c r="J16" s="12" t="str"/>
      <x:c r="K16" s="12" t="str"/>
      <x:c r="L16" s="12" t="str"/>
      <x:c r="M16" s="12" t="str"/>
      <x:c r="N16" s="12" t="str"/>
      <x:c r="O16" s="12" t="str"/>
      <x:c r="P16" s="12" t="str"/>
      <x:c r="Q16" s="13" t="str"/>
      <x:c r="R16" s="12" t="str"/>
      <x:c r="S16" s="12" t="str"/>
      <x:c r="T16" s="12" t="str"/>
      <x:c r="U16" s="13" t="str"/>
      <x:c r="V16" s="12" t="str"/>
      <x:c r="W16" s="14" t="str">
        <x:f>IF(A16="","",IF(X16&lt;&gt;A16,"Bulgu kaydı eksik",IF(V16="Kapalı",IF(AND(S16&lt;&gt;B16,S16&lt;&gt;"",COUNTIFS(Exec[TestID],S16,Exec[GecerliSonuc],"Uygun",Exec[KontrolID],INDEX(Exec[KontrolID],MATCH(B16,Exec[TestID],0)),Exec[KapsamID],INDEX(Exec[KapsamID],MATCH(B16,Exec[TestID],0)),Exec[Hedef / tenant / örneklem],INDEX(Exec[Hedef / tenant / örneklem],MATCH(B16,Exec[TestID],0)))=1,T16&lt;&gt;"",ISNUMBER(U16),U16&gt;0),"Kapalı","Kapanış kanıtı eksik"),IF(V16="Risk kabulü",IF(AND(R16&lt;&gt;"",N16&lt;&gt;"",L16&lt;&gt;"",M16&lt;&gt;""),"Risk kabulü","Risk kabul kaydı eksik"),IF(V16="","Durum eksik",V16)))))</x:f>
      </x:c>
      <x:c r="X16" s="14" t="str">
        <x:f>IF(A16="","",IF(AND(COUNTIF(Findings[BulguID],A16)=1,COUNTIF(Exec[TestID],B16)=1,C16&lt;&gt;"",D16&lt;&gt;"",E16&lt;&gt;"",G16&lt;&gt;"",H16&lt;&gt;""),A16,"Bulgu kaydı eksik"))</x:f>
      </x:c>
    </x:row>
    <x:row r="17" ht="35" customHeight="1">
      <x:c r="A17" s="12" t="str"/>
      <x:c r="B17" s="12" t="str"/>
      <x:c r="C17" s="12" t="str"/>
      <x:c r="D17" s="12" t="str"/>
      <x:c r="E17" s="12" t="str"/>
      <x:c r="F17" s="12" t="str"/>
      <x:c r="G17" s="12" t="str"/>
      <x:c r="H17" s="12" t="str"/>
      <x:c r="I17" s="12" t="str"/>
      <x:c r="J17" s="12" t="str"/>
      <x:c r="K17" s="12" t="str"/>
      <x:c r="L17" s="12" t="str"/>
      <x:c r="M17" s="12" t="str"/>
      <x:c r="N17" s="12" t="str"/>
      <x:c r="O17" s="12" t="str"/>
      <x:c r="P17" s="12" t="str"/>
      <x:c r="Q17" s="13" t="str"/>
      <x:c r="R17" s="12" t="str"/>
      <x:c r="S17" s="12" t="str"/>
      <x:c r="T17" s="12" t="str"/>
      <x:c r="U17" s="13" t="str"/>
      <x:c r="V17" s="12" t="str"/>
      <x:c r="W17" s="14" t="str">
        <x:f>IF(A17="","",IF(X17&lt;&gt;A17,"Bulgu kaydı eksik",IF(V17="Kapalı",IF(AND(S17&lt;&gt;B17,S17&lt;&gt;"",COUNTIFS(Exec[TestID],S17,Exec[GecerliSonuc],"Uygun",Exec[KontrolID],INDEX(Exec[KontrolID],MATCH(B17,Exec[TestID],0)),Exec[KapsamID],INDEX(Exec[KapsamID],MATCH(B17,Exec[TestID],0)),Exec[Hedef / tenant / örneklem],INDEX(Exec[Hedef / tenant / örneklem],MATCH(B17,Exec[TestID],0)))=1,T17&lt;&gt;"",ISNUMBER(U17),U17&gt;0),"Kapalı","Kapanış kanıtı eksik"),IF(V17="Risk kabulü",IF(AND(R17&lt;&gt;"",N17&lt;&gt;"",L17&lt;&gt;"",M17&lt;&gt;""),"Risk kabulü","Risk kabul kaydı eksik"),IF(V17="","Durum eksik",V17)))))</x:f>
      </x:c>
      <x:c r="X17" s="14" t="str">
        <x:f>IF(A17="","",IF(AND(COUNTIF(Findings[BulguID],A17)=1,COUNTIF(Exec[TestID],B17)=1,C17&lt;&gt;"",D17&lt;&gt;"",E17&lt;&gt;"",G17&lt;&gt;"",H17&lt;&gt;""),A17,"Bulgu kaydı eksik"))</x:f>
      </x:c>
    </x:row>
    <x:row r="18" ht="35" customHeight="1">
      <x:c r="A18" s="12" t="str"/>
      <x:c r="B18" s="12" t="str"/>
      <x:c r="C18" s="12" t="str"/>
      <x:c r="D18" s="12" t="str"/>
      <x:c r="E18" s="12" t="str"/>
      <x:c r="F18" s="12" t="str"/>
      <x:c r="G18" s="12" t="str"/>
      <x:c r="H18" s="12" t="str"/>
      <x:c r="I18" s="12" t="str"/>
      <x:c r="J18" s="12" t="str"/>
      <x:c r="K18" s="12" t="str"/>
      <x:c r="L18" s="12" t="str"/>
      <x:c r="M18" s="12" t="str"/>
      <x:c r="N18" s="12" t="str"/>
      <x:c r="O18" s="12" t="str"/>
      <x:c r="P18" s="12" t="str"/>
      <x:c r="Q18" s="13" t="str"/>
      <x:c r="R18" s="12" t="str"/>
      <x:c r="S18" s="12" t="str"/>
      <x:c r="T18" s="12" t="str"/>
      <x:c r="U18" s="13" t="str"/>
      <x:c r="V18" s="12" t="str"/>
      <x:c r="W18" s="14" t="str">
        <x:f>IF(A18="","",IF(X18&lt;&gt;A18,"Bulgu kaydı eksik",IF(V18="Kapalı",IF(AND(S18&lt;&gt;B18,S18&lt;&gt;"",COUNTIFS(Exec[TestID],S18,Exec[GecerliSonuc],"Uygun",Exec[KontrolID],INDEX(Exec[KontrolID],MATCH(B18,Exec[TestID],0)),Exec[KapsamID],INDEX(Exec[KapsamID],MATCH(B18,Exec[TestID],0)),Exec[Hedef / tenant / örneklem],INDEX(Exec[Hedef / tenant / örneklem],MATCH(B18,Exec[TestID],0)))=1,T18&lt;&gt;"",ISNUMBER(U18),U18&gt;0),"Kapalı","Kapanış kanıtı eksik"),IF(V18="Risk kabulü",IF(AND(R18&lt;&gt;"",N18&lt;&gt;"",L18&lt;&gt;"",M18&lt;&gt;""),"Risk kabulü","Risk kabul kaydı eksik"),IF(V18="","Durum eksik",V18)))))</x:f>
      </x:c>
      <x:c r="X18" s="14" t="str">
        <x:f>IF(A18="","",IF(AND(COUNTIF(Findings[BulguID],A18)=1,COUNTIF(Exec[TestID],B18)=1,C18&lt;&gt;"",D18&lt;&gt;"",E18&lt;&gt;"",G18&lt;&gt;"",H18&lt;&gt;""),A18,"Bulgu kaydı eksik"))</x:f>
      </x:c>
    </x:row>
    <x:row r="19" ht="35" customHeight="1">
      <x:c r="A19" s="12" t="str"/>
      <x:c r="B19" s="12" t="str"/>
      <x:c r="C19" s="12" t="str"/>
      <x:c r="D19" s="12" t="str"/>
      <x:c r="E19" s="12" t="str"/>
      <x:c r="F19" s="12" t="str"/>
      <x:c r="G19" s="12" t="str"/>
      <x:c r="H19" s="12" t="str"/>
      <x:c r="I19" s="12" t="str"/>
      <x:c r="J19" s="12" t="str"/>
      <x:c r="K19" s="12" t="str"/>
      <x:c r="L19" s="12" t="str"/>
      <x:c r="M19" s="12" t="str"/>
      <x:c r="N19" s="12" t="str"/>
      <x:c r="O19" s="12" t="str"/>
      <x:c r="P19" s="12" t="str"/>
      <x:c r="Q19" s="13" t="str"/>
      <x:c r="R19" s="12" t="str"/>
      <x:c r="S19" s="12" t="str"/>
      <x:c r="T19" s="12" t="str"/>
      <x:c r="U19" s="13" t="str"/>
      <x:c r="V19" s="12" t="str"/>
      <x:c r="W19" s="14" t="str">
        <x:f>IF(A19="","",IF(X19&lt;&gt;A19,"Bulgu kaydı eksik",IF(V19="Kapalı",IF(AND(S19&lt;&gt;B19,S19&lt;&gt;"",COUNTIFS(Exec[TestID],S19,Exec[GecerliSonuc],"Uygun",Exec[KontrolID],INDEX(Exec[KontrolID],MATCH(B19,Exec[TestID],0)),Exec[KapsamID],INDEX(Exec[KapsamID],MATCH(B19,Exec[TestID],0)),Exec[Hedef / tenant / örneklem],INDEX(Exec[Hedef / tenant / örneklem],MATCH(B19,Exec[TestID],0)))=1,T19&lt;&gt;"",ISNUMBER(U19),U19&gt;0),"Kapalı","Kapanış kanıtı eksik"),IF(V19="Risk kabulü",IF(AND(R19&lt;&gt;"",N19&lt;&gt;"",L19&lt;&gt;"",M19&lt;&gt;""),"Risk kabulü","Risk kabul kaydı eksik"),IF(V19="","Durum eksik",V19)))))</x:f>
      </x:c>
      <x:c r="X19" s="14" t="str">
        <x:f>IF(A19="","",IF(AND(COUNTIF(Findings[BulguID],A19)=1,COUNTIF(Exec[TestID],B19)=1,C19&lt;&gt;"",D19&lt;&gt;"",E19&lt;&gt;"",G19&lt;&gt;"",H19&lt;&gt;""),A19,"Bulgu kaydı eksik"))</x:f>
      </x:c>
    </x:row>
    <x:row r="20" ht="35" customHeight="1">
      <x:c r="A20" s="12" t="str"/>
      <x:c r="B20" s="12" t="str"/>
      <x:c r="C20" s="12" t="str"/>
      <x:c r="D20" s="12" t="str"/>
      <x:c r="E20" s="12" t="str"/>
      <x:c r="F20" s="12" t="str"/>
      <x:c r="G20" s="12" t="str"/>
      <x:c r="H20" s="12" t="str"/>
      <x:c r="I20" s="12" t="str"/>
      <x:c r="J20" s="12" t="str"/>
      <x:c r="K20" s="12" t="str"/>
      <x:c r="L20" s="12" t="str"/>
      <x:c r="M20" s="12" t="str"/>
      <x:c r="N20" s="12" t="str"/>
      <x:c r="O20" s="12" t="str"/>
      <x:c r="P20" s="12" t="str"/>
      <x:c r="Q20" s="13" t="str"/>
      <x:c r="R20" s="12" t="str"/>
      <x:c r="S20" s="12" t="str"/>
      <x:c r="T20" s="12" t="str"/>
      <x:c r="U20" s="13" t="str"/>
      <x:c r="V20" s="12" t="str"/>
      <x:c r="W20" s="14" t="str">
        <x:f>IF(A20="","",IF(X20&lt;&gt;A20,"Bulgu kaydı eksik",IF(V20="Kapalı",IF(AND(S20&lt;&gt;B20,S20&lt;&gt;"",COUNTIFS(Exec[TestID],S20,Exec[GecerliSonuc],"Uygun",Exec[KontrolID],INDEX(Exec[KontrolID],MATCH(B20,Exec[TestID],0)),Exec[KapsamID],INDEX(Exec[KapsamID],MATCH(B20,Exec[TestID],0)),Exec[Hedef / tenant / örneklem],INDEX(Exec[Hedef / tenant / örneklem],MATCH(B20,Exec[TestID],0)))=1,T20&lt;&gt;"",ISNUMBER(U20),U20&gt;0),"Kapalı","Kapanış kanıtı eksik"),IF(V20="Risk kabulü",IF(AND(R20&lt;&gt;"",N20&lt;&gt;"",L20&lt;&gt;"",M20&lt;&gt;""),"Risk kabulü","Risk kabul kaydı eksik"),IF(V20="","Durum eksik",V20)))))</x:f>
      </x:c>
      <x:c r="X20" s="14" t="str">
        <x:f>IF(A20="","",IF(AND(COUNTIF(Findings[BulguID],A20)=1,COUNTIF(Exec[TestID],B20)=1,C20&lt;&gt;"",D20&lt;&gt;"",E20&lt;&gt;"",G20&lt;&gt;"",H20&lt;&gt;""),A20,"Bulgu kaydı eksik"))</x:f>
      </x:c>
    </x:row>
    <x:row r="21" ht="35" customHeight="1">
      <x:c r="A21" s="12" t="str"/>
      <x:c r="B21" s="12" t="str"/>
      <x:c r="C21" s="12" t="str"/>
      <x:c r="D21" s="12" t="str"/>
      <x:c r="E21" s="12" t="str"/>
      <x:c r="F21" s="12" t="str"/>
      <x:c r="G21" s="12" t="str"/>
      <x:c r="H21" s="12" t="str"/>
      <x:c r="I21" s="12" t="str"/>
      <x:c r="J21" s="12" t="str"/>
      <x:c r="K21" s="12" t="str"/>
      <x:c r="L21" s="12" t="str"/>
      <x:c r="M21" s="12" t="str"/>
      <x:c r="N21" s="12" t="str"/>
      <x:c r="O21" s="12" t="str"/>
      <x:c r="P21" s="12" t="str"/>
      <x:c r="Q21" s="13" t="str"/>
      <x:c r="R21" s="12" t="str"/>
      <x:c r="S21" s="12" t="str"/>
      <x:c r="T21" s="12" t="str"/>
      <x:c r="U21" s="13" t="str"/>
      <x:c r="V21" s="12" t="str"/>
      <x:c r="W21" s="14" t="str">
        <x:f>IF(A21="","",IF(X21&lt;&gt;A21,"Bulgu kaydı eksik",IF(V21="Kapalı",IF(AND(S21&lt;&gt;B21,S21&lt;&gt;"",COUNTIFS(Exec[TestID],S21,Exec[GecerliSonuc],"Uygun",Exec[KontrolID],INDEX(Exec[KontrolID],MATCH(B21,Exec[TestID],0)),Exec[KapsamID],INDEX(Exec[KapsamID],MATCH(B21,Exec[TestID],0)),Exec[Hedef / tenant / örneklem],INDEX(Exec[Hedef / tenant / örneklem],MATCH(B21,Exec[TestID],0)))=1,T21&lt;&gt;"",ISNUMBER(U21),U21&gt;0),"Kapalı","Kapanış kanıtı eksik"),IF(V21="Risk kabulü",IF(AND(R21&lt;&gt;"",N21&lt;&gt;"",L21&lt;&gt;"",M21&lt;&gt;""),"Risk kabulü","Risk kabul kaydı eksik"),IF(V21="","Durum eksik",V21)))))</x:f>
      </x:c>
      <x:c r="X21" s="14" t="str">
        <x:f>IF(A21="","",IF(AND(COUNTIF(Findings[BulguID],A21)=1,COUNTIF(Exec[TestID],B21)=1,C21&lt;&gt;"",D21&lt;&gt;"",E21&lt;&gt;"",G21&lt;&gt;"",H21&lt;&gt;""),A21,"Bulgu kaydı eksik"))</x:f>
      </x:c>
    </x:row>
    <x:row r="22" ht="35" customHeight="1">
      <x:c r="A22" s="12" t="str"/>
      <x:c r="B22" s="12" t="str"/>
      <x:c r="C22" s="12" t="str"/>
      <x:c r="D22" s="12" t="str"/>
      <x:c r="E22" s="12" t="str"/>
      <x:c r="F22" s="12" t="str"/>
      <x:c r="G22" s="12" t="str"/>
      <x:c r="H22" s="12" t="str"/>
      <x:c r="I22" s="12" t="str"/>
      <x:c r="J22" s="12" t="str"/>
      <x:c r="K22" s="12" t="str"/>
      <x:c r="L22" s="12" t="str"/>
      <x:c r="M22" s="12" t="str"/>
      <x:c r="N22" s="12" t="str"/>
      <x:c r="O22" s="12" t="str"/>
      <x:c r="P22" s="12" t="str"/>
      <x:c r="Q22" s="13" t="str"/>
      <x:c r="R22" s="12" t="str"/>
      <x:c r="S22" s="12" t="str"/>
      <x:c r="T22" s="12" t="str"/>
      <x:c r="U22" s="13" t="str"/>
      <x:c r="V22" s="12" t="str"/>
      <x:c r="W22" s="14" t="str">
        <x:f>IF(A22="","",IF(X22&lt;&gt;A22,"Bulgu kaydı eksik",IF(V22="Kapalı",IF(AND(S22&lt;&gt;B22,S22&lt;&gt;"",COUNTIFS(Exec[TestID],S22,Exec[GecerliSonuc],"Uygun",Exec[KontrolID],INDEX(Exec[KontrolID],MATCH(B22,Exec[TestID],0)),Exec[KapsamID],INDEX(Exec[KapsamID],MATCH(B22,Exec[TestID],0)),Exec[Hedef / tenant / örneklem],INDEX(Exec[Hedef / tenant / örneklem],MATCH(B22,Exec[TestID],0)))=1,T22&lt;&gt;"",ISNUMBER(U22),U22&gt;0),"Kapalı","Kapanış kanıtı eksik"),IF(V22="Risk kabulü",IF(AND(R22&lt;&gt;"",N22&lt;&gt;"",L22&lt;&gt;"",M22&lt;&gt;""),"Risk kabulü","Risk kabul kaydı eksik"),IF(V22="","Durum eksik",V22)))))</x:f>
      </x:c>
      <x:c r="X22" s="14" t="str">
        <x:f>IF(A22="","",IF(AND(COUNTIF(Findings[BulguID],A22)=1,COUNTIF(Exec[TestID],B22)=1,C22&lt;&gt;"",D22&lt;&gt;"",E22&lt;&gt;"",G22&lt;&gt;"",H22&lt;&gt;""),A22,"Bulgu kaydı eksik"))</x:f>
      </x:c>
    </x:row>
    <x:row r="23" ht="35" customHeight="1">
      <x:c r="A23" s="12" t="str"/>
      <x:c r="B23" s="12" t="str"/>
      <x:c r="C23" s="12" t="str"/>
      <x:c r="D23" s="12" t="str"/>
      <x:c r="E23" s="12" t="str"/>
      <x:c r="F23" s="12" t="str"/>
      <x:c r="G23" s="12" t="str"/>
      <x:c r="H23" s="12" t="str"/>
      <x:c r="I23" s="12" t="str"/>
      <x:c r="J23" s="12" t="str"/>
      <x:c r="K23" s="12" t="str"/>
      <x:c r="L23" s="12" t="str"/>
      <x:c r="M23" s="12" t="str"/>
      <x:c r="N23" s="12" t="str"/>
      <x:c r="O23" s="12" t="str"/>
      <x:c r="P23" s="12" t="str"/>
      <x:c r="Q23" s="13" t="str"/>
      <x:c r="R23" s="12" t="str"/>
      <x:c r="S23" s="12" t="str"/>
      <x:c r="T23" s="12" t="str"/>
      <x:c r="U23" s="13" t="str"/>
      <x:c r="V23" s="12" t="str"/>
      <x:c r="W23" s="14" t="str">
        <x:f>IF(A23="","",IF(X23&lt;&gt;A23,"Bulgu kaydı eksik",IF(V23="Kapalı",IF(AND(S23&lt;&gt;B23,S23&lt;&gt;"",COUNTIFS(Exec[TestID],S23,Exec[GecerliSonuc],"Uygun",Exec[KontrolID],INDEX(Exec[KontrolID],MATCH(B23,Exec[TestID],0)),Exec[KapsamID],INDEX(Exec[KapsamID],MATCH(B23,Exec[TestID],0)),Exec[Hedef / tenant / örneklem],INDEX(Exec[Hedef / tenant / örneklem],MATCH(B23,Exec[TestID],0)))=1,T23&lt;&gt;"",ISNUMBER(U23),U23&gt;0),"Kapalı","Kapanış kanıtı eksik"),IF(V23="Risk kabulü",IF(AND(R23&lt;&gt;"",N23&lt;&gt;"",L23&lt;&gt;"",M23&lt;&gt;""),"Risk kabulü","Risk kabul kaydı eksik"),IF(V23="","Durum eksik",V23)))))</x:f>
      </x:c>
      <x:c r="X23" s="14" t="str">
        <x:f>IF(A23="","",IF(AND(COUNTIF(Findings[BulguID],A23)=1,COUNTIF(Exec[TestID],B23)=1,C23&lt;&gt;"",D23&lt;&gt;"",E23&lt;&gt;"",G23&lt;&gt;"",H23&lt;&gt;""),A23,"Bulgu kaydı eksik"))</x:f>
      </x:c>
    </x:row>
    <x:row r="24" ht="35" customHeight="1">
      <x:c r="A24" s="12" t="str"/>
      <x:c r="B24" s="12" t="str"/>
      <x:c r="C24" s="12" t="str"/>
      <x:c r="D24" s="12" t="str"/>
      <x:c r="E24" s="12" t="str"/>
      <x:c r="F24" s="12" t="str"/>
      <x:c r="G24" s="12" t="str"/>
      <x:c r="H24" s="12" t="str"/>
      <x:c r="I24" s="12" t="str"/>
      <x:c r="J24" s="12" t="str"/>
      <x:c r="K24" s="12" t="str"/>
      <x:c r="L24" s="12" t="str"/>
      <x:c r="M24" s="12" t="str"/>
      <x:c r="N24" s="12" t="str"/>
      <x:c r="O24" s="12" t="str"/>
      <x:c r="P24" s="12" t="str"/>
      <x:c r="Q24" s="13" t="str"/>
      <x:c r="R24" s="12" t="str"/>
      <x:c r="S24" s="12" t="str"/>
      <x:c r="T24" s="12" t="str"/>
      <x:c r="U24" s="13" t="str"/>
      <x:c r="V24" s="12" t="str"/>
      <x:c r="W24" s="14" t="str">
        <x:f>IF(A24="","",IF(X24&lt;&gt;A24,"Bulgu kaydı eksik",IF(V24="Kapalı",IF(AND(S24&lt;&gt;B24,S24&lt;&gt;"",COUNTIFS(Exec[TestID],S24,Exec[GecerliSonuc],"Uygun",Exec[KontrolID],INDEX(Exec[KontrolID],MATCH(B24,Exec[TestID],0)),Exec[KapsamID],INDEX(Exec[KapsamID],MATCH(B24,Exec[TestID],0)),Exec[Hedef / tenant / örneklem],INDEX(Exec[Hedef / tenant / örneklem],MATCH(B24,Exec[TestID],0)))=1,T24&lt;&gt;"",ISNUMBER(U24),U24&gt;0),"Kapalı","Kapanış kanıtı eksik"),IF(V24="Risk kabulü",IF(AND(R24&lt;&gt;"",N24&lt;&gt;"",L24&lt;&gt;"",M24&lt;&gt;""),"Risk kabulü","Risk kabul kaydı eksik"),IF(V24="","Durum eksik",V24)))))</x:f>
      </x:c>
      <x:c r="X24" s="14" t="str">
        <x:f>IF(A24="","",IF(AND(COUNTIF(Findings[BulguID],A24)=1,COUNTIF(Exec[TestID],B24)=1,C24&lt;&gt;"",D24&lt;&gt;"",E24&lt;&gt;"",G24&lt;&gt;"",H24&lt;&gt;""),A24,"Bulgu kaydı eksik"))</x:f>
      </x:c>
    </x:row>
    <x:row r="25" ht="35" customHeight="1">
      <x:c r="A25" s="12" t="str"/>
      <x:c r="B25" s="12" t="str"/>
      <x:c r="C25" s="12" t="str"/>
      <x:c r="D25" s="12" t="str"/>
      <x:c r="E25" s="12" t="str"/>
      <x:c r="F25" s="12" t="str"/>
      <x:c r="G25" s="12" t="str"/>
      <x:c r="H25" s="12" t="str"/>
      <x:c r="I25" s="12" t="str"/>
      <x:c r="J25" s="12" t="str"/>
      <x:c r="K25" s="12" t="str"/>
      <x:c r="L25" s="12" t="str"/>
      <x:c r="M25" s="12" t="str"/>
      <x:c r="N25" s="12" t="str"/>
      <x:c r="O25" s="12" t="str"/>
      <x:c r="P25" s="12" t="str"/>
      <x:c r="Q25" s="13" t="str"/>
      <x:c r="R25" s="12" t="str"/>
      <x:c r="S25" s="12" t="str"/>
      <x:c r="T25" s="12" t="str"/>
      <x:c r="U25" s="13" t="str"/>
      <x:c r="V25" s="12" t="str"/>
      <x:c r="W25" s="14" t="str">
        <x:f>IF(A25="","",IF(X25&lt;&gt;A25,"Bulgu kaydı eksik",IF(V25="Kapalı",IF(AND(S25&lt;&gt;B25,S25&lt;&gt;"",COUNTIFS(Exec[TestID],S25,Exec[GecerliSonuc],"Uygun",Exec[KontrolID],INDEX(Exec[KontrolID],MATCH(B25,Exec[TestID],0)),Exec[KapsamID],INDEX(Exec[KapsamID],MATCH(B25,Exec[TestID],0)),Exec[Hedef / tenant / örneklem],INDEX(Exec[Hedef / tenant / örneklem],MATCH(B25,Exec[TestID],0)))=1,T25&lt;&gt;"",ISNUMBER(U25),U25&gt;0),"Kapalı","Kapanış kanıtı eksik"),IF(V25="Risk kabulü",IF(AND(R25&lt;&gt;"",N25&lt;&gt;"",L25&lt;&gt;"",M25&lt;&gt;""),"Risk kabulü","Risk kabul kaydı eksik"),IF(V25="","Durum eksik",V25)))))</x:f>
      </x:c>
      <x:c r="X25" s="14" t="str">
        <x:f>IF(A25="","",IF(AND(COUNTIF(Findings[BulguID],A25)=1,COUNTIF(Exec[TestID],B25)=1,C25&lt;&gt;"",D25&lt;&gt;"",E25&lt;&gt;"",G25&lt;&gt;"",H25&lt;&gt;""),A25,"Bulgu kaydı eksik"))</x:f>
      </x:c>
    </x:row>
    <x:row r="26" ht="35" customHeight="1">
      <x:c r="A26" s="12" t="str"/>
      <x:c r="B26" s="12" t="str"/>
      <x:c r="C26" s="12" t="str"/>
      <x:c r="D26" s="12" t="str"/>
      <x:c r="E26" s="12" t="str"/>
      <x:c r="F26" s="12" t="str"/>
      <x:c r="G26" s="12" t="str"/>
      <x:c r="H26" s="12" t="str"/>
      <x:c r="I26" s="12" t="str"/>
      <x:c r="J26" s="12" t="str"/>
      <x:c r="K26" s="12" t="str"/>
      <x:c r="L26" s="12" t="str"/>
      <x:c r="M26" s="12" t="str"/>
      <x:c r="N26" s="12" t="str"/>
      <x:c r="O26" s="12" t="str"/>
      <x:c r="P26" s="12" t="str"/>
      <x:c r="Q26" s="13" t="str"/>
      <x:c r="R26" s="12" t="str"/>
      <x:c r="S26" s="12" t="str"/>
      <x:c r="T26" s="12" t="str"/>
      <x:c r="U26" s="13" t="str"/>
      <x:c r="V26" s="12" t="str"/>
      <x:c r="W26" s="14" t="str">
        <x:f>IF(A26="","",IF(X26&lt;&gt;A26,"Bulgu kaydı eksik",IF(V26="Kapalı",IF(AND(S26&lt;&gt;B26,S26&lt;&gt;"",COUNTIFS(Exec[TestID],S26,Exec[GecerliSonuc],"Uygun",Exec[KontrolID],INDEX(Exec[KontrolID],MATCH(B26,Exec[TestID],0)),Exec[KapsamID],INDEX(Exec[KapsamID],MATCH(B26,Exec[TestID],0)),Exec[Hedef / tenant / örneklem],INDEX(Exec[Hedef / tenant / örneklem],MATCH(B26,Exec[TestID],0)))=1,T26&lt;&gt;"",ISNUMBER(U26),U26&gt;0),"Kapalı","Kapanış kanıtı eksik"),IF(V26="Risk kabulü",IF(AND(R26&lt;&gt;"",N26&lt;&gt;"",L26&lt;&gt;"",M26&lt;&gt;""),"Risk kabulü","Risk kabul kaydı eksik"),IF(V26="","Durum eksik",V26)))))</x:f>
      </x:c>
      <x:c r="X26" s="14" t="str">
        <x:f>IF(A26="","",IF(AND(COUNTIF(Findings[BulguID],A26)=1,COUNTIF(Exec[TestID],B26)=1,C26&lt;&gt;"",D26&lt;&gt;"",E26&lt;&gt;"",G26&lt;&gt;"",H26&lt;&gt;""),A26,"Bulgu kaydı eksik"))</x:f>
      </x:c>
    </x:row>
    <x:row r="27" ht="35" customHeight="1">
      <x:c r="A27" s="12" t="str"/>
      <x:c r="B27" s="12" t="str"/>
      <x:c r="C27" s="12" t="str"/>
      <x:c r="D27" s="12" t="str"/>
      <x:c r="E27" s="12" t="str"/>
      <x:c r="F27" s="12" t="str"/>
      <x:c r="G27" s="12" t="str"/>
      <x:c r="H27" s="12" t="str"/>
      <x:c r="I27" s="12" t="str"/>
      <x:c r="J27" s="12" t="str"/>
      <x:c r="K27" s="12" t="str"/>
      <x:c r="L27" s="12" t="str"/>
      <x:c r="M27" s="12" t="str"/>
      <x:c r="N27" s="12" t="str"/>
      <x:c r="O27" s="12" t="str"/>
      <x:c r="P27" s="12" t="str"/>
      <x:c r="Q27" s="13" t="str"/>
      <x:c r="R27" s="12" t="str"/>
      <x:c r="S27" s="12" t="str"/>
      <x:c r="T27" s="12" t="str"/>
      <x:c r="U27" s="13" t="str"/>
      <x:c r="V27" s="12" t="str"/>
      <x:c r="W27" s="14" t="str">
        <x:f>IF(A27="","",IF(X27&lt;&gt;A27,"Bulgu kaydı eksik",IF(V27="Kapalı",IF(AND(S27&lt;&gt;B27,S27&lt;&gt;"",COUNTIFS(Exec[TestID],S27,Exec[GecerliSonuc],"Uygun",Exec[KontrolID],INDEX(Exec[KontrolID],MATCH(B27,Exec[TestID],0)),Exec[KapsamID],INDEX(Exec[KapsamID],MATCH(B27,Exec[TestID],0)),Exec[Hedef / tenant / örneklem],INDEX(Exec[Hedef / tenant / örneklem],MATCH(B27,Exec[TestID],0)))=1,T27&lt;&gt;"",ISNUMBER(U27),U27&gt;0),"Kapalı","Kapanış kanıtı eksik"),IF(V27="Risk kabulü",IF(AND(R27&lt;&gt;"",N27&lt;&gt;"",L27&lt;&gt;"",M27&lt;&gt;""),"Risk kabulü","Risk kabul kaydı eksik"),IF(V27="","Durum eksik",V27)))))</x:f>
      </x:c>
      <x:c r="X27" s="14" t="str">
        <x:f>IF(A27="","",IF(AND(COUNTIF(Findings[BulguID],A27)=1,COUNTIF(Exec[TestID],B27)=1,C27&lt;&gt;"",D27&lt;&gt;"",E27&lt;&gt;"",G27&lt;&gt;"",H27&lt;&gt;""),A27,"Bulgu kaydı eksik"))</x:f>
      </x:c>
    </x:row>
    <x:row r="28" ht="35" customHeight="1">
      <x:c r="A28" s="12" t="str"/>
      <x:c r="B28" s="12" t="str"/>
      <x:c r="C28" s="12" t="str"/>
      <x:c r="D28" s="12" t="str"/>
      <x:c r="E28" s="12" t="str"/>
      <x:c r="F28" s="12" t="str"/>
      <x:c r="G28" s="12" t="str"/>
      <x:c r="H28" s="12" t="str"/>
      <x:c r="I28" s="12" t="str"/>
      <x:c r="J28" s="12" t="str"/>
      <x:c r="K28" s="12" t="str"/>
      <x:c r="L28" s="12" t="str"/>
      <x:c r="M28" s="12" t="str"/>
      <x:c r="N28" s="12" t="str"/>
      <x:c r="O28" s="12" t="str"/>
      <x:c r="P28" s="12" t="str"/>
      <x:c r="Q28" s="13" t="str"/>
      <x:c r="R28" s="12" t="str"/>
      <x:c r="S28" s="12" t="str"/>
      <x:c r="T28" s="12" t="str"/>
      <x:c r="U28" s="13" t="str"/>
      <x:c r="V28" s="12" t="str"/>
      <x:c r="W28" s="14" t="str">
        <x:f>IF(A28="","",IF(X28&lt;&gt;A28,"Bulgu kaydı eksik",IF(V28="Kapalı",IF(AND(S28&lt;&gt;B28,S28&lt;&gt;"",COUNTIFS(Exec[TestID],S28,Exec[GecerliSonuc],"Uygun",Exec[KontrolID],INDEX(Exec[KontrolID],MATCH(B28,Exec[TestID],0)),Exec[KapsamID],INDEX(Exec[KapsamID],MATCH(B28,Exec[TestID],0)),Exec[Hedef / tenant / örneklem],INDEX(Exec[Hedef / tenant / örneklem],MATCH(B28,Exec[TestID],0)))=1,T28&lt;&gt;"",ISNUMBER(U28),U28&gt;0),"Kapalı","Kapanış kanıtı eksik"),IF(V28="Risk kabulü",IF(AND(R28&lt;&gt;"",N28&lt;&gt;"",L28&lt;&gt;"",M28&lt;&gt;""),"Risk kabulü","Risk kabul kaydı eksik"),IF(V28="","Durum eksik",V28)))))</x:f>
      </x:c>
      <x:c r="X28" s="14" t="str">
        <x:f>IF(A28="","",IF(AND(COUNTIF(Findings[BulguID],A28)=1,COUNTIF(Exec[TestID],B28)=1,C28&lt;&gt;"",D28&lt;&gt;"",E28&lt;&gt;"",G28&lt;&gt;"",H28&lt;&gt;""),A28,"Bulgu kaydı eksik"))</x:f>
      </x:c>
    </x:row>
    <x:row r="29" ht="35" customHeight="1">
      <x:c r="A29" s="12" t="str"/>
      <x:c r="B29" s="12" t="str"/>
      <x:c r="C29" s="12" t="str"/>
      <x:c r="D29" s="12" t="str"/>
      <x:c r="E29" s="12" t="str"/>
      <x:c r="F29" s="12" t="str"/>
      <x:c r="G29" s="12" t="str"/>
      <x:c r="H29" s="12" t="str"/>
      <x:c r="I29" s="12" t="str"/>
      <x:c r="J29" s="12" t="str"/>
      <x:c r="K29" s="12" t="str"/>
      <x:c r="L29" s="12" t="str"/>
      <x:c r="M29" s="12" t="str"/>
      <x:c r="N29" s="12" t="str"/>
      <x:c r="O29" s="12" t="str"/>
      <x:c r="P29" s="12" t="str"/>
      <x:c r="Q29" s="13" t="str"/>
      <x:c r="R29" s="12" t="str"/>
      <x:c r="S29" s="12" t="str"/>
      <x:c r="T29" s="12" t="str"/>
      <x:c r="U29" s="13" t="str"/>
      <x:c r="V29" s="12" t="str"/>
      <x:c r="W29" s="14" t="str">
        <x:f>IF(A29="","",IF(X29&lt;&gt;A29,"Bulgu kaydı eksik",IF(V29="Kapalı",IF(AND(S29&lt;&gt;B29,S29&lt;&gt;"",COUNTIFS(Exec[TestID],S29,Exec[GecerliSonuc],"Uygun",Exec[KontrolID],INDEX(Exec[KontrolID],MATCH(B29,Exec[TestID],0)),Exec[KapsamID],INDEX(Exec[KapsamID],MATCH(B29,Exec[TestID],0)),Exec[Hedef / tenant / örneklem],INDEX(Exec[Hedef / tenant / örneklem],MATCH(B29,Exec[TestID],0)))=1,T29&lt;&gt;"",ISNUMBER(U29),U29&gt;0),"Kapalı","Kapanış kanıtı eksik"),IF(V29="Risk kabulü",IF(AND(R29&lt;&gt;"",N29&lt;&gt;"",L29&lt;&gt;"",M29&lt;&gt;""),"Risk kabulü","Risk kabul kaydı eksik"),IF(V29="","Durum eksik",V29)))))</x:f>
      </x:c>
      <x:c r="X29" s="14" t="str">
        <x:f>IF(A29="","",IF(AND(COUNTIF(Findings[BulguID],A29)=1,COUNTIF(Exec[TestID],B29)=1,C29&lt;&gt;"",D29&lt;&gt;"",E29&lt;&gt;"",G29&lt;&gt;"",H29&lt;&gt;""),A29,"Bulgu kaydı eksik"))</x:f>
      </x:c>
    </x:row>
    <x:row r="30" ht="35" customHeight="1">
      <x:c r="A30" s="12" t="str"/>
      <x:c r="B30" s="12" t="str"/>
      <x:c r="C30" s="12" t="str"/>
      <x:c r="D30" s="12" t="str"/>
      <x:c r="E30" s="12" t="str"/>
      <x:c r="F30" s="12" t="str"/>
      <x:c r="G30" s="12" t="str"/>
      <x:c r="H30" s="12" t="str"/>
      <x:c r="I30" s="12" t="str"/>
      <x:c r="J30" s="12" t="str"/>
      <x:c r="K30" s="12" t="str"/>
      <x:c r="L30" s="12" t="str"/>
      <x:c r="M30" s="12" t="str"/>
      <x:c r="N30" s="12" t="str"/>
      <x:c r="O30" s="12" t="str"/>
      <x:c r="P30" s="12" t="str"/>
      <x:c r="Q30" s="13" t="str"/>
      <x:c r="R30" s="12" t="str"/>
      <x:c r="S30" s="12" t="str"/>
      <x:c r="T30" s="12" t="str"/>
      <x:c r="U30" s="13" t="str"/>
      <x:c r="V30" s="12" t="str"/>
      <x:c r="W30" s="14" t="str">
        <x:f>IF(A30="","",IF(X30&lt;&gt;A30,"Bulgu kaydı eksik",IF(V30="Kapalı",IF(AND(S30&lt;&gt;B30,S30&lt;&gt;"",COUNTIFS(Exec[TestID],S30,Exec[GecerliSonuc],"Uygun",Exec[KontrolID],INDEX(Exec[KontrolID],MATCH(B30,Exec[TestID],0)),Exec[KapsamID],INDEX(Exec[KapsamID],MATCH(B30,Exec[TestID],0)),Exec[Hedef / tenant / örneklem],INDEX(Exec[Hedef / tenant / örneklem],MATCH(B30,Exec[TestID],0)))=1,T30&lt;&gt;"",ISNUMBER(U30),U30&gt;0),"Kapalı","Kapanış kanıtı eksik"),IF(V30="Risk kabulü",IF(AND(R30&lt;&gt;"",N30&lt;&gt;"",L30&lt;&gt;"",M30&lt;&gt;""),"Risk kabulü","Risk kabul kaydı eksik"),IF(V30="","Durum eksik",V30)))))</x:f>
      </x:c>
      <x:c r="X30" s="14" t="str">
        <x:f>IF(A30="","",IF(AND(COUNTIF(Findings[BulguID],A30)=1,COUNTIF(Exec[TestID],B30)=1,C30&lt;&gt;"",D30&lt;&gt;"",E30&lt;&gt;"",G30&lt;&gt;"",H30&lt;&gt;""),A30,"Bulgu kaydı eksik"))</x:f>
      </x:c>
    </x:row>
    <x:row r="31" ht="35" customHeight="1">
      <x:c r="A31" s="12" t="str"/>
      <x:c r="B31" s="12" t="str"/>
      <x:c r="C31" s="12" t="str"/>
      <x:c r="D31" s="12" t="str"/>
      <x:c r="E31" s="12" t="str"/>
      <x:c r="F31" s="12" t="str"/>
      <x:c r="G31" s="12" t="str"/>
      <x:c r="H31" s="12" t="str"/>
      <x:c r="I31" s="12" t="str"/>
      <x:c r="J31" s="12" t="str"/>
      <x:c r="K31" s="12" t="str"/>
      <x:c r="L31" s="12" t="str"/>
      <x:c r="M31" s="12" t="str"/>
      <x:c r="N31" s="12" t="str"/>
      <x:c r="O31" s="12" t="str"/>
      <x:c r="P31" s="12" t="str"/>
      <x:c r="Q31" s="13" t="str"/>
      <x:c r="R31" s="12" t="str"/>
      <x:c r="S31" s="12" t="str"/>
      <x:c r="T31" s="12" t="str"/>
      <x:c r="U31" s="13" t="str"/>
      <x:c r="V31" s="12" t="str"/>
      <x:c r="W31" s="14" t="str">
        <x:f>IF(A31="","",IF(X31&lt;&gt;A31,"Bulgu kaydı eksik",IF(V31="Kapalı",IF(AND(S31&lt;&gt;B31,S31&lt;&gt;"",COUNTIFS(Exec[TestID],S31,Exec[GecerliSonuc],"Uygun",Exec[KontrolID],INDEX(Exec[KontrolID],MATCH(B31,Exec[TestID],0)),Exec[KapsamID],INDEX(Exec[KapsamID],MATCH(B31,Exec[TestID],0)),Exec[Hedef / tenant / örneklem],INDEX(Exec[Hedef / tenant / örneklem],MATCH(B31,Exec[TestID],0)))=1,T31&lt;&gt;"",ISNUMBER(U31),U31&gt;0),"Kapalı","Kapanış kanıtı eksik"),IF(V31="Risk kabulü",IF(AND(R31&lt;&gt;"",N31&lt;&gt;"",L31&lt;&gt;"",M31&lt;&gt;""),"Risk kabulü","Risk kabul kaydı eksik"),IF(V31="","Durum eksik",V31)))))</x:f>
      </x:c>
      <x:c r="X31" s="14" t="str">
        <x:f>IF(A31="","",IF(AND(COUNTIF(Findings[BulguID],A31)=1,COUNTIF(Exec[TestID],B31)=1,C31&lt;&gt;"",D31&lt;&gt;"",E31&lt;&gt;"",G31&lt;&gt;"",H31&lt;&gt;""),A31,"Bulgu kaydı eksik"))</x:f>
      </x:c>
    </x:row>
    <x:row r="32" ht="35" customHeight="1">
      <x:c r="A32" s="12" t="str"/>
      <x:c r="B32" s="12" t="str"/>
      <x:c r="C32" s="12" t="str"/>
      <x:c r="D32" s="12" t="str"/>
      <x:c r="E32" s="12" t="str"/>
      <x:c r="F32" s="12" t="str"/>
      <x:c r="G32" s="12" t="str"/>
      <x:c r="H32" s="12" t="str"/>
      <x:c r="I32" s="12" t="str"/>
      <x:c r="J32" s="12" t="str"/>
      <x:c r="K32" s="12" t="str"/>
      <x:c r="L32" s="12" t="str"/>
      <x:c r="M32" s="12" t="str"/>
      <x:c r="N32" s="12" t="str"/>
      <x:c r="O32" s="12" t="str"/>
      <x:c r="P32" s="12" t="str"/>
      <x:c r="Q32" s="13" t="str"/>
      <x:c r="R32" s="12" t="str"/>
      <x:c r="S32" s="12" t="str"/>
      <x:c r="T32" s="12" t="str"/>
      <x:c r="U32" s="13" t="str"/>
      <x:c r="V32" s="12" t="str"/>
      <x:c r="W32" s="14" t="str">
        <x:f>IF(A32="","",IF(X32&lt;&gt;A32,"Bulgu kaydı eksik",IF(V32="Kapalı",IF(AND(S32&lt;&gt;B32,S32&lt;&gt;"",COUNTIFS(Exec[TestID],S32,Exec[GecerliSonuc],"Uygun",Exec[KontrolID],INDEX(Exec[KontrolID],MATCH(B32,Exec[TestID],0)),Exec[KapsamID],INDEX(Exec[KapsamID],MATCH(B32,Exec[TestID],0)),Exec[Hedef / tenant / örneklem],INDEX(Exec[Hedef / tenant / örneklem],MATCH(B32,Exec[TestID],0)))=1,T32&lt;&gt;"",ISNUMBER(U32),U32&gt;0),"Kapalı","Kapanış kanıtı eksik"),IF(V32="Risk kabulü",IF(AND(R32&lt;&gt;"",N32&lt;&gt;"",L32&lt;&gt;"",M32&lt;&gt;""),"Risk kabulü","Risk kabul kaydı eksik"),IF(V32="","Durum eksik",V32)))))</x:f>
      </x:c>
      <x:c r="X32" s="14" t="str">
        <x:f>IF(A32="","",IF(AND(COUNTIF(Findings[BulguID],A32)=1,COUNTIF(Exec[TestID],B32)=1,C32&lt;&gt;"",D32&lt;&gt;"",E32&lt;&gt;"",G32&lt;&gt;"",H32&lt;&gt;""),A32,"Bulgu kaydı eksik"))</x:f>
      </x:c>
    </x:row>
    <x:row r="33" ht="35" customHeight="1">
      <x:c r="A33" s="12" t="str"/>
      <x:c r="B33" s="12" t="str"/>
      <x:c r="C33" s="12" t="str"/>
      <x:c r="D33" s="12" t="str"/>
      <x:c r="E33" s="12" t="str"/>
      <x:c r="F33" s="12" t="str"/>
      <x:c r="G33" s="12" t="str"/>
      <x:c r="H33" s="12" t="str"/>
      <x:c r="I33" s="12" t="str"/>
      <x:c r="J33" s="12" t="str"/>
      <x:c r="K33" s="12" t="str"/>
      <x:c r="L33" s="12" t="str"/>
      <x:c r="M33" s="12" t="str"/>
      <x:c r="N33" s="12" t="str"/>
      <x:c r="O33" s="12" t="str"/>
      <x:c r="P33" s="12" t="str"/>
      <x:c r="Q33" s="13" t="str"/>
      <x:c r="R33" s="12" t="str"/>
      <x:c r="S33" s="12" t="str"/>
      <x:c r="T33" s="12" t="str"/>
      <x:c r="U33" s="13" t="str"/>
      <x:c r="V33" s="12" t="str"/>
      <x:c r="W33" s="14" t="str">
        <x:f>IF(A33="","",IF(X33&lt;&gt;A33,"Bulgu kaydı eksik",IF(V33="Kapalı",IF(AND(S33&lt;&gt;B33,S33&lt;&gt;"",COUNTIFS(Exec[TestID],S33,Exec[GecerliSonuc],"Uygun",Exec[KontrolID],INDEX(Exec[KontrolID],MATCH(B33,Exec[TestID],0)),Exec[KapsamID],INDEX(Exec[KapsamID],MATCH(B33,Exec[TestID],0)),Exec[Hedef / tenant / örneklem],INDEX(Exec[Hedef / tenant / örneklem],MATCH(B33,Exec[TestID],0)))=1,T33&lt;&gt;"",ISNUMBER(U33),U33&gt;0),"Kapalı","Kapanış kanıtı eksik"),IF(V33="Risk kabulü",IF(AND(R33&lt;&gt;"",N33&lt;&gt;"",L33&lt;&gt;"",M33&lt;&gt;""),"Risk kabulü","Risk kabul kaydı eksik"),IF(V33="","Durum eksik",V33)))))</x:f>
      </x:c>
      <x:c r="X33" s="14" t="str">
        <x:f>IF(A33="","",IF(AND(COUNTIF(Findings[BulguID],A33)=1,COUNTIF(Exec[TestID],B33)=1,C33&lt;&gt;"",D33&lt;&gt;"",E33&lt;&gt;"",G33&lt;&gt;"",H33&lt;&gt;""),A33,"Bulgu kaydı eksik"))</x:f>
      </x:c>
    </x:row>
    <x:row r="34" ht="35" customHeight="1">
      <x:c r="A34" s="12" t="str"/>
      <x:c r="B34" s="12" t="str"/>
      <x:c r="C34" s="12" t="str"/>
      <x:c r="D34" s="12" t="str"/>
      <x:c r="E34" s="12" t="str"/>
      <x:c r="F34" s="12" t="str"/>
      <x:c r="G34" s="12" t="str"/>
      <x:c r="H34" s="12" t="str"/>
      <x:c r="I34" s="12" t="str"/>
      <x:c r="J34" s="12" t="str"/>
      <x:c r="K34" s="12" t="str"/>
      <x:c r="L34" s="12" t="str"/>
      <x:c r="M34" s="12" t="str"/>
      <x:c r="N34" s="12" t="str"/>
      <x:c r="O34" s="12" t="str"/>
      <x:c r="P34" s="12" t="str"/>
      <x:c r="Q34" s="13" t="str"/>
      <x:c r="R34" s="12" t="str"/>
      <x:c r="S34" s="12" t="str"/>
      <x:c r="T34" s="12" t="str"/>
      <x:c r="U34" s="13" t="str"/>
      <x:c r="V34" s="12" t="str"/>
      <x:c r="W34" s="14" t="str">
        <x:f>IF(A34="","",IF(X34&lt;&gt;A34,"Bulgu kaydı eksik",IF(V34="Kapalı",IF(AND(S34&lt;&gt;B34,S34&lt;&gt;"",COUNTIFS(Exec[TestID],S34,Exec[GecerliSonuc],"Uygun",Exec[KontrolID],INDEX(Exec[KontrolID],MATCH(B34,Exec[TestID],0)),Exec[KapsamID],INDEX(Exec[KapsamID],MATCH(B34,Exec[TestID],0)),Exec[Hedef / tenant / örneklem],INDEX(Exec[Hedef / tenant / örneklem],MATCH(B34,Exec[TestID],0)))=1,T34&lt;&gt;"",ISNUMBER(U34),U34&gt;0),"Kapalı","Kapanış kanıtı eksik"),IF(V34="Risk kabulü",IF(AND(R34&lt;&gt;"",N34&lt;&gt;"",L34&lt;&gt;"",M34&lt;&gt;""),"Risk kabulü","Risk kabul kaydı eksik"),IF(V34="","Durum eksik",V34)))))</x:f>
      </x:c>
      <x:c r="X34" s="14" t="str">
        <x:f>IF(A34="","",IF(AND(COUNTIF(Findings[BulguID],A34)=1,COUNTIF(Exec[TestID],B34)=1,C34&lt;&gt;"",D34&lt;&gt;"",E34&lt;&gt;"",G34&lt;&gt;"",H34&lt;&gt;""),A34,"Bulgu kaydı eksik"))</x:f>
      </x:c>
    </x:row>
    <x:row r="35" ht="35" customHeight="1">
      <x:c r="A35" s="12" t="str"/>
      <x:c r="B35" s="12" t="str"/>
      <x:c r="C35" s="12" t="str"/>
      <x:c r="D35" s="12" t="str"/>
      <x:c r="E35" s="12" t="str"/>
      <x:c r="F35" s="12" t="str"/>
      <x:c r="G35" s="12" t="str"/>
      <x:c r="H35" s="12" t="str"/>
      <x:c r="I35" s="12" t="str"/>
      <x:c r="J35" s="12" t="str"/>
      <x:c r="K35" s="12" t="str"/>
      <x:c r="L35" s="12" t="str"/>
      <x:c r="M35" s="12" t="str"/>
      <x:c r="N35" s="12" t="str"/>
      <x:c r="O35" s="12" t="str"/>
      <x:c r="P35" s="12" t="str"/>
      <x:c r="Q35" s="13" t="str"/>
      <x:c r="R35" s="12" t="str"/>
      <x:c r="S35" s="12" t="str"/>
      <x:c r="T35" s="12" t="str"/>
      <x:c r="U35" s="13" t="str"/>
      <x:c r="V35" s="12" t="str"/>
      <x:c r="W35" s="14" t="str">
        <x:f>IF(A35="","",IF(X35&lt;&gt;A35,"Bulgu kaydı eksik",IF(V35="Kapalı",IF(AND(S35&lt;&gt;B35,S35&lt;&gt;"",COUNTIFS(Exec[TestID],S35,Exec[GecerliSonuc],"Uygun",Exec[KontrolID],INDEX(Exec[KontrolID],MATCH(B35,Exec[TestID],0)),Exec[KapsamID],INDEX(Exec[KapsamID],MATCH(B35,Exec[TestID],0)),Exec[Hedef / tenant / örneklem],INDEX(Exec[Hedef / tenant / örneklem],MATCH(B35,Exec[TestID],0)))=1,T35&lt;&gt;"",ISNUMBER(U35),U35&gt;0),"Kapalı","Kapanış kanıtı eksik"),IF(V35="Risk kabulü",IF(AND(R35&lt;&gt;"",N35&lt;&gt;"",L35&lt;&gt;"",M35&lt;&gt;""),"Risk kabulü","Risk kabul kaydı eksik"),IF(V35="","Durum eksik",V35)))))</x:f>
      </x:c>
      <x:c r="X35" s="14" t="str">
        <x:f>IF(A35="","",IF(AND(COUNTIF(Findings[BulguID],A35)=1,COUNTIF(Exec[TestID],B35)=1,C35&lt;&gt;"",D35&lt;&gt;"",E35&lt;&gt;"",G35&lt;&gt;"",H35&lt;&gt;""),A35,"Bulgu kaydı eksik"))</x:f>
      </x:c>
    </x:row>
    <x:row r="36" ht="35" customHeight="1">
      <x:c r="A36" s="12" t="str"/>
      <x:c r="B36" s="12" t="str"/>
      <x:c r="C36" s="12" t="str"/>
      <x:c r="D36" s="12" t="str"/>
      <x:c r="E36" s="12" t="str"/>
      <x:c r="F36" s="12" t="str"/>
      <x:c r="G36" s="12" t="str"/>
      <x:c r="H36" s="12" t="str"/>
      <x:c r="I36" s="12" t="str"/>
      <x:c r="J36" s="12" t="str"/>
      <x:c r="K36" s="12" t="str"/>
      <x:c r="L36" s="12" t="str"/>
      <x:c r="M36" s="12" t="str"/>
      <x:c r="N36" s="12" t="str"/>
      <x:c r="O36" s="12" t="str"/>
      <x:c r="P36" s="12" t="str"/>
      <x:c r="Q36" s="13" t="str"/>
      <x:c r="R36" s="12" t="str"/>
      <x:c r="S36" s="12" t="str"/>
      <x:c r="T36" s="12" t="str"/>
      <x:c r="U36" s="13" t="str"/>
      <x:c r="V36" s="12" t="str"/>
      <x:c r="W36" s="14" t="str">
        <x:f>IF(A36="","",IF(X36&lt;&gt;A36,"Bulgu kaydı eksik",IF(V36="Kapalı",IF(AND(S36&lt;&gt;B36,S36&lt;&gt;"",COUNTIFS(Exec[TestID],S36,Exec[GecerliSonuc],"Uygun",Exec[KontrolID],INDEX(Exec[KontrolID],MATCH(B36,Exec[TestID],0)),Exec[KapsamID],INDEX(Exec[KapsamID],MATCH(B36,Exec[TestID],0)),Exec[Hedef / tenant / örneklem],INDEX(Exec[Hedef / tenant / örneklem],MATCH(B36,Exec[TestID],0)))=1,T36&lt;&gt;"",ISNUMBER(U36),U36&gt;0),"Kapalı","Kapanış kanıtı eksik"),IF(V36="Risk kabulü",IF(AND(R36&lt;&gt;"",N36&lt;&gt;"",L36&lt;&gt;"",M36&lt;&gt;""),"Risk kabulü","Risk kabul kaydı eksik"),IF(V36="","Durum eksik",V36)))))</x:f>
      </x:c>
      <x:c r="X36" s="14" t="str">
        <x:f>IF(A36="","",IF(AND(COUNTIF(Findings[BulguID],A36)=1,COUNTIF(Exec[TestID],B36)=1,C36&lt;&gt;"",D36&lt;&gt;"",E36&lt;&gt;"",G36&lt;&gt;"",H36&lt;&gt;""),A36,"Bulgu kaydı eksik"))</x:f>
      </x:c>
    </x:row>
    <x:row r="37" ht="35" customHeight="1">
      <x:c r="A37" s="12" t="str"/>
      <x:c r="B37" s="12" t="str"/>
      <x:c r="C37" s="12" t="str"/>
      <x:c r="D37" s="12" t="str"/>
      <x:c r="E37" s="12" t="str"/>
      <x:c r="F37" s="12" t="str"/>
      <x:c r="G37" s="12" t="str"/>
      <x:c r="H37" s="12" t="str"/>
      <x:c r="I37" s="12" t="str"/>
      <x:c r="J37" s="12" t="str"/>
      <x:c r="K37" s="12" t="str"/>
      <x:c r="L37" s="12" t="str"/>
      <x:c r="M37" s="12" t="str"/>
      <x:c r="N37" s="12" t="str"/>
      <x:c r="O37" s="12" t="str"/>
      <x:c r="P37" s="12" t="str"/>
      <x:c r="Q37" s="13" t="str"/>
      <x:c r="R37" s="12" t="str"/>
      <x:c r="S37" s="12" t="str"/>
      <x:c r="T37" s="12" t="str"/>
      <x:c r="U37" s="13" t="str"/>
      <x:c r="V37" s="12" t="str"/>
      <x:c r="W37" s="14" t="str">
        <x:f>IF(A37="","",IF(X37&lt;&gt;A37,"Bulgu kaydı eksik",IF(V37="Kapalı",IF(AND(S37&lt;&gt;B37,S37&lt;&gt;"",COUNTIFS(Exec[TestID],S37,Exec[GecerliSonuc],"Uygun",Exec[KontrolID],INDEX(Exec[KontrolID],MATCH(B37,Exec[TestID],0)),Exec[KapsamID],INDEX(Exec[KapsamID],MATCH(B37,Exec[TestID],0)),Exec[Hedef / tenant / örneklem],INDEX(Exec[Hedef / tenant / örneklem],MATCH(B37,Exec[TestID],0)))=1,T37&lt;&gt;"",ISNUMBER(U37),U37&gt;0),"Kapalı","Kapanış kanıtı eksik"),IF(V37="Risk kabulü",IF(AND(R37&lt;&gt;"",N37&lt;&gt;"",L37&lt;&gt;"",M37&lt;&gt;""),"Risk kabulü","Risk kabul kaydı eksik"),IF(V37="","Durum eksik",V37)))))</x:f>
      </x:c>
      <x:c r="X37" s="14" t="str">
        <x:f>IF(A37="","",IF(AND(COUNTIF(Findings[BulguID],A37)=1,COUNTIF(Exec[TestID],B37)=1,C37&lt;&gt;"",D37&lt;&gt;"",E37&lt;&gt;"",G37&lt;&gt;"",H37&lt;&gt;""),A37,"Bulgu kaydı eksik"))</x:f>
      </x:c>
    </x:row>
    <x:row r="38" ht="35" customHeight="1">
      <x:c r="A38" s="12" t="str"/>
      <x:c r="B38" s="12" t="str"/>
      <x:c r="C38" s="12" t="str"/>
      <x:c r="D38" s="12" t="str"/>
      <x:c r="E38" s="12" t="str"/>
      <x:c r="F38" s="12" t="str"/>
      <x:c r="G38" s="12" t="str"/>
      <x:c r="H38" s="12" t="str"/>
      <x:c r="I38" s="12" t="str"/>
      <x:c r="J38" s="12" t="str"/>
      <x:c r="K38" s="12" t="str"/>
      <x:c r="L38" s="12" t="str"/>
      <x:c r="M38" s="12" t="str"/>
      <x:c r="N38" s="12" t="str"/>
      <x:c r="O38" s="12" t="str"/>
      <x:c r="P38" s="12" t="str"/>
      <x:c r="Q38" s="13" t="str"/>
      <x:c r="R38" s="12" t="str"/>
      <x:c r="S38" s="12" t="str"/>
      <x:c r="T38" s="12" t="str"/>
      <x:c r="U38" s="13" t="str"/>
      <x:c r="V38" s="12" t="str"/>
      <x:c r="W38" s="14" t="str">
        <x:f>IF(A38="","",IF(X38&lt;&gt;A38,"Bulgu kaydı eksik",IF(V38="Kapalı",IF(AND(S38&lt;&gt;B38,S38&lt;&gt;"",COUNTIFS(Exec[TestID],S38,Exec[GecerliSonuc],"Uygun",Exec[KontrolID],INDEX(Exec[KontrolID],MATCH(B38,Exec[TestID],0)),Exec[KapsamID],INDEX(Exec[KapsamID],MATCH(B38,Exec[TestID],0)),Exec[Hedef / tenant / örneklem],INDEX(Exec[Hedef / tenant / örneklem],MATCH(B38,Exec[TestID],0)))=1,T38&lt;&gt;"",ISNUMBER(U38),U38&gt;0),"Kapalı","Kapanış kanıtı eksik"),IF(V38="Risk kabulü",IF(AND(R38&lt;&gt;"",N38&lt;&gt;"",L38&lt;&gt;"",M38&lt;&gt;""),"Risk kabulü","Risk kabul kaydı eksik"),IF(V38="","Durum eksik",V38)))))</x:f>
      </x:c>
      <x:c r="X38" s="14" t="str">
        <x:f>IF(A38="","",IF(AND(COUNTIF(Findings[BulguID],A38)=1,COUNTIF(Exec[TestID],B38)=1,C38&lt;&gt;"",D38&lt;&gt;"",E38&lt;&gt;"",G38&lt;&gt;"",H38&lt;&gt;""),A38,"Bulgu kaydı eksik"))</x:f>
      </x:c>
    </x:row>
    <x:row r="39" ht="35" customHeight="1">
      <x:c r="A39" s="12" t="str"/>
      <x:c r="B39" s="12" t="str"/>
      <x:c r="C39" s="12" t="str"/>
      <x:c r="D39" s="12" t="str"/>
      <x:c r="E39" s="12" t="str"/>
      <x:c r="F39" s="12" t="str"/>
      <x:c r="G39" s="12" t="str"/>
      <x:c r="H39" s="12" t="str"/>
      <x:c r="I39" s="12" t="str"/>
      <x:c r="J39" s="12" t="str"/>
      <x:c r="K39" s="12" t="str"/>
      <x:c r="L39" s="12" t="str"/>
      <x:c r="M39" s="12" t="str"/>
      <x:c r="N39" s="12" t="str"/>
      <x:c r="O39" s="12" t="str"/>
      <x:c r="P39" s="12" t="str"/>
      <x:c r="Q39" s="13" t="str"/>
      <x:c r="R39" s="12" t="str"/>
      <x:c r="S39" s="12" t="str"/>
      <x:c r="T39" s="12" t="str"/>
      <x:c r="U39" s="13" t="str"/>
      <x:c r="V39" s="12" t="str"/>
      <x:c r="W39" s="14" t="str">
        <x:f>IF(A39="","",IF(X39&lt;&gt;A39,"Bulgu kaydı eksik",IF(V39="Kapalı",IF(AND(S39&lt;&gt;B39,S39&lt;&gt;"",COUNTIFS(Exec[TestID],S39,Exec[GecerliSonuc],"Uygun",Exec[KontrolID],INDEX(Exec[KontrolID],MATCH(B39,Exec[TestID],0)),Exec[KapsamID],INDEX(Exec[KapsamID],MATCH(B39,Exec[TestID],0)),Exec[Hedef / tenant / örneklem],INDEX(Exec[Hedef / tenant / örneklem],MATCH(B39,Exec[TestID],0)))=1,T39&lt;&gt;"",ISNUMBER(U39),U39&gt;0),"Kapalı","Kapanış kanıtı eksik"),IF(V39="Risk kabulü",IF(AND(R39&lt;&gt;"",N39&lt;&gt;"",L39&lt;&gt;"",M39&lt;&gt;""),"Risk kabulü","Risk kabul kaydı eksik"),IF(V39="","Durum eksik",V39)))))</x:f>
      </x:c>
      <x:c r="X39" s="14" t="str">
        <x:f>IF(A39="","",IF(AND(COUNTIF(Findings[BulguID],A39)=1,COUNTIF(Exec[TestID],B39)=1,C39&lt;&gt;"",D39&lt;&gt;"",E39&lt;&gt;"",G39&lt;&gt;"",H39&lt;&gt;""),A39,"Bulgu kaydı eksik"))</x:f>
      </x:c>
    </x:row>
    <x:row r="40" ht="35" customHeight="1">
      <x:c r="A40" s="12" t="str"/>
      <x:c r="B40" s="12" t="str"/>
      <x:c r="C40" s="12" t="str"/>
      <x:c r="D40" s="12" t="str"/>
      <x:c r="E40" s="12" t="str"/>
      <x:c r="F40" s="12" t="str"/>
      <x:c r="G40" s="12" t="str"/>
      <x:c r="H40" s="12" t="str"/>
      <x:c r="I40" s="12" t="str"/>
      <x:c r="J40" s="12" t="str"/>
      <x:c r="K40" s="12" t="str"/>
      <x:c r="L40" s="12" t="str"/>
      <x:c r="M40" s="12" t="str"/>
      <x:c r="N40" s="12" t="str"/>
      <x:c r="O40" s="12" t="str"/>
      <x:c r="P40" s="12" t="str"/>
      <x:c r="Q40" s="13" t="str"/>
      <x:c r="R40" s="12" t="str"/>
      <x:c r="S40" s="12" t="str"/>
      <x:c r="T40" s="12" t="str"/>
      <x:c r="U40" s="13" t="str"/>
      <x:c r="V40" s="12" t="str"/>
      <x:c r="W40" s="14" t="str">
        <x:f>IF(A40="","",IF(X40&lt;&gt;A40,"Bulgu kaydı eksik",IF(V40="Kapalı",IF(AND(S40&lt;&gt;B40,S40&lt;&gt;"",COUNTIFS(Exec[TestID],S40,Exec[GecerliSonuc],"Uygun",Exec[KontrolID],INDEX(Exec[KontrolID],MATCH(B40,Exec[TestID],0)),Exec[KapsamID],INDEX(Exec[KapsamID],MATCH(B40,Exec[TestID],0)),Exec[Hedef / tenant / örneklem],INDEX(Exec[Hedef / tenant / örneklem],MATCH(B40,Exec[TestID],0)))=1,T40&lt;&gt;"",ISNUMBER(U40),U40&gt;0),"Kapalı","Kapanış kanıtı eksik"),IF(V40="Risk kabulü",IF(AND(R40&lt;&gt;"",N40&lt;&gt;"",L40&lt;&gt;"",M40&lt;&gt;""),"Risk kabulü","Risk kabul kaydı eksik"),IF(V40="","Durum eksik",V40)))))</x:f>
      </x:c>
      <x:c r="X40" s="14" t="str">
        <x:f>IF(A40="","",IF(AND(COUNTIF(Findings[BulguID],A40)=1,COUNTIF(Exec[TestID],B40)=1,C40&lt;&gt;"",D40&lt;&gt;"",E40&lt;&gt;"",G40&lt;&gt;"",H40&lt;&gt;""),A40,"Bulgu kaydı eksik"))</x:f>
      </x:c>
    </x:row>
    <x:row r="41" ht="35" customHeight="1">
      <x:c r="A41" s="12" t="str"/>
      <x:c r="B41" s="12" t="str"/>
      <x:c r="C41" s="12" t="str"/>
      <x:c r="D41" s="12" t="str"/>
      <x:c r="E41" s="12" t="str"/>
      <x:c r="F41" s="12" t="str"/>
      <x:c r="G41" s="12" t="str"/>
      <x:c r="H41" s="12" t="str"/>
      <x:c r="I41" s="12" t="str"/>
      <x:c r="J41" s="12" t="str"/>
      <x:c r="K41" s="12" t="str"/>
      <x:c r="L41" s="12" t="str"/>
      <x:c r="M41" s="12" t="str"/>
      <x:c r="N41" s="12" t="str"/>
      <x:c r="O41" s="12" t="str"/>
      <x:c r="P41" s="12" t="str"/>
      <x:c r="Q41" s="13" t="str"/>
      <x:c r="R41" s="12" t="str"/>
      <x:c r="S41" s="12" t="str"/>
      <x:c r="T41" s="12" t="str"/>
      <x:c r="U41" s="13" t="str"/>
      <x:c r="V41" s="12" t="str"/>
      <x:c r="W41" s="14" t="str">
        <x:f>IF(A41="","",IF(X41&lt;&gt;A41,"Bulgu kaydı eksik",IF(V41="Kapalı",IF(AND(S41&lt;&gt;B41,S41&lt;&gt;"",COUNTIFS(Exec[TestID],S41,Exec[GecerliSonuc],"Uygun",Exec[KontrolID],INDEX(Exec[KontrolID],MATCH(B41,Exec[TestID],0)),Exec[KapsamID],INDEX(Exec[KapsamID],MATCH(B41,Exec[TestID],0)),Exec[Hedef / tenant / örneklem],INDEX(Exec[Hedef / tenant / örneklem],MATCH(B41,Exec[TestID],0)))=1,T41&lt;&gt;"",ISNUMBER(U41),U41&gt;0),"Kapalı","Kapanış kanıtı eksik"),IF(V41="Risk kabulü",IF(AND(R41&lt;&gt;"",N41&lt;&gt;"",L41&lt;&gt;"",M41&lt;&gt;""),"Risk kabulü","Risk kabul kaydı eksik"),IF(V41="","Durum eksik",V41)))))</x:f>
      </x:c>
      <x:c r="X41" s="14" t="str">
        <x:f>IF(A41="","",IF(AND(COUNTIF(Findings[BulguID],A41)=1,COUNTIF(Exec[TestID],B41)=1,C41&lt;&gt;"",D41&lt;&gt;"",E41&lt;&gt;"",G41&lt;&gt;"",H41&lt;&gt;""),A41,"Bulgu kaydı eksik"))</x:f>
      </x:c>
    </x:row>
    <x:row r="42" ht="35" customHeight="1">
      <x:c r="A42" s="12" t="str"/>
      <x:c r="B42" s="12" t="str"/>
      <x:c r="C42" s="12" t="str"/>
      <x:c r="D42" s="12" t="str"/>
      <x:c r="E42" s="12" t="str"/>
      <x:c r="F42" s="12" t="str"/>
      <x:c r="G42" s="12" t="str"/>
      <x:c r="H42" s="12" t="str"/>
      <x:c r="I42" s="12" t="str"/>
      <x:c r="J42" s="12" t="str"/>
      <x:c r="K42" s="12" t="str"/>
      <x:c r="L42" s="12" t="str"/>
      <x:c r="M42" s="12" t="str"/>
      <x:c r="N42" s="12" t="str"/>
      <x:c r="O42" s="12" t="str"/>
      <x:c r="P42" s="12" t="str"/>
      <x:c r="Q42" s="13" t="str"/>
      <x:c r="R42" s="12" t="str"/>
      <x:c r="S42" s="12" t="str"/>
      <x:c r="T42" s="12" t="str"/>
      <x:c r="U42" s="13" t="str"/>
      <x:c r="V42" s="12" t="str"/>
      <x:c r="W42" s="14" t="str">
        <x:f>IF(A42="","",IF(X42&lt;&gt;A42,"Bulgu kaydı eksik",IF(V42="Kapalı",IF(AND(S42&lt;&gt;B42,S42&lt;&gt;"",COUNTIFS(Exec[TestID],S42,Exec[GecerliSonuc],"Uygun",Exec[KontrolID],INDEX(Exec[KontrolID],MATCH(B42,Exec[TestID],0)),Exec[KapsamID],INDEX(Exec[KapsamID],MATCH(B42,Exec[TestID],0)),Exec[Hedef / tenant / örneklem],INDEX(Exec[Hedef / tenant / örneklem],MATCH(B42,Exec[TestID],0)))=1,T42&lt;&gt;"",ISNUMBER(U42),U42&gt;0),"Kapalı","Kapanış kanıtı eksik"),IF(V42="Risk kabulü",IF(AND(R42&lt;&gt;"",N42&lt;&gt;"",L42&lt;&gt;"",M42&lt;&gt;""),"Risk kabulü","Risk kabul kaydı eksik"),IF(V42="","Durum eksik",V42)))))</x:f>
      </x:c>
      <x:c r="X42" s="14" t="str">
        <x:f>IF(A42="","",IF(AND(COUNTIF(Findings[BulguID],A42)=1,COUNTIF(Exec[TestID],B42)=1,C42&lt;&gt;"",D42&lt;&gt;"",E42&lt;&gt;"",G42&lt;&gt;"",H42&lt;&gt;""),A42,"Bulgu kaydı eksik"))</x:f>
      </x:c>
    </x:row>
    <x:row r="43" ht="35" customHeight="1">
      <x:c r="A43" s="12" t="str"/>
      <x:c r="B43" s="12" t="str"/>
      <x:c r="C43" s="12" t="str"/>
      <x:c r="D43" s="12" t="str"/>
      <x:c r="E43" s="12" t="str"/>
      <x:c r="F43" s="12" t="str"/>
      <x:c r="G43" s="12" t="str"/>
      <x:c r="H43" s="12" t="str"/>
      <x:c r="I43" s="12" t="str"/>
      <x:c r="J43" s="12" t="str"/>
      <x:c r="K43" s="12" t="str"/>
      <x:c r="L43" s="12" t="str"/>
      <x:c r="M43" s="12" t="str"/>
      <x:c r="N43" s="12" t="str"/>
      <x:c r="O43" s="12" t="str"/>
      <x:c r="P43" s="12" t="str"/>
      <x:c r="Q43" s="13" t="str"/>
      <x:c r="R43" s="12" t="str"/>
      <x:c r="S43" s="12" t="str"/>
      <x:c r="T43" s="12" t="str"/>
      <x:c r="U43" s="13" t="str"/>
      <x:c r="V43" s="12" t="str"/>
      <x:c r="W43" s="14" t="str">
        <x:f>IF(A43="","",IF(X43&lt;&gt;A43,"Bulgu kaydı eksik",IF(V43="Kapalı",IF(AND(S43&lt;&gt;B43,S43&lt;&gt;"",COUNTIFS(Exec[TestID],S43,Exec[GecerliSonuc],"Uygun",Exec[KontrolID],INDEX(Exec[KontrolID],MATCH(B43,Exec[TestID],0)),Exec[KapsamID],INDEX(Exec[KapsamID],MATCH(B43,Exec[TestID],0)),Exec[Hedef / tenant / örneklem],INDEX(Exec[Hedef / tenant / örneklem],MATCH(B43,Exec[TestID],0)))=1,T43&lt;&gt;"",ISNUMBER(U43),U43&gt;0),"Kapalı","Kapanış kanıtı eksik"),IF(V43="Risk kabulü",IF(AND(R43&lt;&gt;"",N43&lt;&gt;"",L43&lt;&gt;"",M43&lt;&gt;""),"Risk kabulü","Risk kabul kaydı eksik"),IF(V43="","Durum eksik",V43)))))</x:f>
      </x:c>
      <x:c r="X43" s="14" t="str">
        <x:f>IF(A43="","",IF(AND(COUNTIF(Findings[BulguID],A43)=1,COUNTIF(Exec[TestID],B43)=1,C43&lt;&gt;"",D43&lt;&gt;"",E43&lt;&gt;"",G43&lt;&gt;"",H43&lt;&gt;""),A43,"Bulgu kaydı eksik"))</x:f>
      </x:c>
    </x:row>
    <x:row r="44" ht="35" customHeight="1">
      <x:c r="A44" s="12" t="str"/>
      <x:c r="B44" s="12" t="str"/>
      <x:c r="C44" s="12" t="str"/>
      <x:c r="D44" s="12" t="str"/>
      <x:c r="E44" s="12" t="str"/>
      <x:c r="F44" s="12" t="str"/>
      <x:c r="G44" s="12" t="str"/>
      <x:c r="H44" s="12" t="str"/>
      <x:c r="I44" s="12" t="str"/>
      <x:c r="J44" s="12" t="str"/>
      <x:c r="K44" s="12" t="str"/>
      <x:c r="L44" s="12" t="str"/>
      <x:c r="M44" s="12" t="str"/>
      <x:c r="N44" s="12" t="str"/>
      <x:c r="O44" s="12" t="str"/>
      <x:c r="P44" s="12" t="str"/>
      <x:c r="Q44" s="13" t="str"/>
      <x:c r="R44" s="12" t="str"/>
      <x:c r="S44" s="12" t="str"/>
      <x:c r="T44" s="12" t="str"/>
      <x:c r="U44" s="13" t="str"/>
      <x:c r="V44" s="12" t="str"/>
      <x:c r="W44" s="14" t="str">
        <x:f>IF(A44="","",IF(X44&lt;&gt;A44,"Bulgu kaydı eksik",IF(V44="Kapalı",IF(AND(S44&lt;&gt;B44,S44&lt;&gt;"",COUNTIFS(Exec[TestID],S44,Exec[GecerliSonuc],"Uygun",Exec[KontrolID],INDEX(Exec[KontrolID],MATCH(B44,Exec[TestID],0)),Exec[KapsamID],INDEX(Exec[KapsamID],MATCH(B44,Exec[TestID],0)),Exec[Hedef / tenant / örneklem],INDEX(Exec[Hedef / tenant / örneklem],MATCH(B44,Exec[TestID],0)))=1,T44&lt;&gt;"",ISNUMBER(U44),U44&gt;0),"Kapalı","Kapanış kanıtı eksik"),IF(V44="Risk kabulü",IF(AND(R44&lt;&gt;"",N44&lt;&gt;"",L44&lt;&gt;"",M44&lt;&gt;""),"Risk kabulü","Risk kabul kaydı eksik"),IF(V44="","Durum eksik",V44)))))</x:f>
      </x:c>
      <x:c r="X44" s="14" t="str">
        <x:f>IF(A44="","",IF(AND(COUNTIF(Findings[BulguID],A44)=1,COUNTIF(Exec[TestID],B44)=1,C44&lt;&gt;"",D44&lt;&gt;"",E44&lt;&gt;"",G44&lt;&gt;"",H44&lt;&gt;""),A44,"Bulgu kaydı eksik"))</x:f>
      </x:c>
    </x:row>
    <x:row r="45" ht="35" customHeight="1">
      <x:c r="A45" s="12" t="str"/>
      <x:c r="B45" s="12" t="str"/>
      <x:c r="C45" s="12" t="str"/>
      <x:c r="D45" s="12" t="str"/>
      <x:c r="E45" s="12" t="str"/>
      <x:c r="F45" s="12" t="str"/>
      <x:c r="G45" s="12" t="str"/>
      <x:c r="H45" s="12" t="str"/>
      <x:c r="I45" s="12" t="str"/>
      <x:c r="J45" s="12" t="str"/>
      <x:c r="K45" s="12" t="str"/>
      <x:c r="L45" s="12" t="str"/>
      <x:c r="M45" s="12" t="str"/>
      <x:c r="N45" s="12" t="str"/>
      <x:c r="O45" s="12" t="str"/>
      <x:c r="P45" s="12" t="str"/>
      <x:c r="Q45" s="13" t="str"/>
      <x:c r="R45" s="12" t="str"/>
      <x:c r="S45" s="12" t="str"/>
      <x:c r="T45" s="12" t="str"/>
      <x:c r="U45" s="13" t="str"/>
      <x:c r="V45" s="12" t="str"/>
      <x:c r="W45" s="14" t="str">
        <x:f>IF(A45="","",IF(X45&lt;&gt;A45,"Bulgu kaydı eksik",IF(V45="Kapalı",IF(AND(S45&lt;&gt;B45,S45&lt;&gt;"",COUNTIFS(Exec[TestID],S45,Exec[GecerliSonuc],"Uygun",Exec[KontrolID],INDEX(Exec[KontrolID],MATCH(B45,Exec[TestID],0)),Exec[KapsamID],INDEX(Exec[KapsamID],MATCH(B45,Exec[TestID],0)),Exec[Hedef / tenant / örneklem],INDEX(Exec[Hedef / tenant / örneklem],MATCH(B45,Exec[TestID],0)))=1,T45&lt;&gt;"",ISNUMBER(U45),U45&gt;0),"Kapalı","Kapanış kanıtı eksik"),IF(V45="Risk kabulü",IF(AND(R45&lt;&gt;"",N45&lt;&gt;"",L45&lt;&gt;"",M45&lt;&gt;""),"Risk kabulü","Risk kabul kaydı eksik"),IF(V45="","Durum eksik",V45)))))</x:f>
      </x:c>
      <x:c r="X45" s="14" t="str">
        <x:f>IF(A45="","",IF(AND(COUNTIF(Findings[BulguID],A45)=1,COUNTIF(Exec[TestID],B45)=1,C45&lt;&gt;"",D45&lt;&gt;"",E45&lt;&gt;"",G45&lt;&gt;"",H45&lt;&gt;""),A45,"Bulgu kaydı eksik"))</x:f>
      </x:c>
    </x:row>
    <x:row r="46" ht="35" customHeight="1">
      <x:c r="A46" s="12" t="str"/>
      <x:c r="B46" s="12" t="str"/>
      <x:c r="C46" s="12" t="str"/>
      <x:c r="D46" s="12" t="str"/>
      <x:c r="E46" s="12" t="str"/>
      <x:c r="F46" s="12" t="str"/>
      <x:c r="G46" s="12" t="str"/>
      <x:c r="H46" s="12" t="str"/>
      <x:c r="I46" s="12" t="str"/>
      <x:c r="J46" s="12" t="str"/>
      <x:c r="K46" s="12" t="str"/>
      <x:c r="L46" s="12" t="str"/>
      <x:c r="M46" s="12" t="str"/>
      <x:c r="N46" s="12" t="str"/>
      <x:c r="O46" s="12" t="str"/>
      <x:c r="P46" s="12" t="str"/>
      <x:c r="Q46" s="13" t="str"/>
      <x:c r="R46" s="12" t="str"/>
      <x:c r="S46" s="12" t="str"/>
      <x:c r="T46" s="12" t="str"/>
      <x:c r="U46" s="13" t="str"/>
      <x:c r="V46" s="12" t="str"/>
      <x:c r="W46" s="14" t="str">
        <x:f>IF(A46="","",IF(X46&lt;&gt;A46,"Bulgu kaydı eksik",IF(V46="Kapalı",IF(AND(S46&lt;&gt;B46,S46&lt;&gt;"",COUNTIFS(Exec[TestID],S46,Exec[GecerliSonuc],"Uygun",Exec[KontrolID],INDEX(Exec[KontrolID],MATCH(B46,Exec[TestID],0)),Exec[KapsamID],INDEX(Exec[KapsamID],MATCH(B46,Exec[TestID],0)),Exec[Hedef / tenant / örneklem],INDEX(Exec[Hedef / tenant / örneklem],MATCH(B46,Exec[TestID],0)))=1,T46&lt;&gt;"",ISNUMBER(U46),U46&gt;0),"Kapalı","Kapanış kanıtı eksik"),IF(V46="Risk kabulü",IF(AND(R46&lt;&gt;"",N46&lt;&gt;"",L46&lt;&gt;"",M46&lt;&gt;""),"Risk kabulü","Risk kabul kaydı eksik"),IF(V46="","Durum eksik",V46)))))</x:f>
      </x:c>
      <x:c r="X46" s="14" t="str">
        <x:f>IF(A46="","",IF(AND(COUNTIF(Findings[BulguID],A46)=1,COUNTIF(Exec[TestID],B46)=1,C46&lt;&gt;"",D46&lt;&gt;"",E46&lt;&gt;"",G46&lt;&gt;"",H46&lt;&gt;""),A46,"Bulgu kaydı eksik"))</x:f>
      </x:c>
    </x:row>
    <x:row r="47" ht="35" customHeight="1">
      <x:c r="A47" s="12" t="str"/>
      <x:c r="B47" s="12" t="str"/>
      <x:c r="C47" s="12" t="str"/>
      <x:c r="D47" s="12" t="str"/>
      <x:c r="E47" s="12" t="str"/>
      <x:c r="F47" s="12" t="str"/>
      <x:c r="G47" s="12" t="str"/>
      <x:c r="H47" s="12" t="str"/>
      <x:c r="I47" s="12" t="str"/>
      <x:c r="J47" s="12" t="str"/>
      <x:c r="K47" s="12" t="str"/>
      <x:c r="L47" s="12" t="str"/>
      <x:c r="M47" s="12" t="str"/>
      <x:c r="N47" s="12" t="str"/>
      <x:c r="O47" s="12" t="str"/>
      <x:c r="P47" s="12" t="str"/>
      <x:c r="Q47" s="13" t="str"/>
      <x:c r="R47" s="12" t="str"/>
      <x:c r="S47" s="12" t="str"/>
      <x:c r="T47" s="12" t="str"/>
      <x:c r="U47" s="13" t="str"/>
      <x:c r="V47" s="12" t="str"/>
      <x:c r="W47" s="14" t="str">
        <x:f>IF(A47="","",IF(X47&lt;&gt;A47,"Bulgu kaydı eksik",IF(V47="Kapalı",IF(AND(S47&lt;&gt;B47,S47&lt;&gt;"",COUNTIFS(Exec[TestID],S47,Exec[GecerliSonuc],"Uygun",Exec[KontrolID],INDEX(Exec[KontrolID],MATCH(B47,Exec[TestID],0)),Exec[KapsamID],INDEX(Exec[KapsamID],MATCH(B47,Exec[TestID],0)),Exec[Hedef / tenant / örneklem],INDEX(Exec[Hedef / tenant / örneklem],MATCH(B47,Exec[TestID],0)))=1,T47&lt;&gt;"",ISNUMBER(U47),U47&gt;0),"Kapalı","Kapanış kanıtı eksik"),IF(V47="Risk kabulü",IF(AND(R47&lt;&gt;"",N47&lt;&gt;"",L47&lt;&gt;"",M47&lt;&gt;""),"Risk kabulü","Risk kabul kaydı eksik"),IF(V47="","Durum eksik",V47)))))</x:f>
      </x:c>
      <x:c r="X47" s="14" t="str">
        <x:f>IF(A47="","",IF(AND(COUNTIF(Findings[BulguID],A47)=1,COUNTIF(Exec[TestID],B47)=1,C47&lt;&gt;"",D47&lt;&gt;"",E47&lt;&gt;"",G47&lt;&gt;"",H47&lt;&gt;""),A47,"Bulgu kaydı eksik"))</x:f>
      </x:c>
    </x:row>
    <x:row r="48" ht="35" customHeight="1">
      <x:c r="A48" s="12" t="str"/>
      <x:c r="B48" s="12" t="str"/>
      <x:c r="C48" s="12" t="str"/>
      <x:c r="D48" s="12" t="str"/>
      <x:c r="E48" s="12" t="str"/>
      <x:c r="F48" s="12" t="str"/>
      <x:c r="G48" s="12" t="str"/>
      <x:c r="H48" s="12" t="str"/>
      <x:c r="I48" s="12" t="str"/>
      <x:c r="J48" s="12" t="str"/>
      <x:c r="K48" s="12" t="str"/>
      <x:c r="L48" s="12" t="str"/>
      <x:c r="M48" s="12" t="str"/>
      <x:c r="N48" s="12" t="str"/>
      <x:c r="O48" s="12" t="str"/>
      <x:c r="P48" s="12" t="str"/>
      <x:c r="Q48" s="13" t="str"/>
      <x:c r="R48" s="12" t="str"/>
      <x:c r="S48" s="12" t="str"/>
      <x:c r="T48" s="12" t="str"/>
      <x:c r="U48" s="13" t="str"/>
      <x:c r="V48" s="12" t="str"/>
      <x:c r="W48" s="14" t="str">
        <x:f>IF(A48="","",IF(X48&lt;&gt;A48,"Bulgu kaydı eksik",IF(V48="Kapalı",IF(AND(S48&lt;&gt;B48,S48&lt;&gt;"",COUNTIFS(Exec[TestID],S48,Exec[GecerliSonuc],"Uygun",Exec[KontrolID],INDEX(Exec[KontrolID],MATCH(B48,Exec[TestID],0)),Exec[KapsamID],INDEX(Exec[KapsamID],MATCH(B48,Exec[TestID],0)),Exec[Hedef / tenant / örneklem],INDEX(Exec[Hedef / tenant / örneklem],MATCH(B48,Exec[TestID],0)))=1,T48&lt;&gt;"",ISNUMBER(U48),U48&gt;0),"Kapalı","Kapanış kanıtı eksik"),IF(V48="Risk kabulü",IF(AND(R48&lt;&gt;"",N48&lt;&gt;"",L48&lt;&gt;"",M48&lt;&gt;""),"Risk kabulü","Risk kabul kaydı eksik"),IF(V48="","Durum eksik",V48)))))</x:f>
      </x:c>
      <x:c r="X48" s="14" t="str">
        <x:f>IF(A48="","",IF(AND(COUNTIF(Findings[BulguID],A48)=1,COUNTIF(Exec[TestID],B48)=1,C48&lt;&gt;"",D48&lt;&gt;"",E48&lt;&gt;"",G48&lt;&gt;"",H48&lt;&gt;""),A48,"Bulgu kaydı eksik"))</x:f>
      </x:c>
    </x:row>
    <x:row r="49" ht="35" customHeight="1">
      <x:c r="A49" s="12" t="str"/>
      <x:c r="B49" s="12" t="str"/>
      <x:c r="C49" s="12" t="str"/>
      <x:c r="D49" s="12" t="str"/>
      <x:c r="E49" s="12" t="str"/>
      <x:c r="F49" s="12" t="str"/>
      <x:c r="G49" s="12" t="str"/>
      <x:c r="H49" s="12" t="str"/>
      <x:c r="I49" s="12" t="str"/>
      <x:c r="J49" s="12" t="str"/>
      <x:c r="K49" s="12" t="str"/>
      <x:c r="L49" s="12" t="str"/>
      <x:c r="M49" s="12" t="str"/>
      <x:c r="N49" s="12" t="str"/>
      <x:c r="O49" s="12" t="str"/>
      <x:c r="P49" s="12" t="str"/>
      <x:c r="Q49" s="13" t="str"/>
      <x:c r="R49" s="12" t="str"/>
      <x:c r="S49" s="12" t="str"/>
      <x:c r="T49" s="12" t="str"/>
      <x:c r="U49" s="13" t="str"/>
      <x:c r="V49" s="12" t="str"/>
      <x:c r="W49" s="14" t="str">
        <x:f>IF(A49="","",IF(X49&lt;&gt;A49,"Bulgu kaydı eksik",IF(V49="Kapalı",IF(AND(S49&lt;&gt;B49,S49&lt;&gt;"",COUNTIFS(Exec[TestID],S49,Exec[GecerliSonuc],"Uygun",Exec[KontrolID],INDEX(Exec[KontrolID],MATCH(B49,Exec[TestID],0)),Exec[KapsamID],INDEX(Exec[KapsamID],MATCH(B49,Exec[TestID],0)),Exec[Hedef / tenant / örneklem],INDEX(Exec[Hedef / tenant / örneklem],MATCH(B49,Exec[TestID],0)))=1,T49&lt;&gt;"",ISNUMBER(U49),U49&gt;0),"Kapalı","Kapanış kanıtı eksik"),IF(V49="Risk kabulü",IF(AND(R49&lt;&gt;"",N49&lt;&gt;"",L49&lt;&gt;"",M49&lt;&gt;""),"Risk kabulü","Risk kabul kaydı eksik"),IF(V49="","Durum eksik",V49)))))</x:f>
      </x:c>
      <x:c r="X49" s="14" t="str">
        <x:f>IF(A49="","",IF(AND(COUNTIF(Findings[BulguID],A49)=1,COUNTIF(Exec[TestID],B49)=1,C49&lt;&gt;"",D49&lt;&gt;"",E49&lt;&gt;"",G49&lt;&gt;"",H49&lt;&gt;""),A49,"Bulgu kaydı eksik"))</x:f>
      </x:c>
    </x:row>
    <x:row r="50" ht="35" customHeight="1">
      <x:c r="A50" s="12" t="str"/>
      <x:c r="B50" s="12" t="str"/>
      <x:c r="C50" s="12" t="str"/>
      <x:c r="D50" s="12" t="str"/>
      <x:c r="E50" s="12" t="str"/>
      <x:c r="F50" s="12" t="str"/>
      <x:c r="G50" s="12" t="str"/>
      <x:c r="H50" s="12" t="str"/>
      <x:c r="I50" s="12" t="str"/>
      <x:c r="J50" s="12" t="str"/>
      <x:c r="K50" s="12" t="str"/>
      <x:c r="L50" s="12" t="str"/>
      <x:c r="M50" s="12" t="str"/>
      <x:c r="N50" s="12" t="str"/>
      <x:c r="O50" s="12" t="str"/>
      <x:c r="P50" s="12" t="str"/>
      <x:c r="Q50" s="13" t="str"/>
      <x:c r="R50" s="12" t="str"/>
      <x:c r="S50" s="12" t="str"/>
      <x:c r="T50" s="12" t="str"/>
      <x:c r="U50" s="13" t="str"/>
      <x:c r="V50" s="12" t="str"/>
      <x:c r="W50" s="14" t="str">
        <x:f>IF(A50="","",IF(X50&lt;&gt;A50,"Bulgu kaydı eksik",IF(V50="Kapalı",IF(AND(S50&lt;&gt;B50,S50&lt;&gt;"",COUNTIFS(Exec[TestID],S50,Exec[GecerliSonuc],"Uygun",Exec[KontrolID],INDEX(Exec[KontrolID],MATCH(B50,Exec[TestID],0)),Exec[KapsamID],INDEX(Exec[KapsamID],MATCH(B50,Exec[TestID],0)),Exec[Hedef / tenant / örneklem],INDEX(Exec[Hedef / tenant / örneklem],MATCH(B50,Exec[TestID],0)))=1,T50&lt;&gt;"",ISNUMBER(U50),U50&gt;0),"Kapalı","Kapanış kanıtı eksik"),IF(V50="Risk kabulü",IF(AND(R50&lt;&gt;"",N50&lt;&gt;"",L50&lt;&gt;"",M50&lt;&gt;""),"Risk kabulü","Risk kabul kaydı eksik"),IF(V50="","Durum eksik",V50)))))</x:f>
      </x:c>
      <x:c r="X50" s="14" t="str">
        <x:f>IF(A50="","",IF(AND(COUNTIF(Findings[BulguID],A50)=1,COUNTIF(Exec[TestID],B50)=1,C50&lt;&gt;"",D50&lt;&gt;"",E50&lt;&gt;"",G50&lt;&gt;"",H50&lt;&gt;""),A50,"Bulgu kaydı eksik"))</x:f>
      </x:c>
    </x:row>
    <x:row r="51" ht="35" customHeight="1">
      <x:c r="A51" s="12" t="str"/>
      <x:c r="B51" s="12" t="str"/>
      <x:c r="C51" s="12" t="str"/>
      <x:c r="D51" s="12" t="str"/>
      <x:c r="E51" s="12" t="str"/>
      <x:c r="F51" s="12" t="str"/>
      <x:c r="G51" s="12" t="str"/>
      <x:c r="H51" s="12" t="str"/>
      <x:c r="I51" s="12" t="str"/>
      <x:c r="J51" s="12" t="str"/>
      <x:c r="K51" s="12" t="str"/>
      <x:c r="L51" s="12" t="str"/>
      <x:c r="M51" s="12" t="str"/>
      <x:c r="N51" s="12" t="str"/>
      <x:c r="O51" s="12" t="str"/>
      <x:c r="P51" s="12" t="str"/>
      <x:c r="Q51" s="13" t="str"/>
      <x:c r="R51" s="12" t="str"/>
      <x:c r="S51" s="12" t="str"/>
      <x:c r="T51" s="12" t="str"/>
      <x:c r="U51" s="13" t="str"/>
      <x:c r="V51" s="12" t="str"/>
      <x:c r="W51" s="14" t="str">
        <x:f>IF(A51="","",IF(X51&lt;&gt;A51,"Bulgu kaydı eksik",IF(V51="Kapalı",IF(AND(S51&lt;&gt;B51,S51&lt;&gt;"",COUNTIFS(Exec[TestID],S51,Exec[GecerliSonuc],"Uygun",Exec[KontrolID],INDEX(Exec[KontrolID],MATCH(B51,Exec[TestID],0)),Exec[KapsamID],INDEX(Exec[KapsamID],MATCH(B51,Exec[TestID],0)),Exec[Hedef / tenant / örneklem],INDEX(Exec[Hedef / tenant / örneklem],MATCH(B51,Exec[TestID],0)))=1,T51&lt;&gt;"",ISNUMBER(U51),U51&gt;0),"Kapalı","Kapanış kanıtı eksik"),IF(V51="Risk kabulü",IF(AND(R51&lt;&gt;"",N51&lt;&gt;"",L51&lt;&gt;"",M51&lt;&gt;""),"Risk kabulü","Risk kabul kaydı eksik"),IF(V51="","Durum eksik",V51)))))</x:f>
      </x:c>
      <x:c r="X51" s="14" t="str">
        <x:f>IF(A51="","",IF(AND(COUNTIF(Findings[BulguID],A51)=1,COUNTIF(Exec[TestID],B51)=1,C51&lt;&gt;"",D51&lt;&gt;"",E51&lt;&gt;"",G51&lt;&gt;"",H51&lt;&gt;""),A51,"Bulgu kaydı eksik"))</x:f>
      </x:c>
    </x:row>
    <x:row r="52" ht="35" customHeight="1">
      <x:c r="A52" s="12" t="str"/>
      <x:c r="B52" s="12" t="str"/>
      <x:c r="C52" s="12" t="str"/>
      <x:c r="D52" s="12" t="str"/>
      <x:c r="E52" s="12" t="str"/>
      <x:c r="F52" s="12" t="str"/>
      <x:c r="G52" s="12" t="str"/>
      <x:c r="H52" s="12" t="str"/>
      <x:c r="I52" s="12" t="str"/>
      <x:c r="J52" s="12" t="str"/>
      <x:c r="K52" s="12" t="str"/>
      <x:c r="L52" s="12" t="str"/>
      <x:c r="M52" s="12" t="str"/>
      <x:c r="N52" s="12" t="str"/>
      <x:c r="O52" s="12" t="str"/>
      <x:c r="P52" s="12" t="str"/>
      <x:c r="Q52" s="13" t="str"/>
      <x:c r="R52" s="12" t="str"/>
      <x:c r="S52" s="12" t="str"/>
      <x:c r="T52" s="12" t="str"/>
      <x:c r="U52" s="13" t="str"/>
      <x:c r="V52" s="12" t="str"/>
      <x:c r="W52" s="14" t="str">
        <x:f>IF(A52="","",IF(X52&lt;&gt;A52,"Bulgu kaydı eksik",IF(V52="Kapalı",IF(AND(S52&lt;&gt;B52,S52&lt;&gt;"",COUNTIFS(Exec[TestID],S52,Exec[GecerliSonuc],"Uygun",Exec[KontrolID],INDEX(Exec[KontrolID],MATCH(B52,Exec[TestID],0)),Exec[KapsamID],INDEX(Exec[KapsamID],MATCH(B52,Exec[TestID],0)),Exec[Hedef / tenant / örneklem],INDEX(Exec[Hedef / tenant / örneklem],MATCH(B52,Exec[TestID],0)))=1,T52&lt;&gt;"",ISNUMBER(U52),U52&gt;0),"Kapalı","Kapanış kanıtı eksik"),IF(V52="Risk kabulü",IF(AND(R52&lt;&gt;"",N52&lt;&gt;"",L52&lt;&gt;"",M52&lt;&gt;""),"Risk kabulü","Risk kabul kaydı eksik"),IF(V52="","Durum eksik",V52)))))</x:f>
      </x:c>
      <x:c r="X52" s="14" t="str">
        <x:f>IF(A52="","",IF(AND(COUNTIF(Findings[BulguID],A52)=1,COUNTIF(Exec[TestID],B52)=1,C52&lt;&gt;"",D52&lt;&gt;"",E52&lt;&gt;"",G52&lt;&gt;"",H52&lt;&gt;""),A52,"Bulgu kaydı eksik"))</x:f>
      </x:c>
    </x:row>
    <x:row r="53" ht="35" customHeight="1">
      <x:c r="A53" s="12" t="str"/>
      <x:c r="B53" s="12" t="str"/>
      <x:c r="C53" s="12" t="str"/>
      <x:c r="D53" s="12" t="str"/>
      <x:c r="E53" s="12" t="str"/>
      <x:c r="F53" s="12" t="str"/>
      <x:c r="G53" s="12" t="str"/>
      <x:c r="H53" s="12" t="str"/>
      <x:c r="I53" s="12" t="str"/>
      <x:c r="J53" s="12" t="str"/>
      <x:c r="K53" s="12" t="str"/>
      <x:c r="L53" s="12" t="str"/>
      <x:c r="M53" s="12" t="str"/>
      <x:c r="N53" s="12" t="str"/>
      <x:c r="O53" s="12" t="str"/>
      <x:c r="P53" s="12" t="str"/>
      <x:c r="Q53" s="13" t="str"/>
      <x:c r="R53" s="12" t="str"/>
      <x:c r="S53" s="12" t="str"/>
      <x:c r="T53" s="12" t="str"/>
      <x:c r="U53" s="13" t="str"/>
      <x:c r="V53" s="12" t="str"/>
      <x:c r="W53" s="14" t="str">
        <x:f>IF(A53="","",IF(X53&lt;&gt;A53,"Bulgu kaydı eksik",IF(V53="Kapalı",IF(AND(S53&lt;&gt;B53,S53&lt;&gt;"",COUNTIFS(Exec[TestID],S53,Exec[GecerliSonuc],"Uygun",Exec[KontrolID],INDEX(Exec[KontrolID],MATCH(B53,Exec[TestID],0)),Exec[KapsamID],INDEX(Exec[KapsamID],MATCH(B53,Exec[TestID],0)),Exec[Hedef / tenant / örneklem],INDEX(Exec[Hedef / tenant / örneklem],MATCH(B53,Exec[TestID],0)))=1,T53&lt;&gt;"",ISNUMBER(U53),U53&gt;0),"Kapalı","Kapanış kanıtı eksik"),IF(V53="Risk kabulü",IF(AND(R53&lt;&gt;"",N53&lt;&gt;"",L53&lt;&gt;"",M53&lt;&gt;""),"Risk kabulü","Risk kabul kaydı eksik"),IF(V53="","Durum eksik",V53)))))</x:f>
      </x:c>
      <x:c r="X53" s="14" t="str">
        <x:f>IF(A53="","",IF(AND(COUNTIF(Findings[BulguID],A53)=1,COUNTIF(Exec[TestID],B53)=1,C53&lt;&gt;"",D53&lt;&gt;"",E53&lt;&gt;"",G53&lt;&gt;"",H53&lt;&gt;""),A53,"Bulgu kaydı eksik"))</x:f>
      </x:c>
    </x:row>
    <x:row r="54" ht="35" customHeight="1">
      <x:c r="A54" s="12" t="str"/>
      <x:c r="B54" s="12" t="str"/>
      <x:c r="C54" s="12" t="str"/>
      <x:c r="D54" s="12" t="str"/>
      <x:c r="E54" s="12" t="str"/>
      <x:c r="F54" s="12" t="str"/>
      <x:c r="G54" s="12" t="str"/>
      <x:c r="H54" s="12" t="str"/>
      <x:c r="I54" s="12" t="str"/>
      <x:c r="J54" s="12" t="str"/>
      <x:c r="K54" s="12" t="str"/>
      <x:c r="L54" s="12" t="str"/>
      <x:c r="M54" s="12" t="str"/>
      <x:c r="N54" s="12" t="str"/>
      <x:c r="O54" s="12" t="str"/>
      <x:c r="P54" s="12" t="str"/>
      <x:c r="Q54" s="13" t="str"/>
      <x:c r="R54" s="12" t="str"/>
      <x:c r="S54" s="12" t="str"/>
      <x:c r="T54" s="12" t="str"/>
      <x:c r="U54" s="13" t="str"/>
      <x:c r="V54" s="12" t="str"/>
      <x:c r="W54" s="14" t="str">
        <x:f>IF(A54="","",IF(X54&lt;&gt;A54,"Bulgu kaydı eksik",IF(V54="Kapalı",IF(AND(S54&lt;&gt;B54,S54&lt;&gt;"",COUNTIFS(Exec[TestID],S54,Exec[GecerliSonuc],"Uygun",Exec[KontrolID],INDEX(Exec[KontrolID],MATCH(B54,Exec[TestID],0)),Exec[KapsamID],INDEX(Exec[KapsamID],MATCH(B54,Exec[TestID],0)),Exec[Hedef / tenant / örneklem],INDEX(Exec[Hedef / tenant / örneklem],MATCH(B54,Exec[TestID],0)))=1,T54&lt;&gt;"",ISNUMBER(U54),U54&gt;0),"Kapalı","Kapanış kanıtı eksik"),IF(V54="Risk kabulü",IF(AND(R54&lt;&gt;"",N54&lt;&gt;"",L54&lt;&gt;"",M54&lt;&gt;""),"Risk kabulü","Risk kabul kaydı eksik"),IF(V54="","Durum eksik",V54)))))</x:f>
      </x:c>
      <x:c r="X54" s="14" t="str">
        <x:f>IF(A54="","",IF(AND(COUNTIF(Findings[BulguID],A54)=1,COUNTIF(Exec[TestID],B54)=1,C54&lt;&gt;"",D54&lt;&gt;"",E54&lt;&gt;"",G54&lt;&gt;"",H54&lt;&gt;""),A54,"Bulgu kaydı eksik"))</x:f>
      </x:c>
    </x:row>
    <x:row r="55" ht="35" customHeight="1">
      <x:c r="A55" s="12" t="str"/>
      <x:c r="B55" s="12" t="str"/>
      <x:c r="C55" s="12" t="str"/>
      <x:c r="D55" s="12" t="str"/>
      <x:c r="E55" s="12" t="str"/>
      <x:c r="F55" s="12" t="str"/>
      <x:c r="G55" s="12" t="str"/>
      <x:c r="H55" s="12" t="str"/>
      <x:c r="I55" s="12" t="str"/>
      <x:c r="J55" s="12" t="str"/>
      <x:c r="K55" s="12" t="str"/>
      <x:c r="L55" s="12" t="str"/>
      <x:c r="M55" s="12" t="str"/>
      <x:c r="N55" s="12" t="str"/>
      <x:c r="O55" s="12" t="str"/>
      <x:c r="P55" s="12" t="str"/>
      <x:c r="Q55" s="13" t="str"/>
      <x:c r="R55" s="12" t="str"/>
      <x:c r="S55" s="12" t="str"/>
      <x:c r="T55" s="12" t="str"/>
      <x:c r="U55" s="13" t="str"/>
      <x:c r="V55" s="12" t="str"/>
      <x:c r="W55" s="14" t="str">
        <x:f>IF(A55="","",IF(X55&lt;&gt;A55,"Bulgu kaydı eksik",IF(V55="Kapalı",IF(AND(S55&lt;&gt;B55,S55&lt;&gt;"",COUNTIFS(Exec[TestID],S55,Exec[GecerliSonuc],"Uygun",Exec[KontrolID],INDEX(Exec[KontrolID],MATCH(B55,Exec[TestID],0)),Exec[KapsamID],INDEX(Exec[KapsamID],MATCH(B55,Exec[TestID],0)),Exec[Hedef / tenant / örneklem],INDEX(Exec[Hedef / tenant / örneklem],MATCH(B55,Exec[TestID],0)))=1,T55&lt;&gt;"",ISNUMBER(U55),U55&gt;0),"Kapalı","Kapanış kanıtı eksik"),IF(V55="Risk kabulü",IF(AND(R55&lt;&gt;"",N55&lt;&gt;"",L55&lt;&gt;"",M55&lt;&gt;""),"Risk kabulü","Risk kabul kaydı eksik"),IF(V55="","Durum eksik",V55)))))</x:f>
      </x:c>
      <x:c r="X55" s="14" t="str">
        <x:f>IF(A55="","",IF(AND(COUNTIF(Findings[BulguID],A55)=1,COUNTIF(Exec[TestID],B55)=1,C55&lt;&gt;"",D55&lt;&gt;"",E55&lt;&gt;"",G55&lt;&gt;"",H55&lt;&gt;""),A55,"Bulgu kaydı eksik"))</x:f>
      </x:c>
    </x:row>
    <x:row r="56" ht="35" customHeight="1">
      <x:c r="A56" s="12" t="str"/>
      <x:c r="B56" s="12" t="str"/>
      <x:c r="C56" s="12" t="str"/>
      <x:c r="D56" s="12" t="str"/>
      <x:c r="E56" s="12" t="str"/>
      <x:c r="F56" s="12" t="str"/>
      <x:c r="G56" s="12" t="str"/>
      <x:c r="H56" s="12" t="str"/>
      <x:c r="I56" s="12" t="str"/>
      <x:c r="J56" s="12" t="str"/>
      <x:c r="K56" s="12" t="str"/>
      <x:c r="L56" s="12" t="str"/>
      <x:c r="M56" s="12" t="str"/>
      <x:c r="N56" s="12" t="str"/>
      <x:c r="O56" s="12" t="str"/>
      <x:c r="P56" s="12" t="str"/>
      <x:c r="Q56" s="13" t="str"/>
      <x:c r="R56" s="12" t="str"/>
      <x:c r="S56" s="12" t="str"/>
      <x:c r="T56" s="12" t="str"/>
      <x:c r="U56" s="13" t="str"/>
      <x:c r="V56" s="12" t="str"/>
      <x:c r="W56" s="14" t="str">
        <x:f>IF(A56="","",IF(X56&lt;&gt;A56,"Bulgu kaydı eksik",IF(V56="Kapalı",IF(AND(S56&lt;&gt;B56,S56&lt;&gt;"",COUNTIFS(Exec[TestID],S56,Exec[GecerliSonuc],"Uygun",Exec[KontrolID],INDEX(Exec[KontrolID],MATCH(B56,Exec[TestID],0)),Exec[KapsamID],INDEX(Exec[KapsamID],MATCH(B56,Exec[TestID],0)),Exec[Hedef / tenant / örneklem],INDEX(Exec[Hedef / tenant / örneklem],MATCH(B56,Exec[TestID],0)))=1,T56&lt;&gt;"",ISNUMBER(U56),U56&gt;0),"Kapalı","Kapanış kanıtı eksik"),IF(V56="Risk kabulü",IF(AND(R56&lt;&gt;"",N56&lt;&gt;"",L56&lt;&gt;"",M56&lt;&gt;""),"Risk kabulü","Risk kabul kaydı eksik"),IF(V56="","Durum eksik",V56)))))</x:f>
      </x:c>
      <x:c r="X56" s="14" t="str">
        <x:f>IF(A56="","",IF(AND(COUNTIF(Findings[BulguID],A56)=1,COUNTIF(Exec[TestID],B56)=1,C56&lt;&gt;"",D56&lt;&gt;"",E56&lt;&gt;"",G56&lt;&gt;"",H56&lt;&gt;""),A56,"Bulgu kaydı eksik"))</x:f>
      </x:c>
    </x:row>
    <x:row r="57" ht="35" customHeight="1">
      <x:c r="A57" s="12" t="str"/>
      <x:c r="B57" s="12" t="str"/>
      <x:c r="C57" s="12" t="str"/>
      <x:c r="D57" s="12" t="str"/>
      <x:c r="E57" s="12" t="str"/>
      <x:c r="F57" s="12" t="str"/>
      <x:c r="G57" s="12" t="str"/>
      <x:c r="H57" s="12" t="str"/>
      <x:c r="I57" s="12" t="str"/>
      <x:c r="J57" s="12" t="str"/>
      <x:c r="K57" s="12" t="str"/>
      <x:c r="L57" s="12" t="str"/>
      <x:c r="M57" s="12" t="str"/>
      <x:c r="N57" s="12" t="str"/>
      <x:c r="O57" s="12" t="str"/>
      <x:c r="P57" s="12" t="str"/>
      <x:c r="Q57" s="13" t="str"/>
      <x:c r="R57" s="12" t="str"/>
      <x:c r="S57" s="12" t="str"/>
      <x:c r="T57" s="12" t="str"/>
      <x:c r="U57" s="13" t="str"/>
      <x:c r="V57" s="12" t="str"/>
      <x:c r="W57" s="14" t="str">
        <x:f>IF(A57="","",IF(X57&lt;&gt;A57,"Bulgu kaydı eksik",IF(V57="Kapalı",IF(AND(S57&lt;&gt;B57,S57&lt;&gt;"",COUNTIFS(Exec[TestID],S57,Exec[GecerliSonuc],"Uygun",Exec[KontrolID],INDEX(Exec[KontrolID],MATCH(B57,Exec[TestID],0)),Exec[KapsamID],INDEX(Exec[KapsamID],MATCH(B57,Exec[TestID],0)),Exec[Hedef / tenant / örneklem],INDEX(Exec[Hedef / tenant / örneklem],MATCH(B57,Exec[TestID],0)))=1,T57&lt;&gt;"",ISNUMBER(U57),U57&gt;0),"Kapalı","Kapanış kanıtı eksik"),IF(V57="Risk kabulü",IF(AND(R57&lt;&gt;"",N57&lt;&gt;"",L57&lt;&gt;"",M57&lt;&gt;""),"Risk kabulü","Risk kabul kaydı eksik"),IF(V57="","Durum eksik",V57)))))</x:f>
      </x:c>
      <x:c r="X57" s="14" t="str">
        <x:f>IF(A57="","",IF(AND(COUNTIF(Findings[BulguID],A57)=1,COUNTIF(Exec[TestID],B57)=1,C57&lt;&gt;"",D57&lt;&gt;"",E57&lt;&gt;"",G57&lt;&gt;"",H57&lt;&gt;""),A57,"Bulgu kaydı eksik"))</x:f>
      </x:c>
    </x:row>
    <x:row r="58" ht="35" customHeight="1">
      <x:c r="A58" s="12" t="str"/>
      <x:c r="B58" s="12" t="str"/>
      <x:c r="C58" s="12" t="str"/>
      <x:c r="D58" s="12" t="str"/>
      <x:c r="E58" s="12" t="str"/>
      <x:c r="F58" s="12" t="str"/>
      <x:c r="G58" s="12" t="str"/>
      <x:c r="H58" s="12" t="str"/>
      <x:c r="I58" s="12" t="str"/>
      <x:c r="J58" s="12" t="str"/>
      <x:c r="K58" s="12" t="str"/>
      <x:c r="L58" s="12" t="str"/>
      <x:c r="M58" s="12" t="str"/>
      <x:c r="N58" s="12" t="str"/>
      <x:c r="O58" s="12" t="str"/>
      <x:c r="P58" s="12" t="str"/>
      <x:c r="Q58" s="13" t="str"/>
      <x:c r="R58" s="12" t="str"/>
      <x:c r="S58" s="12" t="str"/>
      <x:c r="T58" s="12" t="str"/>
      <x:c r="U58" s="13" t="str"/>
      <x:c r="V58" s="12" t="str"/>
      <x:c r="W58" s="14" t="str">
        <x:f>IF(A58="","",IF(X58&lt;&gt;A58,"Bulgu kaydı eksik",IF(V58="Kapalı",IF(AND(S58&lt;&gt;B58,S58&lt;&gt;"",COUNTIFS(Exec[TestID],S58,Exec[GecerliSonuc],"Uygun",Exec[KontrolID],INDEX(Exec[KontrolID],MATCH(B58,Exec[TestID],0)),Exec[KapsamID],INDEX(Exec[KapsamID],MATCH(B58,Exec[TestID],0)),Exec[Hedef / tenant / örneklem],INDEX(Exec[Hedef / tenant / örneklem],MATCH(B58,Exec[TestID],0)))=1,T58&lt;&gt;"",ISNUMBER(U58),U58&gt;0),"Kapalı","Kapanış kanıtı eksik"),IF(V58="Risk kabulü",IF(AND(R58&lt;&gt;"",N58&lt;&gt;"",L58&lt;&gt;"",M58&lt;&gt;""),"Risk kabulü","Risk kabul kaydı eksik"),IF(V58="","Durum eksik",V58)))))</x:f>
      </x:c>
      <x:c r="X58" s="14" t="str">
        <x:f>IF(A58="","",IF(AND(COUNTIF(Findings[BulguID],A58)=1,COUNTIF(Exec[TestID],B58)=1,C58&lt;&gt;"",D58&lt;&gt;"",E58&lt;&gt;"",G58&lt;&gt;"",H58&lt;&gt;""),A58,"Bulgu kaydı eksik"))</x:f>
      </x:c>
    </x:row>
    <x:row r="59" ht="35" customHeight="1">
      <x:c r="A59" s="12" t="str"/>
      <x:c r="B59" s="12" t="str"/>
      <x:c r="C59" s="12" t="str"/>
      <x:c r="D59" s="12" t="str"/>
      <x:c r="E59" s="12" t="str"/>
      <x:c r="F59" s="12" t="str"/>
      <x:c r="G59" s="12" t="str"/>
      <x:c r="H59" s="12" t="str"/>
      <x:c r="I59" s="12" t="str"/>
      <x:c r="J59" s="12" t="str"/>
      <x:c r="K59" s="12" t="str"/>
      <x:c r="L59" s="12" t="str"/>
      <x:c r="M59" s="12" t="str"/>
      <x:c r="N59" s="12" t="str"/>
      <x:c r="O59" s="12" t="str"/>
      <x:c r="P59" s="12" t="str"/>
      <x:c r="Q59" s="13" t="str"/>
      <x:c r="R59" s="12" t="str"/>
      <x:c r="S59" s="12" t="str"/>
      <x:c r="T59" s="12" t="str"/>
      <x:c r="U59" s="13" t="str"/>
      <x:c r="V59" s="12" t="str"/>
      <x:c r="W59" s="14" t="str">
        <x:f>IF(A59="","",IF(X59&lt;&gt;A59,"Bulgu kaydı eksik",IF(V59="Kapalı",IF(AND(S59&lt;&gt;B59,S59&lt;&gt;"",COUNTIFS(Exec[TestID],S59,Exec[GecerliSonuc],"Uygun",Exec[KontrolID],INDEX(Exec[KontrolID],MATCH(B59,Exec[TestID],0)),Exec[KapsamID],INDEX(Exec[KapsamID],MATCH(B59,Exec[TestID],0)),Exec[Hedef / tenant / örneklem],INDEX(Exec[Hedef / tenant / örneklem],MATCH(B59,Exec[TestID],0)))=1,T59&lt;&gt;"",ISNUMBER(U59),U59&gt;0),"Kapalı","Kapanış kanıtı eksik"),IF(V59="Risk kabulü",IF(AND(R59&lt;&gt;"",N59&lt;&gt;"",L59&lt;&gt;"",M59&lt;&gt;""),"Risk kabulü","Risk kabul kaydı eksik"),IF(V59="","Durum eksik",V59)))))</x:f>
      </x:c>
      <x:c r="X59" s="14" t="str">
        <x:f>IF(A59="","",IF(AND(COUNTIF(Findings[BulguID],A59)=1,COUNTIF(Exec[TestID],B59)=1,C59&lt;&gt;"",D59&lt;&gt;"",E59&lt;&gt;"",G59&lt;&gt;"",H59&lt;&gt;""),A59,"Bulgu kaydı eksik"))</x:f>
      </x:c>
    </x:row>
    <x:row r="60" ht="35" customHeight="1">
      <x:c r="A60" s="12" t="str"/>
      <x:c r="B60" s="12" t="str"/>
      <x:c r="C60" s="12" t="str"/>
      <x:c r="D60" s="12" t="str"/>
      <x:c r="E60" s="12" t="str"/>
      <x:c r="F60" s="12" t="str"/>
      <x:c r="G60" s="12" t="str"/>
      <x:c r="H60" s="12" t="str"/>
      <x:c r="I60" s="12" t="str"/>
      <x:c r="J60" s="12" t="str"/>
      <x:c r="K60" s="12" t="str"/>
      <x:c r="L60" s="12" t="str"/>
      <x:c r="M60" s="12" t="str"/>
      <x:c r="N60" s="12" t="str"/>
      <x:c r="O60" s="12" t="str"/>
      <x:c r="P60" s="12" t="str"/>
      <x:c r="Q60" s="13" t="str"/>
      <x:c r="R60" s="12" t="str"/>
      <x:c r="S60" s="12" t="str"/>
      <x:c r="T60" s="12" t="str"/>
      <x:c r="U60" s="13" t="str"/>
      <x:c r="V60" s="12" t="str"/>
      <x:c r="W60" s="14" t="str">
        <x:f>IF(A60="","",IF(X60&lt;&gt;A60,"Bulgu kaydı eksik",IF(V60="Kapalı",IF(AND(S60&lt;&gt;B60,S60&lt;&gt;"",COUNTIFS(Exec[TestID],S60,Exec[GecerliSonuc],"Uygun",Exec[KontrolID],INDEX(Exec[KontrolID],MATCH(B60,Exec[TestID],0)),Exec[KapsamID],INDEX(Exec[KapsamID],MATCH(B60,Exec[TestID],0)),Exec[Hedef / tenant / örneklem],INDEX(Exec[Hedef / tenant / örneklem],MATCH(B60,Exec[TestID],0)))=1,T60&lt;&gt;"",ISNUMBER(U60),U60&gt;0),"Kapalı","Kapanış kanıtı eksik"),IF(V60="Risk kabulü",IF(AND(R60&lt;&gt;"",N60&lt;&gt;"",L60&lt;&gt;"",M60&lt;&gt;""),"Risk kabulü","Risk kabul kaydı eksik"),IF(V60="","Durum eksik",V60)))))</x:f>
      </x:c>
      <x:c r="X60" s="14" t="str">
        <x:f>IF(A60="","",IF(AND(COUNTIF(Findings[BulguID],A60)=1,COUNTIF(Exec[TestID],B60)=1,C60&lt;&gt;"",D60&lt;&gt;"",E60&lt;&gt;"",G60&lt;&gt;"",H60&lt;&gt;""),A60,"Bulgu kaydı eksik"))</x:f>
      </x:c>
    </x:row>
    <x:row r="61" ht="35" customHeight="1">
      <x:c r="A61" s="12" t="str"/>
      <x:c r="B61" s="12" t="str"/>
      <x:c r="C61" s="12" t="str"/>
      <x:c r="D61" s="12" t="str"/>
      <x:c r="E61" s="12" t="str"/>
      <x:c r="F61" s="12" t="str"/>
      <x:c r="G61" s="12" t="str"/>
      <x:c r="H61" s="12" t="str"/>
      <x:c r="I61" s="12" t="str"/>
      <x:c r="J61" s="12" t="str"/>
      <x:c r="K61" s="12" t="str"/>
      <x:c r="L61" s="12" t="str"/>
      <x:c r="M61" s="12" t="str"/>
      <x:c r="N61" s="12" t="str"/>
      <x:c r="O61" s="12" t="str"/>
      <x:c r="P61" s="12" t="str"/>
      <x:c r="Q61" s="13" t="str"/>
      <x:c r="R61" s="12" t="str"/>
      <x:c r="S61" s="12" t="str"/>
      <x:c r="T61" s="12" t="str"/>
      <x:c r="U61" s="13" t="str"/>
      <x:c r="V61" s="12" t="str"/>
      <x:c r="W61" s="14" t="str">
        <x:f>IF(A61="","",IF(X61&lt;&gt;A61,"Bulgu kaydı eksik",IF(V61="Kapalı",IF(AND(S61&lt;&gt;B61,S61&lt;&gt;"",COUNTIFS(Exec[TestID],S61,Exec[GecerliSonuc],"Uygun",Exec[KontrolID],INDEX(Exec[KontrolID],MATCH(B61,Exec[TestID],0)),Exec[KapsamID],INDEX(Exec[KapsamID],MATCH(B61,Exec[TestID],0)),Exec[Hedef / tenant / örneklem],INDEX(Exec[Hedef / tenant / örneklem],MATCH(B61,Exec[TestID],0)))=1,T61&lt;&gt;"",ISNUMBER(U61),U61&gt;0),"Kapalı","Kapanış kanıtı eksik"),IF(V61="Risk kabulü",IF(AND(R61&lt;&gt;"",N61&lt;&gt;"",L61&lt;&gt;"",M61&lt;&gt;""),"Risk kabulü","Risk kabul kaydı eksik"),IF(V61="","Durum eksik",V61)))))</x:f>
      </x:c>
      <x:c r="X61" s="14" t="str">
        <x:f>IF(A61="","",IF(AND(COUNTIF(Findings[BulguID],A61)=1,COUNTIF(Exec[TestID],B61)=1,C61&lt;&gt;"",D61&lt;&gt;"",E61&lt;&gt;"",G61&lt;&gt;"",H61&lt;&gt;""),A61,"Bulgu kaydı eksik"))</x:f>
      </x:c>
    </x:row>
    <x:row r="62" ht="35" customHeight="1">
      <x:c r="A62" s="12" t="str"/>
      <x:c r="B62" s="12" t="str"/>
      <x:c r="C62" s="12" t="str"/>
      <x:c r="D62" s="12" t="str"/>
      <x:c r="E62" s="12" t="str"/>
      <x:c r="F62" s="12" t="str"/>
      <x:c r="G62" s="12" t="str"/>
      <x:c r="H62" s="12" t="str"/>
      <x:c r="I62" s="12" t="str"/>
      <x:c r="J62" s="12" t="str"/>
      <x:c r="K62" s="12" t="str"/>
      <x:c r="L62" s="12" t="str"/>
      <x:c r="M62" s="12" t="str"/>
      <x:c r="N62" s="12" t="str"/>
      <x:c r="O62" s="12" t="str"/>
      <x:c r="P62" s="12" t="str"/>
      <x:c r="Q62" s="13" t="str"/>
      <x:c r="R62" s="12" t="str"/>
      <x:c r="S62" s="12" t="str"/>
      <x:c r="T62" s="12" t="str"/>
      <x:c r="U62" s="13" t="str"/>
      <x:c r="V62" s="12" t="str"/>
      <x:c r="W62" s="14" t="str">
        <x:f>IF(A62="","",IF(X62&lt;&gt;A62,"Bulgu kaydı eksik",IF(V62="Kapalı",IF(AND(S62&lt;&gt;B62,S62&lt;&gt;"",COUNTIFS(Exec[TestID],S62,Exec[GecerliSonuc],"Uygun",Exec[KontrolID],INDEX(Exec[KontrolID],MATCH(B62,Exec[TestID],0)),Exec[KapsamID],INDEX(Exec[KapsamID],MATCH(B62,Exec[TestID],0)),Exec[Hedef / tenant / örneklem],INDEX(Exec[Hedef / tenant / örneklem],MATCH(B62,Exec[TestID],0)))=1,T62&lt;&gt;"",ISNUMBER(U62),U62&gt;0),"Kapalı","Kapanış kanıtı eksik"),IF(V62="Risk kabulü",IF(AND(R62&lt;&gt;"",N62&lt;&gt;"",L62&lt;&gt;"",M62&lt;&gt;""),"Risk kabulü","Risk kabul kaydı eksik"),IF(V62="","Durum eksik",V62)))))</x:f>
      </x:c>
      <x:c r="X62" s="14" t="str">
        <x:f>IF(A62="","",IF(AND(COUNTIF(Findings[BulguID],A62)=1,COUNTIF(Exec[TestID],B62)=1,C62&lt;&gt;"",D62&lt;&gt;"",E62&lt;&gt;"",G62&lt;&gt;"",H62&lt;&gt;""),A62,"Bulgu kaydı eksik"))</x:f>
      </x:c>
    </x:row>
    <x:row r="63" ht="35" customHeight="1">
      <x:c r="A63" s="12" t="str"/>
      <x:c r="B63" s="12" t="str"/>
      <x:c r="C63" s="12" t="str"/>
      <x:c r="D63" s="12" t="str"/>
      <x:c r="E63" s="12" t="str"/>
      <x:c r="F63" s="12" t="str"/>
      <x:c r="G63" s="12" t="str"/>
      <x:c r="H63" s="12" t="str"/>
      <x:c r="I63" s="12" t="str"/>
      <x:c r="J63" s="12" t="str"/>
      <x:c r="K63" s="12" t="str"/>
      <x:c r="L63" s="12" t="str"/>
      <x:c r="M63" s="12" t="str"/>
      <x:c r="N63" s="12" t="str"/>
      <x:c r="O63" s="12" t="str"/>
      <x:c r="P63" s="12" t="str"/>
      <x:c r="Q63" s="13" t="str"/>
      <x:c r="R63" s="12" t="str"/>
      <x:c r="S63" s="12" t="str"/>
      <x:c r="T63" s="12" t="str"/>
      <x:c r="U63" s="13" t="str"/>
      <x:c r="V63" s="12" t="str"/>
      <x:c r="W63" s="14" t="str">
        <x:f>IF(A63="","",IF(X63&lt;&gt;A63,"Bulgu kaydı eksik",IF(V63="Kapalı",IF(AND(S63&lt;&gt;B63,S63&lt;&gt;"",COUNTIFS(Exec[TestID],S63,Exec[GecerliSonuc],"Uygun",Exec[KontrolID],INDEX(Exec[KontrolID],MATCH(B63,Exec[TestID],0)),Exec[KapsamID],INDEX(Exec[KapsamID],MATCH(B63,Exec[TestID],0)),Exec[Hedef / tenant / örneklem],INDEX(Exec[Hedef / tenant / örneklem],MATCH(B63,Exec[TestID],0)))=1,T63&lt;&gt;"",ISNUMBER(U63),U63&gt;0),"Kapalı","Kapanış kanıtı eksik"),IF(V63="Risk kabulü",IF(AND(R63&lt;&gt;"",N63&lt;&gt;"",L63&lt;&gt;"",M63&lt;&gt;""),"Risk kabulü","Risk kabul kaydı eksik"),IF(V63="","Durum eksik",V63)))))</x:f>
      </x:c>
      <x:c r="X63" s="14" t="str">
        <x:f>IF(A63="","",IF(AND(COUNTIF(Findings[BulguID],A63)=1,COUNTIF(Exec[TestID],B63)=1,C63&lt;&gt;"",D63&lt;&gt;"",E63&lt;&gt;"",G63&lt;&gt;"",H63&lt;&gt;""),A63,"Bulgu kaydı eksik"))</x:f>
      </x:c>
    </x:row>
    <x:row r="64" ht="35" customHeight="1">
      <x:c r="A64" s="12" t="str"/>
      <x:c r="B64" s="12" t="str"/>
      <x:c r="C64" s="12" t="str"/>
      <x:c r="D64" s="12" t="str"/>
      <x:c r="E64" s="12" t="str"/>
      <x:c r="F64" s="12" t="str"/>
      <x:c r="G64" s="12" t="str"/>
      <x:c r="H64" s="12" t="str"/>
      <x:c r="I64" s="12" t="str"/>
      <x:c r="J64" s="12" t="str"/>
      <x:c r="K64" s="12" t="str"/>
      <x:c r="L64" s="12" t="str"/>
      <x:c r="M64" s="12" t="str"/>
      <x:c r="N64" s="12" t="str"/>
      <x:c r="O64" s="12" t="str"/>
      <x:c r="P64" s="12" t="str"/>
      <x:c r="Q64" s="13" t="str"/>
      <x:c r="R64" s="12" t="str"/>
      <x:c r="S64" s="12" t="str"/>
      <x:c r="T64" s="12" t="str"/>
      <x:c r="U64" s="13" t="str"/>
      <x:c r="V64" s="12" t="str"/>
      <x:c r="W64" s="14" t="str">
        <x:f>IF(A64="","",IF(X64&lt;&gt;A64,"Bulgu kaydı eksik",IF(V64="Kapalı",IF(AND(S64&lt;&gt;B64,S64&lt;&gt;"",COUNTIFS(Exec[TestID],S64,Exec[GecerliSonuc],"Uygun",Exec[KontrolID],INDEX(Exec[KontrolID],MATCH(B64,Exec[TestID],0)),Exec[KapsamID],INDEX(Exec[KapsamID],MATCH(B64,Exec[TestID],0)),Exec[Hedef / tenant / örneklem],INDEX(Exec[Hedef / tenant / örneklem],MATCH(B64,Exec[TestID],0)))=1,T64&lt;&gt;"",ISNUMBER(U64),U64&gt;0),"Kapalı","Kapanış kanıtı eksik"),IF(V64="Risk kabulü",IF(AND(R64&lt;&gt;"",N64&lt;&gt;"",L64&lt;&gt;"",M64&lt;&gt;""),"Risk kabulü","Risk kabul kaydı eksik"),IF(V64="","Durum eksik",V64)))))</x:f>
      </x:c>
      <x:c r="X64" s="14" t="str">
        <x:f>IF(A64="","",IF(AND(COUNTIF(Findings[BulguID],A64)=1,COUNTIF(Exec[TestID],B64)=1,C64&lt;&gt;"",D64&lt;&gt;"",E64&lt;&gt;"",G64&lt;&gt;"",H64&lt;&gt;""),A64,"Bulgu kaydı eksik"))</x:f>
      </x:c>
    </x:row>
    <x:row r="65" ht="35" customHeight="1">
      <x:c r="A65" s="12" t="str"/>
      <x:c r="B65" s="12" t="str"/>
      <x:c r="C65" s="12" t="str"/>
      <x:c r="D65" s="12" t="str"/>
      <x:c r="E65" s="12" t="str"/>
      <x:c r="F65" s="12" t="str"/>
      <x:c r="G65" s="12" t="str"/>
      <x:c r="H65" s="12" t="str"/>
      <x:c r="I65" s="12" t="str"/>
      <x:c r="J65" s="12" t="str"/>
      <x:c r="K65" s="12" t="str"/>
      <x:c r="L65" s="12" t="str"/>
      <x:c r="M65" s="12" t="str"/>
      <x:c r="N65" s="12" t="str"/>
      <x:c r="O65" s="12" t="str"/>
      <x:c r="P65" s="12" t="str"/>
      <x:c r="Q65" s="13" t="str"/>
      <x:c r="R65" s="12" t="str"/>
      <x:c r="S65" s="12" t="str"/>
      <x:c r="T65" s="12" t="str"/>
      <x:c r="U65" s="13" t="str"/>
      <x:c r="V65" s="12" t="str"/>
      <x:c r="W65" s="14" t="str">
        <x:f>IF(A65="","",IF(X65&lt;&gt;A65,"Bulgu kaydı eksik",IF(V65="Kapalı",IF(AND(S65&lt;&gt;B65,S65&lt;&gt;"",COUNTIFS(Exec[TestID],S65,Exec[GecerliSonuc],"Uygun",Exec[KontrolID],INDEX(Exec[KontrolID],MATCH(B65,Exec[TestID],0)),Exec[KapsamID],INDEX(Exec[KapsamID],MATCH(B65,Exec[TestID],0)),Exec[Hedef / tenant / örneklem],INDEX(Exec[Hedef / tenant / örneklem],MATCH(B65,Exec[TestID],0)))=1,T65&lt;&gt;"",ISNUMBER(U65),U65&gt;0),"Kapalı","Kapanış kanıtı eksik"),IF(V65="Risk kabulü",IF(AND(R65&lt;&gt;"",N65&lt;&gt;"",L65&lt;&gt;"",M65&lt;&gt;""),"Risk kabulü","Risk kabul kaydı eksik"),IF(V65="","Durum eksik",V65)))))</x:f>
      </x:c>
      <x:c r="X65" s="14" t="str">
        <x:f>IF(A65="","",IF(AND(COUNTIF(Findings[BulguID],A65)=1,COUNTIF(Exec[TestID],B65)=1,C65&lt;&gt;"",D65&lt;&gt;"",E65&lt;&gt;"",G65&lt;&gt;"",H65&lt;&gt;""),A65,"Bulgu kaydı eksik"))</x:f>
      </x:c>
    </x:row>
  </x:sheetData>
  <x:conditionalFormatting sqref="V6:V65">
    <x:cfRule type="expression" dxfId="4" priority="1">
      <x:formula>AND($V6="Kapalı",OR($S6="",$T6="",NOT(ISNUMBER($U6))))</x:formula>
    </x:cfRule>
  </x:conditionalFormatting>
  <x:conditionalFormatting sqref="W6:X65">
    <x:cfRule type="containsText" dxfId="5" priority="2" operator="containsText" text="eksik"/>
  </x:conditionalFormatting>
  <x:dataValidations count="3">
    <x:dataValidation type="list" errorStyle="stop" showErrorMessage="1" errorTitle="Geçersiz seçim" error="Listede tanımlı bir değer seçin." sqref="J6:J65">
      <x:formula1>"Değerlendirilmedi,Düşük,Orta,Yüksek,Kritik"</x:formula1>
    </x:dataValidation>
    <x:dataValidation type="list" errorStyle="stop" showErrorMessage="1" errorTitle="Geçersiz seçim" error="Listede tanımlı bir değer seçin." sqref="M6:M65">
      <x:formula1>"Değerlendirilmedi,Düşük,Orta,Yüksek,Kritik"</x:formula1>
    </x:dataValidation>
    <x:dataValidation type="list" errorStyle="stop" showErrorMessage="1" errorTitle="Geçersiz seçim" error="Listede tanımlı bir değer seçin." sqref="V6:V65">
      <x:formula1>"Açık,Aksiyon sürüyor,Tekrar test bekliyor,Risk kabulü,Kapalı"</x:formula1>
    </x:dataValidation>
  </x:dataValidations>
  <x:pageMargins left="0.7" right="0.7" top="0.75" bottom="0.75" header="0.3" footer="0.3"/>
  <x:tableParts count="1">
    <x:tablePart xmlns:r="http://schemas.openxmlformats.org/officeDocument/2006/relationships" r:id="Rfb02a33b122c4787"/>
  </x:tableParts>
</x:worksheet>
</file>

<file path=xl/worksheets/sheet6.xml><?xml version="1.0" encoding="utf-8"?>
<x:worksheet xmlns:x="http://schemas.openxmlformats.org/spreadsheetml/2006/main">
  <x:sheetPr>
    <x:tabColor rgb="FF5B7383"/>
  </x:sheetPr>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MSP Genel</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70" customHeight="1">
      <x:c r="A6" s="6" t="str">
        <x:v>GNL-01-01</x:v>
      </x:c>
      <x:c r="B6" s="6" t="str">
        <x:v>Yönetişim ve sorumluluk</x:v>
      </x:c>
      <x:c r="C6" s="6" t="str">
        <x:v>Hizmet kataloğu; sunulan her hizmetin kapsamı, sahibi, kritikliği, müşterisi ve güvenlik sorumluluk matrisiyle birlikte onaylı mı?</x:v>
      </x:c>
      <x:c r="D6" s="6" t="str">
        <x:v>Her aktif hizmet ve müşteri kaydı tekil kimlik, sahip, kritik sınıf ve güncel onay taşır.</x:v>
      </x:c>
      <x:c r="E6" s="6" t="str">
        <x:v>Risk senaryosu (atıflı kontrol amacından denetçi değerlendirmesi): Hizmetin sahibi ve kapsamı belli değilse güvenlik kontrolü veya müşteri taahhüdü için sorumluluk atanmayabilir; hizmet değişiklikleri kontrol evreninin dışında kalabilir.</x:v>
      </x:c>
      <x:c r="F6" s="6" t="str">
        <x:v>Hizmet kataloğu, RACI, yönetim onayı</x:v>
      </x:c>
      <x:c r="G6" s="6" t="str">
        <x:v>Salt okunur sistem çıktısını onaylı süreç/politika kaydıyla karşılaştır; ölçütteki her koşul için kanıt konumu ve ayrı alt sonucu kaydet. Yalnız görüşme veya ekran görüntüsüyle fiili işleyiş sonucunu kapatma.</x:v>
      </x:c>
      <x:c r="H6" s="6" t="str">
        <x:v>Kurulu ürün/dağıtım, müşteri sözleşmesi ve işlev desteği Kapsam kaydında doğrulanır. Tüm hizmet modellerinde uygulanır; kapsam kurumun hizmet kataloğuyla sınırlanır.</x:v>
      </x:c>
      <x:c r="I6" s="6" t="str">
        <x:v>Kurum için onaylı periyot/eşik gerekir; metindeki uygulama örnekleri NIST’in zorunlu ürün parametresi değildir. Üretimde değişiklik veya kesinti testi yapılmaz.</x:v>
      </x:c>
      <x:c r="J6" s="6" t="str">
        <x:v>NIST-53: PM-1; PM-5; PL-2</x:v>
      </x:c>
      <x:c r="K6" s="6" t="str">
        <x:v>PM-1; PM-5; PL-2</x:v>
      </x:c>
      <x:c r="L6" s="6" t="str">
        <x:v>2 eski soru. Birleştirme İzini bu Kontrol ID ile süzün.</x:v>
      </x:c>
    </x:row>
    <x:row r="7" ht="85" customHeight="1">
      <x:c r="A7" s="6" t="str">
        <x:v>GNL-01-02</x:v>
      </x:c>
      <x:c r="B7" s="6" t="str">
        <x:v>Yönetişim ve sorumluluk</x:v>
      </x:c>
      <x:c r="C7" s="6" t="str">
        <x:v>Bilgi güvenliği politikaları MSP, çoklu müşteri ve bulut hizmet modelinin özel risklerini kapsıyor ve kurum tarafından belirlenen sıklıkta gözden geçiriliyor mu?</x:v>
      </x:c>
      <x:c r="D7" s="6" t="str">
        <x:v>Kapsam, sürüm, sahip, onay ve gözden geçirme izi mevcuttur; uygulama ile çelişki yoktur.</x:v>
      </x:c>
      <x:c r="E7" s="6" t="str">
        <x:v>Risk senaryosu (atıflı kontrol amacından denetçi değerlendirmesi): Politika ortak altyapı ve müşteri sınırlarını kapsamıyorsa ekipler aynı güvenlik gereksinimini farklı uygulayabilir; yeni hizmet modeli eski kurallarla korunmaya çalışılabilir.</x:v>
      </x:c>
      <x:c r="F7" s="6" t="str">
        <x:v>Politika seti, revizyon ve onay kayıtları</x:v>
      </x:c>
      <x:c r="G7" s="6" t="str">
        <x:v>Salt okunur sistem çıktısını onaylı süreç/politika kaydıyla karşılaştır; ölçütteki her koşul için kanıt konumu ve ayrı alt sonucu kaydet. Yalnız görüşme veya ekran görüntüsüyle fiili işleyiş sonucunu kapatma.</x:v>
      </x:c>
      <x:c r="H7" s="6" t="str">
        <x:v>Kurulu ürün/dağıtım, müşteri sözleşmesi ve işlev desteği Kapsam kaydında doğrulanır. Tüm hizmet modellerinde uygulanır; kapsam kurumun hizmet kataloğuyla sınırlanır.</x:v>
      </x:c>
      <x:c r="I7" s="6" t="str">
        <x:v>Kurum için onaylı periyot/eşik gerekir; metindeki uygulama örnekleri NIST’in zorunlu ürün parametresi değildir. Üretimde değişiklik veya kesinti testi yapılmaz.</x:v>
      </x:c>
      <x:c r="J7" s="6" t="str">
        <x:v>NIST-53: PL-1; PM-1</x:v>
      </x:c>
      <x:c r="K7" s="6" t="str">
        <x:v>PL-1; PM-1</x:v>
      </x:c>
      <x:c r="L7" s="6" t="str">
        <x:v>1 eski soru. Birleştirme İzini bu Kontrol ID ile süzün.</x:v>
      </x:c>
    </x:row>
    <x:row r="8" ht="70" customHeight="1">
      <x:c r="A8" s="6" t="str">
        <x:v>GNL-01-03</x:v>
      </x:c>
      <x:c r="B8" s="6" t="str">
        <x:v>Yönetişim ve sorumluluk</x:v>
      </x:c>
      <x:c r="C8" s="6" t="str">
        <x:v>Hizmet sağlayıcı ile müşteri arasındaki paylaşılan sorumluluk modeli her ürün ve kontrol alanı için açıkça tanımlanmış mı?</x:v>
      </x:c>
      <x:c r="D8" s="6" t="str">
        <x:v>Her kontrolün sağlayıcı/müşteri/ortak sorumluluğu ve eskalasyon noktası bellidir.</x:v>
      </x:c>
      <x:c r="E8" s="6" t="str">
        <x:v>Risk senaryosu (atıflı kontrol amacından denetçi değerlendirmesi): Sağlayıcı ve müşteri aynı kontrolü karşı tarafın yaptığına inanırsa yama, izleme veya yedekleme gibi görevler fiilen yapılmayabilir.</x:v>
      </x:c>
      <x:c r="F8" s="6" t="str">
        <x:v>Paylaşılan sorumluluk matrisi, sözleşme ekleri | Birleşen kapsam: Hukuk/uyum değerlendirmesi, sözleşme ve ekleri</x:v>
      </x:c>
      <x:c r="G8" s="6" t="str">
        <x:v>Salt okunur sistem çıktısını onaylı süreç/politika kaydıyla karşılaştır; ölçütteki her koşul için kanıt konumu ve ayrı alt sonucu kaydet. Yalnız görüşme veya ekran görüntüsüyle fiili işleyiş sonucunu kapatma.</x:v>
      </x:c>
      <x:c r="H8" s="6" t="str">
        <x:v>Kurulu ürün/dağıtım, müşteri sözleşmesi ve işlev desteği Kapsam kaydında doğrulanır. Tüm hizmet modellerinde uygulanır; kapsam kurumun hizmet kataloğuyla sınırlanır.</x:v>
      </x:c>
      <x:c r="I8" s="6" t="str">
        <x:v>Kurum için onaylı periyot/eşik gerekir; metindeki uygulama örnekleri NIST’in zorunlu ürün parametresi değildir. Üretimde değişiklik veya kesinti testi yapılmaz.</x:v>
      </x:c>
      <x:c r="J8" s="6" t="str">
        <x:v>NIST-53: PM-2; PS-7; SA-9</x:v>
      </x:c>
      <x:c r="K8" s="6" t="str">
        <x:v>PM-2; PS-7; SA-9</x:v>
      </x:c>
      <x:c r="L8" s="6" t="str">
        <x:v>3 eski soru. Birleştirme İzini bu Kontrol ID ile süzün.</x:v>
      </x:c>
    </x:row>
    <x:row r="9" ht="70" customHeight="1">
      <x:c r="A9" s="6" t="str">
        <x:v>GNL-01-04</x:v>
      </x:c>
      <x:c r="B9" s="6" t="str">
        <x:v>Yönetişim ve sorumluluk</x:v>
      </x:c>
      <x:c r="C9" s="6" t="str">
        <x:v>Yönetim kurulu/üst yönetim; hizmet güvenliği, önemli riskler, istisnalar, olaylar ve SLA ihlallerini düzenli raporlarla gözetiyor mu?</x:v>
      </x:c>
      <x:c r="D9" s="6" t="str">
        <x:v>Karar, aksiyon, sahip ve kapanış kayıtları örneklerle doğrulanır.</x:v>
      </x:c>
      <x:c r="E9" s="6" t="str">
        <x:v>Risk senaryosu (atıflı kontrol amacından denetçi değerlendirmesi): Önemli riskler ve tekrarlayan hizmet ihlalleri yönetime ulaşmazsa gerekli kaynak veya risk kabul kararı gecikebilir; geçici istisnalar kalıcılaşabilir.</x:v>
      </x:c>
      <x:c r="F9" s="6" t="str">
        <x:v>Komite gündem/tutanakları, KPI/KRI raporları</x:v>
      </x:c>
      <x:c r="G9" s="6" t="str">
        <x:v>Salt okunur sistem çıktısını onaylı süreç/politika kaydıyla karşılaştır; ölçütteki her koşul için kanıt konumu ve ayrı alt sonucu kaydet. Yalnız görüşme veya ekran görüntüsüyle fiili işleyiş sonucunu kapatma.</x:v>
      </x:c>
      <x:c r="H9" s="6" t="str">
        <x:v>Kurulu ürün/dağıtım, müşteri sözleşmesi ve işlev desteği Kapsam kaydında doğrulanır. Tüm hizmet modellerinde uygulanır; kapsam kurumun hizmet kataloğuyla sınırlanır.</x:v>
      </x:c>
      <x:c r="I9" s="6" t="str">
        <x:v>Kurum için onaylı periyot/eşik gerekir; metindeki uygulama örnekleri NIST’in zorunlu ürün parametresi değildir. Üretimde değişiklik veya kesinti testi yapılmaz.</x:v>
      </x:c>
      <x:c r="J9" s="6" t="str">
        <x:v>NIST-53: CA-7; PM-9</x:v>
      </x:c>
      <x:c r="K9" s="6" t="str">
        <x:v>CA-7; PM-9</x:v>
      </x:c>
      <x:c r="L9" s="6" t="str">
        <x:v>1 eski soru. Birleştirme İzini bu Kontrol ID ile süzün.</x:v>
      </x:c>
    </x:row>
    <x:row r="10" ht="70" customHeight="1">
      <x:c r="A10" s="6" t="str">
        <x:v>GNL-01-05</x:v>
      </x:c>
      <x:c r="B10" s="6" t="str">
        <x:v>Yönetişim ve sorumluluk</x:v>
      </x:c>
      <x:c r="C10" s="6" t="str">
        <x:v>Operasyon, kontrol gözetimi ve bağımsız denetim görevleri ayrılmış mı?</x:v>
      </x:c>
      <x:c r="D10" s="6" t="str">
        <x:v>Görev/rol matrisi ve bağımsız inceleme kayıtları kontrolsüz talep-onay-uygulama birleşmesini önlemeli.</x:v>
      </x:c>
      <x:c r="E10" s="6" t="str">
        <x:v>Risk senaryosu (atıflı kontrol amacından denetçi değerlendirmesi): Bir kişi kendi yaptığı işlemi onaylıyor ve denetliyorsa yetkisiz değişiklik veya hatayı gizleyebilir; bağımsız itiraz ve tespit olanağı azalabilir.</x:v>
      </x:c>
      <x:c r="F10" s="6" t="str">
        <x:v>Organizasyon şeması, görev tanımları, denetim evreni | Birleşen kapsam: SoD matrisi, rol exportları, onay akışları | Birleşen kapsam: Rol matrisi, izin/rotasyon kayıtları, istisnalar</x:v>
      </x:c>
      <x:c r="G10" s="6" t="str">
        <x:v>Salt okunur sistem çıktısını onaylı süreç/politika kaydıyla karşılaştır; ölçütteki her koşul için kanıt konumu ve ayrı alt sonucu kaydet. Yalnız görüşme veya ekran görüntüsüyle fiili işleyiş sonucunu kapatma.</x:v>
      </x:c>
      <x:c r="H10" s="6" t="str">
        <x:v>Kurulu ürün/dağıtım, müşteri sözleşmesi ve işlev desteği Kapsam kaydında doğrulanır. Tüm hizmet modellerinde uygulanır; kapsam kurumun hizmet kataloğuyla sınırlanır.</x:v>
      </x:c>
      <x:c r="I10" s="6" t="str">
        <x:v>Kurum için onaylı periyot/eşik gerekir; metindeki uygulama örnekleri NIST’in zorunlu ürün parametresi değildir. Üretimde değişiklik veya kesinti testi yapılmaz.</x:v>
      </x:c>
      <x:c r="J10" s="6" t="str">
        <x:v>NIST-53: AC-5; CA-2</x:v>
      </x:c>
      <x:c r="K10" s="6" t="str">
        <x:v>AC-5; CA-2</x:v>
      </x:c>
      <x:c r="L10" s="6" t="str">
        <x:v>4 eski soru. Birleştirme İzini bu Kontrol ID ile süzün.</x:v>
      </x:c>
    </x:row>
    <x:row r="11" ht="70" customHeight="1">
      <x:c r="A11" s="6" t="str">
        <x:v>GNL-01-06</x:v>
      </x:c>
      <x:c r="B11" s="6" t="str">
        <x:v>Yönetişim ve sorumluluk</x:v>
      </x:c>
      <x:c r="C11" s="6" t="str">
        <x:v>Hizmet ve güvenlik KPI/KRI eşikleri, veri kaynağı, hesaplama yöntemi, sahip ve eskalasyonuyla tanımlı mı?</x:v>
      </x:c>
      <x:c r="D11" s="6" t="str">
        <x:v>Raporlanan metrik ham kaynaktan yeniden üretilebilir; eşik ihlali aksiyona bağlanır.</x:v>
      </x:c>
      <x:c r="E11" s="6" t="str">
        <x:v>Risk senaryosu (atıflı kontrol amacından denetçi değerlendirmesi): Gösterge hesabı, veri kaynağı veya eskalasyon eşiği tanımsızsa aynı hizmet farklı raporlanabilir; bozulma görünür olduğu halde aksiyon başlamayabilir.</x:v>
      </x:c>
      <x:c r="F11" s="6" t="str">
        <x:v>KPI/KRI kataloğu, örnek rapor ve ham veri</x:v>
      </x:c>
      <x:c r="G11" s="6" t="str">
        <x:v>Salt okunur sistem çıktısını onaylı süreç/politika kaydıyla karşılaştır; ölçütteki her koşul için kanıt konumu ve ayrı alt sonucu kaydet. Yalnız görüşme veya ekran görüntüsüyle fiili işleyiş sonucunu kapatma.</x:v>
      </x:c>
      <x:c r="H11" s="6" t="str">
        <x:v>Kurulu ürün/dağıtım, müşteri sözleşmesi ve işlev desteği Kapsam kaydında doğrulanır. Tüm hizmet modellerinde uygulanır; kapsam kurumun hizmet kataloğuyla sınırlanır.</x:v>
      </x:c>
      <x:c r="I11" s="6" t="str">
        <x:v>Kurum için onaylı periyot/eşik gerekir; metindeki uygulama örnekleri NIST’in zorunlu ürün parametresi değildir. Üretimde değişiklik veya kesinti testi yapılmaz.</x:v>
      </x:c>
      <x:c r="J11" s="6" t="str">
        <x:v>NIST-53: PM-6; CA-7</x:v>
      </x:c>
      <x:c r="K11" s="6" t="str">
        <x:v>PM-6; CA-7</x:v>
      </x:c>
      <x:c r="L11" s="6" t="str">
        <x:v>2 eski soru. Birleştirme İzini bu Kontrol ID ile süzün.</x:v>
      </x:c>
    </x:row>
    <x:row r="12" ht="70" customHeight="1">
      <x:c r="A12" s="6" t="str">
        <x:v>GNL-02-01</x:v>
      </x:c>
      <x:c r="B12" s="6" t="str">
        <x:v>Varlık ve kapsam yönetimi</x:v>
      </x:c>
      <x:c r="C12" s="6" t="str">
        <x:v>Tüm fiziksel/sanal varlıklar, yazılım bileşenleri, lisanslar, sürümler, lokasyonlar ve sorumlular güncel envanterde mi?</x:v>
      </x:c>
      <x:c r="D12" s="6" t="str">
        <x:v>Teknik keşif çıktısı ile envanter arasında açıklanmamış aktif varlık farkı yoktur.</x:v>
      </x:c>
      <x:c r="E12" s="6" t="str">
        <x:v>Risk senaryosu (atıflı kontrol amacından denetçi değerlendirmesi): Envanterde bulunmayan bileşen yama, destek sonu, kapasite ve güvenlik kontrol programına alınmayabilir; olay sırasında etkilenen varlıklar belirlenemeyebilir.</x:v>
      </x:c>
      <x:c r="F12" s="6" t="str">
        <x:v>CMDB/varlık envanteri dışa aktarımı</x:v>
      </x:c>
      <x:c r="G12" s="6" t="str">
        <x:v>Salt okunur sistem çıktısını onaylı süreç/politika kaydıyla karşılaştır; ölçütteki her koşul için kanıt konumu ve ayrı alt sonucu kaydet. Yalnız görüşme veya ekran görüntüsüyle fiili işleyiş sonucunu kapatma.</x:v>
      </x:c>
      <x:c r="H12" s="6" t="str">
        <x:v>Kurulu ürün/dağıtım, müşteri sözleşmesi ve işlev desteği Kapsam kaydında doğrulanır. Tüm hizmetlerde uygulanır; SaaS bileşenlerinde envanter sağlayıcı raporlarıyla tamamlanır.</x:v>
      </x:c>
      <x:c r="I12" s="6" t="str">
        <x:v>Kurum için onaylı periyot/eşik gerekir; metindeki uygulama örnekleri NIST’in zorunlu ürün parametresi değildir. Üretimde değişiklik veya kesinti testi yapılmaz.</x:v>
      </x:c>
      <x:c r="J12" s="6" t="str">
        <x:v>NIST-53: CM-8; PM-5</x:v>
      </x:c>
      <x:c r="K12" s="6" t="str">
        <x:v>CM-8; PM-5</x:v>
      </x:c>
      <x:c r="L12" s="6" t="str">
        <x:v>24 eski soru. Birleştirme İzini bu Kontrol ID ile süzün.</x:v>
      </x:c>
    </x:row>
    <x:row r="13" ht="70" customHeight="1">
      <x:c r="A13" s="6" t="str">
        <x:v>GNL-02-02</x:v>
      </x:c>
      <x:c r="B13" s="6" t="str">
        <x:v>Varlık ve kapsam yönetimi</x:v>
      </x:c>
      <x:c r="C13" s="6" t="str">
        <x:v>Müşteri-ürün-instance/tenant/VDOM/index/workspace/repository/organizasyon eşleşmesi eksiksiz ve benzersiz olarak tutuluyor mu?</x:v>
      </x:c>
      <x:c r="D13" s="6" t="str">
        <x:v>Her aktif müşteri kaynakları iki yönlü izlenebilir; yetim veya bilinmeyen nesne yoktur.</x:v>
      </x:c>
      <x:c r="E13" s="6" t="str">
        <x:v>Risk senaryosu (atıflı kontrol amacından denetçi değerlendirmesi): Varlık ile müşteri eşlemesi yanlışsa erişim, yedek geri yükleme veya rapor teslimi başka müşterinin nesnesine uygulanabilir.</x:v>
      </x:c>
      <x:c r="F13" s="6" t="str">
        <x:v>Müşteri-hizmet eşleşme matrisi, platform exportları</x:v>
      </x:c>
      <x:c r="G13" s="6" t="str">
        <x:v>Salt okunur sistem çıktısını onaylı süreç/politika kaydıyla karşılaştır; ölçütteki her koşul için kanıt konumu ve ayrı alt sonucu kaydet. Yalnız görüşme veya ekran görüntüsüyle fiili işleyiş sonucunu kapatma.</x:v>
      </x:c>
      <x:c r="H13" s="6" t="str">
        <x:v>Kurulu ürün/dağıtım, müşteri sözleşmesi ve işlev desteği Kapsam kaydında doğrulanır. Tüm hizmetlerde uygulanır; SaaS bileşenlerinde envanter sağlayıcı raporlarıyla tamamlanır.</x:v>
      </x:c>
      <x:c r="I13" s="6" t="str">
        <x:v>Kurum için onaylı periyot/eşik gerekir; metindeki uygulama örnekleri NIST’in zorunlu ürün parametresi değildir. Üretimde değişiklik veya kesinti testi yapılmaz.</x:v>
      </x:c>
      <x:c r="J13" s="6" t="str">
        <x:v>NIST-53: CM-8; AC-3</x:v>
      </x:c>
      <x:c r="K13" s="6" t="str">
        <x:v>CM-8; AC-3</x:v>
      </x:c>
      <x:c r="L13" s="6" t="str">
        <x:v>1 eski soru. Birleştirme İzini bu Kontrol ID ile süzün.</x:v>
      </x:c>
    </x:row>
    <x:row r="14" ht="70" customHeight="1">
      <x:c r="A14" s="6" t="str">
        <x:v>GNL-02-03</x:v>
      </x:c>
      <x:c r="B14" s="6" t="str">
        <x:v>Varlık ve kapsam yönetimi</x:v>
      </x:c>
      <x:c r="C14" s="6" t="str">
        <x:v>İnternet erişimli, yönetim amaçlı ve kritik servis uç noktaları ayrı envanter ve sahiplikle izleniyor mu?</x:v>
      </x:c>
      <x:c r="D14" s="6" t="str">
        <x:v>Keşif sonucu ile onaylı envanter tutarlıdır; sahipsiz yönetim uç noktası yoktur.</x:v>
      </x:c>
      <x:c r="E14" s="6" t="str">
        <x:v>Risk senaryosu (atıflı kontrol amacından denetçi değerlendirmesi): Sahibi bilinmeyen internet veya yönetim uç noktası koruma ve izleme dışında kalabilir; kapatılmış hizmetin arayüzü erişilebilir durumda unutulabilir.</x:v>
      </x:c>
      <x:c r="F14" s="6" t="str">
        <x:v>Dış yüzey envanteri, DNS/sertifika/port taraması</x:v>
      </x:c>
      <x:c r="G14" s="6" t="str">
        <x:v>Salt okunur sistem çıktısını onaylı süreç/politika kaydıyla karşılaştır; ölçütteki her koşul için kanıt konumu ve ayrı alt sonucu kaydet. Yalnız görüşme veya ekran görüntüsüyle fiili işleyiş sonucunu kapatma.</x:v>
      </x:c>
      <x:c r="H14" s="6" t="str">
        <x:v>Kurulu ürün/dağıtım, müşteri sözleşmesi ve işlev desteği Kapsam kaydında doğrulanır. Tüm hizmetlerde uygulanır; SaaS bileşenlerinde envanter sağlayıcı raporlarıyla tamamlanır.</x:v>
      </x:c>
      <x:c r="I14" s="6" t="str">
        <x:v>Kurum için onaylı periyot/eşik gerekir; metindeki uygulama örnekleri NIST’in zorunlu ürün parametresi değildir. Üretimde değişiklik veya kesinti testi yapılmaz.</x:v>
      </x:c>
      <x:c r="J14" s="6" t="str">
        <x:v>NIST-53: CM-8; SC-7; RA-5</x:v>
      </x:c>
      <x:c r="K14" s="6" t="str">
        <x:v>CM-8; SC-7; RA-5</x:v>
      </x:c>
      <x:c r="L14" s="6" t="str">
        <x:v>1 eski soru. Birleştirme İzini bu Kontrol ID ile süzün.</x:v>
      </x:c>
    </x:row>
    <x:row r="15" ht="70" customHeight="1">
      <x:c r="A15" s="6" t="str">
        <x:v>GNL-02-04</x:v>
      </x:c>
      <x:c r="B15" s="6" t="str">
        <x:v>Varlık ve kapsam yönetimi</x:v>
      </x:c>
      <x:c r="C15" s="6" t="str">
        <x:v>Veri akışları, güven sınırları, üçüncü taraf bağlantıları ve müşteri verisinin lokasyonu güncel mimari diyagramlarda gösteriliyor mu?</x:v>
      </x:c>
      <x:c r="D15" s="6" t="str">
        <x:v>Diyagram canlı yapılandırma ve örnek trafik akışlarıyla uyumludur.</x:v>
      </x:c>
      <x:c r="E15" s="6" t="str">
        <x:v>Risk senaryosu (atıflı kontrol amacından denetçi değerlendirmesi): Belgelenmemiş veri akışı veya üçüncü taraf bağlantısı güven sınırını aşabilir; müşteri verisinin nerede işlendiği ve hangi korumaya tabi olduğu doğrulanamayabilir.</x:v>
      </x:c>
      <x:c r="F15" s="6" t="str">
        <x:v>Ağ/veri akış diyagramı, veri işleme envanteri | Birleşen kapsam: Veri akış diyagramı, depolama politikaları, ürün yapılandırma çıktıları | Birleşen kapsam: Gözden geçirme kaydı, yönetim onayı, istisna listesi</x:v>
      </x:c>
      <x:c r="G15" s="6" t="str">
        <x:v>Salt okunur sistem çıktısını onaylı süreç/politika kaydıyla karşılaştır; ölçütteki her koşul için kanıt konumu ve ayrı alt sonucu kaydet. Yalnız görüşme veya ekran görüntüsüyle fiili işleyiş sonucunu kapatma.</x:v>
      </x:c>
      <x:c r="H15" s="6" t="str">
        <x:v>Kurulu ürün/dağıtım, müşteri sözleşmesi ve işlev desteği Kapsam kaydında doğrulanır. Tüm hizmetlerde uygulanır; SaaS bileşenlerinde envanter sağlayıcı raporlarıyla tamamlanır.</x:v>
      </x:c>
      <x:c r="I15" s="6" t="str">
        <x:v>Kurum için onaylı periyot/eşik gerekir; metindeki uygulama örnekleri NIST’in zorunlu ürün parametresi değildir. Üretimde değişiklik veya kesinti testi yapılmaz.</x:v>
      </x:c>
      <x:c r="J15" s="6" t="str">
        <x:v>NIST-53: PL-2; CA-3; SA-8</x:v>
      </x:c>
      <x:c r="K15" s="6" t="str">
        <x:v>PL-2; CA-3; SA-8</x:v>
      </x:c>
      <x:c r="L15" s="6" t="str">
        <x:v>3 eski soru. Birleştirme İzini bu Kontrol ID ile süzün.</x:v>
      </x:c>
    </x:row>
    <x:row r="16" ht="70" customHeight="1">
      <x:c r="A16" s="6" t="str">
        <x:v>GNL-03-01</x:v>
      </x:c>
      <x:c r="B16" s="6" t="str">
        <x:v>Müşteri/tenant izolasyonu</x:v>
      </x:c>
      <x:c r="C16" s="6" t="str">
        <x:v>Tenant izolasyon gereksinimleri kimlik, ağ, hesaplama, depolama, yedek, log, raporlama ve destek düzlemleri için ayrı tanımlı mı?</x:v>
      </x:c>
      <x:c r="D16" s="6" t="str">
        <x:v>Her düzlem için önleyici/tespit edici kontrol, sahip ve test yöntemi tanımlıdır.</x:v>
      </x:c>
      <x:c r="E16" s="6" t="str">
        <x:v>Risk senaryosu (atıflı kontrol amacından denetçi değerlendirmesi): İzolasyon yalnız ağ katmanında tasarlanırsa yedek, kimlik, destek veya raporlama katmanı üzerinden müşteriler arası erişim yolu açık kalabilir.</x:v>
      </x:c>
      <x:c r="F16" s="6" t="str">
        <x:v>İzolasyon standardı ve kontrol matrisi</x:v>
      </x:c>
      <x:c r="G16" s="6" t="str">
        <x:v>Salt okunur sistem çıktısını onaylı süreç/politika kaydıyla karşılaştır; ölçütteki her koşul için kanıt konumu ve ayrı alt sonucu kaydet. Yalnız görüşme veya ekran görüntüsüyle fiili işleyiş sonucunu kapatma.</x:v>
      </x:c>
      <x:c r="H16" s="6" t="str">
        <x:v>Kurulu ürün/dağıtım, müşteri sözleşmesi ve işlev desteği Kapsam kaydında doğrulanır. Yalnız tek müşteriye tahsis edilmiş (dedicated) hizmetlerde gerekçeli olarak daraltılabilir.</x:v>
      </x:c>
      <x:c r="I16" s="6" t="str">
        <x:v>Kurum için onaylı periyot/eşik gerekir; metindeki uygulama örnekleri NIST’in zorunlu ürün parametresi değildir. Üretimde değişiklik veya kesinti testi yapılmaz.</x:v>
      </x:c>
      <x:c r="J16" s="6" t="str">
        <x:v>NIST-53: SC-2; SC-32; SC-39; AC-4</x:v>
      </x:c>
      <x:c r="K16" s="6" t="str">
        <x:v>SC-2; SC-32; SC-39; AC-4</x:v>
      </x:c>
      <x:c r="L16" s="6" t="str">
        <x:v>1 eski soru. Birleştirme İzini bu Kontrol ID ile süzün.</x:v>
      </x:c>
    </x:row>
    <x:row r="17" ht="70" customHeight="1">
      <x:c r="A17" s="6" t="str">
        <x:v>GNL-03-02</x:v>
      </x:c>
      <x:c r="B17" s="6" t="str">
        <x:v>Müşteri/tenant izolasyonu</x:v>
      </x:c>
      <x:c r="C17" s="6" t="str">
        <x:v>A müşterisinin kimliğiyle B müşterisinin yönetim nesnesi veya verisine erişilemediği düzenli negatif testlerle doğrulanıyor mu?</x:v>
      </x:c>
      <x:c r="D17" s="6" t="str">
        <x:v>Başarılı ve başarısız testlerin ham kayıtları, kapsamı ve düzeltme izi mevcuttur.</x:v>
      </x:c>
      <x:c r="E17" s="6" t="str">
        <x:v>Risk senaryosu (atıflı kontrol amacından denetçi değerlendirmesi): Yalnız izin verilen erişim test edilirse yanlış nesne kimliği veya müşteri bağlamıyla yapılan yetkisiz erişim çalışıyor olsa da fark edilmeyebilir.</x:v>
      </x:c>
      <x:c r="F17" s="6" t="str">
        <x:v>Cross-tenant negatif test planı ve sonuçları | Birleşen kapsam: Rol/yetki listesi, müşteri onayları, erişim kayıtları</x:v>
      </x:c>
      <x:c r="G17" s="6" t="str">
        <x:v>Salt okunur sistem çıktısını onaylı süreç/politika kaydıyla karşılaştır; ölçütteki her koşul için kanıt konumu ve ayrı alt sonucu kaydet. Yalnız görüşme veya ekran görüntüsüyle fiili işleyiş sonucunu kapatma.</x:v>
      </x:c>
      <x:c r="H17" s="6" t="str">
        <x:v>Kurulu ürün/dağıtım, müşteri sözleşmesi ve işlev desteği Kapsam kaydında doğrulanır. Yalnız tek müşteriye tahsis edilmiş (dedicated) hizmetlerde gerekçeli olarak daraltılabilir.</x:v>
      </x:c>
      <x:c r="I17" s="6" t="str">
        <x:v>Kurum için onaylı periyot/eşik gerekir; metindeki uygulama örnekleri NIST’in zorunlu ürün parametresi değildir. Üretimde değişiklik veya kesinti testi yapılmaz.</x:v>
      </x:c>
      <x:c r="J17" s="6" t="str">
        <x:v>NIST-53: CA-8; SC-3</x:v>
      </x:c>
      <x:c r="K17" s="6" t="str">
        <x:v>CA-8; SC-3</x:v>
      </x:c>
      <x:c r="L17" s="6" t="str">
        <x:v>3 eski soru. Birleştirme İzini bu Kontrol ID ile süzün.</x:v>
      </x:c>
    </x:row>
    <x:row r="18" ht="70" customHeight="1">
      <x:c r="A18" s="6" t="str">
        <x:v>GNL-03-04</x:v>
      </x:c>
      <x:c r="B18" s="6" t="str">
        <x:v>Müşteri/tenant izolasyonu</x:v>
      </x:c>
      <x:c r="C18" s="6" t="str">
        <x:v>Müşteri raporu, portalı, bildirim e-postası ve dışa aktarımlarında başka müşteriye ait ad/veri/kimlik görünmesi önleniyor ve test ediliyor mu?</x:v>
      </x:c>
      <x:c r="D18" s="6" t="str">
        <x:v>Örnek müşteri çıktılarında çapraz tenant veri yoktur; şablon değişiklikleri test edilmiştir.</x:v>
      </x:c>
      <x:c r="E18" s="6" t="str">
        <x:v>Risk senaryosu (atıflı kontrol amacından denetçi değerlendirmesi): Yanlış müşteri filtresi veya dağıtım listesi, doğru teknik izolasyona rağmen rapor ve bildirim üzerinden diğer müşterinin verisini açığa çıkarabilir.</x:v>
      </x:c>
      <x:c r="F18" s="6" t="str">
        <x:v>Rapor şablonları, örnek exportlar, test kayıtları</x:v>
      </x:c>
      <x:c r="G18" s="6" t="str">
        <x:v>Salt okunur sistem çıktısını onaylı süreç/politika kaydıyla karşılaştır; ölçütteki her koşul için kanıt konumu ve ayrı alt sonucu kaydet. Yalnız görüşme veya ekran görüntüsüyle fiili işleyiş sonucunu kapatma.</x:v>
      </x:c>
      <x:c r="H18" s="6" t="str">
        <x:v>Kurulu ürün/dağıtım, müşteri sözleşmesi ve işlev desteği Kapsam kaydında doğrulanır. Yalnız tek müşteriye tahsis edilmiş (dedicated) hizmetlerde gerekçeli olarak daraltılabilir.</x:v>
      </x:c>
      <x:c r="I18" s="6" t="str">
        <x:v>Kurum için onaylı periyot/eşik gerekir; metindeki uygulama örnekleri NIST’in zorunlu ürün parametresi değildir. Üretimde değişiklik veya kesinti testi yapılmaz.</x:v>
      </x:c>
      <x:c r="J18" s="6" t="str">
        <x:v>NIST-53: AC-4; SC-4</x:v>
      </x:c>
      <x:c r="K18" s="6" t="str">
        <x:v>AC-4; SC-4</x:v>
      </x:c>
      <x:c r="L18" s="6" t="str">
        <x:v>1 eski soru. Birleştirme İzini bu Kontrol ID ile süzün.</x:v>
      </x:c>
    </x:row>
    <x:row r="19" ht="70" customHeight="1">
      <x:c r="A19" s="6" t="str">
        <x:v>GNL-04-01</x:v>
      </x:c>
      <x:c r="B19" s="6" t="str">
        <x:v>Kimlik ve erişim yönetimi</x:v>
      </x:c>
      <x:c r="C19" s="6" t="str">
        <x:v>Tüm insan, servis, API, acil durum ve yerel hesaplar sahip, amaç, yetki ve son kullanım bilgisiyle envanterde mi?</x:v>
      </x:c>
      <x:c r="D19" s="6" t="str">
        <x:v>Platform toplamı ile envanter mutabıktır; sahipsiz/amaçsız hesap yoktur.</x:v>
      </x:c>
      <x:c r="E19" s="6" t="str">
        <x:v>Risk senaryosu (atıflı kontrol amacından denetçi değerlendirmesi): Sahipsiz veya amacı bilinmeyen hesapların gerekliliği değerlendirilemez; ele geçirilen hesabın kapatılması ve bağımlılıklarının belirlenmesi gecikebilir.</x:v>
      </x:c>
      <x:c r="F19" s="6" t="str">
        <x:v>Hesap envanteri ve platform exportları</x:v>
      </x:c>
      <x:c r="G19" s="6" t="str">
        <x:v>Salt okunur sistem çıktısını onaylı süreç/politika kaydıyla karşılaştır; ölçütteki her koşul için kanıt konumu ve ayrı alt sonucu kaydet. Yalnız görüşme veya ekran görüntüsüyle fiili işleyiş sonucunu kapatma.</x:v>
      </x:c>
      <x:c r="H19" s="6" t="str">
        <x:v>Kurulu ürün/dağıtım, müşteri sözleşmesi ve işlev desteği Kapsam kaydında doğrulanır. Tüm hizmetlerde uygulanır; ürün merkezi kimliği desteklemiyorsa telafi edici kontrol aranır.</x:v>
      </x:c>
      <x:c r="I19" s="6" t="str">
        <x:v>Kurum için onaylı periyot/eşik gerekir; metindeki uygulama örnekleri NIST’in zorunlu ürün parametresi değildir. Üretimde değişiklik veya kesinti testi yapılmaz.</x:v>
      </x:c>
      <x:c r="J19" s="6" t="str">
        <x:v>NIST-53: AC-2; IA-4</x:v>
      </x:c>
      <x:c r="K19" s="6" t="str">
        <x:v>AC-2; IA-4</x:v>
      </x:c>
      <x:c r="L19" s="6" t="str">
        <x:v>2 eski soru. Birleştirme İzini bu Kontrol ID ile süzün.</x:v>
      </x:c>
    </x:row>
    <x:row r="20" ht="70" customHeight="1">
      <x:c r="A20" s="6" t="str">
        <x:v>GNL-04-02</x:v>
      </x:c>
      <x:c r="B20" s="6" t="str">
        <x:v>Kimlik ve erişim yönetimi</x:v>
      </x:c>
      <x:c r="C20" s="6" t="str">
        <x:v>İşe giriş, rol değişikliği ve ayrılış olayları hesap/rol yaşam döngüsüne tanımlı SLA ile otomatik veya kontrollü yansıyor mu?</x:v>
      </x:c>
      <x:c r="D20" s="6" t="str">
        <x:v>Seçilen olaylarda zamanında ve onaylı yetki değişikliği uçtan uca doğrulanır.</x:v>
      </x:c>
      <x:c r="E20" s="6" t="str">
        <x:v>Risk senaryosu (atıflı kontrol amacından denetçi değerlendirmesi): Ayrılan ya da görevi değişen kişinin eski yetkileri açık kalırsa artık iş ihtiyacı bulunmayan müşteri sistemlerine erişim sürdürülebilir.</x:v>
      </x:c>
      <x:c r="F20" s="6" t="str">
        <x:v>JML prosedürü, biletler, HR/IGA ve sistem kayıtları | Birleşen kapsam: İK-ITSM akışı, örnek işe giriş/çıkış kayıtları</x:v>
      </x:c>
      <x:c r="G20" s="6" t="str">
        <x:v>Salt okunur sistem çıktısını onaylı süreç/politika kaydıyla karşılaştır; ölçütteki her koşul için kanıt konumu ve ayrı alt sonucu kaydet. Yalnız görüşme veya ekran görüntüsüyle fiili işleyiş sonucunu kapatma.</x:v>
      </x:c>
      <x:c r="H20" s="6" t="str">
        <x:v>Kurulu ürün/dağıtım, müşteri sözleşmesi ve işlev desteği Kapsam kaydında doğrulanır. Tüm hizmetlerde uygulanır; ürün merkezi kimliği desteklemiyorsa telafi edici kontrol aranır.</x:v>
      </x:c>
      <x:c r="I20" s="6" t="str">
        <x:v>Kurum için onaylı periyot/eşik gerekir; metindeki uygulama örnekleri NIST’in zorunlu ürün parametresi değildir. Üretimde değişiklik veya kesinti testi yapılmaz.</x:v>
      </x:c>
      <x:c r="J20" s="6" t="str">
        <x:v>NIST-53: AC-2; PS-4; PS-5</x:v>
      </x:c>
      <x:c r="K20" s="6" t="str">
        <x:v>AC-2; PS-4; PS-5</x:v>
      </x:c>
      <x:c r="L20" s="6" t="str">
        <x:v>2 eski soru. Birleştirme İzini bu Kontrol ID ile süzün.</x:v>
      </x:c>
    </x:row>
    <x:row r="21" ht="70" customHeight="1">
      <x:c r="A21" s="6" t="str">
        <x:v>GNL-04-03</x:v>
      </x:c>
      <x:c r="B21" s="6" t="str">
        <x:v>Kimlik ve erişim yönetimi</x:v>
      </x:c>
      <x:c r="C21" s="6" t="str">
        <x:v>Ortak kullanıcı hesapları yasaklanmış; teknik zorunluluk varsa bireysel atıf ve parola kasasıyla telafi edilmiş mi?</x:v>
      </x:c>
      <x:c r="D21" s="6" t="str">
        <x:v>Paylaşılan kullanım bireysel kimliğe ve oturum kaydına bağlanabilir.</x:v>
      </x:c>
      <x:c r="E21" s="6" t="str">
        <x:v>Risk senaryosu (atıflı kontrol amacından denetçi değerlendirmesi): Paylaşılan hesapla yapılan işlemler kişiye bağlanamazsa yetkisiz işlemin sorumlusu belirlenemeyebilir; tek bir kullanıcının erişimini sonlandırmak zorlaşabilir.</x:v>
      </x:c>
      <x:c r="F21" s="6" t="str">
        <x:v>Hesap listesi, istisna kayıtları, kasa logları</x:v>
      </x:c>
      <x:c r="G21" s="6" t="str">
        <x:v>Salt okunur sistem çıktısını onaylı süreç/politika kaydıyla karşılaştır; ölçütteki her koşul için kanıt konumu ve ayrı alt sonucu kaydet. Yalnız görüşme veya ekran görüntüsüyle fiili işleyiş sonucunu kapatma.</x:v>
      </x:c>
      <x:c r="H21" s="6" t="str">
        <x:v>Kurulu ürün/dağıtım, müşteri sözleşmesi ve işlev desteği Kapsam kaydında doğrulanır. Tüm hizmetlerde uygulanır; ürün merkezi kimliği desteklemiyorsa telafi edici kontrol aranır.</x:v>
      </x:c>
      <x:c r="I21" s="6" t="str">
        <x:v>Kurum için onaylı periyot/eşik gerekir; metindeki uygulama örnekleri NIST’in zorunlu ürün parametresi değildir. Üretimde değişiklik veya kesinti testi yapılmaz.</x:v>
      </x:c>
      <x:c r="J21" s="6" t="str">
        <x:v>NIST-53: IA-2; IA-4</x:v>
      </x:c>
      <x:c r="K21" s="6" t="str">
        <x:v>IA-2; IA-4</x:v>
      </x:c>
      <x:c r="L21" s="6" t="str">
        <x:v>1 eski soru. Birleştirme İzini bu Kontrol ID ile süzün.</x:v>
      </x:c>
    </x:row>
    <x:row r="22" ht="70" customHeight="1">
      <x:c r="A22" s="6" t="str">
        <x:v>GNL-04-04</x:v>
      </x:c>
      <x:c r="B22" s="6" t="str">
        <x:v>Kimlik ve erişim yönetimi</x:v>
      </x:c>
      <x:c r="C22" s="6" t="str">
        <x:v>Yetkiler kurum tarafından belirlenen periyotlarda sistem sahibince, fiilî kullanım ve görev ihtiyacı üzerinden yeniden onaylanıyor mu?</x:v>
      </x:c>
      <x:c r="D22" s="6" t="str">
        <x:v>Tüm kapsam tamamlanmış, reddedilen yetkiler kaldırılmış ve gecikmeler eskale edilmiştir.</x:v>
      </x:c>
      <x:c r="E22" s="6" t="str">
        <x:v>Risk senaryosu (atıflı kontrol amacından denetçi değerlendirmesi): Fiilî kullanım ve görev ihtiyacı tekrar değerlendirilmezse zaman içinde biriken yetkiler hesabın ele geçirilmesinde erişilebilecek müşteri ve işlem kapsamını büyütebilir.</x:v>
      </x:c>
      <x:c r="F22" s="6" t="str">
        <x:v>Erişim gözden geçirme kampanyası ve kapanış kayıtları</x:v>
      </x:c>
      <x:c r="G22" s="6" t="str">
        <x:v>Salt okunur sistem çıktısını onaylı süreç/politika kaydıyla karşılaştır; ölçütteki her koşul için kanıt konumu ve ayrı alt sonucu kaydet. Yalnız görüşme veya ekran görüntüsüyle fiili işleyiş sonucunu kapatma.</x:v>
      </x:c>
      <x:c r="H22" s="6" t="str">
        <x:v>Kurulu ürün/dağıtım, müşteri sözleşmesi ve işlev desteği Kapsam kaydında doğrulanır. Tüm hizmetlerde uygulanır; ürün merkezi kimliği desteklemiyorsa telafi edici kontrol aranır.</x:v>
      </x:c>
      <x:c r="I22" s="6" t="str">
        <x:v>Kurum için onaylı periyot/eşik gerekir; metindeki uygulama örnekleri NIST’in zorunlu ürün parametresi değildir. Üretimde değişiklik veya kesinti testi yapılmaz.</x:v>
      </x:c>
      <x:c r="J22" s="6" t="str">
        <x:v>NIST-53: AC-2; AC-6</x:v>
      </x:c>
      <x:c r="K22" s="6" t="str">
        <x:v>AC-2; AC-6</x:v>
      </x:c>
      <x:c r="L22" s="6" t="str">
        <x:v>29 eski soru. Birleştirme İzini bu Kontrol ID ile süzün.</x:v>
      </x:c>
    </x:row>
    <x:row r="23" ht="70" customHeight="1">
      <x:c r="A23" s="6" t="str">
        <x:v>GNL-04-05</x:v>
      </x:c>
      <x:c r="B23" s="6" t="str">
        <x:v>Kimlik ve erişim yönetimi</x:v>
      </x:c>
      <x:c r="C23" s="6" t="str">
        <x:v>Servis hesaplarının etkileşimli oturumu engellenmiş, sahibi ve bağımlılığı kaydedilmiş, hakları sınırlandırılmış mı?</x:v>
      </x:c>
      <x:c r="D23" s="6" t="str">
        <x:v>Etkileşimli kullanım yoktur veya belgeli istisna vardır; parola/token rotasyonu kanıtlanır.</x:v>
      </x:c>
      <x:c r="E23" s="6" t="str">
        <x:v>Risk senaryosu (atıflı kontrol amacından denetçi değerlendirmesi): Geniş yetkili servis hesabıyla etkileşimli oturum açılabiliyorsa otomasyon için verilen kimlik insan kullanımı ve yanal hareket için kullanılabilir.</x:v>
      </x:c>
      <x:c r="F23" s="6" t="str">
        <x:v>Servis hesabı envanteri, politika ve erişim logları</x:v>
      </x:c>
      <x:c r="G23" s="6" t="str">
        <x:v>Salt okunur sistem çıktısını onaylı süreç/politika kaydıyla karşılaştır; ölçütteki her koşul için kanıt konumu ve ayrı alt sonucu kaydet. Yalnız görüşme veya ekran görüntüsüyle fiili işleyiş sonucunu kapatma.</x:v>
      </x:c>
      <x:c r="H23" s="6" t="str">
        <x:v>Kurulu ürün/dağıtım, müşteri sözleşmesi ve işlev desteği Kapsam kaydında doğrulanır. Tüm hizmetlerde uygulanır; ürün merkezi kimliği desteklemiyorsa telafi edici kontrol aranır.</x:v>
      </x:c>
      <x:c r="I23" s="6" t="str">
        <x:v>Kurum için onaylı periyot/eşik gerekir; metindeki uygulama örnekleri NIST’in zorunlu ürün parametresi değildir. Üretimde değişiklik veya kesinti testi yapılmaz.</x:v>
      </x:c>
      <x:c r="J23" s="6" t="str">
        <x:v>NIST-53: AC-2; IA-5</x:v>
      </x:c>
      <x:c r="K23" s="6" t="str">
        <x:v>AC-2; IA-5</x:v>
      </x:c>
      <x:c r="L23" s="6" t="str">
        <x:v>2 eski soru. Birleştirme İzini bu Kontrol ID ile süzün.</x:v>
      </x:c>
    </x:row>
    <x:row r="24" ht="70" customHeight="1">
      <x:c r="A24" s="6" t="str">
        <x:v>GNL-05-01</x:v>
      </x:c>
      <x:c r="B24" s="6" t="str">
        <x:v>Ayrıcalıklı erişim</x:v>
      </x:c>
      <x:c r="C24" s="6" t="str">
        <x:v>İnsan kullanıcıların uzak ve ayrıcalıklı yönetim yolları MFA ile korunuyor mu?</x:v>
      </x:c>
      <x:c r="D24" s="6" t="str">
        <x:v>Konsol, web, API ile insan erişimi ve alternatif yerel yollar ayrı incelenmeli; doğrudan MFA desteklemeyen ürünün kontrollü geçiş yolu ve kalan boşluk kanıtlanmalı. Servis kimlikleri IA-5 kapsamında ayrı ele alınır.</x:v>
      </x:c>
      <x:c r="E24" s="6" t="str">
        <x:v>Risk senaryosu (atıflı kontrol amacından denetçi değerlendirmesi): Yalnız parola ile erişilebilen ayrıcalıklı veya uzak yönetim yolu, çalınan tek kimlik bilgisiyle ortak altyapıda işlem yapılmasına izin verebilir.</x:v>
      </x:c>
      <x:c r="F24" s="6" t="str">
        <x:v>Kimlik sağlayıcı/MFA politikası ve örnek giriş logları | Birleşen kapsam: PAM/MFA politikası, yetki ve oturum kayıtları</x:v>
      </x:c>
      <x:c r="G24" s="6" t="str">
        <x:v>Salt okunur sistem çıktısını onaylı süreç/politika kaydıyla karşılaştır; ölçütteki her koşul için kanıt konumu ve ayrı alt sonucu kaydet. Yalnız görüşme veya ekran görüntüsüyle fiili işleyiş sonucunu kapatma.</x:v>
      </x:c>
      <x:c r="H24" s="6" t="str">
        <x:v>Kurulu ürün/dağıtım, müşteri sözleşmesi ve işlev desteği Kapsam kaydında doğrulanır. Tüm hizmetlerde uygulanır; istisnasızdır.</x:v>
      </x:c>
      <x:c r="I24" s="6" t="str">
        <x:v>Kurum için onaylı periyot/eşik gerekir; metindeki uygulama örnekleri NIST’in zorunlu ürün parametresi değildir. Üretimde değişiklik veya kesinti testi yapılmaz.</x:v>
      </x:c>
      <x:c r="J24" s="6" t="str">
        <x:v>NIST-53: IA-2; AC-17</x:v>
      </x:c>
      <x:c r="K24" s="6" t="str">
        <x:v>IA-2; AC-17</x:v>
      </x:c>
      <x:c r="L24" s="6" t="str">
        <x:v>31 eski soru. Birleştirme İzini bu Kontrol ID ile süzün.</x:v>
      </x:c>
    </x:row>
    <x:row r="25" ht="70" customHeight="1">
      <x:c r="A25" s="6" t="str">
        <x:v>GNL-05-02</x:v>
      </x:c>
      <x:c r="B25" s="6" t="str">
        <x:v>Ayrıcalıklı erişim</x:v>
      </x:c>
      <x:c r="C25" s="6" t="str">
        <x:v>Ayrıcalıklı erişim müşteri, hedef, görev ve ihtiyaç süresiyle sınırlı mı?</x:v>
      </x:c>
      <x:c r="D25" s="6" t="str">
        <x:v>Yetki kapsamı onaylı görevle sınırlı; geçici yetki süresi sonunda kaldırılmalı. Ürünün yerleşik JIT/JEA desteği varsayılmaz.</x:v>
      </x:c>
      <x:c r="E25" s="6" t="str">
        <x:v>Risk senaryosu (atıflı kontrol amacından denetçi değerlendirmesi): Sürekli ve tüm müşterileri kapsayan yönetici yetkisi, tek hesabın kötüye kullanımının görev için gerekli hedef ve sürenin dışına yayılmasına neden olabilir.</x:v>
      </x:c>
      <x:c r="F25" s="6" t="str">
        <x:v>PAM kayıtları, erişim biletleri, platform logları | Birleşen kapsam: Yetki matrisi ve platform rol exportları | Birleşen kapsam: PAM/jump/otomasyon yetki exportu ve oturum kaydı</x:v>
      </x:c>
      <x:c r="G25" s="6" t="str">
        <x:v>Salt okunur sistem çıktısını onaylı süreç/politika kaydıyla karşılaştır; ölçütteki her koşul için kanıt konumu ve ayrı alt sonucu kaydet. Yalnız görüşme veya ekran görüntüsüyle fiili işleyiş sonucunu kapatma.</x:v>
      </x:c>
      <x:c r="H25" s="6" t="str">
        <x:v>Kurulu ürün/dağıtım, müşteri sözleşmesi ve işlev desteği Kapsam kaydında doğrulanır. Tüm hizmetlerde uygulanır; istisnasızdır.</x:v>
      </x:c>
      <x:c r="I25" s="6" t="str">
        <x:v>Kurum için onaylı periyot/eşik gerekir; metindeki uygulama örnekleri NIST’in zorunlu ürün parametresi değildir. Üretimde değişiklik veya kesinti testi yapılmaz.</x:v>
      </x:c>
      <x:c r="J25" s="6" t="str">
        <x:v>NIST-53: AC-6; AC-2</x:v>
      </x:c>
      <x:c r="K25" s="6" t="str">
        <x:v>AC-6; AC-2</x:v>
      </x:c>
      <x:c r="L25" s="6" t="str">
        <x:v>3 eski soru. Birleştirme İzini bu Kontrol ID ile süzün.</x:v>
      </x:c>
    </x:row>
    <x:row r="26" ht="70" customHeight="1">
      <x:c r="A26" s="6" t="str">
        <x:v>GNL-05-03</x:v>
      </x:c>
      <x:c r="B26" s="6" t="str">
        <x:v>Ayrıcalıklı erişim</x:v>
      </x:c>
      <x:c r="C26" s="6" t="str">
        <x:v>Acil erişim hesaplarının kullanımı ve kullanım sonrası güvenliği doğrulanıyor mu?</x:v>
      </x:c>
      <x:c r="D26" s="6" t="str">
        <x:v>Hesap sahipliği, erişim koruması, olay görünürlüğü, bağımsız inceleme ve riskin gerektirdiği kimlik yenileme tanımlı ve uygulanmış olmalı.</x:v>
      </x:c>
      <x:c r="E26" s="6" t="str">
        <x:v>Risk senaryosu (atıflı kontrol amacından denetçi değerlendirmesi): Acil erişim kullanımı izlenmez veya kullanım sonrası sırlar yenilenmezse olağan onay yolunu aşan kalıcı bir ayrıcalıklı erişim kanalı oluşabilir.</x:v>
      </x:c>
      <x:c r="F26" s="6" t="str">
        <x:v>Break-glass prosedürü, kasa ve alarm kayıtları</x:v>
      </x:c>
      <x:c r="G26" s="6" t="str">
        <x:v>Salt okunur sistem çıktısını onaylı süreç/politika kaydıyla karşılaştır; ölçütteki her koşul için kanıt konumu ve ayrı alt sonucu kaydet. Yalnız görüşme veya ekran görüntüsüyle fiili işleyiş sonucunu kapatma.</x:v>
      </x:c>
      <x:c r="H26" s="6" t="str">
        <x:v>Kurulu ürün/dağıtım, müşteri sözleşmesi ve işlev desteği Kapsam kaydında doğrulanır. Tüm hizmetlerde uygulanır; istisnasızdır.</x:v>
      </x:c>
      <x:c r="I26" s="6" t="str">
        <x:v>Kurum için onaylı periyot/eşik gerekir; metindeki uygulama örnekleri NIST’in zorunlu ürün parametresi değildir. Üretimde değişiklik veya kesinti testi yapılmaz.</x:v>
      </x:c>
      <x:c r="J26" s="6" t="str">
        <x:v>NIST-53: AC-2; IA-5</x:v>
      </x:c>
      <x:c r="K26" s="6" t="str">
        <x:v>AC-2; IA-5</x:v>
      </x:c>
      <x:c r="L26" s="6" t="str">
        <x:v>3 eski soru. Birleştirme İzini bu Kontrol ID ile süzün.</x:v>
      </x:c>
    </x:row>
    <x:row r="27" ht="70" customHeight="1">
      <x:c r="A27" s="6" t="str">
        <x:v>GNL-05-04</x:v>
      </x:c>
      <x:c r="B27" s="6" t="str">
        <x:v>Ayrıcalıklı erişim</x:v>
      </x:c>
      <x:c r="C27" s="6" t="str">
        <x:v>Yönetici oturumları komut/işlem düzeyinde kaydediliyor ve kayıtların yönetici tarafından değiştirilememesi sağlanıyor mu?</x:v>
      </x:c>
      <x:c r="D27" s="6" t="str">
        <x:v>Seçilen oturum bilet ve kullanıcıyla eşleşir; kayıt silme/değiştirme yetkisi ayrılmıştır.</x:v>
      </x:c>
      <x:c r="E27" s="6" t="str">
        <x:v>Risk senaryosu (atıflı kontrol amacından denetçi değerlendirmesi): Yönetici kendi işlem kayıtlarını silebiliyor veya değiştirebiliyorsa müşteri sistemindeki yetkisiz müdahale gizlenebilir; olayın kapsamı ve sorumlusu kanıtlanamayabilir.</x:v>
      </x:c>
      <x:c r="F27" s="6" t="str">
        <x:v>PAM oturum kaydı, platform audit logu, yetki ayarları | Birleşen kapsam: PAM oturum kayıtları, ürün audit logları, örnek olay</x:v>
      </x:c>
      <x:c r="G27" s="6" t="str">
        <x:v>Salt okunur sistem çıktısını onaylı süreç/politika kaydıyla karşılaştır; ölçütteki her koşul için kanıt konumu ve ayrı alt sonucu kaydet. Yalnız görüşme veya ekran görüntüsüyle fiili işleyiş sonucunu kapatma.</x:v>
      </x:c>
      <x:c r="H27" s="6" t="str">
        <x:v>Kurulu ürün/dağıtım, müşteri sözleşmesi ve işlev desteği Kapsam kaydında doğrulanır. Tüm hizmetlerde uygulanır; istisnasızdır.</x:v>
      </x:c>
      <x:c r="I27" s="6" t="str">
        <x:v>Kurum için onaylı periyot/eşik gerekir; metindeki uygulama örnekleri NIST’in zorunlu ürün parametresi değildir. Üretimde değişiklik veya kesinti testi yapılmaz.</x:v>
      </x:c>
      <x:c r="J27" s="6" t="str">
        <x:v>NIST-53: AU-12; AU-9; AC-6</x:v>
      </x:c>
      <x:c r="K27" s="6" t="str">
        <x:v>AU-12; AU-9; AC-6</x:v>
      </x:c>
      <x:c r="L27" s="6" t="str">
        <x:v>2 eski soru. Birleştirme İzini bu Kontrol ID ile süzün.</x:v>
      </x:c>
    </x:row>
    <x:row r="28" ht="70" customHeight="1">
      <x:c r="A28" s="6" t="str">
        <x:v>GNL-06-01</x:v>
      </x:c>
      <x:c r="B28" s="6" t="str">
        <x:v>Güvenli yapılandırma</x:v>
      </x:c>
      <x:c r="C28" s="6" t="str">
        <x:v>Her ürün ve sürüm için onaylı CIS/üretici/kurum güvenli yapılandırma baz yapılandırması ve uygulanabilirlik kaydı var mı?</x:v>
      </x:c>
      <x:c r="D28" s="6" t="str">
        <x:v>Kontroller sürüme özgü, sahipli ve uygulanabilirlik/istisna gerekçelidir.</x:v>
      </x:c>
      <x:c r="E28" s="6" t="str">
        <x:v>Risk senaryosu (atıflı kontrol amacından denetçi değerlendirmesi): Kurulu sürümle eşleşmeyen ya da onaysız baz kullanılırsa desteklenmeyen ayarlar uygulanabilir veya gerekli korumalar atlanabilir; sonuç yanlışlıkla uygun sayılabilir.</x:v>
      </x:c>
      <x:c r="F28" s="6" t="str">
        <x:v>Baseline dokümanı, CIS-CAT/uyum taraması veya eşdeğer rapor</x:v>
      </x:c>
      <x:c r="G28" s="6" t="str">
        <x:v>Salt okunur sistem çıktısını onaylı süreç/politika kaydıyla karşılaştır; ölçütteki her koşul için kanıt konumu ve ayrı alt sonucu kaydet. Yalnız görüşme veya ekran görüntüsüyle fiili işleyiş sonucunu kapatma.</x:v>
      </x:c>
      <x:c r="H28" s="6" t="str">
        <x:v>Kurulu ürün/dağıtım, müşteri sözleşmesi ve işlev desteği Kapsam kaydında doğrulanır. Ürün ve sürüme uygun benchmark yoksa üretici kılavuzu ve kurum esası kullanılır; gerekçe yazılır.</x:v>
      </x:c>
      <x:c r="I28" s="6" t="str">
        <x:v>Kurum için onaylı periyot/eşik gerekir; metindeki uygulama örnekleri NIST’in zorunlu ürün parametresi değildir. Üretimde değişiklik veya kesinti testi yapılmaz.</x:v>
      </x:c>
      <x:c r="J28" s="6" t="str">
        <x:v>NIST-53: CM-2; CM-6</x:v>
      </x:c>
      <x:c r="K28" s="6" t="str">
        <x:v>CM-2; CM-6</x:v>
      </x:c>
      <x:c r="L28" s="6" t="str">
        <x:v>28 eski soru. Birleştirme İzini bu Kontrol ID ile süzün.</x:v>
      </x:c>
    </x:row>
    <x:row r="29" ht="70" customHeight="1">
      <x:c r="A29" s="6" t="str">
        <x:v>GNL-06-02</x:v>
      </x:c>
      <x:c r="B29" s="6" t="str">
        <x:v>Güvenli yapılandırma</x:v>
      </x:c>
      <x:c r="C29" s="6" t="str">
        <x:v>Baseline sapmaları otomatik veya periyodik saptanıyor; risk, onay, telafi kontrolü ve bitiş tarihiyle yönetiliyor mu?</x:v>
      </x:c>
      <x:c r="D29" s="6" t="str">
        <x:v>Açık sapmalar güncel; süresi geçen veya sahipsiz istisna yoktur.</x:v>
      </x:c>
      <x:c r="E29" s="6" t="str">
        <x:v>Risk senaryosu (atıflı kontrol amacından denetçi değerlendirmesi): Yapılandırma sapması ve istisna süresi izlenmezse geçici açılan servis veya gevşetilen güvenlik ayarı kalıcı saldırı yüzeyine dönüşebilir.</x:v>
      </x:c>
      <x:c r="F29" s="6" t="str">
        <x:v>Sapma raporu, risk kabul/istisna kayıtları</x:v>
      </x:c>
      <x:c r="G29" s="6" t="str">
        <x:v>Salt okunur sistem çıktısını onaylı süreç/politika kaydıyla karşılaştır; ölçütteki her koşul için kanıt konumu ve ayrı alt sonucu kaydet. Yalnız görüşme veya ekran görüntüsüyle fiili işleyiş sonucunu kapatma.</x:v>
      </x:c>
      <x:c r="H29" s="6" t="str">
        <x:v>Kurulu ürün/dağıtım, müşteri sözleşmesi ve işlev desteği Kapsam kaydında doğrulanır. Ürün ve sürüme uygun benchmark yoksa üretici kılavuzu ve kurum esası kullanılır; gerekçe yazılır.</x:v>
      </x:c>
      <x:c r="I29" s="6" t="str">
        <x:v>Kurum için onaylı periyot/eşik gerekir; metindeki uygulama örnekleri NIST’in zorunlu ürün parametresi değildir. Üretimde değişiklik veya kesinti testi yapılmaz.</x:v>
      </x:c>
      <x:c r="J29" s="6" t="str">
        <x:v>NIST-53: CM-3; CM-6; CA-7</x:v>
      </x:c>
      <x:c r="K29" s="6" t="str">
        <x:v>CM-3; CM-6; CA-7</x:v>
      </x:c>
      <x:c r="L29" s="6" t="str">
        <x:v>25 eski soru. Birleştirme İzini bu Kontrol ID ile süzün.</x:v>
      </x:c>
    </x:row>
    <x:row r="30" ht="70" customHeight="1">
      <x:c r="A30" s="6" t="str">
        <x:v>GNL-06-03</x:v>
      </x:c>
      <x:c r="B30" s="6" t="str">
        <x:v>Güvenli yapılandırma</x:v>
      </x:c>
      <x:c r="C30" s="6" t="str">
        <x:v>Varsayılan hesap, parola, sertifika, SNMP community, örnek içerik ve gereksiz servisler devreden çıkarılmış mı?</x:v>
      </x:c>
      <x:c r="D30" s="6" t="str">
        <x:v>Canlı sistemde varsayılan kimlik veya gereksiz açık servis bulunmaz.</x:v>
      </x:c>
      <x:c r="E30" s="6" t="str">
        <x:v>Risk senaryosu (atıflı kontrol amacından denetçi değerlendirmesi): Varsayılan sırlar ve gereksiz servisler bırakılırsa bilinen erişim bilgileri veya kullanılmayan işlevler üzerinden yetkisiz erişim sağlanabilir.</x:v>
      </x:c>
      <x:c r="F30" s="6" t="str">
        <x:v>Yapılandırma exportu ve port/servis doğrulaması</x:v>
      </x:c>
      <x:c r="G30" s="6" t="str">
        <x:v>Salt okunur sistem çıktısını onaylı süreç/politika kaydıyla karşılaştır; ölçütteki her koşul için kanıt konumu ve ayrı alt sonucu kaydet. Yalnız görüşme veya ekran görüntüsüyle fiili işleyiş sonucunu kapatma.</x:v>
      </x:c>
      <x:c r="H30" s="6" t="str">
        <x:v>Kurulu ürün/dağıtım, müşteri sözleşmesi ve işlev desteği Kapsam kaydında doğrulanır. Ürün ve sürüme uygun benchmark yoksa üretici kılavuzu ve kurum esası kullanılır; gerekçe yazılır.</x:v>
      </x:c>
      <x:c r="I30" s="6" t="str">
        <x:v>Kurum için onaylı periyot/eşik gerekir; metindeki uygulama örnekleri NIST’in zorunlu ürün parametresi değildir. Üretimde değişiklik veya kesinti testi yapılmaz.</x:v>
      </x:c>
      <x:c r="J30" s="6" t="str">
        <x:v>NIST-53: CM-6; IA-5</x:v>
      </x:c>
      <x:c r="K30" s="6" t="str">
        <x:v>CM-6; IA-5</x:v>
      </x:c>
      <x:c r="L30" s="6" t="str">
        <x:v>1 eski soru. Birleştirme İzini bu Kontrol ID ile süzün.</x:v>
      </x:c>
    </x:row>
    <x:row r="31" ht="70" customHeight="1">
      <x:c r="A31" s="6" t="str">
        <x:v>GNL-07-01</x:v>
      </x:c>
      <x:c r="B31" s="6" t="str">
        <x:v>Değişiklik yönetimi</x:v>
      </x:c>
      <x:c r="C31" s="6" t="str">
        <x:v>Üretim değişikliklerinde iş etkisi, güvenlik/tenant etkisi, test, onay ve geri dönüş planı zorunlu mu?</x:v>
      </x:c>
      <x:c r="D31" s="6" t="str">
        <x:v>Canlı değişiklikler onaylı bilete bağlanır; yetkisiz/izsiz değişiklik yoktur.</x:v>
      </x:c>
      <x:c r="E31" s="6" t="str">
        <x:v>Risk senaryosu (atıflı kontrol amacından denetçi değerlendirmesi): Müşteri etkisi ve geri dönüşü değerlendirilmeden yapılan değişiklik ortak güvenlik sınırını bozabilir; hata halinde hizmeti önceki güvenli duruma döndürmek gecikebilir.</x:v>
      </x:c>
      <x:c r="F31" s="6" t="str">
        <x:v>Değişiklik kayıtları ve platform audit logları</x:v>
      </x:c>
      <x:c r="G31" s="6" t="str">
        <x:v>Salt okunur sistem çıktısını onaylı süreç/politika kaydıyla karşılaştır; ölçütteki her koşul için kanıt konumu ve ayrı alt sonucu kaydet. Yalnız görüşme veya ekran görüntüsüyle fiili işleyiş sonucunu kapatma.</x:v>
      </x:c>
      <x:c r="H31" s="6" t="str">
        <x:v>Kurulu ürün/dağıtım, müşteri sözleşmesi ve işlev desteği Kapsam kaydında doğrulanır. Tüm hizmetlerde uygulanır; yönetilen SaaS bileşenlerinde sağlayıcı değişiklik bildirimi ölçüt alınır.</x:v>
      </x:c>
      <x:c r="I31" s="6" t="str">
        <x:v>Kurum için onaylı periyot/eşik gerekir; metindeki uygulama örnekleri NIST’in zorunlu ürün parametresi değildir. Üretimde değişiklik veya kesinti testi yapılmaz.</x:v>
      </x:c>
      <x:c r="J31" s="6" t="str">
        <x:v>NIST-53: CM-3; CM-4</x:v>
      </x:c>
      <x:c r="K31" s="6" t="str">
        <x:v>CM-3; CM-4</x:v>
      </x:c>
      <x:c r="L31" s="6" t="str">
        <x:v>4 eski soru. Birleştirme İzini bu Kontrol ID ile süzün.</x:v>
      </x:c>
    </x:row>
    <x:row r="32" ht="70" customHeight="1">
      <x:c r="A32" s="6" t="str">
        <x:v>GNL-07-02</x:v>
      </x:c>
      <x:c r="B32" s="6" t="str">
        <x:v>Değişiklik yönetimi</x:v>
      </x:c>
      <x:c r="C32" s="6" t="str">
        <x:v>Acil değişiklikler sonradan bağımsız gözden geçirme ve başarısızlık/geri dönüş analiziyle kapanıyor mu?</x:v>
      </x:c>
      <x:c r="D32" s="6" t="str">
        <x:v>Tüm acil değişikliklerde gerekçe, sonradan onay ve kapanış kanıtı vardır.</x:v>
      </x:c>
      <x:c r="E32" s="6" t="str">
        <x:v>Risk senaryosu (atıflı kontrol amacından denetçi değerlendirmesi): Acil değişiklik sonradan bağımsız incelenmezse olağan onayı aşan hatalı veya yetkisiz işlem kalıcılaşabilir; aynı kesinti nedeni tekrar edebilir.</x:v>
      </x:c>
      <x:c r="F32" s="6" t="str">
        <x:v>Acil değişiklik listesi ve PIR kayıtları</x:v>
      </x:c>
      <x:c r="G32" s="6" t="str">
        <x:v>Salt okunur sistem çıktısını onaylı süreç/politika kaydıyla karşılaştır; ölçütteki her koşul için kanıt konumu ve ayrı alt sonucu kaydet. Yalnız görüşme veya ekran görüntüsüyle fiili işleyiş sonucunu kapatma.</x:v>
      </x:c>
      <x:c r="H32" s="6" t="str">
        <x:v>Kurulu ürün/dağıtım, müşteri sözleşmesi ve işlev desteği Kapsam kaydında doğrulanır. Tüm hizmetlerde uygulanır; yönetilen SaaS bileşenlerinde sağlayıcı değişiklik bildirimi ölçüt alınır.</x:v>
      </x:c>
      <x:c r="I32" s="6" t="str">
        <x:v>Kurum için onaylı periyot/eşik gerekir; metindeki uygulama örnekleri NIST’in zorunlu ürün parametresi değildir. Üretimde değişiklik veya kesinti testi yapılmaz.</x:v>
      </x:c>
      <x:c r="J32" s="6" t="str">
        <x:v>NIST-53: CM-3</x:v>
      </x:c>
      <x:c r="K32" s="6" t="str">
        <x:v>CM-3</x:v>
      </x:c>
      <x:c r="L32" s="6" t="str">
        <x:v>1 eski soru. Birleştirme İzini bu Kontrol ID ile süzün.</x:v>
      </x:c>
    </x:row>
    <x:row r="33" ht="70" customHeight="1">
      <x:c r="A33" s="6" t="str">
        <x:v>GNL-07-03</x:v>
      </x:c>
      <x:c r="B33" s="6" t="str">
        <x:v>Değişiklik yönetimi</x:v>
      </x:c>
      <x:c r="C33" s="6" t="str">
        <x:v>Yapılandırma değişiklikleri öncesi/sonrası sürüm, fark ve geri yüklenebilir yedek otomatik tutuluyor mu?</x:v>
      </x:c>
      <x:c r="D33" s="6" t="str">
        <x:v>Örnek değişiklikte önceki sürüm geri getirilebilir ve bütünlüğü doğrulanır.</x:v>
      </x:c>
      <x:c r="E33" s="6" t="str">
        <x:v>Risk senaryosu (atıflı kontrol amacından denetçi değerlendirmesi): Değişiklik farkı ve geri yüklenebilir önceki sürüm tutulmazsa hangi ayarın soruna yol açtığı belirlenemeyebilir; güvenli geri dönüş deneme yanılmaya kalabilir.</x:v>
      </x:c>
      <x:c r="F33" s="6" t="str">
        <x:v>Config revision/diff, yedek ve geri dönüş testi</x:v>
      </x:c>
      <x:c r="G33" s="6" t="str">
        <x:v>Salt okunur sistem çıktısını onaylı süreç/politika kaydıyla karşılaştır; ölçütteki her koşul için kanıt konumu ve ayrı alt sonucu kaydet. Yalnız görüşme veya ekran görüntüsüyle fiili işleyiş sonucunu kapatma.</x:v>
      </x:c>
      <x:c r="H33" s="6" t="str">
        <x:v>Kurulu ürün/dağıtım, müşteri sözleşmesi ve işlev desteği Kapsam kaydında doğrulanır. Tüm hizmetlerde uygulanır; yönetilen SaaS bileşenlerinde sağlayıcı değişiklik bildirimi ölçüt alınır.</x:v>
      </x:c>
      <x:c r="I33" s="6" t="str">
        <x:v>Kurum için onaylı periyot/eşik gerekir; metindeki uygulama örnekleri NIST’in zorunlu ürün parametresi değildir. Üretimde değişiklik veya kesinti testi yapılmaz.</x:v>
      </x:c>
      <x:c r="J33" s="6" t="str">
        <x:v>NIST-53: CM-2; CP-9</x:v>
      </x:c>
      <x:c r="K33" s="6" t="str">
        <x:v>CM-2; CP-9</x:v>
      </x:c>
      <x:c r="L33" s="6" t="str">
        <x:v>2 eski soru. Birleştirme İzini bu Kontrol ID ile süzün.</x:v>
      </x:c>
    </x:row>
    <x:row r="34" ht="70" customHeight="1">
      <x:c r="A34" s="6" t="str">
        <x:v>GNL-08-01</x:v>
      </x:c>
      <x:c r="B34" s="6" t="str">
        <x:v>Zafiyet ve yaşam döngüsü</x:v>
      </x:c>
      <x:c r="C34" s="6" t="str">
        <x:v>Ürün PSIRT ve üretici güvenlik duyuruları ile CISA KEV ve ilgili tehdit kaynakları sorumlu ekip ve kayıtlı iş akışıyla izleniyor mu?</x:v>
      </x:c>
      <x:c r="D34" s="6" t="str">
        <x:v>Kapsamdaki varlıklar etkilenen sürümlerle eşleştirilmiş; karar ve kapanış izi vardır.</x:v>
      </x:c>
      <x:c r="E34" s="6" t="str">
        <x:v>Risk senaryosu (atıflı kontrol amacından denetçi değerlendirmesi): Üretici ve istismar bilgileri sorumlu iş akışına bağlanmazsa kurumda kullanılan ürünü etkileyen açık bilindiği halde değerlendirme ve giderme başlamayabilir.</x:v>
      </x:c>
      <x:c r="F34" s="6" t="str">
        <x:v>Advisory kayıtları, zafiyet biletleri, SLA raporu</x:v>
      </x:c>
      <x:c r="G34" s="6" t="str">
        <x:v>Salt okunur sistem çıktısını onaylı süreç/politika kaydıyla karşılaştır; ölçütteki her koşul için kanıt konumu ve ayrı alt sonucu kaydet. Yalnız görüşme veya ekran görüntüsüyle fiili işleyiş sonucunu kapatma.</x:v>
      </x:c>
      <x:c r="H34" s="6" t="str">
        <x:v>Kurulu ürün/dağıtım, müşteri sözleşmesi ve işlev desteği Kapsam kaydında doğrulanır. Tüm hizmetlerde uygulanır; SaaS bileşenlerinde sağlayıcı yama taahhüdü ve duyuru takibi ölçüt alınır.</x:v>
      </x:c>
      <x:c r="I34" s="6" t="str">
        <x:v>Kurum için onaylı periyot/eşik gerekir; metindeki uygulama örnekleri NIST’in zorunlu ürün parametresi değildir. Üretimde değişiklik veya kesinti testi yapılmaz.</x:v>
      </x:c>
      <x:c r="J34" s="6" t="str">
        <x:v>NIST-53: RA-5; SI-5</x:v>
      </x:c>
      <x:c r="K34" s="6" t="str">
        <x:v>RA-5; SI-5</x:v>
      </x:c>
      <x:c r="L34" s="6" t="str">
        <x:v>28 eski soru. Birleştirme İzini bu Kontrol ID ile süzün.</x:v>
      </x:c>
    </x:row>
    <x:row r="35" ht="70" customHeight="1">
      <x:c r="A35" s="6" t="str">
        <x:v>GNL-08-02</x:v>
      </x:c>
      <x:c r="B35" s="6" t="str">
        <x:v>Zafiyet ve yaşam döngüsü</x:v>
      </x:c>
      <x:c r="C35" s="6" t="str">
        <x:v>Kritik/yüksek zafiyetler için risk-temelli giderme SLA’sı, acil değişiklik ve gecikmelerde üst yönetime bildirim işletiliyor mu?</x:v>
      </x:c>
      <x:c r="D35" s="6" t="str">
        <x:v>SLA dışı bulgular onaylı risk, telafi kontrolü ve hedef tarihe sahiptir.</x:v>
      </x:c>
      <x:c r="E35" s="6" t="str">
        <x:v>Risk senaryosu (atıflı kontrol amacından denetçi değerlendirmesi): Giderme süresi ve gecikme eskalasyonu yoksa yüksek etkili açıklar iş öncelikleri arasında ertelenebilir; bilinen istismar penceresi uzayabilir.</x:v>
      </x:c>
      <x:c r="F35" s="6" t="str">
        <x:v>Zafiyet yaşlandırma raporu, bilet ve istisnalar</x:v>
      </x:c>
      <x:c r="G35" s="6" t="str">
        <x:v>Salt okunur sistem çıktısını onaylı süreç/politika kaydıyla karşılaştır; ölçütteki her koşul için kanıt konumu ve ayrı alt sonucu kaydet. Yalnız görüşme veya ekran görüntüsüyle fiili işleyiş sonucunu kapatma.</x:v>
      </x:c>
      <x:c r="H35" s="6" t="str">
        <x:v>Kurulu ürün/dağıtım, müşteri sözleşmesi ve işlev desteği Kapsam kaydında doğrulanır. Tüm hizmetlerde uygulanır; SaaS bileşenlerinde sağlayıcı yama taahhüdü ve duyuru takibi ölçüt alınır.</x:v>
      </x:c>
      <x:c r="I35" s="6" t="str">
        <x:v>Kurum için onaylı periyot/eşik gerekir; metindeki uygulama örnekleri NIST’in zorunlu ürün parametresi değildir. Üretimde değişiklik veya kesinti testi yapılmaz.</x:v>
      </x:c>
      <x:c r="J35" s="6" t="str">
        <x:v>NIST-53: RA-5; SI-2</x:v>
      </x:c>
      <x:c r="K35" s="6" t="str">
        <x:v>RA-5; SI-2</x:v>
      </x:c>
      <x:c r="L35" s="6" t="str">
        <x:v>24 eski soru. Birleştirme İzini bu Kontrol ID ile süzün.</x:v>
      </x:c>
    </x:row>
    <x:row r="36" ht="70" customHeight="1">
      <x:c r="A36" s="6" t="str">
        <x:v>GNL-08-03</x:v>
      </x:c>
      <x:c r="B36" s="6" t="str">
        <x:v>Zafiyet ve yaşam döngüsü</x:v>
      </x:c>
      <x:c r="C36" s="6" t="str">
        <x:v>EOL/EOS bileşenler saptanıyor, kullanımı engelleniyor veya zaman sınırlı dönüşüm/risk kabul planıyla yönetiliyor mu?</x:v>
      </x:c>
      <x:c r="D36" s="6" t="str">
        <x:v>Üretici destek tarihi ve canlı sürüm mutabıktır; plansız destek dışı bileşen yoktur.</x:v>
      </x:c>
      <x:c r="E36" s="6" t="str">
        <x:v>Risk senaryosu (atıflı kontrol amacından denetçi değerlendirmesi): Desteği bitmiş bileşende yeni açığın düzeltmesi sağlanamayabilir; geçiş planı yoksa üretim hizmeti kalıcı teknik borç ve kurtarma bağımlılığı taşıyabilir.</x:v>
      </x:c>
      <x:c r="F36" s="6" t="str">
        <x:v>Destek matrisi, EOL listesi, dönüşüm planı</x:v>
      </x:c>
      <x:c r="G36" s="6" t="str">
        <x:v>Salt okunur sistem çıktısını onaylı süreç/politika kaydıyla karşılaştır; ölçütteki her koşul için kanıt konumu ve ayrı alt sonucu kaydet. Yalnız görüşme veya ekran görüntüsüyle fiili işleyiş sonucunu kapatma.</x:v>
      </x:c>
      <x:c r="H36" s="6" t="str">
        <x:v>Kurulu ürün/dağıtım, müşteri sözleşmesi ve işlev desteği Kapsam kaydında doğrulanır. Tüm hizmetlerde uygulanır; SaaS bileşenlerinde sağlayıcı yama taahhüdü ve duyuru takibi ölçüt alınır.</x:v>
      </x:c>
      <x:c r="I36" s="6" t="str">
        <x:v>Kurum için onaylı periyot/eşik gerekir; metindeki uygulama örnekleri NIST’in zorunlu ürün parametresi değildir. Üretimde değişiklik veya kesinti testi yapılmaz.</x:v>
      </x:c>
      <x:c r="J36" s="6" t="str">
        <x:v>NIST-53: SA-22</x:v>
      </x:c>
      <x:c r="K36" s="6" t="str">
        <x:v>SA-22</x:v>
      </x:c>
      <x:c r="L36" s="6" t="str">
        <x:v>1 eski soru. Birleştirme İzini bu Kontrol ID ile süzün.</x:v>
      </x:c>
    </x:row>
    <x:row r="37" ht="70" customHeight="1">
      <x:c r="A37" s="6" t="str">
        <x:v>GNL-08-04</x:v>
      </x:c>
      <x:c r="B37" s="6" t="str">
        <x:v>Zafiyet ve yaşam döngüsü</x:v>
      </x:c>
      <x:c r="C37" s="6" t="str">
        <x:v>Yama öncesi uyumluluk/geri dönüş testleri ve yama sonrası sağlık-güvenlik doğrulamaları belgeli mi?</x:v>
      </x:c>
      <x:c r="D37" s="6" t="str">
        <x:v>Seçilen yama örneği baştan sona ve başarısızlık senaryosuyla doğrulanır.</x:v>
      </x:c>
      <x:c r="E37" s="6" t="str">
        <x:v>Risk senaryosu (atıflı kontrol amacından denetçi değerlendirmesi): Uyumluluk ve sonuç doğrulaması yapılmayan yama hizmeti bozabilir veya başarısız kurulduğu halde açığın kapandığı sanılabilir.</x:v>
      </x:c>
      <x:c r="F37" s="6" t="str">
        <x:v>Test sonuçları, değişiklik ve izleme kayıtları</x:v>
      </x:c>
      <x:c r="G37" s="6" t="str">
        <x:v>Salt okunur sistem çıktısını onaylı süreç/politika kaydıyla karşılaştır; ölçütteki her koşul için kanıt konumu ve ayrı alt sonucu kaydet. Yalnız görüşme veya ekran görüntüsüyle fiili işleyiş sonucunu kapatma.</x:v>
      </x:c>
      <x:c r="H37" s="6" t="str">
        <x:v>Kurulu ürün/dağıtım, müşteri sözleşmesi ve işlev desteği Kapsam kaydında doğrulanır. Tüm hizmetlerde uygulanır; SaaS bileşenlerinde sağlayıcı yama taahhüdü ve duyuru takibi ölçüt alınır.</x:v>
      </x:c>
      <x:c r="I37" s="6" t="str">
        <x:v>Kurum için onaylı periyot/eşik gerekir; metindeki uygulama örnekleri NIST’in zorunlu ürün parametresi değildir. Üretimde değişiklik veya kesinti testi yapılmaz.</x:v>
      </x:c>
      <x:c r="J37" s="6" t="str">
        <x:v>NIST-53: SI-2; CM-4</x:v>
      </x:c>
      <x:c r="K37" s="6" t="str">
        <x:v>SI-2; CM-4</x:v>
      </x:c>
      <x:c r="L37" s="6" t="str">
        <x:v>2 eski soru. Birleştirme İzini bu Kontrol ID ile süzün.</x:v>
      </x:c>
    </x:row>
    <x:row r="38" ht="70" customHeight="1">
      <x:c r="A38" s="6" t="str">
        <x:v>GNL-09-01</x:v>
      </x:c>
      <x:c r="B38" s="6" t="str">
        <x:v>Kayıt ve hesap verebilirlik</x:v>
      </x:c>
      <x:c r="C38" s="6" t="str">
        <x:v>Log standardı her ürün için zorunlu olayları, alanları, saat kaynağını, saklama süresini ve sorumluyu tanımlıyor mu?</x:v>
      </x:c>
      <x:c r="D38" s="6" t="str">
        <x:v>Standart ile canlı kaynak/alan/saklama ayarları tutarlıdır.</x:v>
      </x:c>
      <x:c r="E38" s="6" t="str">
        <x:v>Risk senaryosu (atıflı kontrol amacından denetçi değerlendirmesi): Zorunlu olay ve alanlar tanımlı değilse ürünler farklı ayrıntıda kayıt üretebilir; müşteri, kullanıcı veya zaman bilgisi olmadan olay zinciri kurulamayabilir.</x:v>
      </x:c>
      <x:c r="F38" s="6" t="str">
        <x:v>Log standardı ve ürün-kaynak matrisi</x:v>
      </x:c>
      <x:c r="G38" s="6" t="str">
        <x:v>Salt okunur sistem çıktısını onaylı süreç/politika kaydıyla karşılaştır; ölçütteki her koşul için kanıt konumu ve ayrı alt sonucu kaydet. Yalnız görüşme veya ekran görüntüsüyle fiili işleyiş sonucunu kapatma.</x:v>
      </x:c>
      <x:c r="H38" s="6" t="str">
        <x:v>Kurulu ürün/dağıtım, müşteri sözleşmesi ve işlev desteği Kapsam kaydında doğrulanır. Tüm hizmetlerde uygulanır; ürün alan bazlı kayıt üretemiyorsa telafi edici kontrol ve gerekçe aranır.</x:v>
      </x:c>
      <x:c r="I38" s="6" t="str">
        <x:v>Kurum için onaylı periyot/eşik gerekir; metindeki uygulama örnekleri NIST’in zorunlu ürün parametresi değildir. Üretimde değişiklik veya kesinti testi yapılmaz.</x:v>
      </x:c>
      <x:c r="J38" s="6" t="str">
        <x:v>NIST-53: AU-2; AU-3</x:v>
      </x:c>
      <x:c r="K38" s="6" t="str">
        <x:v>AU-2; AU-3</x:v>
      </x:c>
      <x:c r="L38" s="6" t="str">
        <x:v>1 eski soru. Birleştirme İzini bu Kontrol ID ile süzün.</x:v>
      </x:c>
    </x:row>
    <x:row r="39" ht="70" customHeight="1">
      <x:c r="A39" s="6" t="str">
        <x:v>GNL-09-02</x:v>
      </x:c>
      <x:c r="B39" s="6" t="str">
        <x:v>Kayıt ve hesap verebilirlik</x:v>
      </x:c>
      <x:c r="C39" s="6" t="str">
        <x:v>Yönetici, kimlik, yetki, politika, yapılandırma, veri erişimi ve silme olayları merkezi SIEM’e eksiksiz aktarılıyor mu?</x:v>
      </x:c>
      <x:c r="D39" s="6" t="str">
        <x:v>Her kritik olay tipi uçtan uca üretilip SIEM’de kullanıcı/hedef/sonuç/zaman ile görülür.</x:v>
      </x:c>
      <x:c r="E39" s="6" t="str">
        <x:v>Risk senaryosu (atıflı kontrol amacından denetçi değerlendirmesi): Kritik yönetim ve veri olayları merkezi izlemeye ulaşmazsa farklı bileşenlere yayılan saldırı ilişkilendirilemeyebilir; yerel kayıt kaybında delil kalmayabilir.</x:v>
      </x:c>
      <x:c r="F39" s="6" t="str">
        <x:v>Kaynak listesi, ham log örnekleri, SIEM aramaları</x:v>
      </x:c>
      <x:c r="G39" s="6" t="str">
        <x:v>Salt okunur sistem çıktısını onaylı süreç/politika kaydıyla karşılaştır; ölçütteki her koşul için kanıt konumu ve ayrı alt sonucu kaydet. Yalnız görüşme veya ekran görüntüsüyle fiili işleyiş sonucunu kapatma.</x:v>
      </x:c>
      <x:c r="H39" s="6" t="str">
        <x:v>Kurulu ürün/dağıtım, müşteri sözleşmesi ve işlev desteği Kapsam kaydında doğrulanır. Tüm hizmetlerde uygulanır; ürün alan bazlı kayıt üretemiyorsa telafi edici kontrol ve gerekçe aranır.</x:v>
      </x:c>
      <x:c r="I39" s="6" t="str">
        <x:v>Kurum için onaylı periyot/eşik gerekir; metindeki uygulama örnekleri NIST’in zorunlu ürün parametresi değildir. Üretimde değişiklik veya kesinti testi yapılmaz.</x:v>
      </x:c>
      <x:c r="J39" s="6" t="str">
        <x:v>NIST-53: AU-6; AU-9</x:v>
      </x:c>
      <x:c r="K39" s="6" t="str">
        <x:v>AU-6; AU-9</x:v>
      </x:c>
      <x:c r="L39" s="6" t="str">
        <x:v>30 eski soru. Birleştirme İzini bu Kontrol ID ile süzün.</x:v>
      </x:c>
    </x:row>
    <x:row r="40" ht="70" customHeight="1">
      <x:c r="A40" s="6" t="str">
        <x:v>GNL-09-03</x:v>
      </x:c>
      <x:c r="B40" s="6" t="str">
        <x:v>Kayıt ve hesap verebilirlik</x:v>
      </x:c>
      <x:c r="C40" s="6" t="str">
        <x:v>Log kaybı, gecikmesi, parse hatası, saat sapması ve kaynak sessizliği alarm üretiyor mu?</x:v>
      </x:c>
      <x:c r="D40" s="6" t="str">
        <x:v>Kontrollü kesinti/test olayı tanımlı SLA içinde alarm ve eskalasyon üretir.</x:v>
      </x:c>
      <x:c r="E40" s="6" t="str">
        <x:v>Risk senaryosu (atıflı kontrol amacından denetçi değerlendirmesi): Sessiz kaynak, ayrıştırma hatası veya gecikme alarm üretmezse SIEM çalışıyor görünürken ilgili müşteri veya zaman aralığında tespit körlüğü oluşabilir.</x:v>
      </x:c>
      <x:c r="F40" s="6" t="str">
        <x:v>Kaynak sağlık dashboardu ve alarm testleri | Birleşen kapsam: Sağlık dashboardları ve alarm yapılandırmau</x:v>
      </x:c>
      <x:c r="G40" s="6" t="str">
        <x:v>Salt okunur sistem çıktısını onaylı süreç/politika kaydıyla karşılaştır; ölçütteki her koşul için kanıt konumu ve ayrı alt sonucu kaydet. Yalnız görüşme veya ekran görüntüsüyle fiili işleyiş sonucunu kapatma.</x:v>
      </x:c>
      <x:c r="H40" s="6" t="str">
        <x:v>Kurulu ürün/dağıtım, müşteri sözleşmesi ve işlev desteği Kapsam kaydında doğrulanır. Tüm hizmetlerde uygulanır; ürün alan bazlı kayıt üretemiyorsa telafi edici kontrol ve gerekçe aranır.</x:v>
      </x:c>
      <x:c r="I40" s="6" t="str">
        <x:v>Kurum için onaylı periyot/eşik gerekir; metindeki uygulama örnekleri NIST’in zorunlu ürün parametresi değildir. Üretimde değişiklik veya kesinti testi yapılmaz.</x:v>
      </x:c>
      <x:c r="J40" s="6" t="str">
        <x:v>NIST-53: AU-5; SI-4</x:v>
      </x:c>
      <x:c r="K40" s="6" t="str">
        <x:v>AU-5; SI-4</x:v>
      </x:c>
      <x:c r="L40" s="6" t="str">
        <x:v>3 eski soru. Birleştirme İzini bu Kontrol ID ile süzün.</x:v>
      </x:c>
    </x:row>
    <x:row r="41" ht="70" customHeight="1">
      <x:c r="A41" s="6" t="str">
        <x:v>GNL-09-04</x:v>
      </x:c>
      <x:c r="B41" s="6" t="str">
        <x:v>Kayıt ve hesap verebilirlik</x:v>
      </x:c>
      <x:c r="C41" s="6" t="str">
        <x:v>Loglar ayrı yetki alanında, değişmezlik/WORM veya eşdeğer bütünlük kontrolüyle korunuyor mu?</x:v>
      </x:c>
      <x:c r="D41" s="6" t="str">
        <x:v>Kaynak yöneticisi merkezi kaydı değiştiremez; silme işlemi ayrı onay ve audit izine tabidir.</x:v>
      </x:c>
      <x:c r="E41" s="6" t="str">
        <x:v>Risk senaryosu (atıflı kontrol amacından denetçi değerlendirmesi): Kayıtlar işlemi yapan yetki alanından değiştirilebiliyorsa saldırgan kendi izini silebilir; kayıt bütünlüğü ve olay kanıtının güvenilirliği zedelenebilir.</x:v>
      </x:c>
      <x:c r="F41" s="6" t="str">
        <x:v>Depolama politikası, rol listesi, bütünlük/immutability ayarı</x:v>
      </x:c>
      <x:c r="G41" s="6" t="str">
        <x:v>Salt okunur sistem çıktısını onaylı süreç/politika kaydıyla karşılaştır; ölçütteki her koşul için kanıt konumu ve ayrı alt sonucu kaydet. Yalnız görüşme veya ekran görüntüsüyle fiili işleyiş sonucunu kapatma.</x:v>
      </x:c>
      <x:c r="H41" s="6" t="str">
        <x:v>Kurulu ürün/dağıtım, müşteri sözleşmesi ve işlev desteği Kapsam kaydında doğrulanır. Tüm hizmetlerde uygulanır; ürün alan bazlı kayıt üretemiyorsa telafi edici kontrol ve gerekçe aranır.</x:v>
      </x:c>
      <x:c r="I41" s="6" t="str">
        <x:v>Kurum için onaylı periyot/eşik gerekir; metindeki uygulama örnekleri NIST’in zorunlu ürün parametresi değildir. Üretimde değişiklik veya kesinti testi yapılmaz.</x:v>
      </x:c>
      <x:c r="J41" s="6" t="str">
        <x:v>NIST-53: AU-9; AU-11</x:v>
      </x:c>
      <x:c r="K41" s="6" t="str">
        <x:v>AU-9; AU-11</x:v>
      </x:c>
      <x:c r="L41" s="6" t="str">
        <x:v>3 eski soru. Birleştirme İzini bu Kontrol ID ile süzün.</x:v>
      </x:c>
    </x:row>
    <x:row r="42" ht="70" customHeight="1">
      <x:c r="A42" s="6" t="str">
        <x:v>GNL-09-05</x:v>
      </x:c>
      <x:c r="B42" s="6" t="str">
        <x:v>Kayıt ve hesap verebilirlik</x:v>
      </x:c>
      <x:c r="C42" s="6" t="str">
        <x:v>Log saklama süreleri yasal, sözleşmesel, olay inceleme ve kapasite ihtiyaçlarıyla gerekçelendirilmiş mi?</x:v>
      </x:c>
      <x:c r="D42" s="6" t="str">
        <x:v>Canlı ayarlar onaylı sürelerle eşleşir; erken silme veya kontrolsüz sonsuz saklama yoktur.</x:v>
      </x:c>
      <x:c r="E42" s="6" t="str">
        <x:v>Risk senaryosu (atıflı kontrol amacından denetçi değerlendirmesi): Gerekçesiz kısa saklama inceleme için gereken geçmişi yok edebilir; gereksiz uzun saklama ise hassas veri maruziyetini ve kapasite yükünü artırabilir.</x:v>
      </x:c>
      <x:c r="F42" s="6" t="str">
        <x:v>Saklama matrisi, indeks/depo ayarları</x:v>
      </x:c>
      <x:c r="G42" s="6" t="str">
        <x:v>Salt okunur sistem çıktısını onaylı süreç/politika kaydıyla karşılaştır; ölçütteki her koşul için kanıt konumu ve ayrı alt sonucu kaydet. Yalnız görüşme veya ekran görüntüsüyle fiili işleyiş sonucunu kapatma.</x:v>
      </x:c>
      <x:c r="H42" s="6" t="str">
        <x:v>Kurulu ürün/dağıtım, müşteri sözleşmesi ve işlev desteği Kapsam kaydında doğrulanır. Tüm hizmetlerde uygulanır; ürün alan bazlı kayıt üretemiyorsa telafi edici kontrol ve gerekçe aranır.</x:v>
      </x:c>
      <x:c r="I42" s="6" t="str">
        <x:v>Kurum için onaylı periyot/eşik gerekir; metindeki uygulama örnekleri NIST’in zorunlu ürün parametresi değildir. Üretimde değişiklik veya kesinti testi yapılmaz.</x:v>
      </x:c>
      <x:c r="J42" s="6" t="str">
        <x:v>NIST-53: AU-11</x:v>
      </x:c>
      <x:c r="K42" s="6" t="str">
        <x:v>AU-11</x:v>
      </x:c>
      <x:c r="L42" s="6" t="str">
        <x:v>3 eski soru. Birleştirme İzini bu Kontrol ID ile süzün.</x:v>
      </x:c>
    </x:row>
    <x:row r="43" ht="70" customHeight="1">
      <x:c r="A43" s="6" t="str">
        <x:v>GNL-10-01</x:v>
      </x:c>
      <x:c r="B43" s="6" t="str">
        <x:v>Güvenlik izleme</x:v>
      </x:c>
      <x:c r="C43" s="6" t="str">
        <x:v>Tenant izolasyonu, ayrıcalık yükseltme, yapılandırma değişikliği, log kapatma ve veri dışa aktarımı için alarm senaryoları var mı?</x:v>
      </x:c>
      <x:c r="D43" s="6" t="str">
        <x:v>Her kritik senaryo sahip, veri kaynağı, eşik, SLA ve son test tarihine sahiptir.</x:v>
      </x:c>
      <x:c r="E43" s="6" t="str">
        <x:v>Güvenlik alarmları ve kontrol sağlığının izlenmesi yeterli değilse, tespit içeriği veya alarm işleyişi çalışmıyorsa saldırı üretimde uzun süre fark edilmeyebilir.</x:v>
      </x:c>
      <x:c r="F43" s="6" t="str">
        <x:v>Use-case kataloğu, kural içeriği, test sonuçları | Birleşen kapsam: Test planı, örnek olay ve bildirim kayıtları</x:v>
      </x:c>
      <x:c r="G43" s="6" t="str">
        <x:v>Salt okunur sistem çıktısını onaylı süreç/politika kaydıyla karşılaştır; ölçütteki her koşul için kanıt konumu ve ayrı alt sonucu kaydet. Yalnız görüşme veya ekran görüntüsüyle fiili işleyiş sonucunu kapatma.</x:v>
      </x:c>
      <x:c r="H43" s="6" t="str">
        <x:v>Kurulu ürün/dağıtım, müşteri sözleşmesi ve işlev desteği Kapsam kaydında doğrulanır. Tüm hizmetlerde uygulanır; izleme dış hizmetten alınıyorsa sözleşme ve SLA ölçüt alınır.</x:v>
      </x:c>
      <x:c r="I43" s="6" t="str">
        <x:v>Kurum için onaylı periyot/eşik gerekir; metindeki uygulama örnekleri NIST’in zorunlu ürün parametresi değildir. Üretimde değişiklik veya kesinti testi yapılmaz.</x:v>
      </x:c>
      <x:c r="J43" s="6" t="str">
        <x:v>NIST-53: SI-4; AU-6</x:v>
      </x:c>
      <x:c r="K43" s="6" t="str">
        <x:v>SI-4; AU-6</x:v>
      </x:c>
      <x:c r="L43" s="6" t="str">
        <x:v>2 eski soru. Birleştirme İzini bu Kontrol ID ile süzün.</x:v>
      </x:c>
    </x:row>
    <x:row r="44" ht="70" customHeight="1">
      <x:c r="A44" s="6" t="str">
        <x:v>GNL-11-01</x:v>
      </x:c>
      <x:c r="B44" s="6" t="str">
        <x:v>Kriptografi ve sertifika</x:v>
      </x:c>
      <x:c r="C44" s="6" t="str">
        <x:v>Aktarım ve depolama şifreleme standardı izinli/yasaklı protokol, algoritma, anahtar boyu ve geçiş takvimini tanımlıyor mu?</x:v>
      </x:c>
      <x:c r="D44" s="6" t="str">
        <x:v>Canlı ayarlar standartla uyumludur; zayıf protokol/şifre takımı istisnası sürelidir.</x:v>
      </x:c>
      <x:c r="E44" s="6" t="str">
        <x:v>Risk senaryosu (atıflı kontrol amacından denetçi değerlendirmesi): Ortak kriptografi ölçütü ve geçiş planı yoksa zayıf veya birbiriyle uyumsuz protokoller kullanılabilir; gizlilik ve hizmet sürekliliği birlikte etkilenebilir.</x:v>
      </x:c>
      <x:c r="F44" s="6" t="str">
        <x:v>Kriptografi standardı, tarama/yapılandırma çıktısı</x:v>
      </x:c>
      <x:c r="G44" s="6" t="str">
        <x:v>Salt okunur sistem çıktısını onaylı süreç/politika kaydıyla karşılaştır; ölçütteki her koşul için kanıt konumu ve ayrı alt sonucu kaydet. Yalnız görüşme veya ekran görüntüsüyle fiili işleyiş sonucunu kapatma.</x:v>
      </x:c>
      <x:c r="H44" s="6" t="str">
        <x:v>Kurulu ürün/dağıtım, müşteri sözleşmesi ve işlev desteği Kapsam kaydında doğrulanır. Tüm hizmetlerde uygulanır; ürün donanım anahtar modülü desteklemiyorsa gerekçe ve telafi kontrolü aranır.</x:v>
      </x:c>
      <x:c r="I44" s="6" t="str">
        <x:v>Kurum için onaylı periyot/eşik gerekir; metindeki uygulama örnekleri NIST’in zorunlu ürün parametresi değildir. Üretimde değişiklik veya kesinti testi yapılmaz.</x:v>
      </x:c>
      <x:c r="J44" s="6" t="str">
        <x:v>NIST-53: SC-8; SC-13</x:v>
      </x:c>
      <x:c r="K44" s="6" t="str">
        <x:v>SC-8; SC-13</x:v>
      </x:c>
      <x:c r="L44" s="6" t="str">
        <x:v>1 eski soru. Birleştirme İzini bu Kontrol ID ile süzün.</x:v>
      </x:c>
    </x:row>
    <x:row r="45" ht="85" customHeight="1">
      <x:c r="A45" s="6" t="str">
        <x:v>GNL-11-02</x:v>
      </x:c>
      <x:c r="B45" s="6" t="str">
        <x:v>Kriptografi ve sertifika</x:v>
      </x:c>
      <x:c r="C45" s="6" t="str">
        <x:v>Sertifika envanteri ve yaşam döngüsü güven gereksinimiyle uyumlu mu?</x:v>
      </x:c>
      <x:c r="D45" s="6" t="str">
        <x:v>Canlı isim/kapsam, süre ve güven zinciri onaylı mimariyle uyumlu; özel güven alanındaki belgeli CA/sertifika tasarımı otomatik uygunsuz sayılmaz.</x:v>
      </x:c>
      <x:c r="E45" s="6" t="str">
        <x:v>Risk senaryosu (atıflı kontrol amacından denetçi değerlendirmesi): Sertifika sahibi, güven zinciri ve bitiş tarihi izlenmezse beklenmedik bağlantı kesintisi veya yanlış sunucuya güven oluşabilir; yenileme sırasında kontrolsüz istisna açılabilir.</x:v>
      </x:c>
      <x:c r="F45" s="6" t="str">
        <x:v>Sertifika envanteri, tarama ve alarm kayıtları</x:v>
      </x:c>
      <x:c r="G45" s="6" t="str">
        <x:v>Salt okunur sistem çıktısını onaylı süreç/politika kaydıyla karşılaştır; ölçütteki her koşul için kanıt konumu ve ayrı alt sonucu kaydet. Yalnız görüşme veya ekran görüntüsüyle fiili işleyiş sonucunu kapatma.</x:v>
      </x:c>
      <x:c r="H45" s="6" t="str">
        <x:v>Kurulu ürün/dağıtım, müşteri sözleşmesi ve işlev desteği Kapsam kaydında doğrulanır. Tüm hizmetlerde uygulanır; ürün donanım anahtar modülü desteklemiyorsa gerekçe ve telafi kontrolü aranır.</x:v>
      </x:c>
      <x:c r="I45" s="6" t="str">
        <x:v>Kurum için onaylı periyot/eşik gerekir; metindeki uygulama örnekleri NIST’in zorunlu ürün parametresi değildir. Üretimde değişiklik veya kesinti testi yapılmaz.</x:v>
      </x:c>
      <x:c r="J45" s="6" t="str">
        <x:v>NIST-53: SC-17</x:v>
      </x:c>
      <x:c r="K45" s="6" t="str">
        <x:v>SC-17</x:v>
      </x:c>
      <x:c r="L45" s="6" t="str">
        <x:v>5 eski soru. Birleştirme İzini bu Kontrol ID ile süzün.</x:v>
      </x:c>
    </x:row>
    <x:row r="46" ht="70" customHeight="1">
      <x:c r="A46" s="6" t="str">
        <x:v>GNL-11-03</x:v>
      </x:c>
      <x:c r="B46" s="6" t="str">
        <x:v>Kriptografi ve sertifika</x:v>
      </x:c>
      <x:c r="C46" s="6" t="str">
        <x:v>Müşteri verisini koruyan anahtarların sahipliği, erişimi, rotasyonu, yedeklenmesi, iptali ve imhası ayrıştırılmış mı?</x:v>
      </x:c>
      <x:c r="D46" s="6" t="str">
        <x:v>Anahtar yönetimi veri/tenant sınırıyla uyumludur; tek kişi kontrolü ve sağlayıcı bağımlılığı yönetilmiştir.</x:v>
      </x:c>
      <x:c r="E46" s="6" t="str">
        <x:v>Risk senaryosu (atıflı kontrol amacından denetçi değerlendirmesi): Anahtar erişimi ve yaşam döngüsü ayrıştırılmazsa yetkisiz çözme veya müşteriler arasında anahtar kullanımı oluşabilir; kayıp anahtar kurtarılabilir veriyi okunamaz kılabilir.</x:v>
      </x:c>
      <x:c r="F46" s="6" t="str">
        <x:v>KMS/HSM politikası, rol ve audit logları | Birleşen kapsam: Şifreleme ayarları, KMS/HSM yetkileri, anahtar rotasyonu</x:v>
      </x:c>
      <x:c r="G46" s="6" t="str">
        <x:v>Salt okunur sistem çıktısını onaylı süreç/politika kaydıyla karşılaştır; ölçütteki her koşul için kanıt konumu ve ayrı alt sonucu kaydet. Yalnız görüşme veya ekran görüntüsüyle fiili işleyiş sonucunu kapatma.</x:v>
      </x:c>
      <x:c r="H46" s="6" t="str">
        <x:v>Kurulu ürün/dağıtım, müşteri sözleşmesi ve işlev desteği Kapsam kaydında doğrulanır. Tüm hizmetlerde uygulanır; ürün donanım anahtar modülü desteklemiyorsa gerekçe ve telafi kontrolü aranır.</x:v>
      </x:c>
      <x:c r="I46" s="6" t="str">
        <x:v>Kurum için onaylı periyot/eşik gerekir; metindeki uygulama örnekleri NIST’in zorunlu ürün parametresi değildir. Üretimde değişiklik veya kesinti testi yapılmaz.</x:v>
      </x:c>
      <x:c r="J46" s="6" t="str">
        <x:v>NIST-53: SC-12; SC-28</x:v>
      </x:c>
      <x:c r="K46" s="6" t="str">
        <x:v>SC-12; SC-28</x:v>
      </x:c>
      <x:c r="L46" s="6" t="str">
        <x:v>3 eski soru. Birleştirme İzini bu Kontrol ID ile süzün.</x:v>
      </x:c>
    </x:row>
    <x:row r="47" ht="70" customHeight="1">
      <x:c r="A47" s="6" t="str">
        <x:v>GNL-12-01</x:v>
      </x:c>
      <x:c r="B47" s="6" t="str">
        <x:v>Gizli bilgi yönetimi</x:v>
      </x:c>
      <x:c r="C47" s="6" t="str">
        <x:v>Servis/API kimliklerinin sırları ve erişim kapsamı korunuyor mu?</x:v>
      </x:c>
      <x:c r="D47" s="6" t="str">
        <x:v>Aktif sırlar yetkisiz kişiye açık kod/ticket/log/export içinde bulunmamalı; sahibi, kullanım amacı, minimum yetki, yenileme ve iptal süreci kanıtlanmalı. Ürünün güvenli çalışma anı saklama biçimi ayrıca değerlendirilir.</x:v>
      </x:c>
      <x:c r="E47" s="6" t="str">
        <x:v>Parola, erişim anahtarı ve servis kimliklerinin korunması yeterli değilse, düz metin, uzun ömürlü veya geniş yetkili sırlar kalıcı ve izlenmesi güç yetkisiz erişim sağlayabilir.</x:v>
      </x:c>
      <x:c r="F47" s="6" t="str">
        <x:v>Vault envanteri, kod/config taraması ve erişim logları | Birleşen kapsam: Sır politikaları, rotasyon ve kullanım logları</x:v>
      </x:c>
      <x:c r="G47" s="6" t="str">
        <x:v>Salt okunur sistem çıktısını onaylı süreç/politika kaydıyla karşılaştır; ölçütteki her koşul için kanıt konumu ve ayrı alt sonucu kaydet. Yalnız görüşme veya ekran görüntüsüyle fiili işleyiş sonucunu kapatma.</x:v>
      </x:c>
      <x:c r="H47" s="6" t="str">
        <x:v>Kurulu ürün/dağıtım, müşteri sözleşmesi ve işlev desteği Kapsam kaydında doğrulanır. Tüm hizmetlerde uygulanır; istisnasızdır.</x:v>
      </x:c>
      <x:c r="I47" s="6" t="str">
        <x:v>Kurum için onaylı periyot/eşik gerekir; metindeki uygulama örnekleri NIST’in zorunlu ürün parametresi değildir. Üretimde değişiklik veya kesinti testi yapılmaz.</x:v>
      </x:c>
      <x:c r="J47" s="6" t="str">
        <x:v>NIST-53: IA-5; AC-6</x:v>
      </x:c>
      <x:c r="K47" s="6" t="str">
        <x:v>IA-5; AC-6</x:v>
      </x:c>
      <x:c r="L47" s="6" t="str">
        <x:v>10 eski soru. Birleştirme İzini bu Kontrol ID ile süzün.</x:v>
      </x:c>
    </x:row>
    <x:row r="48" ht="70" customHeight="1">
      <x:c r="A48" s="6" t="str">
        <x:v>GNL-13-01</x:v>
      </x:c>
      <x:c r="B48" s="6" t="str">
        <x:v>Ağ ve yönetim düzlemi güvenliği</x:v>
      </x:c>
      <x:c r="C48" s="6" t="str">
        <x:v>Yönetim, tenant, depolama, yedekleme, canlı taşıma ve log ağları risklerine göre ayrılmış mı?</x:v>
      </x:c>
      <x:c r="D48" s="6" t="str">
        <x:v>İzinli akış matrisiyle canlı kurallar ve örnek trafik doğrulanır.</x:v>
      </x:c>
      <x:c r="E48" s="6" t="str">
        <x:v>Risk senaryosu (atıflı kontrol amacından denetçi değerlendirmesi): Yönetim, depolama ve müşteri trafiği uygun sınırlarla ayrılmazsa bir müşteri ağındaki ihlal altyapı yönetimine veya diğer veri yollarına yayılabilir.</x:v>
      </x:c>
      <x:c r="F48" s="6" t="str">
        <x:v>Ağ diyagramı, firewall/ACL ve platform port grubu exportu</x:v>
      </x:c>
      <x:c r="G48" s="6" t="str">
        <x:v>Salt okunur sistem çıktısını onaylı süreç/politika kaydıyla karşılaştır; ölçütteki her koşul için kanıt konumu ve ayrı alt sonucu kaydet. Yalnız görüşme veya ekran görüntüsüyle fiili işleyiş sonucunu kapatma.</x:v>
      </x:c>
      <x:c r="H48" s="6" t="str">
        <x:v>Kurulu ürün/dağıtım, müşteri sözleşmesi ve işlev desteği Kapsam kaydında doğrulanır. Yalnız sağlayıcının ağ katmanına erişiminin bulunmadığı saf SaaS bileşenlerinde daraltılabilir.</x:v>
      </x:c>
      <x:c r="I48" s="6" t="str">
        <x:v>Kurum için onaylı periyot/eşik gerekir; metindeki uygulama örnekleri NIST’in zorunlu ürün parametresi değildir. Üretimde değişiklik veya kesinti testi yapılmaz.</x:v>
      </x:c>
      <x:c r="J48" s="6" t="str">
        <x:v>NIST-53: SC-7; AC-4</x:v>
      </x:c>
      <x:c r="K48" s="6" t="str">
        <x:v>SC-7; AC-4</x:v>
      </x:c>
      <x:c r="L48" s="6" t="str">
        <x:v>1 eski soru. Birleştirme İzini bu Kontrol ID ile süzün.</x:v>
      </x:c>
    </x:row>
    <x:row r="49" ht="70" customHeight="1">
      <x:c r="A49" s="6" t="str">
        <x:v>GNL-13-02</x:v>
      </x:c>
      <x:c r="B49" s="6" t="str">
        <x:v>Ağ ve yönetim düzlemi güvenliği</x:v>
      </x:c>
      <x:c r="C49" s="6" t="str">
        <x:v>Yönetim arayüzleri internetten erişilemiyor; yalnız kontrollü jump/PAM/VPN ve yetkili kaynaklardan ulaşılıyor mu?</x:v>
      </x:c>
      <x:c r="D49" s="6" t="str">
        <x:v>Onaysız kaynaklardan bağlantı reddedilir; bypass yolu yoktur.</x:v>
      </x:c>
      <x:c r="E49" s="6" t="str">
        <x:v>Risk senaryosu (atıflı kontrol amacından denetçi değerlendirmesi): Yönetim arayüzüne kontrolsüz kaynaktan erişilebiliyorsa saldırgan ayrıcalıklı giriş yollarını doğrudan deneyebilir; jump/PAM üzerindeki izleme ve onay devre dışı kalabilir.</x:v>
      </x:c>
      <x:c r="F49" s="6" t="str">
        <x:v>Dış tarama, firewall/local-in/ACL ve erişim logları | Birleşen kapsam: Ağ akışları, güvenlik duvarı kuralları, yönetim geçiş sunucusu (jump server) kayıtları</x:v>
      </x:c>
      <x:c r="G49" s="6" t="str">
        <x:v>Salt okunur sistem çıktısını onaylı süreç/politika kaydıyla karşılaştır; ölçütteki her koşul için kanıt konumu ve ayrı alt sonucu kaydet. Yalnız görüşme veya ekran görüntüsüyle fiili işleyiş sonucunu kapatma.</x:v>
      </x:c>
      <x:c r="H49" s="6" t="str">
        <x:v>Kurulu ürün/dağıtım, müşteri sözleşmesi ve işlev desteği Kapsam kaydında doğrulanır. Yalnız sağlayıcının ağ katmanına erişiminin bulunmadığı saf SaaS bileşenlerinde daraltılabilir.</x:v>
      </x:c>
      <x:c r="I49" s="6" t="str">
        <x:v>Kurum için onaylı periyot/eşik gerekir; metindeki uygulama örnekleri NIST’in zorunlu ürün parametresi değildir. Üretimde değişiklik veya kesinti testi yapılmaz.</x:v>
      </x:c>
      <x:c r="J49" s="6" t="str">
        <x:v>NIST-53: SC-7; AC-17</x:v>
      </x:c>
      <x:c r="K49" s="6" t="str">
        <x:v>SC-7; AC-17</x:v>
      </x:c>
      <x:c r="L49" s="6" t="str">
        <x:v>3 eski soru. Birleştirme İzini bu Kontrol ID ile süzün.</x:v>
      </x:c>
    </x:row>
    <x:row r="50" ht="70" customHeight="1">
      <x:c r="A50" s="6" t="str">
        <x:v>GNL-13-03</x:v>
      </x:c>
      <x:c r="B50" s="6" t="str">
        <x:v>Ağ ve yönetim düzlemi güvenliği</x:v>
      </x:c>
      <x:c r="C50" s="6" t="str">
        <x:v>Ağ kuralları varsayılan ret, açık iş gerekçesi, sahibi, süre ve periyodik gözden geçirme ile yönetiliyor mu?</x:v>
      </x:c>
      <x:c r="D50" s="6" t="str">
        <x:v>Any/any, kullanılmayan, gölgelenen veya süresi geçmiş kural gerekçesiz değildir.</x:v>
      </x:c>
      <x:c r="E50" s="6" t="str">
        <x:v>Risk senaryosu (atıflı kontrol amacından denetçi değerlendirmesi): Sahipsiz veya süresiz geniş ağ kuralları eski iş ihtiyacı sona erdikten sonra da erişim bırakabilir; izin verilen akışın müşteri sınırına uygunluğu kanıtlanamayabilir.</x:v>
      </x:c>
      <x:c r="F50" s="6" t="str">
        <x:v>Kural tabanı exportu, recertification ve hit-count</x:v>
      </x:c>
      <x:c r="G50" s="6" t="str">
        <x:v>Salt okunur sistem çıktısını onaylı süreç/politika kaydıyla karşılaştır; ölçütteki her koşul için kanıt konumu ve ayrı alt sonucu kaydet. Yalnız görüşme veya ekran görüntüsüyle fiili işleyiş sonucunu kapatma.</x:v>
      </x:c>
      <x:c r="H50" s="6" t="str">
        <x:v>Kurulu ürün/dağıtım, müşteri sözleşmesi ve işlev desteği Kapsam kaydında doğrulanır. Yalnız sağlayıcının ağ katmanına erişiminin bulunmadığı saf SaaS bileşenlerinde daraltılabilir.</x:v>
      </x:c>
      <x:c r="I50" s="6" t="str">
        <x:v>Kurum için onaylı periyot/eşik gerekir; metindeki uygulama örnekleri NIST’in zorunlu ürün parametresi değildir. Üretimde değişiklik veya kesinti testi yapılmaz.</x:v>
      </x:c>
      <x:c r="J50" s="6" t="str">
        <x:v>NIST-53: SC-7; CM-7</x:v>
      </x:c>
      <x:c r="K50" s="6" t="str">
        <x:v>SC-7; CM-7</x:v>
      </x:c>
      <x:c r="L50" s="6" t="str">
        <x:v>1 eski soru. Birleştirme İzini bu Kontrol ID ile süzün.</x:v>
      </x:c>
    </x:row>
    <x:row r="51" ht="70" customHeight="1">
      <x:c r="A51" s="6" t="str">
        <x:v>GNL-14-01</x:v>
      </x:c>
      <x:c r="B51" s="6" t="str">
        <x:v>Kapasite ve hizmet izolasyonu</x:v>
      </x:c>
      <x:c r="C51" s="6" t="str">
        <x:v>Müşteri ve platform bazında CPU, bellek, depolama, bağlantı, log hacmi ve lisans kapasitesi izleniyor mu?</x:v>
      </x:c>
      <x:c r="D51" s="6" t="str">
        <x:v>Kritik eşiklerde sorumlu ve aksiyon bulunur; öngörü planı SLA dönemini kapsar.</x:v>
      </x:c>
      <x:c r="E51" s="6" t="str">
        <x:v>Risk senaryosu (atıflı kontrol amacından denetçi değerlendirmesi): Kaynak ve lisans tüketimi izlenmezse kapasite tükenmesi önceden görülmeyebilir; aynı havuzu kullanan birden çok müşterinin hizmeti etkilenebilir.</x:v>
      </x:c>
      <x:c r="F51" s="6" t="str">
        <x:v>Kapasite planı, trend ve alarm raporları</x:v>
      </x:c>
      <x:c r="G51" s="6" t="str">
        <x:v>Salt okunur sistem çıktısını onaylı süreç/politika kaydıyla karşılaştır; ölçütteki her koşul için kanıt konumu ve ayrı alt sonucu kaydet. Yalnız görüşme veya ekran görüntüsüyle fiili işleyiş sonucunu kapatma.</x:v>
      </x:c>
      <x:c r="H51" s="6" t="str">
        <x:v>Kurulu ürün/dağıtım, müşteri sözleşmesi ve işlev desteği Kapsam kaydında doğrulanır. Paylaşımlı kaynak kullanılmayan hizmetlerde gerekçeli olarak daraltılabilir.</x:v>
      </x:c>
      <x:c r="I51" s="6" t="str">
        <x:v>Kurum için onaylı periyot/eşik gerekir; metindeki uygulama örnekleri NIST’in zorunlu ürün parametresi değildir. Üretimde değişiklik veya kesinti testi yapılmaz.</x:v>
      </x:c>
      <x:c r="J51" s="6" t="str">
        <x:v>NIST-53: SC-6; SC-5</x:v>
      </x:c>
      <x:c r="K51" s="6" t="str">
        <x:v>SC-6; SC-5</x:v>
      </x:c>
      <x:c r="L51" s="6" t="str">
        <x:v>2 eski soru. Birleştirme İzini bu Kontrol ID ile süzün.</x:v>
      </x:c>
    </x:row>
    <x:row r="52" ht="70" customHeight="1">
      <x:c r="A52" s="6" t="str">
        <x:v>GNL-14-02</x:v>
      </x:c>
      <x:c r="B52" s="6" t="str">
        <x:v>Kapasite ve hizmet izolasyonu</x:v>
      </x:c>
      <x:c r="C52" s="6" t="str">
        <x:v>Bir tenantın kaynak taşması veya saldırısının diğer tenantları etkilemediği yük/stres testleriyle doğrulanmış mı?</x:v>
      </x:c>
      <x:c r="D52" s="6" t="str">
        <x:v>Test, kota/limit ve alarm davranışını; komşu tenant etkisini ölçer.</x:v>
      </x:c>
      <x:c r="E52" s="6" t="str">
        <x:v>Risk senaryosu (atıflı kontrol amacından denetçi değerlendirmesi): Kota ve kaynak sınırının yük altında çalıştığı doğrulanmazsa tek müşterinin yoğunluğu diğer müşterilerin işlem süresini veya erişilebilirliğini bozabilir.</x:v>
      </x:c>
      <x:c r="F52" s="6" t="str">
        <x:v>Yük testi ve izolasyon sonuçları</x:v>
      </x:c>
      <x:c r="G52" s="6" t="str">
        <x:v>Salt okunur sistem çıktısını onaylı süreç/politika kaydıyla karşılaştır; ölçütteki her koşul için kanıt konumu ve ayrı alt sonucu kaydet. Yalnız görüşme veya ekran görüntüsüyle fiili işleyiş sonucunu kapatma.</x:v>
      </x:c>
      <x:c r="H52" s="6" t="str">
        <x:v>Kurulu ürün/dağıtım, müşteri sözleşmesi ve işlev desteği Kapsam kaydında doğrulanır. Paylaşımlı kaynak kullanılmayan hizmetlerde gerekçeli olarak daraltılabilir.</x:v>
      </x:c>
      <x:c r="I52" s="6" t="str">
        <x:v>Kurum için onaylı periyot/eşik gerekir; metindeki uygulama örnekleri NIST’in zorunlu ürün parametresi değildir. Üretimde değişiklik veya kesinti testi yapılmaz.</x:v>
      </x:c>
      <x:c r="J52" s="6" t="str">
        <x:v>NIST-53: SC-5; SI-13</x:v>
      </x:c>
      <x:c r="K52" s="6" t="str">
        <x:v>SC-5; SI-13</x:v>
      </x:c>
      <x:c r="L52" s="6" t="str">
        <x:v>2 eski soru. Birleştirme İzini bu Kontrol ID ile süzün.</x:v>
      </x:c>
    </x:row>
    <x:row r="53" ht="70" customHeight="1">
      <x:c r="A53" s="6" t="str">
        <x:v>GNL-15-01</x:v>
      </x:c>
      <x:c r="B53" s="6" t="str">
        <x:v>Yedekleme ve siber dayanıklılık</x:v>
      </x:c>
      <x:c r="C53" s="6" t="str">
        <x:v>Tüm kritik platform yapılandırması, veri ve şifreleme anahtarları RPO/RTO ile yedek kapsamına alınmış mı?</x:v>
      </x:c>
      <x:c r="D53" s="6" t="str">
        <x:v>Kritik varlık-yedek eşleşmesi tam; başarısız iş ve hariç tutma açıklanmıştır.</x:v>
      </x:c>
      <x:c r="E53" s="6" t="str">
        <x:v>Risk senaryosu (atıflı kontrol amacından denetçi değerlendirmesi): Yedek kapsamı yalnız veriyi içerip yapılandırma veya anahtarı dışarıda bırakırsa veri kopyası bulunsa bile hizmet hedeflenen sürede yeniden kurulamayabilir.</x:v>
      </x:c>
      <x:c r="F53" s="6" t="str">
        <x:v>Yedek envanteri, iş tanımı ve RPO/RTO matrisi</x:v>
      </x:c>
      <x:c r="G53" s="6" t="str">
        <x:v>Salt okunur sistem çıktısını onaylı süreç/politika kaydıyla karşılaştır; ölçütteki her koşul için kanıt konumu ve ayrı alt sonucu kaydet. Yalnız görüşme veya ekran görüntüsüyle fiili işleyiş sonucunu kapatma.</x:v>
      </x:c>
      <x:c r="H53" s="6" t="str">
        <x:v>Kurulu ürün/dağıtım, müşteri sözleşmesi ve işlev desteği Kapsam kaydında doğrulanır. Yedekleme sorumluluğu müşteride ise paylaşılan sorumluluk matrisiyle gerekçelendirilir.</x:v>
      </x:c>
      <x:c r="I53" s="6" t="str">
        <x:v>Kurum için onaylı periyot/eşik gerekir; metindeki uygulama örnekleri NIST’in zorunlu ürün parametresi değildir. Üretimde değişiklik veya kesinti testi yapılmaz.</x:v>
      </x:c>
      <x:c r="J53" s="6" t="str">
        <x:v>NIST-53: CP-9; CP-2</x:v>
      </x:c>
      <x:c r="K53" s="6" t="str">
        <x:v>CP-9; CP-2</x:v>
      </x:c>
      <x:c r="L53" s="6" t="str">
        <x:v>1 eski soru. Birleştirme İzini bu Kontrol ID ile süzün.</x:v>
      </x:c>
    </x:row>
    <x:row r="54" ht="70" customHeight="1">
      <x:c r="A54" s="6" t="str">
        <x:v>GNL-15-02</x:v>
      </x:c>
      <x:c r="B54" s="6" t="str">
        <x:v>Yedekleme ve siber dayanıklılık</x:v>
      </x:c>
      <x:c r="C54" s="6" t="str">
        <x:v>En az bir yedek kopyası üretim kimlik alanından ayrılmış, değişmez veya çevrimdışı ve silmeye karşı korumalı mı?</x:v>
      </x:c>
      <x:c r="D54" s="6" t="str">
        <x:v>Üretim admini ve fidye yazılımı senaryosu korunan kopyayı silemez/değiştiremez.</x:v>
      </x:c>
      <x:c r="E54" s="6" t="str">
        <x:v>Risk senaryosu (atıflı kontrol amacından denetçi değerlendirmesi): Tüm yedekler üretimle aynı silme yetkisine bağlıysa ele geçirilen üretim kimliği hem asıl veriyi hem kurtarma kopyalarını ortadan kaldırabilir.</x:v>
      </x:c>
      <x:c r="F54" s="6" t="str">
        <x:v>Repository/immutability ayarı, rol ve ağ diyagramı</x:v>
      </x:c>
      <x:c r="G54" s="6" t="str">
        <x:v>Salt okunur sistem çıktısını onaylı süreç/politika kaydıyla karşılaştır; ölçütteki her koşul için kanıt konumu ve ayrı alt sonucu kaydet. Yalnız görüşme veya ekran görüntüsüyle fiili işleyiş sonucunu kapatma.</x:v>
      </x:c>
      <x:c r="H54" s="6" t="str">
        <x:v>Kurulu ürün/dağıtım, müşteri sözleşmesi ve işlev desteği Kapsam kaydında doğrulanır. Yedekleme sorumluluğu müşteride ise paylaşılan sorumluluk matrisiyle gerekçelendirilir.</x:v>
      </x:c>
      <x:c r="I54" s="6" t="str">
        <x:v>Kurum için onaylı periyot/eşik gerekir; metindeki uygulama örnekleri NIST’in zorunlu ürün parametresi değildir. Üretimde değişiklik veya kesinti testi yapılmaz.</x:v>
      </x:c>
      <x:c r="J54" s="6" t="str">
        <x:v>NIST-53: CP-9; SI-7</x:v>
      </x:c>
      <x:c r="K54" s="6" t="str">
        <x:v>CP-9; SI-7</x:v>
      </x:c>
      <x:c r="L54" s="6" t="str">
        <x:v>1 eski soru. Birleştirme İzini bu Kontrol ID ile süzün.</x:v>
      </x:c>
    </x:row>
    <x:row r="55" ht="70" customHeight="1">
      <x:c r="A55" s="6" t="str">
        <x:v>GNL-15-03</x:v>
      </x:c>
      <x:c r="B55" s="6" t="str">
        <x:v>Yedekleme ve siber dayanıklılık</x:v>
      </x:c>
      <x:c r="C55" s="6" t="str">
        <x:v>Geri dönüş testleri yalnız job success değil veri bütünlüğü, temiz ortam, RPO/RTO ve işlevsel doğrulamayı kapsıyor mu?</x:v>
      </x:c>
      <x:c r="D55" s="6" t="str">
        <x:v>Seçilen kritik hizmet gerçek veya eşdeğer izole ortamda başarıyla ayağa kaldırılmıştır.</x:v>
      </x:c>
      <x:c r="E55" s="6" t="str">
        <x:v>Risk senaryosu (atıflı kontrol amacından denetçi değerlendirmesi): Başarılı yedek işi geri dönüş kanıtı sayılırsa bozuk, tutarsız veya zararlı içerikli kopya ancak gerçek kesintide fark edilebilir; kurtarma hedefleri karşılanamayabilir.</x:v>
      </x:c>
      <x:c r="F55" s="6" t="str">
        <x:v>Restore test raporu ve ham oturum logları | Birleşen kapsam: DR mimarisi, yedek hedefleri, test raporları</x:v>
      </x:c>
      <x:c r="G55" s="6" t="str">
        <x:v>Salt okunur sistem çıktısını onaylı süreç/politika kaydıyla karşılaştır; ölçütteki her koşul için kanıt konumu ve ayrı alt sonucu kaydet. Yalnız görüşme veya ekran görüntüsüyle fiili işleyiş sonucunu kapatma.</x:v>
      </x:c>
      <x:c r="H55" s="6" t="str">
        <x:v>Kurulu ürün/dağıtım, müşteri sözleşmesi ve işlev desteği Kapsam kaydında doğrulanır. Yedekleme sorumluluğu müşteride ise paylaşılan sorumluluk matrisiyle gerekçelendirilir.</x:v>
      </x:c>
      <x:c r="I55" s="6" t="str">
        <x:v>Kurum için onaylı periyot/eşik gerekir; metindeki uygulama örnekleri NIST’in zorunlu ürün parametresi değildir. Üretimde değişiklik veya kesinti testi yapılmaz.</x:v>
      </x:c>
      <x:c r="J55" s="6" t="str">
        <x:v>NIST-53: CP-4; CP-10</x:v>
      </x:c>
      <x:c r="K55" s="6" t="str">
        <x:v>CP-4; CP-10</x:v>
      </x:c>
      <x:c r="L55" s="6" t="str">
        <x:v>3 eski soru. Birleştirme İzini bu Kontrol ID ile süzün.</x:v>
      </x:c>
    </x:row>
    <x:row r="56" ht="85" customHeight="1">
      <x:c r="A56" s="6" t="str">
        <x:v>GNL-16-01</x:v>
      </x:c>
      <x:c r="B56" s="6" t="str">
        <x:v>Olay yönetimi</x:v>
      </x:c>
      <x:c r="C56" s="6" t="str">
        <x:v>MSP olay planı müşteri etki analizi, tenant kapsamlandırma, delil koruma ve bildirim kanallarını içeriyor mu?</x:v>
      </x:c>
      <x:c r="D56" s="6" t="str">
        <x:v>Ürün ve müşteri bazlı roller, 7/24 temas ve bildirim karar kriteri açıkça tanımlıdır.</x:v>
      </x:c>
      <x:c r="E56" s="6" t="str">
        <x:v>Risk senaryosu (atıflı kontrol amacından denetçi değerlendirmesi): Olay planı müşteri sınırını ve delil korumayı tanımlamazsa etkilenen müşteri yanlış belirlenebilir; müdahale sırasında kanıt kaybolabilir veya başka müşterinin hizmeti kesilebilir.</x:v>
      </x:c>
      <x:c r="F56" s="6" t="str">
        <x:v>Olay müdahale planı, iletişim matrisi</x:v>
      </x:c>
      <x:c r="G56" s="6" t="str">
        <x:v>Salt okunur sistem çıktısını onaylı süreç/politika kaydıyla karşılaştır; ölçütteki her koşul için kanıt konumu ve ayrı alt sonucu kaydet. Yalnız görüşme veya ekran görüntüsüyle fiili işleyiş sonucunu kapatma.</x:v>
      </x:c>
      <x:c r="H56" s="6" t="str">
        <x:v>Kurulu ürün/dağıtım, müşteri sözleşmesi ve işlev desteği Kapsam kaydında doğrulanır. Tüm hizmetlerde uygulanır; istisnasızdır.</x:v>
      </x:c>
      <x:c r="I56" s="6" t="str">
        <x:v>Kurum için onaylı periyot/eşik gerekir; metindeki uygulama örnekleri NIST’in zorunlu ürün parametresi değildir. Üretimde değişiklik veya kesinti testi yapılmaz.</x:v>
      </x:c>
      <x:c r="J56" s="6" t="str">
        <x:v>NIST-53: IR-8; IR-4</x:v>
      </x:c>
      <x:c r="K56" s="6" t="str">
        <x:v>IR-8; IR-4</x:v>
      </x:c>
      <x:c r="L56" s="6" t="str">
        <x:v>3 eski soru. Birleştirme İzini bu Kontrol ID ile süzün.</x:v>
      </x:c>
    </x:row>
    <x:row r="57" ht="70" customHeight="1">
      <x:c r="A57" s="6" t="str">
        <x:v>GNL-16-02</x:v>
      </x:c>
      <x:c r="B57" s="6" t="str">
        <x:v>Olay yönetimi</x:v>
      </x:c>
      <x:c r="C57" s="6" t="str">
        <x:v>Müşteriye ve gerekirse düzenleyiciye bildirim süresi/sorumluluğu sözleşme ve prosedürde uyumlu mu?</x:v>
      </x:c>
      <x:c r="D57" s="6" t="str">
        <x:v>Tespit, sınıflandırma, onay ve bildirim zamanları ham kayıtlardan doğrulanır.</x:v>
      </x:c>
      <x:c r="E57" s="6" t="str">
        <x:v>Risk senaryosu (atıflı kontrol amacından denetçi değerlendirmesi): Bildirim sorumlusu ve geçerli süreler sözleşme ile süreçte uyuşmazsa olay bilinse bile yetkili muhataba bildirim gecikebilir veya yanlış kanaldan yapılabilir.</x:v>
      </x:c>
      <x:c r="F57" s="6" t="str">
        <x:v>Sözleşme, prosedür, örnek olay zaman çizelgesi | Birleşen kapsam: Olay/bildirim prosedürü, sözleşmesel süreler, tatbikat</x:v>
      </x:c>
      <x:c r="G57" s="6" t="str">
        <x:v>Salt okunur sistem çıktısını onaylı süreç/politika kaydıyla karşılaştır; ölçütteki her koşul için kanıt konumu ve ayrı alt sonucu kaydet. Yalnız görüşme veya ekran görüntüsüyle fiili işleyiş sonucunu kapatma.</x:v>
      </x:c>
      <x:c r="H57" s="6" t="str">
        <x:v>Kurulu ürün/dağıtım, müşteri sözleşmesi ve işlev desteği Kapsam kaydında doğrulanır. Tüm hizmetlerde uygulanır; istisnasızdır.</x:v>
      </x:c>
      <x:c r="I57" s="6" t="str">
        <x:v>Kurum için onaylı periyot/eşik gerekir; metindeki uygulama örnekleri NIST’in zorunlu ürün parametresi değildir. Üretimde değişiklik veya kesinti testi yapılmaz.</x:v>
      </x:c>
      <x:c r="J57" s="6" t="str">
        <x:v>NIST-53: IR-6</x:v>
      </x:c>
      <x:c r="K57" s="6" t="str">
        <x:v>IR-6</x:v>
      </x:c>
      <x:c r="L57" s="6" t="str">
        <x:v>4 eski soru. Birleştirme İzini bu Kontrol ID ile süzün.</x:v>
      </x:c>
    </x:row>
    <x:row r="58" ht="70" customHeight="1">
      <x:c r="A58" s="6" t="str">
        <x:v>GNL-16-03</x:v>
      </x:c>
      <x:c r="B58" s="6" t="str">
        <x:v>Olay yönetimi</x:v>
      </x:c>
      <x:c r="C58" s="6" t="str">
        <x:v>Çapraz tenant ihlali, ayrıcalıklı hesap ele geçirilmesi, ransomware ve hizmet kesintisi senaryoları tatbik ediliyor mu?</x:v>
      </x:c>
      <x:c r="D58" s="6" t="str">
        <x:v>Dersler aksiyon, sahip ve hedef tarihle takip edilmiş; kapatılanlar tekrar test edilmiştir.</x:v>
      </x:c>
      <x:c r="E58" s="6" t="str">
        <x:v>Risk senaryosu (atıflı kontrol amacından denetçi değerlendirmesi): Ortak altyapı olayları tatbik edilmezse ekipler gerçek olayda yetki, izolasyon ve kurtarma bağımlılıklarını ilk kez keşfedebilir; müdahale süresi uzayabilir.</x:v>
      </x:c>
      <x:c r="F58" s="6" t="str">
        <x:v>Masa başı/teknik tatbikat raporları</x:v>
      </x:c>
      <x:c r="G58" s="6" t="str">
        <x:v>Salt okunur sistem çıktısını onaylı süreç/politika kaydıyla karşılaştır; ölçütteki her koşul için kanıt konumu ve ayrı alt sonucu kaydet. Yalnız görüşme veya ekran görüntüsüyle fiili işleyiş sonucunu kapatma.</x:v>
      </x:c>
      <x:c r="H58" s="6" t="str">
        <x:v>Kurulu ürün/dağıtım, müşteri sözleşmesi ve işlev desteği Kapsam kaydında doğrulanır. Tüm hizmetlerde uygulanır; istisnasızdır.</x:v>
      </x:c>
      <x:c r="I58" s="6" t="str">
        <x:v>Kurum için onaylı periyot/eşik gerekir; metindeki uygulama örnekleri NIST’in zorunlu ürün parametresi değildir. Üretimde değişiklik veya kesinti testi yapılmaz.</x:v>
      </x:c>
      <x:c r="J58" s="6" t="str">
        <x:v>NIST-53: IR-8; IR-4</x:v>
      </x:c>
      <x:c r="K58" s="6" t="str">
        <x:v>IR-8; IR-4</x:v>
      </x:c>
      <x:c r="L58" s="6" t="str">
        <x:v>1 eski soru. Birleştirme İzini bu Kontrol ID ile süzün.</x:v>
      </x:c>
    </x:row>
    <x:row r="59" ht="100" customHeight="1">
      <x:c r="A59" s="6" t="str">
        <x:v>GNL-17-01</x:v>
      </x:c>
      <x:c r="B59" s="6" t="str">
        <x:v>Tedarikçi ve dış hizmet</x:v>
      </x:c>
      <x:c r="C59" s="6" t="str">
        <x:v>Tedarikçi sözleşmeleri güvenlik gereksinimi, denetim hakkı, olay bildirimi, SLA, veri lokasyonu ve çıkış hükümlerini içeriyor mu?</x:v>
      </x:c>
      <x:c r="D59" s="6" t="str">
        <x:v>Kritik kontrol şartları ölçülebilir; ihlal sonucu ve kanıt sağlama yükümlülüğü açıktır.</x:v>
      </x:c>
      <x:c r="E59" s="6" t="str">
        <x:v>Risk senaryosu (atıflı kontrol amacından denetçi değerlendirmesi): Güvenlik, delil erişimi, bildirim ve çıkış yükümlülükleri sözleşmede tanımlı değilse kritik tedarikçi bağımlılığında kurum ihtiyacı karşılayacak güvenceyi talep edemeyebilir.</x:v>
      </x:c>
      <x:c r="F59" s="6" t="str">
        <x:v>Sözleşme ve güvenlik eki | Birleşen kapsam: Alt yüklenici envanteri, due diligence, sözleşmeler | Birleşen kapsam: Tedarikçi envanteri, veri akışı, bağımlılık haritası | Birleşen kapsam: Değişiklik kaydı, risk değerlendirmesi, müşteri bildirimi | Birleşen kapsam: Ana ve alt sözleşmeler, kontrol karşılaştırması | Birleşen kapsam: Denetim hakkı hükümleri, geçmiş incelemeler</x:v>
      </x:c>
      <x:c r="G59" s="6" t="str">
        <x:v>Salt okunur sistem çıktısını onaylı süreç/politika kaydıyla karşılaştır; ölçütteki her koşul için kanıt konumu ve ayrı alt sonucu kaydet. Yalnız görüşme veya ekran görüntüsüyle fiili işleyiş sonucunu kapatma.</x:v>
      </x:c>
      <x:c r="H59" s="6" t="str">
        <x:v>Kurulu ürün/dağıtım, müşteri sözleşmesi ve işlev desteği Kapsam kaydında doğrulanır. Tüm hizmetlerde uygulanır; tedarikçi kullanılmayan bileşenler gerekçeyle kapsam dışı bırakılır.</x:v>
      </x:c>
      <x:c r="I59" s="6" t="str">
        <x:v>Kurum için onaylı periyot/eşik gerekir; metindeki uygulama örnekleri NIST’in zorunlu ürün parametresi değildir. Üretimde değişiklik veya kesinti testi yapılmaz.</x:v>
      </x:c>
      <x:c r="J59" s="6" t="str">
        <x:v>NIST-53: SR-2; SA-4</x:v>
      </x:c>
      <x:c r="K59" s="6" t="str">
        <x:v>SR-2; SA-4</x:v>
      </x:c>
      <x:c r="L59" s="6" t="str">
        <x:v>9 eski soru. Birleştirme İzini bu Kontrol ID ile süzün.</x:v>
      </x:c>
    </x:row>
    <x:row r="60" ht="70" customHeight="1">
      <x:c r="A60" s="6" t="str">
        <x:v>GNL-17-03</x:v>
      </x:c>
      <x:c r="B60" s="6" t="str">
        <x:v>Tedarikçi ve dış hizmet</x:v>
      </x:c>
      <x:c r="C60" s="6" t="str">
        <x:v>Tedarikçi güvenlik performansı ve güvence raporları periyodik inceleniyor; istisnalar aksiyona dönüşüyor mu?</x:v>
      </x:c>
      <x:c r="D60" s="6" t="str">
        <x:v>Rapor kapsamı ve istisnalar hizmetle ilgilidir; kapanış doğrulanmıştır.</x:v>
      </x:c>
      <x:c r="E60" s="6" t="str">
        <x:v>Risk senaryosu (atıflı kontrol amacından denetçi değerlendirmesi): Tedarikçinin güvence istisnaları ve performansı incelenmezse hizmeti etkileyen kontrol eksikliği kabul edilmiş raporların içinde görünmez kalabilir.</x:v>
      </x:c>
      <x:c r="F60" s="6" t="str">
        <x:v>SOC/ISO/pen-test raporu değerlendirmesi, SLA scorecard | Birleşen kapsam: SLA/KRI, olay bildirimleri, güvence raporu ve aksiyonlar</x:v>
      </x:c>
      <x:c r="G60" s="6" t="str">
        <x:v>Salt okunur sistem çıktısını onaylı süreç/politika kaydıyla karşılaştır; ölçütteki her koşul için kanıt konumu ve ayrı alt sonucu kaydet. Yalnız görüşme veya ekran görüntüsüyle fiili işleyiş sonucunu kapatma.</x:v>
      </x:c>
      <x:c r="H60" s="6" t="str">
        <x:v>Kurulu ürün/dağıtım, müşteri sözleşmesi ve işlev desteği Kapsam kaydında doğrulanır. Tüm hizmetlerde uygulanır; tedarikçi kullanılmayan bileşenler gerekçeyle kapsam dışı bırakılır.</x:v>
      </x:c>
      <x:c r="I60" s="6" t="str">
        <x:v>Kurum için onaylı periyot/eşik gerekir; metindeki uygulama örnekleri NIST’in zorunlu ürün parametresi değildir. Üretimde değişiklik veya kesinti testi yapılmaz.</x:v>
      </x:c>
      <x:c r="J60" s="6" t="str">
        <x:v>NIST-53: SR-6; SA-9</x:v>
      </x:c>
      <x:c r="K60" s="6" t="str">
        <x:v>SR-6; SA-9</x:v>
      </x:c>
      <x:c r="L60" s="6" t="str">
        <x:v>2 eski soru. Birleştirme İzini bu Kontrol ID ile süzün.</x:v>
      </x:c>
    </x:row>
    <x:row r="61" ht="70" customHeight="1">
      <x:c r="A61" s="6" t="str">
        <x:v>GNL-18-01</x:v>
      </x:c>
      <x:c r="B61" s="6" t="str">
        <x:v>Veri yaşam döngüsü</x:v>
      </x:c>
      <x:c r="C61" s="6" t="str">
        <x:v>Veri kopyalarının saklama ve silme matrisi fiili yaşam döngüsüyle uyumlu mu?</x:v>
      </x:c>
      <x:c r="D61" s="6" t="str">
        <x:v>Üretim, log, yedek, snapshot, cache ve destek kopyaları için onaylı süre, sahip ve imha yöntemi olmalı; kilitli/immutable kopyanın erken silinememesi gerekçeli bekleme kaydıyla izlenmeli.</x:v>
      </x:c>
      <x:c r="E61" s="6" t="str">
        <x:v>Risk senaryosu (atıflı kontrol amacından denetçi değerlendirmesi): Aktif veri, yedek, kayıt ve destek kopyaları ortak yaşam döngüsüne bağlanmazsa silindiği bildirilen veri başka bir kopyada erişilebilir kalabilir.</x:v>
      </x:c>
      <x:c r="F61" s="6" t="str">
        <x:v>Saklama-silme matrisi ve platform ayarları | Birleşen kapsam: Saklama çizelgesi, silme kayıtları, yedek yaşam döngüsü</x:v>
      </x:c>
      <x:c r="G61" s="6" t="str">
        <x:v>Salt okunur sistem çıktısını onaylı süreç/politika kaydıyla karşılaştır; ölçütteki her koşul için kanıt konumu ve ayrı alt sonucu kaydet. Yalnız görüşme veya ekran görüntüsüyle fiili işleyiş sonucunu kapatma.</x:v>
      </x:c>
      <x:c r="H61" s="6" t="str">
        <x:v>Kurulu ürün/dağıtım, müşteri sözleşmesi ve işlev desteği Kapsam kaydında doğrulanır. Tüm hizmetlerde uygulanır; müşteri verisi barındırmayan bileşenler gerekçeyle daraltılabilir.</x:v>
      </x:c>
      <x:c r="I61" s="6" t="str">
        <x:v>Kurum için onaylı periyot/eşik gerekir; metindeki uygulama örnekleri NIST’in zorunlu ürün parametresi değildir. Üretimde değişiklik veya kesinti testi yapılmaz.</x:v>
      </x:c>
      <x:c r="J61" s="6" t="str">
        <x:v>NIST-53: SI-12; MP-6</x:v>
      </x:c>
      <x:c r="K61" s="6" t="str">
        <x:v>SI-12; MP-6</x:v>
      </x:c>
      <x:c r="L61" s="6" t="str">
        <x:v>6 eski soru. Birleştirme İzini bu Kontrol ID ile süzün.</x:v>
      </x:c>
    </x:row>
    <x:row r="62" ht="70" customHeight="1">
      <x:c r="A62" s="6" t="str">
        <x:v>GNL-18-02</x:v>
      </x:c>
      <x:c r="B62" s="6" t="str">
        <x:v>Veri yaşam döngüsü</x:v>
      </x:c>
      <x:c r="C62" s="6" t="str">
        <x:v>Hizmet sonlandırmada erişim kapatma, veri iadesi, profil/config silme, güvenli silme kanıtı ve anahtar iptali yürütülüyor mu?</x:v>
      </x:c>
      <x:c r="D62" s="6" t="str">
        <x:v>Seçilen kapanmış müşteri için tüm katmanlar ve kopyalar izlenebilir şekilde kapatılmıştır.</x:v>
      </x:c>
      <x:c r="E62" s="6" t="str">
        <x:v>Risk senaryosu (atıflı kontrol amacından denetçi değerlendirmesi): Hizmet sonlandırma teknik kapatma ve silme kanıtıyla tamamlanmazsa eski müşteri kimliği, veri kopyası veya anahtarı sonraki kullanımda açığa çıkabilir.</x:v>
      </x:c>
      <x:c r="F62" s="6" t="str">
        <x:v>Çıkış planı, silme sertifikası, hesap ve KMS kayıtları | Birleşen kapsam: Çıkış planı, test/tatbikat, silme ve erişim kapatma kanıtı</x:v>
      </x:c>
      <x:c r="G62" s="6" t="str">
        <x:v>Salt okunur sistem çıktısını onaylı süreç/politika kaydıyla karşılaştır; ölçütteki her koşul için kanıt konumu ve ayrı alt sonucu kaydet. Yalnız görüşme veya ekran görüntüsüyle fiili işleyiş sonucunu kapatma.</x:v>
      </x:c>
      <x:c r="H62" s="6" t="str">
        <x:v>Kurulu ürün/dağıtım, müşteri sözleşmesi ve işlev desteği Kapsam kaydında doğrulanır. Tüm hizmetlerde uygulanır; müşteri verisi barındırmayan bileşenler gerekçeyle daraltılabilir.</x:v>
      </x:c>
      <x:c r="I62" s="6" t="str">
        <x:v>Kurum için onaylı periyot/eşik gerekir; metindeki uygulama örnekleri NIST’in zorunlu ürün parametresi değildir. Üretimde değişiklik veya kesinti testi yapılmaz.</x:v>
      </x:c>
      <x:c r="J62" s="6" t="str">
        <x:v>NIST-53: MP-6; SA-9</x:v>
      </x:c>
      <x:c r="K62" s="6" t="str">
        <x:v>MP-6; SA-9</x:v>
      </x:c>
      <x:c r="L62" s="6" t="str">
        <x:v>10 eski soru. Birleştirme İzini bu Kontrol ID ile süzün.</x:v>
      </x:c>
    </x:row>
    <x:row r="63" ht="70" customHeight="1">
      <x:c r="A63" s="6" t="str">
        <x:v>GNL-19-01</x:v>
      </x:c>
      <x:c r="B63" s="6" t="str">
        <x:v>Güvence ve test</x:v>
      </x:c>
      <x:c r="C63" s="6" t="str">
        <x:v>İç denetim evreni ve planı kritik hizmet risklerini kapsıyor mu?</x:v>
      </x:c>
      <x:c r="D63" s="6" t="str">
        <x:v>Evren, kapsam ve erteleme gerekçeleri onaylı risk değerlendirmesiyle izlenebilir olmalı. Sabit yıllık periyot bu teknik setten türetilmez.</x:v>
      </x:c>
      <x:c r="E63" s="6" t="str">
        <x:v>Risk senaryosu (atıflı kontrol amacından denetçi değerlendirmesi): Denetim evreni güncel kritik hizmetleri kapsamıyorsa en yüksek müşteri etkisini taşıyan kontrol alanları bağımsız güvence dışında kalabilir.</x:v>
      </x:c>
      <x:c r="F63" s="6" t="str">
        <x:v>Denetim planı, risk evreni ve raporlar | Birleşen kapsam: Denetim/güvence planı, risk değerlendirmesi</x:v>
      </x:c>
      <x:c r="G63" s="6" t="str">
        <x:v>Salt okunur sistem çıktısını onaylı süreç/politika kaydıyla karşılaştır; ölçütteki her koşul için kanıt konumu ve ayrı alt sonucu kaydet. Yalnız görüşme veya ekran görüntüsüyle fiili işleyiş sonucunu kapatma.</x:v>
      </x:c>
      <x:c r="H63" s="6" t="str">
        <x:v>Kurulu ürün/dağıtım, müşteri sözleşmesi ve işlev desteği Kapsam kaydında doğrulanır. Tüm hizmetlerde uygulanır; istisnasızdır.</x:v>
      </x:c>
      <x:c r="I63" s="6" t="str">
        <x:v>Kurum için onaylı periyot/eşik gerekir; metindeki uygulama örnekleri NIST’in zorunlu ürün parametresi değildir. Üretimde değişiklik veya kesinti testi yapılmaz.</x:v>
      </x:c>
      <x:c r="J63" s="6" t="str">
        <x:v>NIST-53: CA-2; RA-3</x:v>
      </x:c>
      <x:c r="K63" s="6" t="str">
        <x:v>CA-2; RA-3</x:v>
      </x:c>
      <x:c r="L63" s="6" t="str">
        <x:v>2 eski soru. Birleştirme İzini bu Kontrol ID ile süzün.</x:v>
      </x:c>
    </x:row>
    <x:row r="64" ht="70" customHeight="1">
      <x:c r="A64" s="6" t="str">
        <x:v>GNL-19-02</x:v>
      </x:c>
      <x:c r="B64" s="6" t="str">
        <x:v>Güvence ve test</x:v>
      </x:c>
      <x:c r="C64" s="6" t="str">
        <x:v>Sızma testi kapsamı ve kapanışları tenant ve yönetim sınırlarını içeriyor mu?</x:v>
      </x:c>
      <x:c r="D64" s="6" t="str">
        <x:v>Yetkili test planı, rol/tenant senaryoları, ham test kanıtı ve bağımsız yeniden test kaydı olmalı; sıklık onaylı risk/yükümlülük kararından alınır.</x:v>
      </x:c>
      <x:c r="E64" s="6" t="str">
        <x:v>Risk senaryosu (atıflı kontrol amacından denetçi değerlendirmesi): Sızma testi yalnız dış çevreyi kapsarsa müşteri kimliğiyle başka müşteriye erişim ve yönetim düzlemine geçiş yolları değerlendirilmeden güvenli kabul edilebilir.</x:v>
      </x:c>
      <x:c r="F64" s="6" t="str">
        <x:v>Kapsam, kurallar, rapor ve retest | Birleşen kapsam: Test senaryoları, negatif test sonuçları | Birleşen kapsam: Retest raporu, kapatma onayı, çalışma kâğıdı</x:v>
      </x:c>
      <x:c r="G64" s="6" t="str">
        <x:v>Salt okunur sistem çıktısını onaylı süreç/politika kaydıyla karşılaştır; ölçütteki her koşul için kanıt konumu ve ayrı alt sonucu kaydet. Yalnız görüşme veya ekran görüntüsüyle fiili işleyiş sonucunu kapatma.</x:v>
      </x:c>
      <x:c r="H64" s="6" t="str">
        <x:v>Kurulu ürün/dağıtım, müşteri sözleşmesi ve işlev desteği Kapsam kaydında doğrulanır. Tüm hizmetlerde uygulanır; istisnasızdır.</x:v>
      </x:c>
      <x:c r="I64" s="6" t="str">
        <x:v>Kurum için onaylı periyot/eşik gerekir; metindeki uygulama örnekleri NIST’in zorunlu ürün parametresi değildir. Üretimde değişiklik veya kesinti testi yapılmaz.</x:v>
      </x:c>
      <x:c r="J64" s="6" t="str">
        <x:v>NIST-53: CA-8</x:v>
      </x:c>
      <x:c r="K64" s="6" t="str">
        <x:v>CA-8</x:v>
      </x:c>
      <x:c r="L64" s="6" t="str">
        <x:v>5 eski soru. Birleştirme İzini bu Kontrol ID ile süzün.</x:v>
      </x:c>
    </x:row>
    <x:row r="65" ht="70" customHeight="1">
      <x:c r="A65" s="6" t="str">
        <x:v>GNL-19-03</x:v>
      </x:c>
      <x:c r="B65" s="6" t="str">
        <x:v>Güvence ve test</x:v>
      </x:c>
      <x:c r="C65" s="6" t="str">
        <x:v>Kontrol kanıtları yalnız ekran görüntüsü değil, sistemden alınmış tarihli ve yeniden üretilebilir ham kayıtlarla destekleniyor mu?</x:v>
      </x:c>
      <x:c r="D65" s="6" t="str">
        <x:v>Kanıt kaynak, tarih, kapsam, üretim yöntemi ve bütünlük bilgisi taşır.</x:v>
      </x:c>
      <x:c r="E65" s="6" t="str">
        <x:v>Risk senaryosu (atıflı kontrol amacından denetçi değerlendirmesi): Tarihsiz veya yeniden üretilemeyen ekran görüntüsü fiilî hedefi ve etkin ayarı kanıtlamayabilir; seçilmiş bir örnek tüm evreni temsil ediyormuş gibi yorumlanabilir.</x:v>
      </x:c>
      <x:c r="F65" s="6" t="str">
        <x:v>Kanıt standardı ve örnek denetim dosyaları</x:v>
      </x:c>
      <x:c r="G65" s="6" t="str">
        <x:v>Salt okunur sistem çıktısını onaylı süreç/politika kaydıyla karşılaştır; ölçütteki her koşul için kanıt konumu ve ayrı alt sonucu kaydet. Yalnız görüşme veya ekran görüntüsüyle fiili işleyiş sonucunu kapatma.</x:v>
      </x:c>
      <x:c r="H65" s="6" t="str">
        <x:v>Kurulu ürün/dağıtım, müşteri sözleşmesi ve işlev desteği Kapsam kaydında doğrulanır. Tüm hizmetlerde uygulanır; istisnasızdır.</x:v>
      </x:c>
      <x:c r="I65" s="6" t="str">
        <x:v>Kurum için onaylı periyot/eşik gerekir; metindeki uygulama örnekleri NIST’in zorunlu ürün parametresi değildir. Üretimde değişiklik veya kesinti testi yapılmaz.</x:v>
      </x:c>
      <x:c r="J65" s="6" t="str">
        <x:v>NIST-53: CA-5; CA-7</x:v>
      </x:c>
      <x:c r="K65" s="6" t="str">
        <x:v>CA-5; CA-7</x:v>
      </x:c>
      <x:c r="L65" s="6" t="str">
        <x:v>2 eski soru. Birleştirme İzini bu Kontrol ID ile süzün.</x:v>
      </x:c>
    </x:row>
    <x:row r="66" ht="70" customHeight="1">
      <x:c r="A66" s="6" t="str">
        <x:v>GNL-20-01</x:v>
      </x:c>
      <x:c r="B66" s="6" t="str">
        <x:v>Bilgi sistemlerinin konumu ve yedekliliği</x:v>
      </x:c>
      <x:c r="C66" s="6" t="str">
        <x:v>Birincil ve ikincil sistemlerin fiziksel ülke, şehir, tesis ve hizmet sağlayıcı bilgileri güncel bir mimari envanterde tutuluyor mu?</x:v>
      </x:c>
      <x:c r="D66" s="6" t="str">
        <x:v>Tüm konumların sistem rolü ve sahibiyle eşleşmesi; fiili konumun sözleşmeyle tutarlı olması</x:v>
      </x:c>
      <x:c r="E66" s="6" t="str">
        <x:v>Risk senaryosu (atıflı kontrol amacından denetçi değerlendirmesi): Sistem, ikincil kopya ve sağlayıcı konumu bilinmiyorsa müşteri gereksinimleriyle yerleşim karşılaştırılamaz; taşınmış veri eski envanterde görünmeye devam edebilir.</x:v>
      </x:c>
      <x:c r="F66" s="6" t="str">
        <x:v>Onaylı mimari envanter, veri merkezi/kolokasyon listesi, sözleşme ekleri</x:v>
      </x:c>
      <x:c r="G66" s="6" t="str">
        <x:v>Salt okunur sistem çıktısını onaylı süreç/politika kaydıyla karşılaştır; ölçütteki her koşul için kanıt konumu ve ayrı alt sonucu kaydet. Yalnız görüşme veya ekran görüntüsüyle fiili işleyiş sonucunu kapatma.</x:v>
      </x:c>
      <x:c r="H66" s="6" t="str">
        <x:v>Kurulu ürün/dağıtım, müşteri sözleşmesi ve işlev desteği Kapsam kaydında doğrulanır. Banka müşterisi bulunmayan hizmetlerde düzenleyici konum ölçütü uygulanmayabilir; hukuk/uyum teyidi gerekir.</x:v>
      </x:c>
      <x:c r="I66" s="6" t="str">
        <x:v>Kurum için onaylı periyot/eşik gerekir; metindeki uygulama örnekleri NIST’in zorunlu ürün parametresi değildir. Üretimde değişiklik veya kesinti testi yapılmaz.</x:v>
      </x:c>
      <x:c r="J66" s="6" t="str">
        <x:v>NIST-53: CP-2; SA-9</x:v>
      </x:c>
      <x:c r="K66" s="6" t="str">
        <x:v>CP-2; SA-9</x:v>
      </x:c>
      <x:c r="L66" s="6" t="str">
        <x:v>1 eski soru. Birleştirme İzini bu Kontrol ID ile süzün.</x:v>
      </x:c>
    </x:row>
    <x:row r="67" ht="70" customHeight="1">
      <x:c r="A67" s="6" t="str">
        <x:v>GNL-20-04</x:v>
      </x:c>
      <x:c r="B67" s="6" t="str">
        <x:v>Bilgi sistemlerinin konumu ve yedekliliği</x:v>
      </x:c>
      <x:c r="C67" s="6" t="str">
        <x:v>Veri işleme konumu değişikliği onaylı müşteri gereksinimini koruyor mu?</x:v>
      </x:c>
      <x:c r="D67" s="6" t="str">
        <x:v>İzinli bölge ve alt işleyen kısıtları sözleşme/uyum kararıyla doğrulanmış; değişiklik ve fiili hedef bu kararla eşleşmiş olmalı. Burada ülke hakkında yasal hüküm üretilmez.</x:v>
      </x:c>
      <x:c r="E67" s="6" t="str">
        <x:v>Risk senaryosu (atıflı kontrol amacından denetçi değerlendirmesi): Konum değişikliği onaylı gereksinimlerle karşılaştırılmazsa çoğaltma veya destek süreci veriyi müşterinin kabul ettiği bölgenin dışına taşıyabilir.</x:v>
      </x:c>
      <x:c r="F67" s="6" t="str">
        <x:v>Değişiklik kayıtları, onaylar, müşteri bildirimleri | Birleşen kapsam: Bulut hesap politikaları, bölge ayarları, sözleşme/SLA</x:v>
      </x:c>
      <x:c r="G67" s="6" t="str">
        <x:v>Salt okunur sistem çıktısını onaylı süreç/politika kaydıyla karşılaştır; ölçütteki her koşul için kanıt konumu ve ayrı alt sonucu kaydet. Yalnız görüşme veya ekran görüntüsüyle fiili işleyiş sonucunu kapatma.</x:v>
      </x:c>
      <x:c r="H67" s="6" t="str">
        <x:v>Kurulu ürün/dağıtım, müşteri sözleşmesi ve işlev desteği Kapsam kaydında doğrulanır. Banka müşterisi bulunmayan hizmetlerde düzenleyici konum ölçütü uygulanmayabilir; hukuk/uyum teyidi gerekir.</x:v>
      </x:c>
      <x:c r="I67" s="6" t="str">
        <x:v>Kurum için onaylı periyot/eşik gerekir; metindeki uygulama örnekleri NIST’in zorunlu ürün parametresi değildir. Üretimde değişiklik veya kesinti testi yapılmaz.</x:v>
      </x:c>
      <x:c r="J67" s="6" t="str">
        <x:v>NIST-53: SA-9; AC-4</x:v>
      </x:c>
      <x:c r="K67" s="6" t="str">
        <x:v>SA-9; AC-4</x:v>
      </x:c>
      <x:c r="L67" s="6" t="str">
        <x:v>2 eski soru. Birleştirme İzini bu Kontrol ID ile süzün.</x:v>
      </x:c>
    </x:row>
    <x:row r="68" ht="70" customHeight="1">
      <x:c r="A68" s="6" t="str">
        <x:v>GNL-21-01</x:v>
      </x:c>
      <x:c r="B68" s="6" t="str">
        <x:v>Fiziksel ve çevresel güvenlik</x:v>
      </x:c>
      <x:c r="C68" s="6" t="str">
        <x:v>Fiziksel erişim görev, süre ve tesis kapsamıyla sınırlandırılmış mı?</x:v>
      </x:c>
      <x:c r="D68" s="6" t="str">
        <x:v>Yetkili liste, ziyaretçi refakati, giriş izi ve ayrılışta erişim kapatma kayıtları tesis/alan bazında doğrulanmalı.</x:v>
      </x:c>
      <x:c r="E68" s="6" t="str">
        <x:v>Risk senaryosu (atıflı kontrol amacından denetçi değerlendirmesi): Tesis erişimi görev ve süreyle sınırlanmazsa yetkisiz kişi ortak altyapıya fiziksel müdahalede bulunabilir; sona ermiş görev erişimi açık kalabilir.</x:v>
      </x:c>
      <x:c r="F68" s="6" t="str">
        <x:v>Yerleşim planı, giriş prosedürü, ziyaretçi kayıtları | Birleşen kapsam: Kartlı geçiş listesi, onaylar, periyodik gözden geçirme</x:v>
      </x:c>
      <x:c r="G68" s="6" t="str">
        <x:v>Salt okunur sistem çıktısını onaylı süreç/politika kaydıyla karşılaştır; ölçütteki her koşul için kanıt konumu ve ayrı alt sonucu kaydet. Yalnız görüşme veya ekran görüntüsüyle fiili işleyiş sonucunu kapatma.</x:v>
      </x:c>
      <x:c r="H68" s="6" t="str">
        <x:v>Kurulu ürün/dağıtım, müşteri sözleşmesi ve işlev desteği Kapsam kaydında doğrulanır. Kolokasyon kullanılıyorsa sağlayıcının bağımsız güvence raporuyla karşılanabilir; gerekçe Risk sekmesine yazılır.</x:v>
      </x:c>
      <x:c r="I68" s="6" t="str">
        <x:v>Kurum için onaylı periyot/eşik gerekir; metindeki uygulama örnekleri NIST’in zorunlu ürün parametresi değildir. Üretimde değişiklik veya kesinti testi yapılmaz.</x:v>
      </x:c>
      <x:c r="J68" s="6" t="str">
        <x:v>NIST-53: PE-2; PE-3; PE-6</x:v>
      </x:c>
      <x:c r="K68" s="6" t="str">
        <x:v>PE-2; PE-3; PE-6</x:v>
      </x:c>
      <x:c r="L68" s="6" t="str">
        <x:v>3 eski soru. Birleştirme İzini bu Kontrol ID ile süzün.</x:v>
      </x:c>
    </x:row>
    <x:row r="69" ht="70" customHeight="1">
      <x:c r="A69" s="6" t="str">
        <x:v>GNL-21-03</x:v>
      </x:c>
      <x:c r="B69" s="6" t="str">
        <x:v>Fiziksel ve çevresel güvenlik</x:v>
      </x:c>
      <x:c r="C69" s="6" t="str">
        <x:v>Kamera kapsamı kritik girişleri ve alanları kapsıyor; kayıtlar korunmuş ve belirlenen süre boyunca erişilebilir mi?</x:v>
      </x:c>
      <x:c r="D69" s="6" t="str">
        <x:v>Kör nokta değerlendirmesi, zaman doğruluğu ve yetkili erişim</x:v>
      </x:c>
      <x:c r="E69" s="6" t="str">
        <x:v>Risk senaryosu (atıflı kontrol amacından denetçi değerlendirmesi): Kritik giriş kamera kapsamı dışında kalır veya kayıt korunmazsa fiziksel erişim ihlalinin zamanı, yolu ve sorumlusu sonradan doğrulanamayabilir.</x:v>
      </x:c>
      <x:c r="F69" s="6" t="str">
        <x:v>Kamera yerleşimi, saklama ayarı, erişim kayıtları</x:v>
      </x:c>
      <x:c r="G69" s="6" t="str">
        <x:v>Salt okunur sistem çıktısını onaylı süreç/politika kaydıyla karşılaştır; ölçütteki her koşul için kanıt konumu ve ayrı alt sonucu kaydet. Yalnız görüşme veya ekran görüntüsüyle fiili işleyiş sonucunu kapatma.</x:v>
      </x:c>
      <x:c r="H69" s="6" t="str">
        <x:v>Kurulu ürün/dağıtım, müşteri sözleşmesi ve işlev desteği Kapsam kaydında doğrulanır. Kolokasyon kullanılıyorsa sağlayıcının bağımsız güvence raporuyla karşılanabilir; gerekçe Risk sekmesine yazılır.</x:v>
      </x:c>
      <x:c r="I69" s="6" t="str">
        <x:v>Kurum için onaylı periyot/eşik gerekir; metindeki uygulama örnekleri NIST’in zorunlu ürün parametresi değildir. Üretimde değişiklik veya kesinti testi yapılmaz.</x:v>
      </x:c>
      <x:c r="J69" s="6" t="str">
        <x:v>NIST-53: PE-6</x:v>
      </x:c>
      <x:c r="K69" s="6" t="str">
        <x:v>PE-6</x:v>
      </x:c>
      <x:c r="L69" s="6" t="str">
        <x:v>1 eski soru. Birleştirme İzini bu Kontrol ID ile süzün.</x:v>
      </x:c>
    </x:row>
    <x:row r="70" ht="70" customHeight="1">
      <x:c r="A70" s="6" t="str">
        <x:v>GNL-21-04</x:v>
      </x:c>
      <x:c r="B70" s="6" t="str">
        <x:v>Fiziksel ve çevresel güvenlik</x:v>
      </x:c>
      <x:c r="C70" s="6" t="str">
        <x:v>Enerji, UPS, jeneratör ve iklimlendirme kapasitesi yedekli mi; yük altında düzenli test ediliyor mu?</x:v>
      </x:c>
      <x:c r="D70" s="6" t="str">
        <x:v>Başarılı yük testi ve giderilmiş kritik bulgu</x:v>
      </x:c>
      <x:c r="E70" s="6" t="str">
        <x:v>Risk senaryosu (atıflı kontrol amacından denetçi değerlendirmesi): Enerji ve soğutma yedekliliği gerçek yükle doğrulanmazsa bileşen kaybında kapasite yetersiz kalabilir; ortak donanım kapanması çok sayıda müşteriyi etkileyebilir.</x:v>
      </x:c>
      <x:c r="F70" s="6" t="str">
        <x:v>Bakım/test kayıtları, kapasite raporları, alarm kayıtları</x:v>
      </x:c>
      <x:c r="G70" s="6" t="str">
        <x:v>Salt okunur sistem çıktısını onaylı süreç/politika kaydıyla karşılaştır; ölçütteki her koşul için kanıt konumu ve ayrı alt sonucu kaydet. Yalnız görüşme veya ekran görüntüsüyle fiili işleyiş sonucunu kapatma.</x:v>
      </x:c>
      <x:c r="H70" s="6" t="str">
        <x:v>Kurulu ürün/dağıtım, müşteri sözleşmesi ve işlev desteği Kapsam kaydında doğrulanır. Kolokasyon kullanılıyorsa sağlayıcının bağımsız güvence raporuyla karşılanabilir; gerekçe Risk sekmesine yazılır.</x:v>
      </x:c>
      <x:c r="I70" s="6" t="str">
        <x:v>Kurum için onaylı periyot/eşik gerekir; metindeki uygulama örnekleri NIST’in zorunlu ürün parametresi değildir. Üretimde değişiklik veya kesinti testi yapılmaz.</x:v>
      </x:c>
      <x:c r="J70" s="6" t="str">
        <x:v>NIST-53: PE-11; PE-14</x:v>
      </x:c>
      <x:c r="K70" s="6" t="str">
        <x:v>PE-11; PE-14</x:v>
      </x:c>
      <x:c r="L70" s="6" t="str">
        <x:v>1 eski soru. Birleştirme İzini bu Kontrol ID ile süzün.</x:v>
      </x:c>
    </x:row>
    <x:row r="71" ht="70" customHeight="1">
      <x:c r="A71" s="6" t="str">
        <x:v>GNL-21-05</x:v>
      </x:c>
      <x:c r="B71" s="6" t="str">
        <x:v>Fiziksel ve çevresel güvenlik</x:v>
      </x:c>
      <x:c r="C71" s="6" t="str">
        <x:v>Yangın, su baskını, sıcaklık, nem ve diğer çevresel tehditler sürekli izleniyor ve alarm üretiyor mu?</x:v>
      </x:c>
      <x:c r="D71" s="6" t="str">
        <x:v>Kritik alanların kapsanması ve test alarmının izleme ekibine ulaşması</x:v>
      </x:c>
      <x:c r="E71" s="6" t="str">
        <x:v>Risk senaryosu (atıflı kontrol amacından denetçi değerlendirmesi): Çevresel olaylar erken algılanmazsa yerel sıcaklık, su veya yangın sorunu ekipman hasarına ve daha geniş hizmet kesintisine dönüşebilir.</x:v>
      </x:c>
      <x:c r="F71" s="6" t="str">
        <x:v>Sensör envanteri, alarm testleri, olay kayıtları</x:v>
      </x:c>
      <x:c r="G71" s="6" t="str">
        <x:v>Salt okunur sistem çıktısını onaylı süreç/politika kaydıyla karşılaştır; ölçütteki her koşul için kanıt konumu ve ayrı alt sonucu kaydet. Yalnız görüşme veya ekran görüntüsüyle fiili işleyiş sonucunu kapatma.</x:v>
      </x:c>
      <x:c r="H71" s="6" t="str">
        <x:v>Kurulu ürün/dağıtım, müşteri sözleşmesi ve işlev desteği Kapsam kaydında doğrulanır. Kolokasyon kullanılıyorsa sağlayıcının bağımsız güvence raporuyla karşılanabilir; gerekçe Risk sekmesine yazılır.</x:v>
      </x:c>
      <x:c r="I71" s="6" t="str">
        <x:v>Kurum için onaylı periyot/eşik gerekir; metindeki uygulama örnekleri NIST’in zorunlu ürün parametresi değildir. Üretimde değişiklik veya kesinti testi yapılmaz.</x:v>
      </x:c>
      <x:c r="J71" s="6" t="str">
        <x:v>NIST-53: PE-13; PE-15</x:v>
      </x:c>
      <x:c r="K71" s="6" t="str">
        <x:v>PE-13; PE-15</x:v>
      </x:c>
      <x:c r="L71" s="6" t="str">
        <x:v>1 eski soru. Birleştirme İzini bu Kontrol ID ile süzün.</x:v>
      </x:c>
    </x:row>
    <x:row r="72" ht="70" customHeight="1">
      <x:c r="A72" s="6" t="str">
        <x:v>GNL-21-06</x:v>
      </x:c>
      <x:c r="B72" s="6" t="str">
        <x:v>Fiziksel ve çevresel güvenlik</x:v>
      </x:c>
      <x:c r="C72" s="6" t="str">
        <x:v>Donanım bakımı, parça değişimi ve ekipman çıkarma işlemleri yetkili ve kayıtlı mı?</x:v>
      </x:c>
      <x:c r="D72" s="6" t="str">
        <x:v>Varlık-seri no-iş emri-personel eşleşmesi ve veri taşıyan parçaların kontrolü</x:v>
      </x:c>
      <x:c r="E72" s="6" t="str">
        <x:v>Risk senaryosu (atıflı kontrol amacından denetçi değerlendirmesi): Bakım ve ekipman çıkışı yetkilendirilip kaydedilmezse veri taşıyan parça kontrolsüz dışarı çıkarılabilir veya yanlış bileşene müdahale edilerek hizmet kesilebilir.</x:v>
      </x:c>
      <x:c r="F72" s="6" t="str">
        <x:v>Bakım kayıtları, varlık hareket formu, tedarikçi erişim kaydı</x:v>
      </x:c>
      <x:c r="G72" s="6" t="str">
        <x:v>Salt okunur sistem çıktısını onaylı süreç/politika kaydıyla karşılaştır; ölçütteki her koşul için kanıt konumu ve ayrı alt sonucu kaydet. Yalnız görüşme veya ekran görüntüsüyle fiili işleyiş sonucunu kapatma.</x:v>
      </x:c>
      <x:c r="H72" s="6" t="str">
        <x:v>Kurulu ürün/dağıtım, müşteri sözleşmesi ve işlev desteği Kapsam kaydında doğrulanır. Kolokasyon kullanılıyorsa sağlayıcının bağımsız güvence raporuyla karşılanabilir; gerekçe Risk sekmesine yazılır.</x:v>
      </x:c>
      <x:c r="I72" s="6" t="str">
        <x:v>Kurum için onaylı periyot/eşik gerekir; metindeki uygulama örnekleri NIST’in zorunlu ürün parametresi değildir. Üretimde değişiklik veya kesinti testi yapılmaz.</x:v>
      </x:c>
      <x:c r="J72" s="6" t="str">
        <x:v>NIST-53: MA-2; MA-5; PE-16</x:v>
      </x:c>
      <x:c r="K72" s="6" t="str">
        <x:v>MA-2; MA-5; PE-16</x:v>
      </x:c>
      <x:c r="L72" s="6" t="str">
        <x:v>1 eski soru. Birleştirme İzini bu Kontrol ID ile süzün.</x:v>
      </x:c>
    </x:row>
    <x:row r="73" ht="70" customHeight="1">
      <x:c r="A73" s="6" t="str">
        <x:v>GNL-21-07</x:v>
      </x:c>
      <x:c r="B73" s="6" t="str">
        <x:v>Fiziksel ve çevresel güvenlik</x:v>
      </x:c>
      <x:c r="C73" s="6" t="str">
        <x:v>Ağ ve enerji kabloları yetkisiz müdahale, hasar ve kesişim risklerine karşı korunuyor mu?</x:v>
      </x:c>
      <x:c r="D73" s="6" t="str">
        <x:v>Kritik kabloların korumalı güzergâh ve etiketleme ile yönetilmesi</x:v>
      </x:c>
      <x:c r="E73" s="6" t="str">
        <x:v>Risk senaryosu (atıflı kontrol amacından denetçi değerlendirmesi): Ağ ve enerji kabloları fiziksel müdahale ve hasara açıksa hat kesilmesi, trafik bağlantısına müdahale veya ortak güzergâh kaynaklı kesinti oluşabilir.</x:v>
      </x:c>
      <x:c r="F73" s="6" t="str">
        <x:v>Kablo güzergâhı, saha inceleme kaydı, fotoğraf</x:v>
      </x:c>
      <x:c r="G73" s="6" t="str">
        <x:v>Salt okunur sistem çıktısını onaylı süreç/politika kaydıyla karşılaştır; ölçütteki her koşul için kanıt konumu ve ayrı alt sonucu kaydet. Yalnız görüşme veya ekran görüntüsüyle fiili işleyiş sonucunu kapatma.</x:v>
      </x:c>
      <x:c r="H73" s="6" t="str">
        <x:v>Kurulu ürün/dağıtım, müşteri sözleşmesi ve işlev desteği Kapsam kaydında doğrulanır. Kolokasyon kullanılıyorsa sağlayıcının bağımsız güvence raporuyla karşılanabilir; gerekçe Risk sekmesine yazılır.</x:v>
      </x:c>
      <x:c r="I73" s="6" t="str">
        <x:v>Kurum için onaylı periyot/eşik gerekir; metindeki uygulama örnekleri NIST’in zorunlu ürün parametresi değildir. Üretimde değişiklik veya kesinti testi yapılmaz.</x:v>
      </x:c>
      <x:c r="J73" s="6" t="str">
        <x:v>NIST-53: PE-4; PE-9</x:v>
      </x:c>
      <x:c r="K73" s="6" t="str">
        <x:v>PE-4; PE-9</x:v>
      </x:c>
      <x:c r="L73" s="6" t="str">
        <x:v>1 eski soru. Birleştirme İzini bu Kontrol ID ile süzün.</x:v>
      </x:c>
    </x:row>
    <x:row r="74" ht="70" customHeight="1">
      <x:c r="A74" s="6" t="str">
        <x:v>GNL-21-08</x:v>
      </x:c>
      <x:c r="B74" s="6" t="str">
        <x:v>Fiziksel ve çevresel güvenlik</x:v>
      </x:c>
      <x:c r="C74" s="6" t="str">
        <x:v>Kolokasyon kullanılıyorsa fiziksel kontroller sözleşme, yerinde inceleme veya bağımsız güvence kanıtıyla doğrulanıyor mu?</x:v>
      </x:c>
      <x:c r="D74" s="6" t="str">
        <x:v>Kapsam ve istisnaların hizmet verilen alanlarla eşleşmesi; açıkların aksiyonlandırılması</x:v>
      </x:c>
      <x:c r="E74" s="6" t="str">
        <x:v>Risk senaryosu (atıflı kontrol amacından denetçi değerlendirmesi): Kolokasyonun beyanı fiilî kapsam ve güvence kanıtıyla karşılaştırılmazsa kurum, kiraladığı alanda uygulanmayan fiziksel kontrolleri var kabul edebilir.</x:v>
      </x:c>
      <x:c r="F74" s="6" t="str">
        <x:v>Sözleşme, denetim hakkı, hizmet sağlayıcı güvence raporu veya yerinde inceleme</x:v>
      </x:c>
      <x:c r="G74" s="6" t="str">
        <x:v>Salt okunur sistem çıktısını onaylı süreç/politika kaydıyla karşılaştır; ölçütteki her koşul için kanıt konumu ve ayrı alt sonucu kaydet. Yalnız görüşme veya ekran görüntüsüyle fiili işleyiş sonucunu kapatma.</x:v>
      </x:c>
      <x:c r="H74" s="6" t="str">
        <x:v>Kurulu ürün/dağıtım, müşteri sözleşmesi ve işlev desteği Kapsam kaydında doğrulanır. Kolokasyon kullanılıyorsa sağlayıcının bağımsız güvence raporuyla karşılanabilir; gerekçe Risk sekmesine yazılır.</x:v>
      </x:c>
      <x:c r="I74" s="6" t="str">
        <x:v>Kurum için onaylı periyot/eşik gerekir; metindeki uygulama örnekleri NIST’in zorunlu ürün parametresi değildir. Üretimde değişiklik veya kesinti testi yapılmaz.</x:v>
      </x:c>
      <x:c r="J74" s="6" t="str">
        <x:v>NIST-53: PE-3; SR-6</x:v>
      </x:c>
      <x:c r="K74" s="6" t="str">
        <x:v>PE-3; SR-6</x:v>
      </x:c>
      <x:c r="L74" s="6" t="str">
        <x:v>1 eski soru. Birleştirme İzini bu Kontrol ID ile süzün.</x:v>
      </x:c>
    </x:row>
    <x:row r="75" ht="70" customHeight="1">
      <x:c r="A75" s="6" t="str">
        <x:v>GNL-22-01</x:v>
      </x:c>
      <x:c r="B75" s="6" t="str">
        <x:v>Personel güvenliği ve farkındalık</x:v>
      </x:c>
      <x:c r="C75" s="6" t="str">
        <x:v>Kritik rollerde işe alım öncesi kontroller görev riski, hukukî dayanak ve ölçülülük esasına göre uygulanıyor mu?</x:v>
      </x:c>
      <x:c r="D75" s="6" t="str">
        <x:v>Kontrol kapsamının role göre belirlenmesi; gereksiz kişisel veri toplanmaması</x:v>
      </x:c>
      <x:c r="E75" s="6" t="str">
        <x:v>Risk senaryosu (atıflı kontrol amacından denetçi değerlendirmesi): Kritik göreve uygun ve hukuka dayalı işe alım kontrolleri yapılmazsa görevin gerektirdiği güven koşulları değerlendirilmeden geniş müşteri erişimi verilebilir.</x:v>
      </x:c>
      <x:c r="F75" s="6" t="str">
        <x:v>İK politikası, rol risk sınıflandırması, örnek kontrol kayıtları</x:v>
      </x:c>
      <x:c r="G75" s="6" t="str">
        <x:v>Salt okunur sistem çıktısını onaylı süreç/politika kaydıyla karşılaştır; ölçütteki her koşul için kanıt konumu ve ayrı alt sonucu kaydet. Yalnız görüşme veya ekran görüntüsüyle fiili işleyiş sonucunu kapatma.</x:v>
      </x:c>
      <x:c r="H75" s="6" t="str">
        <x:v>Kurulu ürün/dağıtım, müşteri sözleşmesi ve işlev desteği Kapsam kaydında doğrulanır. İşe alım öncesi kontroller mevzuatın izin verdiği ölçüde ve ölçülülük esasına göre uygulanır.</x:v>
      </x:c>
      <x:c r="I75" s="6" t="str">
        <x:v>Kurum için onaylı periyot/eşik gerekir; metindeki uygulama örnekleri NIST’in zorunlu ürün parametresi değildir. Üretimde değişiklik veya kesinti testi yapılmaz.</x:v>
      </x:c>
      <x:c r="J75" s="6" t="str">
        <x:v>NIST-53: PS-3</x:v>
      </x:c>
      <x:c r="K75" s="6" t="str">
        <x:v>PS-3</x:v>
      </x:c>
      <x:c r="L75" s="6" t="str">
        <x:v>1 eski soru. Birleştirme İzini bu Kontrol ID ile süzün.</x:v>
      </x:c>
    </x:row>
    <x:row r="76" ht="70" customHeight="1">
      <x:c r="A76" s="6" t="str">
        <x:v>GNL-22-02</x:v>
      </x:c>
      <x:c r="B76" s="6" t="str">
        <x:v>Personel güvenliği ve farkındalık</x:v>
      </x:c>
      <x:c r="C76" s="6" t="str">
        <x:v>Gizlilik, kabul edilebilir kullanım, müşteri sırrı ve ayrıcalıklı erişim yükümlülükleri sözleşmelerde yer alıyor mu?</x:v>
      </x:c>
      <x:c r="D76" s="6" t="str">
        <x:v>Kapsamdaki personel için imzalı ve güncel yükümlülükler</x:v>
      </x:c>
      <x:c r="E76" s="6" t="str">
        <x:v>Risk senaryosu (atıflı kontrol amacından denetçi değerlendirmesi): Gizlilik ve ayrıcalıklı kullanım yükümlülükleri açıklanmazsa çalışan veya yüklenicinin müşteri verisiyle hangi işlemi yapabileceği konusunda sorumluluk belirsiz kalabilir.</x:v>
      </x:c>
      <x:c r="F76" s="6" t="str">
        <x:v>İş/yüklenici sözleşmesi şablonları, taahhütnameler</x:v>
      </x:c>
      <x:c r="G76" s="6" t="str">
        <x:v>Salt okunur sistem çıktısını onaylı süreç/politika kaydıyla karşılaştır; ölçütteki her koşul için kanıt konumu ve ayrı alt sonucu kaydet. Yalnız görüşme veya ekran görüntüsüyle fiili işleyiş sonucunu kapatma.</x:v>
      </x:c>
      <x:c r="H76" s="6" t="str">
        <x:v>Kurulu ürün/dağıtım, müşteri sözleşmesi ve işlev desteği Kapsam kaydında doğrulanır. İşe alım öncesi kontroller mevzuatın izin verdiği ölçüde ve ölçülülük esasına göre uygulanır.</x:v>
      </x:c>
      <x:c r="I76" s="6" t="str">
        <x:v>Kurum için onaylı periyot/eşik gerekir; metindeki uygulama örnekleri NIST’in zorunlu ürün parametresi değildir. Üretimde değişiklik veya kesinti testi yapılmaz.</x:v>
      </x:c>
      <x:c r="J76" s="6" t="str">
        <x:v>NIST-53: PS-6</x:v>
      </x:c>
      <x:c r="K76" s="6" t="str">
        <x:v>PS-6</x:v>
      </x:c>
      <x:c r="L76" s="6" t="str">
        <x:v>1 eski soru. Birleştirme İzini bu Kontrol ID ile süzün.</x:v>
      </x:c>
    </x:row>
    <x:row r="77" ht="70" customHeight="1">
      <x:c r="A77" s="6" t="str">
        <x:v>GNL-22-05</x:v>
      </x:c>
      <x:c r="B77" s="6" t="str">
        <x:v>Personel güvenliği ve farkındalık</x:v>
      </x:c>
      <x:c r="C77" s="6" t="str">
        <x:v>Genel ve role özel güvenlik farkındalık eğitimleri başlangıçta ve periyodik olarak tamamlanıyor mu?</x:v>
      </x:c>
      <x:c r="D77" s="6" t="str">
        <x:v>Kapsam oranı ve başarısız/eksik katılımların takibi</x:v>
      </x:c>
      <x:c r="E77" s="6" t="str">
        <x:v>Risk senaryosu (atıflı kontrol amacından denetçi değerlendirmesi): Göreve uygun güvenlik eğitimi tamamlanmazsa çalışan müşteri sırrını, olay belirtisini veya ayrıcalıklı işlem kuralını tanımadan üretim işlemi yapabilir.</x:v>
      </x:c>
      <x:c r="F77" s="6" t="str">
        <x:v>Eğitim planı, katılım/başarı kayıtları</x:v>
      </x:c>
      <x:c r="G77" s="6" t="str">
        <x:v>Salt okunur sistem çıktısını onaylı süreç/politika kaydıyla karşılaştır; ölçütteki her koşul için kanıt konumu ve ayrı alt sonucu kaydet. Yalnız görüşme veya ekran görüntüsüyle fiili işleyiş sonucunu kapatma.</x:v>
      </x:c>
      <x:c r="H77" s="6" t="str">
        <x:v>Kurulu ürün/dağıtım, müşteri sözleşmesi ve işlev desteği Kapsam kaydında doğrulanır. İşe alım öncesi kontroller mevzuatın izin verdiği ölçüde ve ölçülülük esasına göre uygulanır.</x:v>
      </x:c>
      <x:c r="I77" s="6" t="str">
        <x:v>Kurum için onaylı periyot/eşik gerekir; metindeki uygulama örnekleri NIST’in zorunlu ürün parametresi değildir. Üretimde değişiklik veya kesinti testi yapılmaz.</x:v>
      </x:c>
      <x:c r="J77" s="6" t="str">
        <x:v>NIST-53: AT-2; AT-3</x:v>
      </x:c>
      <x:c r="K77" s="6" t="str">
        <x:v>AT-2; AT-3</x:v>
      </x:c>
      <x:c r="L77" s="6" t="str">
        <x:v>2 eski soru. Birleştirme İzini bu Kontrol ID ile süzün.</x:v>
      </x:c>
    </x:row>
    <x:row r="78" ht="70" customHeight="1">
      <x:c r="A78" s="6" t="str">
        <x:v>GNL-22-06</x:v>
      </x:c>
      <x:c r="B78" s="6" t="str">
        <x:v>Personel güvenliği ve farkındalık</x:v>
      </x:c>
      <x:c r="C78" s="6" t="str">
        <x:v>Kimlik avı ve sosyal mühendislik tatbikatları sonuçları hedefli eğitim ve iyileştirmeye dönüştürülüyor mu?</x:v>
      </x:c>
      <x:c r="D78" s="6" t="str">
        <x:v>Tekrarlayan riskli davranışlarda ölçülebilir iyileştirme</x:v>
      </x:c>
      <x:c r="E78" s="6" t="str">
        <x:v>Risk senaryosu (atıflı kontrol amacından denetçi değerlendirmesi): Tatbikat sonucu hedefli iyileştirmeye dönüşmezse aynı kullanıcı grubu aynı sosyal mühendislik yöntemine açık kalabilir; ölçüm riski azaltan eylem üretmeyebilir.</x:v>
      </x:c>
      <x:c r="F78" s="6" t="str">
        <x:v>Tatbikat raporu, hedefli eğitim, aksiyon kaydı</x:v>
      </x:c>
      <x:c r="G78" s="6" t="str">
        <x:v>Salt okunur sistem çıktısını onaylı süreç/politika kaydıyla karşılaştır; ölçütteki her koşul için kanıt konumu ve ayrı alt sonucu kaydet. Yalnız görüşme veya ekran görüntüsüyle fiili işleyiş sonucunu kapatma.</x:v>
      </x:c>
      <x:c r="H78" s="6" t="str">
        <x:v>Kurulu ürün/dağıtım, müşteri sözleşmesi ve işlev desteği Kapsam kaydında doğrulanır. İşe alım öncesi kontroller mevzuatın izin verdiği ölçüde ve ölçülülük esasına göre uygulanır.</x:v>
      </x:c>
      <x:c r="I78" s="6" t="str">
        <x:v>Kurum için onaylı periyot/eşik gerekir; metindeki uygulama örnekleri NIST’in zorunlu ürün parametresi değildir. Üretimde değişiklik veya kesinti testi yapılmaz.</x:v>
      </x:c>
      <x:c r="J78" s="6" t="str">
        <x:v>NIST-53: AT-2</x:v>
      </x:c>
      <x:c r="K78" s="6" t="str">
        <x:v>AT-2</x:v>
      </x:c>
      <x:c r="L78" s="6" t="str">
        <x:v>1 eski soru. Birleştirme İzini bu Kontrol ID ile süzün.</x:v>
      </x:c>
    </x:row>
    <x:row r="79" ht="70" customHeight="1">
      <x:c r="A79" s="6" t="str">
        <x:v>GNL-22-07</x:v>
      </x:c>
      <x:c r="B79" s="6" t="str">
        <x:v>Personel güvenliği ve farkındalık</x:v>
      </x:c>
      <x:c r="C79" s="6" t="str">
        <x:v>Güvenlik ihlali ve disiplin süreci çalışan/yükleniciler için tanımlı, tutarlı ve gizlilikle yürütülüyor mu?</x:v>
      </x:c>
      <x:c r="D79" s="6" t="str">
        <x:v>Olayların sınıflandırılması, onayı ve erişimi kısıtlı kayıt</x:v>
      </x:c>
      <x:c r="E79" s="6" t="str">
        <x:v>Risk senaryosu (atıflı kontrol amacından denetçi değerlendirmesi): Güvenlik ihlaline uygulanacak süreç tutarlı ve gizlilikle yürütülmezse vakalar farklı ele alınabilir; ihlal delili ve kişiye ilişkin hassas bilgi kontrolsüz paylaşılabilir.</x:v>
      </x:c>
      <x:c r="F79" s="6" t="str">
        <x:v>Disiplin prosedürü, anonim örnek olay kayıtları</x:v>
      </x:c>
      <x:c r="G79" s="6" t="str">
        <x:v>Salt okunur sistem çıktısını onaylı süreç/politika kaydıyla karşılaştır; ölçütteki her koşul için kanıt konumu ve ayrı alt sonucu kaydet. Yalnız görüşme veya ekran görüntüsüyle fiili işleyiş sonucunu kapatma.</x:v>
      </x:c>
      <x:c r="H79" s="6" t="str">
        <x:v>Kurulu ürün/dağıtım, müşteri sözleşmesi ve işlev desteği Kapsam kaydında doğrulanır. İşe alım öncesi kontroller mevzuatın izin verdiği ölçüde ve ölçülülük esasına göre uygulanır.</x:v>
      </x:c>
      <x:c r="I79" s="6" t="str">
        <x:v>Kurum için onaylı periyot/eşik gerekir; metindeki uygulama örnekleri NIST’in zorunlu ürün parametresi değildir. Üretimde değişiklik veya kesinti testi yapılmaz.</x:v>
      </x:c>
      <x:c r="J79" s="6" t="str">
        <x:v>NIST-53: PS-8</x:v>
      </x:c>
      <x:c r="K79" s="6" t="str">
        <x:v>PS-8</x:v>
      </x:c>
      <x:c r="L79" s="6" t="str">
        <x:v>1 eski soru. Birleştirme İzini bu Kontrol ID ile süzün.</x:v>
      </x:c>
    </x:row>
    <x:row r="80" ht="70" customHeight="1">
      <x:c r="A80" s="6" t="str">
        <x:v>GNL-23-07</x:v>
      </x:c>
      <x:c r="B80" s="6" t="str">
        <x:v>Dördüncü taraf ve hizmetten çıkış</x:v>
      </x:c>
      <x:c r="C80" s="6" t="str">
        <x:v>Kaynak kodu emaneti veya benzeri süreklilik tedbiri yalnız kritik özel yazılım ve uygulanabilir senaryolar için risk bazlı değerlendiriliyor mu?</x:v>
      </x:c>
      <x:c r="D80" s="6" t="str">
        <x:v>Kararın gerekçeli olması; gerekli senaryoda güncel ve test edilebilir materyal</x:v>
      </x:c>
      <x:c r="E80" s="6" t="str">
        <x:v>Alt hizmet sağlayıcı zinciri ve uygulanabilir çıkış planı yeterli değilse, alt yüklenici görünmezliği veya uygulanabilir çıkış planının bulunmaması veri kaybı ve kontrolsüz bağımlılık doğurur.</x:v>
      </x:c>
      <x:c r="F80" s="6" t="str">
        <x:v>Kritiklik analizi, escrow/alternatif plan, hukuk görüşü</x:v>
      </x:c>
      <x:c r="G80" s="6" t="str">
        <x:v>Salt okunur sistem çıktısını onaylı süreç/politika kaydıyla karşılaştır; ölçütteki her koşul için kanıt konumu ve ayrı alt sonucu kaydet. Yalnız görüşme veya ekran görüntüsüyle fiili işleyiş sonucunu kapatma.</x:v>
      </x:c>
      <x:c r="H80" s="6" t="str">
        <x:v>Kurulu ürün/dağıtım, müşteri sözleşmesi ve işlev desteği Kapsam kaydında doğrulanır. Alt yüklenici kullanılmayan hizmetlerde gerekçeli olarak daraltılabilir.</x:v>
      </x:c>
      <x:c r="I80" s="6" t="str">
        <x:v>Kurum için onaylı periyot/eşik gerekir; metindeki uygulama örnekleri NIST’in zorunlu ürün parametresi değildir. Üretimde değişiklik veya kesinti testi yapılmaz.</x:v>
      </x:c>
      <x:c r="J80" s="6" t="str">
        <x:v>NIST-53: SR-6; CA-2</x:v>
      </x:c>
      <x:c r="K80" s="6" t="str">
        <x:v>SR-6; CA-2</x:v>
      </x:c>
      <x:c r="L80" s="6" t="str">
        <x:v>1 eski soru. Birleştirme İzini bu Kontrol ID ile süzün.</x:v>
      </x:c>
    </x:row>
    <x:row r="81" ht="70" customHeight="1">
      <x:c r="A81" s="6" t="str">
        <x:v>GNL-24-01</x:v>
      </x:c>
      <x:c r="B81" s="6" t="str">
        <x:v>Uzaktan çalışma ve yönetici uç noktaları</x:v>
      </x:c>
      <x:c r="C81" s="6" t="str">
        <x:v>Üretim ve yönetim düzlemine uzak erişim yalnız kurumca yönetilen ve güvenlik durumu doğrulanmış cihazlardan mı yapılabiliyor?</x:v>
      </x:c>
      <x:c r="D81" s="6" t="str">
        <x:v>Uyumsuz/kayıtsız cihazın erişemediğini gösteren negatif test</x:v>
      </x:c>
      <x:c r="E81" s="6" t="str">
        <x:v>Risk senaryosu (atıflı kontrol amacından denetçi değerlendirmesi): Güvenlik durumu bilinmeyen cihazdan üretim yönetimine bağlanılabiliyorsa cihazdaki zararlı yazılım ayrıcalıklı oturuma ve kimlik bilgilerine erişebilir.</x:v>
      </x:c>
      <x:c r="F81" s="6" t="str">
        <x:v>Uzak erişim politikası, cihaz uyum kuralı, bağlantı kayıtları</x:v>
      </x:c>
      <x:c r="G81" s="6" t="str">
        <x:v>Salt okunur sistem çıktısını onaylı süreç/politika kaydıyla karşılaştır; ölçütteki her koşul için kanıt konumu ve ayrı alt sonucu kaydet. Yalnız görüşme veya ekran görüntüsüyle fiili işleyiş sonucunu kapatma.</x:v>
      </x:c>
      <x:c r="H81" s="6" t="str">
        <x:v>Kurulu ürün/dağıtım, müşteri sözleşmesi ve işlev desteği Kapsam kaydında doğrulanır. Tüm hizmetlerde uygulanır; yalnız yerinden yönetim yapılan ortamlarda gerekçeyle daraltılabilir.</x:v>
      </x:c>
      <x:c r="I81" s="6" t="str">
        <x:v>Kurum için onaylı periyot/eşik gerekir; metindeki uygulama örnekleri NIST’in zorunlu ürün parametresi değildir. Üretimde değişiklik veya kesinti testi yapılmaz.</x:v>
      </x:c>
      <x:c r="J81" s="6" t="str">
        <x:v>NIST-53: AC-17</x:v>
      </x:c>
      <x:c r="K81" s="6" t="str">
        <x:v>AC-17</x:v>
      </x:c>
      <x:c r="L81" s="6" t="str">
        <x:v>1 eski soru. Birleştirme İzini bu Kontrol ID ile süzün.</x:v>
      </x:c>
    </x:row>
    <x:row r="82" ht="70" customHeight="1">
      <x:c r="A82" s="6" t="str">
        <x:v>GNL-24-03</x:v>
      </x:c>
      <x:c r="B82" s="6" t="str">
        <x:v>Uzaktan çalışma ve yönetici uç noktaları</x:v>
      </x:c>
      <x:c r="C82" s="6" t="str">
        <x:v>Yönetici uç noktaları günlük kullanım ve e-posta/web faaliyetlerinden ayrılmış güvenli çalışma profiliyle mi kullanılıyor?</x:v>
      </x:c>
      <x:c r="D82" s="6" t="str">
        <x:v>Riskli genel kullanımın sınırlandırılması; kurumsal güvenli yapılandırma</x:v>
      </x:c>
      <x:c r="E82" s="6" t="str">
        <x:v>Risk senaryosu (atıflı kontrol amacından denetçi değerlendirmesi): Yönetici aynı profili internet, e-posta ve ayrıcalıklı yönetim için kullanırsa günlük içerik kaynaklı bir ihlal doğrudan üretim yönetim oturumuna taşınabilir.</x:v>
      </x:c>
      <x:c r="F82" s="6" t="str">
        <x:v>Yönetici cihaz standardı, uygulama listesi, örnek cihaz çıktısı</x:v>
      </x:c>
      <x:c r="G82" s="6" t="str">
        <x:v>Salt okunur sistem çıktısını onaylı süreç/politika kaydıyla karşılaştır; ölçütteki her koşul için kanıt konumu ve ayrı alt sonucu kaydet. Yalnız görüşme veya ekran görüntüsüyle fiili işleyiş sonucunu kapatma.</x:v>
      </x:c>
      <x:c r="H82" s="6" t="str">
        <x:v>Kurulu ürün/dağıtım, müşteri sözleşmesi ve işlev desteği Kapsam kaydında doğrulanır. Tüm hizmetlerde uygulanır; yalnız yerinden yönetim yapılan ortamlarda gerekçeyle daraltılabilir.</x:v>
      </x:c>
      <x:c r="I82" s="6" t="str">
        <x:v>Kurum için onaylı periyot/eşik gerekir; metindeki uygulama örnekleri NIST’in zorunlu ürün parametresi değildir. Üretimde değişiklik veya kesinti testi yapılmaz.</x:v>
      </x:c>
      <x:c r="J82" s="6" t="str">
        <x:v>NIST-53: AC-19; CM-7</x:v>
      </x:c>
      <x:c r="K82" s="6" t="str">
        <x:v>AC-19; CM-7</x:v>
      </x:c>
      <x:c r="L82" s="6" t="str">
        <x:v>1 eski soru. Birleştirme İzini bu Kontrol ID ile süzün.</x:v>
      </x:c>
    </x:row>
    <x:row r="83" ht="70" customHeight="1">
      <x:c r="A83" s="6" t="str">
        <x:v>GNL-24-06</x:v>
      </x:c>
      <x:c r="B83" s="6" t="str">
        <x:v>Uzaktan çalışma ve yönetici uç noktaları</x:v>
      </x:c>
      <x:c r="C83" s="6" t="str">
        <x:v>Yönetici uç noktalarında disk şifreleme, EDR, yama, ekran kilidi ve yerel yönetici kısıtları uygulanıyor mu?</x:v>
      </x:c>
      <x:c r="D83" s="6" t="str">
        <x:v>Kritik ayarların zorunlu ve istisnaların onaylı/süreli olması</x:v>
      </x:c>
      <x:c r="E83" s="6" t="str">
        <x:v>Risk senaryosu (atıflı kontrol amacından denetçi değerlendirmesi): Yönetici cihazının disk, oturum ve uç nokta korumaları eksikse cihaz kaybı veya yerel ele geçirme yoluyla müşteri yönetim sırları ve oturumları kullanılabilir.</x:v>
      </x:c>
      <x:c r="F83" s="6" t="str">
        <x:v>Uç nokta uyum raporu, EDR/yama durumu</x:v>
      </x:c>
      <x:c r="G83" s="6" t="str">
        <x:v>Salt okunur sistem çıktısını onaylı süreç/politika kaydıyla karşılaştır; ölçütteki her koşul için kanıt konumu ve ayrı alt sonucu kaydet. Yalnız görüşme veya ekran görüntüsüyle fiili işleyiş sonucunu kapatma.</x:v>
      </x:c>
      <x:c r="H83" s="6" t="str">
        <x:v>Kurulu ürün/dağıtım, müşteri sözleşmesi ve işlev desteği Kapsam kaydında doğrulanır. Tüm hizmetlerde uygulanır; yalnız yerinden yönetim yapılan ortamlarda gerekçeyle daraltılabilir.</x:v>
      </x:c>
      <x:c r="I83" s="6" t="str">
        <x:v>Kurum için onaylı periyot/eşik gerekir; metindeki uygulama örnekleri NIST’in zorunlu ürün parametresi değildir. Üretimde değişiklik veya kesinti testi yapılmaz.</x:v>
      </x:c>
      <x:c r="J83" s="6" t="str">
        <x:v>NIST-53: AC-19; CM-7</x:v>
      </x:c>
      <x:c r="K83" s="6" t="str">
        <x:v>AC-19; CM-7</x:v>
      </x:c>
      <x:c r="L83" s="6" t="str">
        <x:v>1 eski soru. Birleştirme İzini bu Kontrol ID ile süzün.</x:v>
      </x:c>
    </x:row>
    <x:row r="84" ht="70" customHeight="1">
      <x:c r="A84" s="6" t="str">
        <x:v>GNL-25-01</x:v>
      </x:c>
      <x:c r="B84" s="6" t="str">
        <x:v>Kişisel veri, müşteri sırrı ve banka sırrı</x:v>
      </x:c>
      <x:c r="C84" s="6" t="str">
        <x:v>Korunan veri kümeleri ve işleme amaçları envanterde mi?</x:v>
      </x:c>
      <x:c r="D84" s="6" t="str">
        <x:v>Müşterinin belirlediği veri sınıfı, amaç, sistem, konum, sahip ve saklama gereksinimi birbirine bağlı olmalı; veri sorumlusu/işleyen hukuki rolü varsayılmamalı.</x:v>
      </x:c>
      <x:c r="E84" s="6" t="str">
        <x:v>Risk senaryosu (atıflı kontrol amacından denetçi değerlendirmesi): Korunan veri ve işleme amacı bilinmiyorsa hangi erişimin, kopyanın ve saklama süresinin gerekli olduğu değerlendirilemez; amaç dışı işleme görünmez kalabilir.</x:v>
      </x:c>
      <x:c r="F84" s="6" t="str">
        <x:v>Veri envanteri, işleme amacı, müşteri/veri sahibi eşleştirmesi</x:v>
      </x:c>
      <x:c r="G84" s="6" t="str">
        <x:v>Salt okunur sistem çıktısını onaylı süreç/politika kaydıyla karşılaştır; ölçütteki her koşul için kanıt konumu ve ayrı alt sonucu kaydet. Yalnız görüşme veya ekran görüntüsüyle fiili işleyiş sonucunu kapatma.</x:v>
      </x:c>
      <x:c r="H84" s="6" t="str">
        <x:v>Kurulu ürün/dağıtım, müşteri sözleşmesi ve işlev desteği Kapsam kaydında doğrulanır. Veri sorumlusu/veri işleyen rolüne göre değişir; rol tespiti hukuk/uyum ile yapılır.</x:v>
      </x:c>
      <x:c r="I84" s="6" t="str">
        <x:v>Kurum için onaylı periyot/eşik gerekir; metindeki uygulama örnekleri NIST’in zorunlu ürün parametresi değildir. Üretimde değişiklik veya kesinti testi yapılmaz.</x:v>
      </x:c>
      <x:c r="J84" s="6" t="str">
        <x:v>NIST-53: CM-12; SI-12</x:v>
      </x:c>
      <x:c r="K84" s="6" t="str">
        <x:v>CM-12; SI-12</x:v>
      </x:c>
      <x:c r="L84" s="6" t="str">
        <x:v>1 eski soru. Birleştirme İzini bu Kontrol ID ile süzün.</x:v>
      </x:c>
    </x:row>
    <x:row r="85" ht="70" customHeight="1">
      <x:c r="A85" s="6" t="str">
        <x:v>GNL-25-05</x:v>
      </x:c>
      <x:c r="B85" s="6" t="str">
        <x:v>Kişisel veri, müşteri sırrı ve banka sırrı</x:v>
      </x:c>
      <x:c r="C85" s="6" t="str">
        <x:v>Test, destek, kayıt ve analitik süreçlerinde veri minimizasyonu, maskeleme veya anonimleştirme uygulanıyor mu?</x:v>
      </x:c>
      <x:c r="D85" s="6" t="str">
        <x:v>Gerekli olmayan gerçek müşteri verisinin kullanılmaması</x:v>
      </x:c>
      <x:c r="E85" s="6" t="str">
        <x:v>Risk senaryosu (atıflı kontrol amacından denetçi değerlendirmesi): Üretim verisi test, destek veya analizde gereksiz ayrıntıyla kullanılırsa daha geniş yetkili ve daha zayıf korunan ortamlarda ek hassas kopyalar oluşabilir.</x:v>
      </x:c>
      <x:c r="F85" s="6" t="str">
        <x:v>Maskeleme politikası, örnek veri/çıktı, destek paketi prosedürü</x:v>
      </x:c>
      <x:c r="G85" s="6" t="str">
        <x:v>Salt okunur sistem çıktısını onaylı süreç/politika kaydıyla karşılaştır; ölçütteki her koşul için kanıt konumu ve ayrı alt sonucu kaydet. Yalnız görüşme veya ekran görüntüsüyle fiili işleyiş sonucunu kapatma.</x:v>
      </x:c>
      <x:c r="H85" s="6" t="str">
        <x:v>Kurulu ürün/dağıtım, müşteri sözleşmesi ve işlev desteği Kapsam kaydında doğrulanır. Veri sorumlusu/veri işleyen rolüne göre değişir; rol tespiti hukuk/uyum ile yapılır.</x:v>
      </x:c>
      <x:c r="I85" s="6" t="str">
        <x:v>Kurum için onaylı periyot/eşik gerekir; metindeki uygulama örnekleri NIST’in zorunlu ürün parametresi değildir. Üretimde değişiklik veya kesinti testi yapılmaz.</x:v>
      </x:c>
      <x:c r="J85" s="6" t="str">
        <x:v>NIST-53: SI-12; PT-3</x:v>
      </x:c>
      <x:c r="K85" s="6" t="str">
        <x:v>SI-12; PT-3</x:v>
      </x:c>
      <x:c r="L85" s="6" t="str">
        <x:v>1 eski soru. Birleştirme İzini bu Kontrol ID ile süzün.</x:v>
      </x:c>
    </x:row>
    <x:row r="86" ht="70" customHeight="1">
      <x:c r="A86" s="6" t="str">
        <x:v>GNL-26-04</x:v>
      </x:c>
      <x:c r="B86" s="6" t="str">
        <x:v>Bağımsız güvence ve sızma testleri</x:v>
      </x:c>
      <x:c r="C86" s="6" t="str">
        <x:v>Test ekibi uygulama/işletim sorumlularından bağımsız ve gerekli yetkinliğe sahip mi?</x:v>
      </x:c>
      <x:c r="D86" s="6" t="str">
        <x:v>Çıkar çatışması bulunmaması ve teknik yetkinliğin kanıtlanması</x:v>
      </x:c>
      <x:c r="E86" s="6" t="str">
        <x:v>Risk senaryosu (atıflı kontrol amacından denetçi değerlendirmesi): Testi kendi uygulamasını savunan veya gerekli yetkinliği olmayan ekip yaparsa kontrol açığı gözden kaçabilir; sonuç bağımsız güvence olarak yanlış yorumlanabilir.</x:v>
      </x:c>
      <x:c r="F86" s="6" t="str">
        <x:v>Bağımsızlık beyanı, yetkinlik kayıtları, sözleşme</x:v>
      </x:c>
      <x:c r="G86" s="6" t="str">
        <x:v>Salt okunur sistem çıktısını onaylı süreç/politika kaydıyla karşılaştır; ölçütteki her koşul için kanıt konumu ve ayrı alt sonucu kaydet. Yalnız görüşme veya ekran görüntüsüyle fiili işleyiş sonucunu kapatma.</x:v>
      </x:c>
      <x:c r="H86" s="6" t="str">
        <x:v>Kurulu ürün/dağıtım, müşteri sözleşmesi ve işlev desteği Kapsam kaydında doğrulanır. Tüm hizmetlerde uygulanır; istisnasızdır.</x:v>
      </x:c>
      <x:c r="I86" s="6" t="str">
        <x:v>Kurum için onaylı periyot/eşik gerekir; metindeki uygulama örnekleri NIST’in zorunlu ürün parametresi değildir. Üretimde değişiklik veya kesinti testi yapılmaz.</x:v>
      </x:c>
      <x:c r="J86" s="6" t="str">
        <x:v>NIST-53: CA-8</x:v>
      </x:c>
      <x:c r="K86" s="6" t="str">
        <x:v>CA-8</x:v>
      </x:c>
      <x:c r="L86" s="6" t="str">
        <x:v>1 eski soru. Birleştirme İzini bu Kontrol ID ile süzün.</x:v>
      </x:c>
    </x:row>
    <x:row r="87" ht="70" customHeight="1">
      <x:c r="A87" s="6" t="str">
        <x:v>GNL-26-05</x:v>
      </x:c>
      <x:c r="B87" s="6" t="str">
        <x:v>Bağımsız güvence ve sızma testleri</x:v>
      </x:c>
      <x:c r="C87" s="6" t="str">
        <x:v>Kritik bulgular doğrulanıyor, kök neden ve yayılım analiziyle tüm benzer varlıklarda gideriliyor mu?</x:v>
      </x:c>
      <x:c r="D87" s="6" t="str">
        <x:v>Tekil yama yerine etkilenen popülasyonun tamamında düzeltme</x:v>
      </x:c>
      <x:c r="E87" s="6" t="str">
        <x:v>Risk senaryosu (atıflı kontrol amacından denetçi değerlendirmesi): Bulgu yalnız örnek varlıkta giderilirse aynı yapılandırma veya kök nedene sahip diğer müşteri varlıklarında açık devam edebilir.</x:v>
      </x:c>
      <x:c r="F87" s="6" t="str">
        <x:v>Bulgu kayıtları, kök neden/yayılım analizi, aksiyonlar</x:v>
      </x:c>
      <x:c r="G87" s="6" t="str">
        <x:v>Salt okunur sistem çıktısını onaylı süreç/politika kaydıyla karşılaştır; ölçütteki her koşul için kanıt konumu ve ayrı alt sonucu kaydet. Yalnız görüşme veya ekran görüntüsüyle fiili işleyiş sonucunu kapatma.</x:v>
      </x:c>
      <x:c r="H87" s="6" t="str">
        <x:v>Kurulu ürün/dağıtım, müşteri sözleşmesi ve işlev desteği Kapsam kaydında doğrulanır. Tüm hizmetlerde uygulanır; istisnasızdır.</x:v>
      </x:c>
      <x:c r="I87" s="6" t="str">
        <x:v>Kurum için onaylı periyot/eşik gerekir; metindeki uygulama örnekleri NIST’in zorunlu ürün parametresi değildir. Üretimde değişiklik veya kesinti testi yapılmaz.</x:v>
      </x:c>
      <x:c r="J87" s="6" t="str">
        <x:v>NIST-53: CA-5; RA-5</x:v>
      </x:c>
      <x:c r="K87" s="6" t="str">
        <x:v>CA-5; RA-5</x:v>
      </x:c>
      <x:c r="L87" s="6" t="str">
        <x:v>2 eski soru. Birleştirme İzini bu Kontrol ID ile süzün.</x:v>
      </x:c>
    </x:row>
    <x:row r="88" ht="85" customHeight="1">
      <x:c r="A88" s="6" t="str">
        <x:v>GNL-26-07</x:v>
      </x:c>
      <x:c r="B88" s="6" t="str">
        <x:v>Bağımsız güvence ve sızma testleri</x:v>
      </x:c>
      <x:c r="C88" s="6" t="str">
        <x:v>Kırmızı/mor takım çalışmaları yalnız risk değerlendirmesiyle gerekli görülen gelişmiş güvence senaryolarında planlanıyor mu?</x:v>
      </x:c>
      <x:c r="D88" s="6" t="str">
        <x:v>İyi uygulamanın zorunlu mevzuat hükmü gibi sunulmaması; kapsamın onaylı olması</x:v>
      </x:c>
      <x:c r="E88" s="6" t="str">
        <x:v>Risk senaryosu (atıflı kontrol amacından denetçi değerlendirmesi): Gelişmiş saldırı senaryosuna ihtiyaç değerlendirilmezse mevcut testler tespit ve müdahale zincirindeki birleşik açığı gösteremeyebilir; gereksiz geniş test de üretim etkisi yaratabilir.</x:v>
      </x:c>
      <x:c r="F88" s="6" t="str">
        <x:v>Tehdit modeli, güvence gerekçesi, test raporu</x:v>
      </x:c>
      <x:c r="G88" s="6" t="str">
        <x:v>Salt okunur sistem çıktısını onaylı süreç/politika kaydıyla karşılaştır; ölçütteki her koşul için kanıt konumu ve ayrı alt sonucu kaydet. Yalnız görüşme veya ekran görüntüsüyle fiili işleyiş sonucunu kapatma.</x:v>
      </x:c>
      <x:c r="H88" s="6" t="str">
        <x:v>Kurulu ürün/dağıtım, müşteri sözleşmesi ve işlev desteği Kapsam kaydında doğrulanır. Tüm hizmetlerde uygulanır; istisnasızdır.</x:v>
      </x:c>
      <x:c r="I88" s="6" t="str">
        <x:v>Kurum için onaylı periyot/eşik gerekir; metindeki uygulama örnekleri NIST’in zorunlu ürün parametresi değildir. Üretimde değişiklik veya kesinti testi yapılmaz.</x:v>
      </x:c>
      <x:c r="J88" s="6" t="str">
        <x:v>NIST-53: CA-8</x:v>
      </x:c>
      <x:c r="K88" s="6" t="str">
        <x:v>CA-8</x:v>
      </x:c>
      <x:c r="L88" s="6" t="str">
        <x:v>1 eski soru. Birleştirme İzini bu Kontrol ID ile süzün.</x:v>
      </x:c>
    </x:row>
    <x:row r="89" ht="55" customHeight="1">
      <x:c r="A89" s="6" t="str">
        <x:v>MSP-003</x:v>
      </x:c>
      <x:c r="B89" s="6" t="str">
        <x:v>Yönetişim</x:v>
      </x:c>
      <x:c r="C89" s="6" t="str">
        <x:v>BGYS kapsamı paylaşımlı platformları ve dışarıdan sağlanan bağımlılıkları kapsıyor mu?</x:v>
      </x:c>
      <x:c r="D89" s="6" t="str">
        <x:v>Hizmetler, sınırlar, bağımlılıklar ve gerekli kontroller BGYS kapsamında tanımlanmalı.</x:v>
      </x:c>
      <x:c r="E89" s="6" t="str">
        <x:v>Kapsam boşlukları kritik hizmetlerin risk yönetiminden çıkarılmasına neden olur.</x:v>
      </x:c>
      <x:c r="F89" s="6" t="str">
        <x:v>BGYS kapsamı, hizmet kataloğu, risk değerlendirmesi.</x:v>
      </x:c>
      <x:c r="G89" s="6" t="str">
        <x:v>Bulut kontrol düzlemi, veri düzlemi ve dış sağlayıcıları kapsam belgesiyle eşleştir.</x:v>
      </x:c>
      <x:c r="H89" s="6" t="str">
        <x:v>MSP genel kapsam. BDDK ve BİGR bağlayıcılığı müşteri/hizmet bazında belirlenir.</x:v>
      </x:c>
      <x:c r="I89" s="6" t="str">
        <x:v>Kurulu sürüm/dağıtımın özellik ve lisans desteği kanıtlanır. Test, salt okunur çıktı veya onaylı izole ortamla yürütülür.</x:v>
      </x:c>
      <x:c r="J89" s="6" t="str">
        <x:v>ISO-01: BGYS tanımı; ISO-SOA: kapsam ve dış taraflar
NIST-53: PL-2; RA-3
BIGR: 4.3.1.2 | 4.3.1.2 — basılı s.164 / PDF 168</x:v>
      </x:c>
      <x:c r="K89" s="6" t="str">
        <x:v>PL-2; RA-3</x:v>
      </x:c>
      <x:c r="L89" s="6" t="str">
        <x:v>1 eski soru. Birleştirme İzini bu Kontrol ID ile süzün.</x:v>
      </x:c>
    </x:row>
    <x:row r="90" ht="40" customHeight="1">
      <x:c r="A90" s="6" t="str">
        <x:v>MSP-004</x:v>
      </x:c>
      <x:c r="B90" s="6" t="str">
        <x:v>Yönetişim</x:v>
      </x:c>
      <x:c r="C90" s="6" t="str">
        <x:v>Gerekli kontroller risk değerlendirmesinden türetilip Annex A ile eksiklik kontrolüne tabi tutulmuş mu?</x:v>
      </x:c>
      <x:c r="D90" s="6" t="str">
        <x:v>Seçilen kontroller için risk bağlantısı ve Annex A karşılaştırması bulunmalı.</x:v>
      </x:c>
      <x:c r="E90" s="6" t="str">
        <x:v>Sadece ürün özelliklerine dayalı kontrol seçimi iş risklerini açık bırakır.</x:v>
      </x:c>
      <x:c r="F90" s="6" t="str">
        <x:v>Risk işleme planı, lisanslı ISO 27001:2022, kontrol karşılaştırması.</x:v>
      </x:c>
      <x:c r="G90" s="6" t="str">
        <x:v>Paylaşımlı izolasyon ve fidye yazılımı risklerinden gerekli kontrollere doğru iz sür.</x:v>
      </x:c>
      <x:c r="H90" s="6" t="str">
        <x:v>MSP genel kapsam. BDDK ve BİGR bağlayıcılığı müşteri/hizmet bazında belirlenir.</x:v>
      </x:c>
      <x:c r="I90" s="6" t="str">
        <x:v>Kurulu sürüm/dağıtımın özellik ve lisans desteği kanıtlanır. Test, salt okunur çıktı veya onaylı izole ortamla yürütülür.</x:v>
      </x:c>
      <x:c r="J90" s="6" t="str">
        <x:v>ISO-ANNEX: s.1, 6.1.3(c)
NIST-53: RA-3; RA-7</x:v>
      </x:c>
      <x:c r="K90" s="6" t="str">
        <x:v>RA-3; RA-7</x:v>
      </x:c>
      <x:c r="L90" s="6" t="str">
        <x:v>1 eski soru. Birleştirme İzini bu Kontrol ID ile süzün.</x:v>
      </x:c>
    </x:row>
    <x:row r="91" ht="40" customHeight="1">
      <x:c r="A91" s="6" t="str">
        <x:v>MSP-005</x:v>
      </x:c>
      <x:c r="B91" s="6" t="str">
        <x:v>Yönetişim</x:v>
      </x:c>
      <x:c r="C91" s="6" t="str">
        <x:v>SoA gerekli kontrollerin gerekçesini ve uygulanma durumunu içeriyor mu?</x:v>
      </x:c>
      <x:c r="D91" s="6" t="str">
        <x:v>Ürüne özel gerekli kontroller dahil, seçilen kontroller SoA üzerinde izlenmeli.</x:v>
      </x:c>
      <x:c r="E91" s="6" t="str">
        <x:v>Kontrol seçimi ve istisnalar açıklanamaz; uygulanmayan kontrol mevcutmuş gibi değerlendirilir.</x:v>
      </x:c>
      <x:c r="F91" s="6" t="str">
        <x:v>Onaylı SoA, risk işleme planı, uygulama kanıtı.</x:v>
      </x:c>
      <x:c r="G91" s="6" t="str">
        <x:v>Bir ISO kontrolü ve bir özel MSP kontrolünü SoA, prosedür ve teknik kanıt arasında takip et.</x:v>
      </x:c>
      <x:c r="H91" s="6" t="str">
        <x:v>MSP genel kapsam. BDDK ve BİGR bağlayıcılığı müşteri/hizmet bazında belirlenir.</x:v>
      </x:c>
      <x:c r="I91" s="6" t="str">
        <x:v>Kurulu sürüm/dağıtımın özellik ve lisans desteği kanıtlanır. Test, salt okunur çıktı veya onaylı izole ortamla yürütülür.</x:v>
      </x:c>
      <x:c r="J91" s="6" t="str">
        <x:v>ISO-SOA: s.4, 6.1.3(d)
NIST-53: PL-2; RA-7</x:v>
      </x:c>
      <x:c r="K91" s="6" t="str">
        <x:v>PL-2; RA-7</x:v>
      </x:c>
      <x:c r="L91" s="6" t="str">
        <x:v>1 eski soru. Birleştirme İzini bu Kontrol ID ile süzün.</x:v>
      </x:c>
    </x:row>
    <x:row r="92" ht="55" customHeight="1">
      <x:c r="A92" s="6" t="str">
        <x:v>MSP-013</x:v>
      </x:c>
      <x:c r="B92" s="6" t="str">
        <x:v>İzolasyon</x:v>
      </x:c>
      <x:c r="C92" s="6" t="str">
        <x:v>Farklı güvenlik seviyelerindeki sanal kaynaklarda BİGR fiziksel izolasyon gerekliliği değerlendirilmiş mi?</x:v>
      </x:c>
      <x:c r="D92" s="6" t="str">
        <x:v>3.1.9.13 kapsamındaki kaynaklar fiziksel ayrılmalı; uygulanabilirlik kritiklik analiziyle belirlenmeli.</x:v>
      </x:c>
      <x:c r="E92" s="6" t="str">
        <x:v>Yalnız mantıksal ayrım, uygulanabilir fiziksel izolasyon koşulunu karşılamayabilir.</x:v>
      </x:c>
      <x:c r="F92" s="6" t="str">
        <x:v>Varlık kritiklikleri, host/depolama tahsis listesi, mimari onayı.</x:v>
      </x:c>
      <x:c r="G92" s="6" t="str">
        <x:v>Farklı güvenlik seviyelerindeki ağların VM-host yerleşimini karşılaştır.</x:v>
      </x:c>
      <x:c r="H92" s="6" t="str">
        <x:v>BİGR kapsamındaki ilgili varlık grupları.</x:v>
      </x:c>
      <x:c r="I92" s="6" t="str">
        <x:v>Kurulu sürüm/dağıtımın özellik ve lisans desteği kanıtlanır. Test, salt okunur çıktı veya onaylı izole ortamla yürütülür.</x:v>
      </x:c>
      <x:c r="J92" s="6" t="str">
        <x:v>BIGR: basılı s.62/PDF 66; tedbir seviyesi 2
NIST-53: SC-32
BIGR: 3.1.9.13 | 3.1.9.13 — basılı s.62 / PDF 66</x:v>
      </x:c>
      <x:c r="K92" s="6" t="str">
        <x:v>SC-32</x:v>
      </x:c>
      <x:c r="L92" s="6" t="str">
        <x:v>2 eski soru. Birleştirme İzini bu Kontrol ID ile süzün.</x:v>
      </x:c>
    </x:row>
    <x:row r="93" ht="70" customHeight="1">
      <x:c r="A93" s="6" t="str">
        <x:v>VMW-V14-01</x:v>
      </x:c>
      <x:c r="B93" s="6" t="str">
        <x:v>Veri koruma ve gizlilik</x:v>
      </x:c>
      <x:c r="C93" s="6" t="str">
        <x:v>Support bundle, core dump ve log paketleri müşteri verisi/sır açısından sınıflandırılıp kontrollü paylaşım ve silmeye tabi mi?</x:v>
      </x:c>
      <x:c r="D93" s="6" t="str">
        <x:v>Üreticiye gönderim onaylı/şifreli; kapanışta yerel ve uzak kopya silme kanıtı vardır.</x:v>
      </x:c>
      <x:c r="E93" s="6" t="str">
        <x:v>Destek kayıtlarında ve paketlerinde hassas veri güvenliği yeterli değilse, müşteri verisi yanlış yetkilendirme, kayıt, destek veya dışa aktarım süreçlerinde yetkisiz kişilere açılabilir.</x:v>
      </x:c>
      <x:c r="F93" s="6" t="str">
        <x:v>Support vakaları, bundle saklama ve paylaşım kayıtları</x:v>
      </x:c>
      <x:c r="G93" s="6" t="str">
        <x:v>Salt okunur sistem çıktısını onaylı süreç/politika kaydıyla karşılaştır; ölçütteki her koşul için kanıt konumu ve ayrı alt sonucu kaydet. Yalnız görüşme veya ekran görüntüsüyle fiili işleyiş sonucunu kapatma.</x:v>
      </x:c>
      <x:c r="H93" s="6" t="str">
        <x:v>Kurulu ürün/dağıtım, müşteri sözleşmesi ve işlev desteği Kapsam kaydında doğrulanır. Müşteri verisi işlenmeyen bileşenlerde gerekçeli olarak daraltılabilir.</x:v>
      </x:c>
      <x:c r="I93" s="6" t="str">
        <x:v>Kurum için onaylı periyot/eşik gerekir; metindeki uygulama örnekleri NIST’in zorunlu ürün parametresi değildir. Üretimde değişiklik veya kesinti testi yapılmaz.</x:v>
      </x:c>
      <x:c r="J93" s="6" t="str">
        <x:v>NIST-53: SI-12; MP-6</x:v>
      </x:c>
      <x:c r="K93" s="6" t="str">
        <x:v>SI-12; MP-6</x:v>
      </x:c>
      <x:c r="L93" s="6" t="str">
        <x:v>1 eski soru. Birleştirme İzini bu Kontrol ID ile süzün.</x:v>
      </x:c>
    </x:row>
    <x:row r="94" ht="70" customHeight="1">
      <x:c r="A94" s="6" t="str">
        <x:v>VMW-V15-02</x:v>
      </x:c>
      <x:c r="B94" s="6" t="str">
        <x:v>Müşteri/tenant izolasyonu</x:v>
      </x:c>
      <x:c r="C94" s="6" t="str">
        <x:v>Kurtarma sonrasında tenant güvenlik sınırları korunuyor mu?</x:v>
      </x:c>
      <x:c r="D94" s="6" t="str">
        <x:v>Failover/restore sonrasında rol, organization, ağ, anahtar ve log erişimleri üretimdeki onaylı sınırlarla eşleşmeli.</x:v>
      </x:c>
      <x:c r="E94" s="6" t="str">
        <x:v>Fiziksel ayrım ve felaket kurtarma ortamı güvenliği yeterli değilse, bir müşteri diğerinin verisine, yönetim nesnesine veya hizmet kaynağına erişebilir.</x:v>
      </x:c>
      <x:c r="F94" s="6" t="str">
        <x:v>DR VCD/vCenter/NSX exportu ve test sonuçları</x:v>
      </x:c>
      <x:c r="G94" s="6" t="str">
        <x:v>Salt okunur sistem çıktısını onaylı süreç/politika kaydıyla karşılaştır; ölçütteki her koşul için kanıt konumu ve ayrı alt sonucu kaydet. Yalnız görüşme veya ekran görüntüsüyle fiili işleyiş sonucunu kapatma.</x:v>
      </x:c>
      <x:c r="H94" s="6" t="str">
        <x:v>Kurulu ürün/dağıtım, müşteri sözleşmesi ve işlev desteği Kapsam kaydında doğrulanır. Yalnız tek müşteriye tahsis edilmiş (dedicated) hizmetlerde gerekçeli olarak daraltılabilir.</x:v>
      </x:c>
      <x:c r="I94" s="6" t="str">
        <x:v>Kurum için onaylı periyot/eşik gerekir; metindeki uygulama örnekleri NIST’in zorunlu ürün parametresi değildir. Üretimde değişiklik veya kesinti testi yapılmaz.</x:v>
      </x:c>
      <x:c r="J94" s="6" t="str">
        <x:v>NIST-53: CP-4; AC-3</x:v>
      </x:c>
      <x:c r="K94" s="6" t="str">
        <x:v>CP-4; AC-3</x:v>
      </x:c>
      <x:c r="L94" s="6" t="str">
        <x:v>1 eski soru. Birleştirme İzini bu Kontrol ID ile süzün.</x:v>
      </x:c>
    </x:row>
  </x:sheetData>
  <x:pageMargins left="0.7" right="0.7" top="0.75" bottom="0.75" header="0.3" footer="0.3"/>
  <x:tableParts count="1">
    <x:tablePart xmlns:r="http://schemas.openxmlformats.org/officeDocument/2006/relationships" r:id="Rd7f35dab91984896"/>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VMware ESXi</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40" customHeight="1">
      <x:c r="A6" s="6" t="str">
        <x:v>ESX-001</x:v>
      </x:c>
      <x:c r="B6" s="6" t="str">
        <x:v>Donanım firmware ve sürücü uyumu</x:v>
      </x:c>
      <x:c r="C6" s="6" t="str">
        <x:v>Donanım firmware ve sürücü uyumu kontrolü, aşağıdaki sürüm ve kapsam koşullarında doğrulanıyor mu?</x:v>
      </x:c>
      <x:c r="D6" s="6" t="str">
        <x:v>BIOS/UEFI, BMC, TPM, depolama ve ağ aygıtlarının firmware/sürücü bileşimi üretici desteği ve ESXi uyumluluk listesiyle uyumlu olmalı.</x:v>
      </x:c>
      <x:c r="E6" s="6" t="str">
        <x:v>Uyumsuz firmware ortak hostta açılış, depolama veya ağ kaybına; eski firmware kalıcı ayrıcalıklı erişime neden olabilir.</x:v>
      </x:c>
      <x:c r="F6" s="6" t="str">
        <x:v>Seri numarası ve firmware envanteri; Lifecycle Manager uyumluluk raporu; üretici destek matrisi.</x:v>
      </x:c>
      <x:c r="G6" s="6" t="str">
        <x:v>Her farklı donanım modelini ve kurulu firmware/sürücü çiftini karşılaştır; özellikle vSAN disk/kontrolcü sertifikasyonunu kontrol et.</x:v>
      </x:c>
      <x:c r="H6" s="6" t="str">
        <x:v>ESXi 8 hostları; donanım bileşenleri kullanılan modele göre.</x:v>
      </x:c>
      <x:c r="I6" s="6" t="str">
        <x:v>Firmware değişikliği bakım ve yeniden başlatma gerektirebilir; vSAN onayı ayrıca kontrol edilir.</x:v>
      </x:c>
      <x:c r="J6" s="6" t="str">
        <x:v>CIS-ESX8:1.1</x:v>
      </x:c>
      <x:c r="K6" s="6" t="str">
        <x:v>CM-8; SI-2</x:v>
      </x:c>
      <x:c r="L6" s="6" t="str">
        <x:v>1 eski soru. Birleştirme İzini bu Kontrol ID ile süzün.</x:v>
      </x:c>
    </x:row>
    <x:row r="7" ht="55" customHeight="1">
      <x:c r="A7" s="6" t="str">
        <x:v>ESX-002</x:v>
      </x:c>
      <x:c r="B7" s="6" t="str">
        <x:v>UEFI Secure Boot ve zorunlu açılış doğrulaması</x:v>
      </x:c>
      <x:c r="C7" s="6" t="str">
        <x:v>UEFI Secure Boot ve zorunlu açılış doğrulaması kontrolü, aşağıdaki sürüm ve kapsam koşullarında doğrulanıyor mu?</x:v>
      </x:c>
      <x:c r="D7" s="6" t="str">
        <x:v>UEFI Secure Boot etkin olmalı; ESXi yapılandırmasında Secure Boot zorunluluğu desteklenen platformda doğrulanmalı. Yalnız UEFI ile açılmış olmak Secure Boot kanıtı değildir.</x:v>
      </x:c>
      <x:c r="E7" s="6" t="str">
        <x:v>Değiştirilmiş açılış bileşeni hypervisor öncesinde çalışarak bütün müşteri VM’lerinin güven sınırını etkileyebilir.</x:v>
      </x:c>
      <x:c r="F7" s="6" t="str">
        <x:v>Firmware Secure Boot durumu; secureBoot.py -s sonucu; system settings encryption etkin ayarları.</x:v>
      </x:c>
      <x:c r="G7" s="6" t="str">
        <x:v>Enabled sonucunu ve ESXi tarafındaki zorunlu doğrulama durumunu birlikte incele; UEFI bilgisiyle tek başına kapatma.</x:v>
      </x:c>
      <x:c r="H7" s="6" t="str">
        <x:v>ESXi 8 ve destekleyen donanım.</x:v>
      </x:c>
      <x:c r="I7" s="6" t="str">
        <x:v>Kurulum sonrasında etkinleştirme hostu açılmaz duruma getirebilir; bu denetim sırasında etkinleştirme yapılmaz.</x:v>
      </x:c>
      <x:c r="J7" s="6" t="str">
        <x:v>CIS-ESX8:1.2
CIS-ESX8:2.3</x:v>
      </x:c>
      <x:c r="K7" s="6" t="str">
        <x:v>SI-7</x:v>
      </x:c>
      <x:c r="L7" s="6" t="str">
        <x:v>1 eski soru. Birleştirme İzini bu Kontrol ID ile süzün.</x:v>
      </x:c>
    </x:row>
    <x:row r="8" ht="40" customHeight="1">
      <x:c r="A8" s="6" t="str">
        <x:v>ESX-003</x:v>
      </x:c>
      <x:c r="B8" s="6" t="str">
        <x:v>TPM ve host yapılandırma şifrelemesi</x:v>
      </x:c>
      <x:c r="C8" s="6" t="str">
        <x:v>TPM ve host yapılandırma şifrelemesi kontrolü, aşağıdaki sürüm ve kapsam koşullarında doğrulanıyor mu?</x:v>
      </x:c>
      <x:c r="D8" s="6" t="str">
        <x:v>TPM 2.0 mevcut/sağlıklı; yapılandırma şifrelemesi TPM destekli; ilgili vCenter attestation alarmları açıklanmış olmalı.</x:v>
      </x:c>
      <x:c r="E8" s="6" t="str">
        <x:v>Host yapılandırmasının açığa çıkması sırları sızdırabilir; TPM erişim kaybı geri dönüşü engelleyebilir.</x:v>
      </x:c>
      <x:c r="F8" s="6" t="str">
        <x:v>TPM sürümü, trustedboot/encryption durumu, vCenter attestation ekranı ve kurtarma bağımlılık kaydı.</x:v>
      </x:c>
      <x:c r="G8" s="6" t="str">
        <x:v>TPM varlığı, sürümü, iletişim sağlığı ve encryption modunu aynı host kimliğiyle karşılaştır.</x:v>
      </x:c>
      <x:c r="H8" s="6" t="str">
        <x:v>ESXi 8; TPM destekli donanım.</x:v>
      </x:c>
      <x:c r="I8" s="6" t="str">
        <x:v>Kurtarma anahtarı ve acil yönetici erişimi ayrıca korunmalıdır; TPM sıfırlanmaz.</x:v>
      </x:c>
      <x:c r="J8" s="6" t="str">
        <x:v>CIS-ESX8:1.4
CIS-ESX8:2.8</x:v>
      </x:c>
      <x:c r="K8" s="6" t="str">
        <x:v>SC-28; SI-7; CP-9</x:v>
      </x:c>
      <x:c r="L8" s="6" t="str">
        <x:v>1 eski soru. Birleştirme İzini bu Kontrol ID ile süzün.</x:v>
      </x:c>
    </x:row>
    <x:row r="9" ht="40" customHeight="1">
      <x:c r="A9" s="6" t="str">
        <x:v>ESX-004</x:v>
      </x:c>
      <x:c r="B9" s="6" t="str">
        <x:v>Intel TXT ölçümlü açılış</x:v>
      </x:c>
      <x:c r="C9" s="6" t="str">
        <x:v>Intel TXT ölçümlü açılış kontrolü, aşağıdaki sürüm ve kapsam koşullarında doğrulanıyor mu?</x:v>
      </x:c>
      <x:c r="D9" s="6" t="str">
        <x:v>Intel TXT destekleyen hostta DRTM etkin ve TPM mevcut olmalı; destek yokluğu donanım modeliyle belgelenmeli.</x:v>
      </x:c>
      <x:c r="E9" s="6" t="str">
        <x:v>Ölçümlü açılışın devre dışı olması açılış bütünlüğüne ilişkin güvenceyi azaltır.</x:v>
      </x:c>
      <x:c r="F9" s="6" t="str">
        <x:v>CPU/anakart özellikleri, BIOS/UEFI ayarı, trustedboot durumu.</x:v>
      </x:c>
      <x:c r="G9" s="6" t="str">
        <x:v>Destekleyen ve desteklemeyen hostları ayır; DRTM/TPM değerlerini donanım desteğiyle eşleştir.</x:v>
      </x:c>
      <x:c r="H9" s="6" t="str">
        <x:v>Yalnız Intel TXT destekleyen ESXi 8 donanımı.</x:v>
      </x:c>
      <x:c r="I9" s="6" t="str">
        <x:v>Firmware güncellemesi veya güç kesilmesi attestation sorununa yol açabilir; kaynak KB bağımlılığı değerlendirilir.</x:v>
      </x:c>
      <x:c r="J9" s="6" t="str">
        <x:v>CIS-ESX8:1.3</x:v>
      </x:c>
      <x:c r="K9" s="6" t="str">
        <x:v>SI-7</x:v>
      </x:c>
      <x:c r="L9" s="6" t="str">
        <x:v>Yeni CIS teknik maddesi. CIS Dizinine bakın.</x:v>
      </x:c>
    </x:row>
    <x:row r="10" ht="55" customHeight="1">
      <x:c r="A10" s="6" t="str">
        <x:v>ESX-005</x:v>
      </x:c>
      <x:c r="B10" s="6" t="str">
        <x:v>BMC yönetim güvenliği</x:v>
      </x:c>
      <x:c r="C10" s="6" t="str">
        <x:v>BMC yönetim güvenliği kontrolü, aşağıdaki sürüm ve kapsam koşullarında doğrulanıyor mu?</x:v>
      </x:c>
      <x:c r="D10" s="6" t="str">
        <x:v>BMC’de varsayılan/ortak yönetici kimliği olmamalı; erişim yönetim ağlarıyla sınırlı, gereksiz servisler kapalı ve yetkiler görevle uyumlu olmalı. Desteklenen MFA ve dizin entegrasyonu ayrıca incelenir.</x:v>
      </x:c>
      <x:c r="E10" s="6" t="str">
        <x:v>BMC ele geçirilirse ESXi/PAM kontrollerinden bağımsız konsol veya sanal medya erişimiyle bütün host etkilenebilir.</x:v>
      </x:c>
      <x:c r="F10" s="6" t="str">
        <x:v>BMC rol/hesap ve servis exportu, yönetim ağı kuralları, sertifika ve kimlik doğrulama ayarları.</x:v>
      </x:c>
      <x:c r="G10" s="6" t="str">
        <x:v>Uzaktan konsol/sanal medya dahil tüm BMC erişim yollarını rol matrisiyle karşılaştır; tenant ağından erişim reddini kontrollü testle doğrula.</x:v>
      </x:c>
      <x:c r="H10" s="6" t="str">
        <x:v>ESXi 8 sunucularının BMC/iLO/iDRAC bileşenleri; 1.8 L2 ekleri kaynak profilinde ayrı değerlendirilir.</x:v>
      </x:c>
      <x:c r="I10" s="6" t="str">
        <x:v>İzleme ve uzaktan kurtarma araçları BMC servislerine bağımlı olabilir.</x:v>
      </x:c>
      <x:c r="J10" s="6" t="str">
        <x:v>CIS-ESX8:1.5
CIS-ESX8:1.8</x:v>
      </x:c>
      <x:c r="K10" s="6" t="str">
        <x:v>AC-6; IA-2; SC-7</x:v>
      </x:c>
      <x:c r="L10" s="6" t="str">
        <x:v>Yeni CIS teknik maddesi. CIS Dizinine bakın.</x:v>
      </x:c>
    </x:row>
    <x:row r="11" ht="40" customHeight="1">
      <x:c r="A11" s="6" t="str">
        <x:v>ESX-006</x:v>
      </x:c>
      <x:c r="B11" s="6" t="str">
        <x:v>BMC saat senkronizasyonu</x:v>
      </x:c>
      <x:c r="C11" s="6" t="str">
        <x:v>BMC saat senkronizasyonu kontrolü, aşağıdaki sürüm ve kapsam koşullarında doğrulanıyor mu?</x:v>
      </x:c>
      <x:c r="D11" s="6" t="str">
        <x:v>BMC’nin kendi saat eşitleme ayarı ve fiili zamanı güvenilir saat kaynağıyla uyumlu olmalı. ESXi NTP çıktısı BMC saatini kanıtlamaz.</x:v>
      </x:c>
      <x:c r="E11" s="6" t="str">
        <x:v>BMC olaylarının yanlış zamanı fiziksel/uzak yönetim müdahalesini host olaylarıyla ilişkilendirmeyi engeller.</x:v>
      </x:c>
      <x:c r="F11" s="6" t="str">
        <x:v>BMC NTP yapılandırması, BMC olay zamanları ve ortak referans saat.</x:v>
      </x:c>
      <x:c r="G11" s="6" t="str">
        <x:v>BMC arayüzünden saat kaynağını ve etkin durumu al; bir BMC olayını aynı zaman aralığındaki host kaydıyla karşılaştır.</x:v>
      </x:c>
      <x:c r="H11" s="6" t="str">
        <x:v>ESXi 8 BMC bileşeni.</x:v>
      </x:c>
      <x:c r="I11" s="6" t="str">
        <x:v>Değişiklik uygulanmaz; etkin değer ve yapılandırma salt okunur incelenir.</x:v>
      </x:c>
      <x:c r="J11" s="6" t="str">
        <x:v>CIS-ESX8:1.6</x:v>
      </x:c>
      <x:c r="K11" s="6" t="str">
        <x:v>AU-8; SC-45</x:v>
      </x:c>
      <x:c r="L11" s="6" t="str">
        <x:v>Yeni CIS teknik maddesi. CIS Dizinine bakın.</x:v>
      </x:c>
    </x:row>
    <x:row r="12" ht="40" customHeight="1">
      <x:c r="A12" s="6" t="str">
        <x:v>ESX-007</x:v>
      </x:c>
      <x:c r="B12" s="6" t="str">
        <x:v>BMC merkezi olay kaydı</x:v>
      </x:c>
      <x:c r="C12" s="6" t="str">
        <x:v>BMC merkezi olay kaydı kontrolü, aşağıdaki sürüm ve kapsam koşullarında doğrulanıyor mu?</x:v>
      </x:c>
      <x:c r="D12" s="6" t="str">
        <x:v>BMC donanım, güvenlik ve yönetim olayları onaylı merkezi toplayıcıya aktarılmalı.</x:v>
      </x:c>
      <x:c r="E12" s="6" t="str">
        <x:v>Hostun veya BMC’nin ele geçirilmesi yerel olayların silinmesiyle görünmez kalabilir.</x:v>
      </x:c>
      <x:c r="F12" s="6" t="str">
        <x:v>BMC syslog/olay yönlendirme ayarı, örnek yönetim olayı, toplayıcı kaydı.</x:v>
      </x:c>
      <x:c r="G12" s="6" t="str">
        <x:v>Zararsız bir giriş/çıkış olayının BMC kimliği ve zamanı korunarak merkezde bulunduğunu doğrula.</x:v>
      </x:c>
      <x:c r="H12" s="6" t="str">
        <x:v>ESXi 8 BMC bileşeni.</x:v>
      </x:c>
      <x:c r="I12" s="6" t="str">
        <x:v>Değişiklik uygulanmaz; etkin değer ve yapılandırma salt okunur incelenir.</x:v>
      </x:c>
      <x:c r="J12" s="6" t="str">
        <x:v>CIS-ESX8:1.7</x:v>
      </x:c>
      <x:c r="K12" s="6" t="str">
        <x:v>AU-12; AU-9</x:v>
      </x:c>
      <x:c r="L12" s="6" t="str">
        <x:v>Yeni CIS teknik maddesi. CIS Dizinine bakın.</x:v>
      </x:c>
    </x:row>
    <x:row r="13" ht="40" customHeight="1">
      <x:c r="A13" s="6" t="str">
        <x:v>ESX-008</x:v>
      </x:c>
      <x:c r="B13" s="6" t="str">
        <x:v>Intel SGX kapsamı</x:v>
      </x:c>
      <x:c r="C13" s="6" t="str">
        <x:v>Intel SGX kapsamı kontrolü, aşağıdaki sürüm ve kapsam koşullarında doğrulanıyor mu?</x:v>
      </x:c>
      <x:c r="D13" s="6" t="str">
        <x:v>SGX destekleyen ve seçilmiş L2 kapsamındaki Intel hostlarda SGX etkinliği BIOS/UEFI üzerinden doğrulanmalı.</x:v>
      </x:c>
      <x:c r="E13" s="6" t="str">
        <x:v>Gereken korumalı yürütme işlevi etkin değilse güvenlik mimarisinin SGX’e dayanan koruma iddiası karşılanmaz.</x:v>
      </x:c>
      <x:c r="F13" s="6" t="str">
        <x:v>CPU model/destek kaydı, BIOS SGX ayarı, iş yükü gereksinimi.</x:v>
      </x:c>
      <x:c r="G13" s="6" t="str">
        <x:v>Donanım desteği ve uygulanabilirliği belirle; SGX ayarını üretici donanım ekranından doğrula.</x:v>
      </x:c>
      <x:c r="H13" s="6" t="str">
        <x:v>ESXi 8, SGX destekleyen Intel donanım ve ilgili L2 kapsamı.</x:v>
      </x:c>
      <x:c r="I13" s="6" t="str">
        <x:v>Misafir desteği gerekir; vMotion, snapshot, FT ve suspend/resume sınırlamaları değerlendirilmeli.</x:v>
      </x:c>
      <x:c r="J13" s="6" t="str">
        <x:v>CIS-ESX8:1.10</x:v>
      </x:c>
      <x:c r="K13" s="6" t="str">
        <x:v>SC-39; SI-7</x:v>
      </x:c>
      <x:c r="L13" s="6" t="str">
        <x:v>Yeni CIS teknik maddesi. CIS Dizinine bakın.</x:v>
      </x:c>
    </x:row>
    <x:row r="14" ht="40" customHeight="1">
      <x:c r="A14" s="6" t="str">
        <x:v>ESX-009</x:v>
      </x:c>
      <x:c r="B14" s="6" t="str">
        <x:v>Harici donanım portları</x:v>
      </x:c>
      <x:c r="C14" s="6" t="str">
        <x:v>Harici donanım portları kontrolü, aşağıdaki sürüm ve kapsam koşullarında doğrulanıyor mu?</x:v>
      </x:c>
      <x:c r="D14" s="6" t="str">
        <x:v>Gerekmeyen USB, SD, seri ve diğer harici donanım portları devre dışı veya erişimi fiziksel olarak sınırlandırılmış olmalı.</x:v>
      </x:c>
      <x:c r="E14" s="6" t="str">
        <x:v>Yetkisiz yerel aygıt bağlantısı veri taşıma veya açılış yolunun değiştirilmesini mümkün kılabilir.</x:v>
      </x:c>
      <x:c r="F14" s="6" t="str">
        <x:v>Fiziksel port envanteri, firmware port ayarları, erişim ve acil kurtarma planı.</x:v>
      </x:c>
      <x:c r="G14" s="6" t="str">
        <x:v>Port ihtiyacını onaylı işletim modeline göre kontrol et; kapalı portları fiziksel/firmware kanıtıyla doğrula.</x:v>
      </x:c>
      <x:c r="H14" s="6" t="str">
        <x:v>ESXi 8 L2; yalnız fiilen bulunan portlar.</x:v>
      </x:c>
      <x:c r="I14" s="6" t="str">
        <x:v>Acil konsol ve kurtarma ortamı bağımlılığı kapatma öncesinde test edilmelidir.</x:v>
      </x:c>
      <x:c r="J14" s="6" t="str">
        <x:v>CIS-ESX8:1.11</x:v>
      </x:c>
      <x:c r="K14" s="6" t="str">
        <x:v>CM-7; PE-3</x:v>
      </x:c>
      <x:c r="L14" s="6" t="str">
        <x:v>Yeni CIS teknik maddesi. CIS Dizinine bakın.</x:v>
      </x:c>
    </x:row>
    <x:row r="15" ht="40" customHeight="1">
      <x:c r="A15" s="6" t="str">
        <x:v>ESX-010</x:v>
      </x:c>
      <x:c r="B15" s="6" t="str">
        <x:v>BMC–host iç ağ yolları</x:v>
      </x:c>
      <x:c r="C15" s="6" t="str">
        <x:v>BMC–host iç ağ yolları kontrolü, aşağıdaki sürüm ve kapsam koşullarında doğrulanıyor mu?</x:v>
      </x:c>
      <x:c r="D15" s="6" t="str">
        <x:v>BMC iç ağ iletişimi ve sanal donanım yönetim arayüzleri gerekmiyorsa kapalı/yok olmalı; gerekli kullanım ayrı onaylı olmalı.</x:v>
      </x:c>
      <x:c r="E15" s="6" t="str">
        <x:v>Harici yönetim ağını izole etmek, host içinden BMC’ye açık alternatif yolu tek başına engellemez.</x:v>
      </x:c>
      <x:c r="F15" s="6" t="str">
        <x:v>Net.BMCNetworkEnable, VMkernel arayüz envanteri, üretici yönetim ajanı bağımlılıkları.</x:v>
      </x:c>
      <x:c r="G15" s="6" t="str">
        <x:v>Fiziksel yönetim ağı dışında host içi BMC yolunu ve arayüzlerini belirle; her açık yolun gereksinimini doğrula.</x:v>
      </x:c>
      <x:c r="H15" s="6" t="str">
        <x:v>ESXi 8; ilgili BMC/sanal yönetim arayüzleri mevcutsa.</x:v>
      </x:c>
      <x:c r="I15" s="6" t="str">
        <x:v>Üretici donanım yönetim aracı işlevi etkilenebilir.</x:v>
      </x:c>
      <x:c r="J15" s="6" t="str">
        <x:v>CIS-ESX8:1.12
CIS-ESX8:5.5</x:v>
      </x:c>
      <x:c r="K15" s="6" t="str">
        <x:v>SC-7; CM-7</x:v>
      </x:c>
      <x:c r="L15" s="6" t="str">
        <x:v>Yeni CIS teknik maddesi. CIS Dizinine bakın.</x:v>
      </x:c>
    </x:row>
    <x:row r="16" ht="55" customHeight="1">
      <x:c r="A16" s="6" t="str">
        <x:v>ESX-011</x:v>
      </x:c>
      <x:c r="B16" s="6" t="str">
        <x:v>ESXi sürüm desteği ve yamalar</x:v>
      </x:c>
      <x:c r="C16" s="6" t="str">
        <x:v>ESXi sürüm desteği ve yamalar kontrolü, aşağıdaki sürüm ve kapsam koşullarında doğrulanıyor mu?</x:v>
      </x:c>
      <x:c r="D16" s="6" t="str">
        <x:v>Kurulu build, destek durumu ve uygulanabilir güncellemeler üretici kayıtlarıyla karşılaştırılmalı. CIS sonucu ile kurumun gecikmiş yama istisnası ayrı kaydedilmeli.</x:v>
      </x:c>
      <x:c r="E16" s="6" t="str">
        <x:v>Tek host açığı aynı hypervisorı paylaşan birden çok müşterinin verisine ve erişilebilirliğine etki edebilir.</x:v>
      </x:c>
      <x:c r="F16" s="6" t="str">
        <x:v>Host build ve VIB listesi, lifecycle destek kaydı, uygulanabilir duyuru ve yama listesi.</x:v>
      </x:c>
      <x:c r="G16" s="6" t="str">
        <x:v>Her farklı build için destek/güncelleme eşlemesini incele; yüklü düzeltmeyi fiili host çıktısıyla doğrula.</x:v>
      </x:c>
      <x:c r="H16" s="6" t="str">
        <x:v>ESXi 7 / 8; her kaynak yalnız kendi sürümünde. Profil L1/L2 seçimi Kapsam kaydında belgelenir.</x:v>
      </x:c>
      <x:c r="I16" s="6" t="str">
        <x:v>Bakım modu, VM tahliyesi ve uyum testi gereklidir; denetim yamayı uygulamaz.</x:v>
      </x:c>
      <x:c r="J16" s="6" t="str">
        <x:v>CIS-ESX8:2.1
CIS-ESX8:2.2
CIS-ESX7:1.1</x:v>
      </x:c>
      <x:c r="K16" s="6" t="str">
        <x:v>SI-2; SA-22</x:v>
      </x:c>
      <x:c r="L16" s="6" t="str">
        <x:v>2 eski soru. Birleştirme İzini bu Kontrol ID ile süzün.</x:v>
      </x:c>
    </x:row>
    <x:row r="17" ht="55" customHeight="1">
      <x:c r="A17" s="6" t="str">
        <x:v>ESX-012</x:v>
      </x:c>
      <x:c r="B17" s="6" t="str">
        <x:v>VIB kabul seviyesi ve imza envanteri</x:v>
      </x:c>
      <x:c r="C17" s="6" t="str">
        <x:v>VIB kabul seviyesi ve imza envanteri kontrolü, aşağıdaki sürüm ve kapsam koşullarında doğrulanıyor mu?</x:v>
      </x:c>
      <x:c r="D17" s="6" t="str">
        <x:v>Image profile ve VIB kabul seviyesi VMwareCertified, VMwareAccepted veya PartnerSupported olmalı; yetkisiz/imzasız kernel bileşeni bulunmamalı.</x:v>
      </x:c>
      <x:c r="E17" s="6" t="str">
        <x:v>Güvenilmeyen hypervisor bileşeni en yüksek ayrıcalıkta kalıcılık sağlayabilir.</x:v>
      </x:c>
      <x:c r="F17" s="6" t="str">
        <x:v>Acceptance level, VIB ve kernel modül listeleri, izinli paket kaynağı.</x:v>
      </x:c>
      <x:c r="G17" s="6" t="str">
        <x:v>Host kabul ayarıyla yüklenmiş paketleri ayrı karşılaştır; üst ayarın uygun olması mevcut paketlerin hepsini uygun saydırmaz.</x:v>
      </x:c>
      <x:c r="H17" s="6" t="str">
        <x:v>ESXi 7 / 8; her kaynak yalnız kendi sürümünde. Profil L1/L2 seçimi Kapsam kaydında belgelenir.</x:v>
      </x:c>
      <x:c r="I17" s="6" t="str">
        <x:v>Değişiklik uygulanmaz; etkin değer ve yapılandırma salt okunur incelenir.</x:v>
      </x:c>
      <x:c r="J17" s="6" t="str">
        <x:v>CIS-ESX8:2.4
CIS-ESX7:1.2
CIS-ESX7:1.3</x:v>
      </x:c>
      <x:c r="K17" s="6" t="str">
        <x:v>SI-7; CM-5</x:v>
      </x:c>
      <x:c r="L17" s="6" t="str">
        <x:v>3 eski soru. Birleştirme İzini bu Kontrol ID ile süzün.</x:v>
      </x:c>
    </x:row>
    <x:row r="18" ht="40" customHeight="1">
      <x:c r="A18" s="6" t="str">
        <x:v>ESX-013</x:v>
      </x:c>
      <x:c r="B18" s="6" t="str">
        <x:v>Yalnız yüklenmiş imzalı binary çalıştırma</x:v>
      </x:c>
      <x:c r="C18" s="6" t="str">
        <x:v>Yalnız yüklenmiş imzalı binary çalıştırma kontrolü, aşağıdaki sürüm ve kapsam koşullarında doğrulanıyor mu?</x:v>
      </x:c>
      <x:c r="D18" s="6" t="str">
        <x:v>execInstalledOnly etkin/runtime değeri TRUE olmalı; üretici dışı binary değiştirmesi bulunmamalı.</x:v>
      </x:c>
      <x:c r="E18" s="6" t="str">
        <x:v>Yüklenmemiş saldırgan binarysi host üzerinde çalışarak ayrıcalıklı kalıcılık sağlayabilir.</x:v>
      </x:c>
      <x:c r="F18" s="6" t="str">
        <x:v>Kernel execInstalledOnly yapılandırma/etkin değerleri ve VIB bütünlük envanteri.</x:v>
      </x:c>
      <x:c r="G18" s="6" t="str">
        <x:v>Yapılandırılmış değer ile çalışma anındaki değeri karşılaştır; sadece yeniden başlatma sonrası beklenen ayarı yeterli sayma.</x:v>
      </x:c>
      <x:c r="H18" s="6" t="str">
        <x:v>ESXi 8.</x:v>
      </x:c>
      <x:c r="I18" s="6" t="str">
        <x:v>İmzasız üçüncü taraf araçlar çalışmayabilir.</x:v>
      </x:c>
      <x:c r="J18" s="6" t="str">
        <x:v>CIS-ESX8:2.5</x:v>
      </x:c>
      <x:c r="K18" s="6" t="str">
        <x:v>SI-7; CM-7</x:v>
      </x:c>
      <x:c r="L18" s="6" t="str">
        <x:v>Yeni CIS teknik maddesi. CIS Dizinine bakın.</x:v>
      </x:c>
    </x:row>
    <x:row r="19" ht="55" customHeight="1">
      <x:c r="A19" s="6" t="str">
        <x:v>ESX-014</x:v>
      </x:c>
      <x:c r="B19" s="6" t="str">
        <x:v>Host NTP kaynağı ve çalışan hizmet</x:v>
      </x:c>
      <x:c r="C19" s="6" t="str">
        <x:v>Host NTP kaynağı ve çalışan hizmet kontrolü, aşağıdaki sürüm ve kapsam koşullarında doğrulanıyor mu?</x:v>
      </x:c>
      <x:c r="D19" s="6" t="str">
        <x:v>Onaylı NTP kaynakları tanımlı, hizmet etkin ve çalışır olmalı; saat sapması kurumun onaylı toleransı içinde doğrulanmalı.</x:v>
      </x:c>
      <x:c r="E19" s="6" t="str">
        <x:v>Saat kayması kimlik doğrulama ve müşteri olaylarının doğru sırayla incelenmesini bozabilir.</x:v>
      </x:c>
      <x:c r="F19" s="6" t="str">
        <x:v>Host NTP ayarları, hizmet durumu, senkronizasyon/sapma çıktısı.</x:v>
      </x:c>
      <x:c r="G19" s="6" t="str">
        <x:v>Tanımlı sunucu listesini fiili hizmet/senkron durumu ve olay zamanıyla birlikte test et.</x:v>
      </x:c>
      <x:c r="H19" s="6" t="str">
        <x:v>ESXi 7 / 8; her kaynak yalnız kendi sürümünde. Profil L1/L2 seçimi Kapsam kaydında belgelenir.</x:v>
      </x:c>
      <x:c r="I19" s="6" t="str">
        <x:v>Değişiklik uygulanmaz; etkin değer ve yapılandırma salt okunur incelenir.</x:v>
      </x:c>
      <x:c r="J19" s="6" t="str">
        <x:v>CIS-ESX8:2.6
CIS-ESX8:2.7
CIS-ESX7:2.1</x:v>
      </x:c>
      <x:c r="K19" s="6" t="str">
        <x:v>AU-8; SC-45</x:v>
      </x:c>
      <x:c r="L19" s="6" t="str">
        <x:v>Yeni CIS teknik maddesi. CIS Dizinine bakın.</x:v>
      </x:c>
    </x:row>
    <x:row r="20" ht="40" customHeight="1">
      <x:c r="A20" s="6" t="str">
        <x:v>ESX-015</x:v>
      </x:c>
      <x:c r="B20" s="6" t="str">
        <x:v>CPU zafiyet uyarısının bastırılmaması</x:v>
      </x:c>
      <x:c r="C20" s="6" t="str">
        <x:v>CPU zafiyet uyarısının bastırılmaması kontrolü, aşağıdaki sürüm ve kapsam koşullarında doğrulanıyor mu?</x:v>
      </x:c>
      <x:c r="D20" s="6" t="str">
        <x:v>UserVars.SuppressHyperthreadWarning=0 olmalı. Bu değer CPU zafiyetinin giderildiğinin kanıtı değildir.</x:v>
      </x:c>
      <x:c r="E20" s="6" t="str">
        <x:v>Uyarının gizlenmesi işletimin giderilmemiş CPU riskini fark etmesini geciktirebilir.</x:v>
      </x:c>
      <x:c r="F20" s="6" t="str">
        <x:v>İlgili advanced setting, açık CPU uyarıları ve düzeltme değerlendirmesi.</x:v>
      </x:c>
      <x:c r="G20" s="6" t="str">
        <x:v>Bastırma ayarını kontrol et; varsa uyarıyı ayrıca yama/risk işlem kaydına bağla.</x:v>
      </x:c>
      <x:c r="H20" s="6" t="str">
        <x:v>ESXi 8.</x:v>
      </x:c>
      <x:c r="I20" s="6" t="str">
        <x:v>Değişiklik uygulanmaz; etkin değer ve yapılandırma salt okunur incelenir.</x:v>
      </x:c>
      <x:c r="J20" s="6" t="str">
        <x:v>CIS-ESX8:2.9</x:v>
      </x:c>
      <x:c r="K20" s="6" t="str">
        <x:v>SI-4</x:v>
      </x:c>
      <x:c r="L20" s="6" t="str">
        <x:v>Yeni CIS teknik maddesi. CIS Dizinine bakın.</x:v>
      </x:c>
    </x:row>
    <x:row r="21" ht="55" customHeight="1">
      <x:c r="A21" s="6" t="str">
        <x:v>ESX-016</x:v>
      </x:c>
      <x:c r="B21" s="6" t="str">
        <x:v>VM’ler arası bellek sayfası paylaşımı</x:v>
      </x:c>
      <x:c r="C21" s="6" t="str">
        <x:v>VM’ler arası bellek sayfası paylaşımı kontrolü, aşağıdaki sürüm ve kapsam koşullarında doğrulanıyor mu?</x:v>
      </x:c>
      <x:c r="D21" s="6" t="str">
        <x:v>Host Mem.ShareForceSalting=2; VM düzeyinde açık salt ayarları farklı müşteriler arasında ortak sayfa paylaşımını yeniden açmamalı.</x:v>
      </x:c>
      <x:c r="E21" s="6" t="str">
        <x:v>Paylaşılan bellek sayfaları müşteriler arası yan kanal riskine katkı verebilir.</x:v>
      </x:c>
      <x:c r="F21" s="6" t="str">
        <x:v>Host TPS ayarı, VM sched.mem.pshare.salt listesi, tenant-host yerleşimi.</x:v>
      </x:c>
      <x:c r="G21" s="6" t="str">
        <x:v>Host ayarıyla VM override değerlerini birlikte karşılaştır; yalnız host değerine dayanma.</x:v>
      </x:c>
      <x:c r="H21" s="6" t="str">
        <x:v>ESXi 7 / 8; her kaynak yalnız kendi sürümünde. Profil L1/L2 seçimi Kapsam kaydında belgelenir.</x:v>
      </x:c>
      <x:c r="I21" s="6" t="str">
        <x:v>Değişiklik uygulanmaz; etkin değer ve yapılandırma salt okunur incelenir.</x:v>
      </x:c>
      <x:c r="J21" s="6" t="str">
        <x:v>CIS-ESX8:2.10
CIS-ESX8:7.23
CIS-ESX7:1.4</x:v>
      </x:c>
      <x:c r="K21" s="6" t="str">
        <x:v>SC-4</x:v>
      </x:c>
      <x:c r="L21" s="6" t="str">
        <x:v>Yeni CIS teknik maddesi. CIS Dizinine bakın.</x:v>
      </x:c>
    </x:row>
    <x:row r="22" ht="70" customHeight="1">
      <x:c r="A22" s="6" t="str">
        <x:v>ESX-017</x:v>
      </x:c>
      <x:c r="B22" s="6" t="str">
        <x:v>Kriptografik entropi ve geçici anahtar temizliği</x:v>
      </x:c>
      <x:c r="C22" s="6" t="str">
        <x:v>Kriptografik entropi ve geçici anahtar temizliği kontrolü, aşağıdaki sürüm ve kapsam koşullarında doğrulanıyor mu?</x:v>
      </x:c>
      <x:c r="D22" s="6" t="str">
        <x:v>ESXi 8: disableHwrng yok veya FALSE; mevcutsa yapılandırılmış ve runtime değerleri FALSE. Gerekli donanım rastgele sayı desteği doğrulanır. Mem.MemEagerZero=1. Bu iki ayar tek başına FIPS sertifika uygunluğunu kanıtlamaz.</x:v>
      </x:c>
      <x:c r="E22" s="6" t="str">
        <x:v>Yetersiz rastgelelik veya bellekte kalan anahtar, şifreleme güvencesini zayıflatabilir.</x:v>
      </x:c>
      <x:c r="F22" s="6" t="str">
        <x:v>İlgili entropy ve key-destruction etkin ayarları; kaynakta belirtilen parametre çıktıları.</x:v>
      </x:c>
      <x:c r="G22" s="6" t="str">
        <x:v>Kernel entropy ayarının mevcut/etkin değerini ve Mem.MemEagerZero değerini ayrı oku; donanım desteğini envanterle karşılaştır.</x:v>
      </x:c>
      <x:c r="H22" s="6" t="str">
        <x:v>ESXi 8; donanım özelliği kaynağa göre.</x:v>
      </x:c>
      <x:c r="I22" s="6" t="str">
        <x:v>Değişiklik uygulanmaz; etkin değer ve yapılandırma salt okunur incelenir.</x:v>
      </x:c>
      <x:c r="J22" s="6" t="str">
        <x:v>CIS-ESX8:2.11
CIS-ESX8:2.12</x:v>
      </x:c>
      <x:c r="K22" s="6" t="str">
        <x:v>SC-12; SC-13</x:v>
      </x:c>
      <x:c r="L22" s="6" t="str">
        <x:v>Yeni CIS teknik maddesi. CIS Dizinine bakın.</x:v>
      </x:c>
    </x:row>
    <x:row r="23" ht="145" customHeight="1">
      <x:c r="A23" s="6" t="str">
        <x:v>ESX-018</x:v>
      </x:c>
      <x:c r="B23" s="6" t="str">
        <x:v>Gereksiz host yönetim servisleri</x:v>
      </x:c>
      <x:c r="C23" s="6" t="str">
        <x:v>Gereksiz host yönetim servisleri kontrolü, aşağıdaki sürüm ve kapsam koşullarında doğrulanıyor mu?</x:v>
      </x:c>
      <x:c r="D23" s="6" t="str">
        <x:v>SSH, ESXi Shell ve MOB normal işletimde kapalı olmalı. ESXi 8 için SLP kapalı; CIM/SNMP gerekiyorsa belgeli koşullu sıkılaştırma ayrıca uygulanmalı.</x:v>
      </x:c>
      <x:c r="E23" s="6" t="str">
        <x:v>Açık ek yönetim servisi, paylaşımlı host için ilave saldırı ve PAM dışı erişim yolu oluşturur.</x:v>
      </x:c>
      <x:c r="F23" s="6" t="str">
        <x:v>Host service listesi ve start policy, MOB/WBEM/SNMP/SLP etkin durumları, süreli bakım istisnası.</x:v>
      </x:c>
      <x:c r="G23" s="6" t="str">
        <x:v>Servis çalışma durumunu ve yeniden başlatma politikasını birlikte incele; bakım sonrası tekrar kapandığını kanıtla.</x:v>
      </x:c>
      <x:c r="H23" s="6" t="str">
        <x:v>ESXi 7 / 8; her kaynak yalnız kendi sürümünde. Profil L1/L2 seçimi Kapsam kaydında belgelenir.</x:v>
      </x:c>
      <x:c r="I23" s="6" t="str">
        <x:v>İzleme/arıza giderme bağımlılıkları belirlenmeden kapatma yapılmaz.</x:v>
      </x:c>
      <x:c r="J23" s="6" t="str">
        <x:v>CIS-ESX8:3.1
CIS-ESX8:3.2
CIS-ESX8:3.3
CIS-ESX8:3.4
CIS-ESX8:3.5
CIS-ESX8:3.6
CIS-ESX7:2.3
CIS-ESX7:5.2
CIS-ESX7:5.3</x:v>
      </x:c>
      <x:c r="K23" s="6" t="str">
        <x:v>CM-7</x:v>
      </x:c>
      <x:c r="L23" s="6" t="str">
        <x:v>3 eski soru. Birleştirme İzini bu Kontrol ID ile süzün.</x:v>
      </x:c>
    </x:row>
    <x:row r="24" ht="40" customHeight="1">
      <x:c r="A24" s="6" t="str">
        <x:v>ESX-019</x:v>
      </x:c>
      <x:c r="B24" s="6" t="str">
        <x:v>DCUI boşta oturum süresi</x:v>
      </x:c>
      <x:c r="C24" s="6" t="str">
        <x:v>DCUI boşta oturum süresi kontrolü, aşağıdaki sürüm ve kapsam koşullarında doğrulanıyor mu?</x:v>
      </x:c>
      <x:c r="D24" s="6" t="str">
        <x:v>UserVars.DcuiTimeOut pozitif ve en çok 600 saniye olmalı.</x:v>
      </x:c>
      <x:c r="E24" s="6" t="str">
        <x:v>Gözetimsiz konsol oturumu yetkisiz host yönetimine izin verebilir.</x:v>
      </x:c>
      <x:c r="F24" s="6" t="str">
        <x:v>Her host için DcuiTimeOut etkin değeri, kontrollü boşta oturum testi.</x:v>
      </x:c>
      <x:c r="G24" s="6" t="str">
        <x:v>Saniye birimini ve 0/sınırsız durumunu kontrol et; örnek test hostunda oturum davranışını doğrula.</x:v>
      </x:c>
      <x:c r="H24" s="6" t="str">
        <x:v>ESXi 7 / 8; her kaynak yalnız kendi sürümünde. Profil L1/L2 seçimi Kapsam kaydında belgelenir.</x:v>
      </x:c>
      <x:c r="I24" s="6" t="str">
        <x:v>Değişiklik uygulanmaz; etkin değer ve yapılandırma salt okunur incelenir.</x:v>
      </x:c>
      <x:c r="J24" s="6" t="str">
        <x:v>CIS-ESX8:3.7
CIS-ESX7:5.1</x:v>
      </x:c>
      <x:c r="K24" s="6" t="str">
        <x:v>AC-12</x:v>
      </x:c>
      <x:c r="L24" s="6" t="str">
        <x:v>1 eski soru. Birleştirme İzini bu Kontrol ID ile süzün.</x:v>
      </x:c>
    </x:row>
    <x:row r="25" ht="40" customHeight="1">
      <x:c r="A25" s="6" t="str">
        <x:v>ESX-020</x:v>
      </x:c>
      <x:c r="B25" s="6" t="str">
        <x:v>Shell ve SSH boşta oturum süresi</x:v>
      </x:c>
      <x:c r="C25" s="6" t="str">
        <x:v>Shell ve SSH boşta oturum süresi kontrolü, aşağıdaki sürüm ve kapsam koşullarında doğrulanıyor mu?</x:v>
      </x:c>
      <x:c r="D25" s="6" t="str">
        <x:v>UserVars.ESXiShellInteractiveTimeOut pozitif ve en çok 300 saniye olmalı. Bu ölçüt oturum içindir.</x:v>
      </x:c>
      <x:c r="E25" s="6" t="str">
        <x:v>Boşta kalan yetkili shell, host ve bağlı müşteriler için yetkisiz komut çalıştırma fırsatı yaratır.</x:v>
      </x:c>
      <x:c r="F25" s="6" t="str">
        <x:v>ESXiShellInteractiveTimeOut çıktısı ve boşta oturum testi.</x:v>
      </x:c>
      <x:c r="G25" s="6" t="str">
        <x:v>Oturum süresini servis kullanılabilirlik süresinden ayır; ayar ve fiili kapanma davranışını eşleştir.</x:v>
      </x:c>
      <x:c r="H25" s="6" t="str">
        <x:v>ESXi 7 / 8; her kaynak yalnız kendi sürümünde. Profil L1/L2 seçimi Kapsam kaydında belgelenir.</x:v>
      </x:c>
      <x:c r="I25" s="6" t="str">
        <x:v>Önceki setin SCG 900 saniye bazını CIS ölçütü gibi kullanma; iki kaynak farklıdır.</x:v>
      </x:c>
      <x:c r="J25" s="6" t="str">
        <x:v>CIS-ESX8:3.8
CIS-ESX7:5.8</x:v>
      </x:c>
      <x:c r="K25" s="6" t="str">
        <x:v>AC-12</x:v>
      </x:c>
      <x:c r="L25" s="6" t="str">
        <x:v>2 eski soru. Birleştirme İzini bu Kontrol ID ile süzün.</x:v>
      </x:c>
    </x:row>
    <x:row r="26" ht="40" customHeight="1">
      <x:c r="A26" s="6" t="str">
        <x:v>ESX-021</x:v>
      </x:c>
      <x:c r="B26" s="6" t="str">
        <x:v>Shell servisinin kullanılabilirlik süresi</x:v>
      </x:c>
      <x:c r="C26" s="6" t="str">
        <x:v>Shell servisinin kullanılabilirlik süresi kontrolü, aşağıdaki sürüm ve kapsam koşullarında doğrulanıyor mu?</x:v>
      </x:c>
      <x:c r="D26" s="6" t="str">
        <x:v>UserVars.ESXiShellTimeOut pozitif ve en çok 3600 saniye olmalı. Boşta oturum ayarı bunun yerine kullanılamaz.</x:v>
      </x:c>
      <x:c r="E26" s="6" t="str">
        <x:v>Bakım için açılan yönetim servisi gereksiz yere erişilebilir kalabilir.</x:v>
      </x:c>
      <x:c r="F26" s="6" t="str">
        <x:v>ESXiShellTimeOut etkin değeri, servis açılma/kapanma kayıtları.</x:v>
      </x:c>
      <x:c r="G26" s="6" t="str">
        <x:v>Servis süre ayarını ayrı kontrol et; ESXiShellInteractiveTimeOut kanıtıyla kapatma.</x:v>
      </x:c>
      <x:c r="H26" s="6" t="str">
        <x:v>ESXi 7 / 8; her kaynak yalnız kendi sürümünde. Profil L1/L2 seçimi Kapsam kaydında belgelenir.</x:v>
      </x:c>
      <x:c r="I26" s="6" t="str">
        <x:v>Değişiklik uygulanmaz; etkin değer ve yapılandırma salt okunur incelenir.</x:v>
      </x:c>
      <x:c r="J26" s="6" t="str">
        <x:v>CIS-ESX8:3.9
CIS-ESX7:5.9</x:v>
      </x:c>
      <x:c r="K26" s="6" t="str">
        <x:v>CM-7; AC-12</x:v>
      </x:c>
      <x:c r="L26" s="6" t="str">
        <x:v>1 eski soru. Birleştirme İzini bu Kontrol ID ile süzün.</x:v>
      </x:c>
    </x:row>
    <x:row r="27" ht="40" customHeight="1">
      <x:c r="A27" s="6" t="str">
        <x:v>ESX-022</x:v>
      </x:c>
      <x:c r="B27" s="6" t="str">
        <x:v>Shell uyarılarının görünürlüğü</x:v>
      </x:c>
      <x:c r="C27" s="6" t="str">
        <x:v>Shell uyarılarının görünürlüğü kontrolü, aşağıdaki sürüm ve kapsam koşullarında doğrulanıyor mu?</x:v>
      </x:c>
      <x:c r="D27" s="6" t="str">
        <x:v>UserVars.SuppressShellWarning=0 olmalı.</x:v>
      </x:c>
      <x:c r="E27" s="6" t="str">
        <x:v>Açık shell durumunun gizlenmesi bakım sonrası kapatma eksikliğini görünmez kılar.</x:v>
      </x:c>
      <x:c r="F27" s="6" t="str">
        <x:v>Advanced setting ve açık servis uyarısı ekranı.</x:v>
      </x:c>
      <x:c r="G27" s="6" t="str">
        <x:v>Bastırma değerini ve servis durumuyla uyarı tutarlılığını kontrol et.</x:v>
      </x:c>
      <x:c r="H27" s="6" t="str">
        <x:v>ESXi 8.</x:v>
      </x:c>
      <x:c r="I27" s="6" t="str">
        <x:v>Değişiklik uygulanmaz; etkin değer ve yapılandırma salt okunur incelenir.</x:v>
      </x:c>
      <x:c r="J27" s="6" t="str">
        <x:v>CIS-ESX8:3.10</x:v>
      </x:c>
      <x:c r="K27" s="6" t="str">
        <x:v>SI-4</x:v>
      </x:c>
      <x:c r="L27" s="6" t="str">
        <x:v>Yeni CIS teknik maddesi. CIS Dizinine bakın.</x:v>
      </x:c>
    </x:row>
    <x:row r="28" ht="55" customHeight="1">
      <x:c r="A28" s="6" t="str">
        <x:v>ESX-023</x:v>
      </x:c>
      <x:c r="B28" s="6" t="str">
        <x:v>Host parola karmaşıklığı</x:v>
      </x:c>
      <x:c r="C28" s="6" t="str">
        <x:v>Host parola karmaşıklığı kontrolü, aşağıdaki sürüm ve kapsam koşullarında doğrulanıyor mu?</x:v>
      </x:c>
      <x:c r="D28" s="6" t="str">
        <x:v>Security.PasswordQualityControl: ESXi 7 CIS 4.2 için N0–N3 disabled ve N4≥14; ESXi 8 CIS 3.11 için N0–N3 disabled ve N4≥15. retry ve min alanlarını ayır. Parola metni kanıt olarak toplanmaz.</x:v>
      </x:c>
      <x:c r="E28" s="6" t="str">
        <x:v>Zayıf yerel parola merkezi kimlik denetiminden bağımsız host ele geçirmeye izin verebilir.</x:v>
      </x:c>
      <x:c r="F28" s="6" t="str">
        <x:v>PasswordQualityControl etkin değeri, yerel hesap kapsamı, kurumsal parola politikası.</x:v>
      </x:c>
      <x:c r="G28" s="6" t="str">
        <x:v>Etkin PasswordQualityControl ifadesini kurulu sürümün ayrı min dizisiyle karşılaştır; sadece uzunluğu değil disabled alanlarını da doğrula.</x:v>
      </x:c>
      <x:c r="H28" s="6" t="str">
        <x:v>ESXi 7 / 8; her kaynak yalnız kendi sürümünde. Profil L1/L2 seçimi Kapsam kaydında belgelenir.</x:v>
      </x:c>
      <x:c r="I28" s="6" t="str">
        <x:v>Bazı entegrasyonlar karmaşıklık değişikliğinden etkilenebilir.</x:v>
      </x:c>
      <x:c r="J28" s="6" t="str">
        <x:v>CIS-ESX8:3.11
CIS-ESX7:4.2</x:v>
      </x:c>
      <x:c r="K28" s="6" t="str">
        <x:v>IA-5</x:v>
      </x:c>
      <x:c r="L28" s="6" t="str">
        <x:v>2 eski soru. Birleştirme İzini bu Kontrol ID ile süzün.</x:v>
      </x:c>
    </x:row>
    <x:row r="29" ht="70" customHeight="1">
      <x:c r="A29" s="6" t="str">
        <x:v>ESX-024</x:v>
      </x:c>
      <x:c r="B29" s="6" t="str">
        <x:v>Başarısız giriş ve kilit süresi</x:v>
      </x:c>
      <x:c r="C29" s="6" t="str">
        <x:v>Başarısız giriş ve kilit süresi kontrolü, aşağıdaki sürüm ve kapsam koşullarında doğrulanıyor mu?</x:v>
      </x:c>
      <x:c r="D29" s="6" t="str">
        <x:v>Security.AccountLockFailures=5 ve Security.AccountUnlockTime=900 saniye olmalı; istisna varsa CIS sapması olarak ayrıca yazılmalı.</x:v>
      </x:c>
      <x:c r="E29" s="6" t="str">
        <x:v>Sınırsız denemeler parola saldırısını kolaylaştırır; aşırı kilitleme ise yönetim erişimini kesebilir.</x:v>
      </x:c>
      <x:c r="F29" s="6" t="str">
        <x:v>İki ayarın etkin değerleri, başarısız giriş/kilit olayları.</x:v>
      </x:c>
      <x:c r="G29" s="6" t="str">
        <x:v>Değerlerin birimini kontrol et; test hesabında onaylı senaryo ile kilit ve açılma davranışını doğrula.</x:v>
      </x:c>
      <x:c r="H29" s="6" t="str">
        <x:v>ESXi 7 / 8; her kaynak yalnız kendi sürümünde. Profil L1/L2 seçimi Kapsam kaydında belgelenir.</x:v>
      </x:c>
      <x:c r="I29" s="6" t="str">
        <x:v>Canlı ayrıcalıklı hesapta deneme yapma; kilitlenme hizmet müdahalesini etkileyebilir.</x:v>
      </x:c>
      <x:c r="J29" s="6" t="str">
        <x:v>CIS-ESX8:3.12
CIS-ESX8:3.13
CIS-ESX7:4.3
CIS-ESX7:4.4</x:v>
      </x:c>
      <x:c r="K29" s="6" t="str">
        <x:v>AC-7; IA-5</x:v>
      </x:c>
      <x:c r="L29" s="6" t="str">
        <x:v>1 eski soru. Birleştirme İzini bu Kontrol ID ile süzün.</x:v>
      </x:c>
    </x:row>
    <x:row r="30" ht="40" customHeight="1">
      <x:c r="A30" s="6" t="str">
        <x:v>ESX-025</x:v>
      </x:c>
      <x:c r="B30" s="6" t="str">
        <x:v>Parola geçmişi</x:v>
      </x:c>
      <x:c r="C30" s="6" t="str">
        <x:v>Parola geçmişi kontrolü, aşağıdaki sürüm ve kapsam koşullarında doğrulanıyor mu?</x:v>
      </x:c>
      <x:c r="D30" s="6" t="str">
        <x:v>Security.PasswordHistory=5 olmalı; kabul edilen kurumsal sapma CIS uygunluğu yerine geçmez.</x:v>
      </x:c>
      <x:c r="E30" s="6" t="str">
        <x:v>Aynı yerel parolaya dönülmesi eski bir sır sızıntısının tekrar kullanılmasına imkan verir.</x:v>
      </x:c>
      <x:c r="F30" s="6" t="str">
        <x:v>PasswordHistory ayarı ve hesap politikası.</x:v>
      </x:c>
      <x:c r="G30" s="6" t="str">
        <x:v>Tüm farklı host bazlarında etkin değeri sorgula; parola değerlerini talep etme.</x:v>
      </x:c>
      <x:c r="H30" s="6" t="str">
        <x:v>ESXi 7 / 8; her kaynak yalnız kendi sürümünde. Profil L1/L2 seçimi Kapsam kaydında belgelenir.</x:v>
      </x:c>
      <x:c r="I30" s="6" t="str">
        <x:v>Değişiklik uygulanmaz; etkin değer ve yapılandırma salt okunur incelenir.</x:v>
      </x:c>
      <x:c r="J30" s="6" t="str">
        <x:v>CIS-ESX8:3.14
CIS-ESX7:4.5</x:v>
      </x:c>
      <x:c r="K30" s="6" t="str">
        <x:v>IA-5</x:v>
      </x:c>
      <x:c r="L30" s="6" t="str">
        <x:v>2 eski soru. Birleştirme İzini bu Kontrol ID ile süzün.</x:v>
      </x:c>
    </x:row>
    <x:row r="31" ht="55" customHeight="1">
      <x:c r="A31" s="6" t="str">
        <x:v>ESX-026</x:v>
      </x:c>
      <x:c r="B31" s="6" t="str">
        <x:v>Parola azami yaşı</x:v>
      </x:c>
      <x:c r="C31" s="6" t="str">
        <x:v>Parola azami yaşı kontrolü, aşağıdaki sürüm ve kapsam koşullarında doğrulanıyor mu?</x:v>
      </x:c>
      <x:c r="D31" s="6" t="str">
        <x:v>Security.PasswordMaxDays kurumun onaylı politikasıyla uyumlu olmalı; periyodik değişim gerekmeyen politikada kaynak 99999 seçeneğini belirtir.</x:v>
      </x:c>
      <x:c r="E31" s="6" t="str">
        <x:v>Tanımsız yaşam döngüsü, çalınmış veya süresi dolmuş sırların kontrolsüz kullanımını sürdürür.</x:v>
      </x:c>
      <x:c r="F31" s="6" t="str">
        <x:v>Onaylı parola politikası ve PasswordMaxDays etkin değeri.</x:v>
      </x:c>
      <x:c r="G31" s="6" t="str">
        <x:v>Politika gereksinimi olmadan sayısal değer seçme; sızıntıda değişim sürecini ortak sır kontrolüne bağla.</x:v>
      </x:c>
      <x:c r="H31" s="6" t="str">
        <x:v>ESXi 8; kurum politikası önceden belirlenmiş olmalı.</x:v>
      </x:c>
      <x:c r="I31" s="6" t="str">
        <x:v>Değişiklik uygulanmaz; etkin değer ve yapılandırma salt okunur incelenir.</x:v>
      </x:c>
      <x:c r="J31" s="6" t="str">
        <x:v>CIS-ESX8:3.15</x:v>
      </x:c>
      <x:c r="K31" s="6" t="str">
        <x:v>IA-5</x:v>
      </x:c>
      <x:c r="L31" s="6" t="str">
        <x:v>Yeni CIS teknik maddesi. CIS Dizinine bakın.</x:v>
      </x:c>
    </x:row>
    <x:row r="32" ht="40" customHeight="1">
      <x:c r="A32" s="6" t="str">
        <x:v>ESX-027</x:v>
      </x:c>
      <x:c r="B32" s="6" t="str">
        <x:v>API ve Host Client oturum sınırları</x:v>
      </x:c>
      <x:c r="C32" s="6" t="str">
        <x:v>API ve Host Client oturum sınırları kontrolü, aşağıdaki sürüm ve kapsam koşullarında doğrulanıyor mu?</x:v>
      </x:c>
      <x:c r="D32" s="6" t="str">
        <x:v>SOAP/API ve Host Client için onaylı pozitif süreler tanımlı olmalı; iki ayrı ayar ayrı test edilir. Kaynakta evrensel bir sayı verilmez.</x:v>
      </x:c>
      <x:c r="E32" s="6" t="str">
        <x:v>Unutulan API veya tarayıcı oturumu yerel shell kapalıyken de ortak yönetim erişimini sürdürebilir.</x:v>
      </x:c>
      <x:c r="F32" s="6" t="str">
        <x:v>Config.HostAgent.vmacore.soap.sessionTimeout; UserVars.HostClientSessionTimeout; onaylı süreler.</x:v>
      </x:c>
      <x:c r="G32" s="6" t="str">
        <x:v>İki arayüzde etkin ayar ve kontrollü idle oturum davranışını ayrı doğrula.</x:v>
      </x:c>
      <x:c r="H32" s="6" t="str">
        <x:v>ESXi 8; kurumun tanımlı süreleri kayıtlı olmalı.</x:v>
      </x:c>
      <x:c r="I32" s="6" t="str">
        <x:v>Değişiklik uygulanmaz; etkin değer ve yapılandırma salt okunur incelenir.</x:v>
      </x:c>
      <x:c r="J32" s="6" t="str">
        <x:v>CIS-ESX8:3.16
CIS-ESX8:3.17</x:v>
      </x:c>
      <x:c r="K32" s="6" t="str">
        <x:v>AC-12</x:v>
      </x:c>
      <x:c r="L32" s="6" t="str">
        <x:v>Yeni CIS teknik maddesi. CIS Dizinine bakın.</x:v>
      </x:c>
    </x:row>
    <x:row r="33" ht="130" customHeight="1">
      <x:c r="A33" s="6" t="str">
        <x:v>ESX-028</x:v>
      </x:c>
      <x:c r="B33" s="6" t="str">
        <x:v>Lockdown ve bypass hesapları</x:v>
      </x:c>
      <x:c r="C33" s="6" t="str">
        <x:v>Lockdown ve bypass hesapları kontrolü, aşağıdaki sürüm ve kapsam koşullarında doğrulanıyor mu?</x:v>
      </x:c>
      <x:c r="D33" s="6" t="str">
        <x:v>L1: Normal veya Strict; L2 seçilmişse Strict. DCUI.Access ve Exception Users yalnız onaylı bypass hesaplarını kapsamalı. Normal ve Strict aynı host için iki ayrı zorunluluk değildir.</x:v>
      </x:c>
      <x:c r="E33" s="6" t="str">
        <x:v>Geniş bypass listesi vCenter/PAM ayrımını atlatır; kurtarma yolu olmayan Strict mod ise yönetim kaybında hostu erişilemez kılabilir.</x:v>
      </x:c>
      <x:c r="F33" s="6" t="str">
        <x:v>Lockdown modu, DCUI.Access, Exception Users, acil erişim ve kurtarma test kaydı.</x:v>
      </x:c>
      <x:c r="G33" s="6" t="str">
        <x:v>Profili belirle; modun gerçek enum/değerini kontrol et. Yalnız adminDisabled boolean sonucu Normal/Strict ayrımını kanıtlamaz.</x:v>
      </x:c>
      <x:c r="H33" s="6" t="str">
        <x:v>ESXi 7 / 8; her kaynak yalnız kendi sürümünde. Profil L1/L2 seçimi Kapsam kaydında belgelenir.</x:v>
      </x:c>
      <x:c r="I33" s="6" t="str">
        <x:v>vCenter bağlantı kaybı ve DCUI kapanması için bağımsız kurtarma yolu test edilmiş olmalı.</x:v>
      </x:c>
      <x:c r="J33" s="6" t="str">
        <x:v>CIS-ESX8:3.18
CIS-ESX8:3.19
CIS-ESX8:3.20
CIS-ESX8:3.21
CIS-ESX7:4.8
CIS-ESX7:5.5
CIS-ESX7:5.6
CIS-ESX7:5.10</x:v>
      </x:c>
      <x:c r="K33" s="6" t="str">
        <x:v>AC-6; AC-17; CP-10</x:v>
      </x:c>
      <x:c r="L33" s="6" t="str">
        <x:v>3 eski soru. Birleştirme İzini bu Kontrol ID ile süzün.</x:v>
      </x:c>
    </x:row>
    <x:row r="34" ht="40" customHeight="1">
      <x:c r="A34" s="6" t="str">
        <x:v>ESX-029</x:v>
      </x:c>
      <x:c r="B34" s="6" t="str">
        <x:v>Servis hesaplarının shell yetkisi</x:v>
      </x:c>
      <x:c r="C34" s="6" t="str">
        <x:v>Servis hesaplarının shell yetkisi kontrolü, aşağıdaki sürüm ve kapsam koşullarında doğrulanıyor mu?</x:v>
      </x:c>
      <x:c r="D34" s="6" t="str">
        <x:v>dcui hesabında interaktif shell kapalı; vpxuser için L2 kapsamına göre shell kapalı olmalı.</x:v>
      </x:c>
      <x:c r="E34" s="6" t="str">
        <x:v>Servis kimliğinin interaktif yönetici hesabına dönüşmesi görev sınırını genişletir.</x:v>
      </x:c>
      <x:c r="F34" s="6" t="str">
        <x:v>dcui/vpxuser etkin shell ve yetki ayarları.</x:v>
      </x:c>
      <x:c r="G34" s="6" t="str">
        <x:v>Kaynak profilini ve gerçek hesap ayarını karşılaştır; vCenter servisinin çalıştığını gözlem kanıtıyla teyit et.</x:v>
      </x:c>
      <x:c r="H34" s="6" t="str">
        <x:v>ESXi 8; dcui L1, vpxuser L2.</x:v>
      </x:c>
      <x:c r="I34" s="6" t="str">
        <x:v>Üçüncü taraf yönetim iş akışları etkilenebilir.</x:v>
      </x:c>
      <x:c r="J34" s="6" t="str">
        <x:v>CIS-ESX8:3.22
CIS-ESX8:3.23</x:v>
      </x:c>
      <x:c r="K34" s="6" t="str">
        <x:v>AC-6</x:v>
      </x:c>
      <x:c r="L34" s="6" t="str">
        <x:v>Yeni CIS teknik maddesi. CIS Dizinine bakın.</x:v>
      </x:c>
    </x:row>
    <x:row r="35" ht="55" customHeight="1">
      <x:c r="A35" s="6" t="str">
        <x:v>ESX-030</x:v>
      </x:c>
      <x:c r="B35" s="6" t="str">
        <x:v>Host oturum uyarı metinleri</x:v>
      </x:c>
      <x:c r="C35" s="6" t="str">
        <x:v>Host oturum uyarı metinleri kontrolü, aşağıdaki sürüm ve kapsam koşullarında doğrulanıyor mu?</x:v>
      </x:c>
      <x:c r="D35" s="6" t="str">
        <x:v>DCUI/Host Client ve SSH uyarı metni kurumca onaylı kullanım bildirimiyle eşleşmeli.</x:v>
      </x:c>
      <x:c r="E35" s="6" t="str">
        <x:v>Yetkili kullanım ve izleme koşulları kullanıcılara tutarlı bildirilemez.</x:v>
      </x:c>
      <x:c r="F35" s="6" t="str">
        <x:v>Annotations.WelcomeMessage, SSH Banner hedefi ve içerik, ekran örneği.</x:v>
      </x:c>
      <x:c r="G35" s="6" t="str">
        <x:v>Her giriş yolunda doğru metni doğrula; hukuki etkinlik sonucu üretme.</x:v>
      </x:c>
      <x:c r="H35" s="6" t="str">
        <x:v>ESXi 8; SSH kapalıysa acil açılış yapılandırması da incelenir.</x:v>
      </x:c>
      <x:c r="I35" s="6" t="str">
        <x:v>DCUI görünümü ve otomasyon etkileşimi değişebilir.</x:v>
      </x:c>
      <x:c r="J35" s="6" t="str">
        <x:v>CIS-ESX8:3.24
CIS-ESX8:3.25
CIS-ESX8:6.5.7</x:v>
      </x:c>
      <x:c r="K35" s="6" t="str">
        <x:v>AC-8</x:v>
      </x:c>
      <x:c r="L35" s="6" t="str">
        <x:v>Yeni CIS teknik maddesi. CIS Dizinine bakın.</x:v>
      </x:c>
    </x:row>
    <x:row r="36" ht="55" customHeight="1">
      <x:c r="A36" s="6" t="str">
        <x:v>ESX-031</x:v>
      </x:c>
      <x:c r="B36" s="6" t="str">
        <x:v>Host TLS protokol yüzeyi</x:v>
      </x:c>
      <x:c r="C36" s="6" t="str">
        <x:v>Host TLS protokol yüzeyi kontrolü, aşağıdaki sürüm ve kapsam koşullarında doğrulanıyor mu?</x:v>
      </x:c>
      <x:c r="D36" s="6" t="str">
        <x:v>Kurulu ESXi 8 sürümünün desteklediği güvenli TLS bazına uygun etkin protokoller ve devre dışı eski protokoller doğrulanmalı; kaynak belirli evrensel TLS numarası vermez.</x:v>
      </x:c>
      <x:c r="E36" s="6" t="str">
        <x:v>Zayıf yönetim protokolü kimlik bilgisi ve yönetim trafiğinin korunmasını zayıflatır.</x:v>
      </x:c>
      <x:c r="F36" s="6" t="str">
        <x:v>Kurulu build, sürüme ait TLS desteği, endpoint protokol tarama sonucu.</x:v>
      </x:c>
      <x:c r="G36" s="6" t="str">
        <x:v>Her yönetim uç noktasında desteklenen/etkin protokolleri sürümün üretici belgesiyle eşleştir; belge yoksa uygun sonucu verme.</x:v>
      </x:c>
      <x:c r="H36" s="6" t="str">
        <x:v>ESXi 8; TLS sürüm eşdeğerliği kurulu build için doğrulanmalı.</x:v>
      </x:c>
      <x:c r="I36" s="6" t="str">
        <x:v>Eski yönetim istemcileri bağlantı kaybedebilir.</x:v>
      </x:c>
      <x:c r="J36" s="6" t="str">
        <x:v>CIS-ESX8:3.26</x:v>
      </x:c>
      <x:c r="K36" s="6" t="str">
        <x:v>SC-8; SC-13</x:v>
      </x:c>
      <x:c r="L36" s="6" t="str">
        <x:v>Yeni CIS teknik maddesi. CIS Dizinine bakın.</x:v>
      </x:c>
    </x:row>
    <x:row r="37" ht="70" customHeight="1">
      <x:c r="A37" s="6" t="str">
        <x:v>ESX-032</x:v>
      </x:c>
      <x:c r="B37" s="6" t="str">
        <x:v>Host sistem logunun kalıcılığı ve aktarımı</x:v>
      </x:c>
      <x:c r="C37" s="6" t="str">
        <x:v>Host sistem logunun kalıcılığı ve aktarımı kontrolü, aşağıdaki sürüm ve kapsam koşullarında doğrulanıyor mu?</x:v>
      </x:c>
      <x:c r="D37" s="6" t="str">
        <x:v>Syslog.global.logDir kalıcı depolamaya çözülmeli; logHost onaylı toplayıcıyı göstermeli; gerçek olayın merkezde bulunduğu kanıtlanmalı.</x:v>
      </x:c>
      <x:c r="E37" s="6" t="str">
        <x:v>Host yeniden başladığında veya yerel disk kaybolduğunda ihlal izi kaybolabilir.</x:v>
      </x:c>
      <x:c r="F37" s="6" t="str">
        <x:v>LogDir/CurrentScratchLocation/logHost değerleri, datastore türü ve merkezi test olayı.</x:v>
      </x:c>
      <x:c r="G37" s="6" t="str">
        <x:v>Boş logDir değerini otomatik başarısız sayma: etkin scratch yolunun kalıcılığını doğrula; ardından kaynak olayı merkezle eşleştir.</x:v>
      </x:c>
      <x:c r="H37" s="6" t="str">
        <x:v>ESXi 7 / 8; her kaynak yalnız kendi sürümünde. Profil L1/L2 seçimi Kapsam kaydında belgelenir.</x:v>
      </x:c>
      <x:c r="I37" s="6" t="str">
        <x:v>Yerel/merkezi depolama kapasitesi ve erişimi değerlendirilir.</x:v>
      </x:c>
      <x:c r="J37" s="6" t="str">
        <x:v>CIS-ESX8:4.1
CIS-ESX8:4.2
CIS-ESX7:3.2
CIS-ESX7:3.3</x:v>
      </x:c>
      <x:c r="K37" s="6" t="str">
        <x:v>AU-9; AU-12</x:v>
      </x:c>
      <x:c r="L37" s="6" t="str">
        <x:v>2 eski soru. Birleştirme İzini bu Kontrol ID ile süzün.</x:v>
      </x:c>
    </x:row>
    <x:row r="38" ht="55" customHeight="1">
      <x:c r="A38" s="6" t="str">
        <x:v>ESX-033</x:v>
      </x:c>
      <x:c r="B38" s="6" t="str">
        <x:v>Host log ayrıntısı ve filtreleme</x:v>
      </x:c>
      <x:c r="C38" s="6" t="str">
        <x:v>Host log ayrıntısı ve filtreleme kontrolü, aşağıdaki sürüm ve kapsam koşullarında doğrulanıyor mu?</x:v>
      </x:c>
      <x:c r="D38" s="6" t="str">
        <x:v>Sistem log seviyesi info; log filtreleme kapalı; seçilen yönetim olaylarının gereken alanları mevcut olmalı.</x:v>
      </x:c>
      <x:c r="E38" s="6" t="str">
        <x:v>Filtrelenmiş veya yetersiz ayrıntılı kayıt olayın aktörünü ve değişikliği yeniden kurmayı engeller.</x:v>
      </x:c>
      <x:c r="F38" s="6" t="str">
        <x:v>Syslog etkin config/logger listesi, log filtering değeri ve örnek olaylar.</x:v>
      </x:c>
      <x:c r="G38" s="6" t="str">
        <x:v>Seviye ve filtreleme ayarlarını gerçek olay içeriğiyle birlikte kontrol et.</x:v>
      </x:c>
      <x:c r="H38" s="6" t="str">
        <x:v>ESXi 8.</x:v>
      </x:c>
      <x:c r="I38" s="6" t="str">
        <x:v>Kayıt hacmi artışı kapasite planına işlenir.</x:v>
      </x:c>
      <x:c r="J38" s="6" t="str">
        <x:v>CIS-ESX8:4.3
CIS-ESX8:4.4
CIS-ESX8:4.5</x:v>
      </x:c>
      <x:c r="K38" s="6" t="str">
        <x:v>AU-3; AU-12</x:v>
      </x:c>
      <x:c r="L38" s="6" t="str">
        <x:v>Yeni CIS teknik maddesi. CIS Dizinine bakın.</x:v>
      </x:c>
    </x:row>
    <x:row r="39" ht="70" customHeight="1">
      <x:c r="A39" s="6" t="str">
        <x:v>ESX-034</x:v>
      </x:c>
      <x:c r="B39" s="6" t="str">
        <x:v>Host audit kayıtları</x:v>
      </x:c>
      <x:c r="C39" s="6" t="str">
        <x:v>Host audit kayıtları kontrolü, aşağıdaki sürüm ve kapsam koşullarında doğrulanıyor mu?</x:v>
      </x:c>
      <x:c r="D39" s="6" t="str">
        <x:v>Audit kayıtları etkin, yerel kalıcı ve uzak aktarımı etkin olmalı; kaynak CIS 8 için en az 7 günlük audit geçmişi ister. Bu süre tüm mevzuat saklama süresi değildir.</x:v>
      </x:c>
      <x:c r="E39" s="6" t="str">
        <x:v>Sadece sistem syslogunun varlığı ayrı audit kaydının etkinliğini ve sürekliliğini kanıtlamaz.</x:v>
      </x:c>
      <x:c r="F39" s="6" t="str">
        <x:v>Auditrecords etkin ayarları, yerel kalıcı yol, en eski/yeni audit zamanı ve uzak audit örneği.</x:v>
      </x:c>
      <x:c r="G39" s="6" t="str">
        <x:v>7 günlük zaman kapsamını fiili kayıtla doğrula; yalnız logHost değeriyle audit aktarımını kapatma.</x:v>
      </x:c>
      <x:c r="H39" s="6" t="str">
        <x:v>ESXi 8; yeterli işletim geçmişi olmayan yeni hostta zaman kapsamı henüz kanıtlanamaz.</x:v>
      </x:c>
      <x:c r="I39" s="6" t="str">
        <x:v>Yeni kurulumda geçmiş uydurulmaz; gözlem süresi açık bırakılır.</x:v>
      </x:c>
      <x:c r="J39" s="6" t="str">
        <x:v>CIS-ESX8:4.6
CIS-ESX8:4.7
CIS-ESX8:4.8
CIS-ESX8:4.9</x:v>
      </x:c>
      <x:c r="K39" s="6" t="str">
        <x:v>AU-11; AU-12; AU-9</x:v>
      </x:c>
      <x:c r="L39" s="6" t="str">
        <x:v>2 eski soru. Birleştirme İzini bu Kontrol ID ile süzün.</x:v>
      </x:c>
    </x:row>
    <x:row r="40" ht="40" customHeight="1">
      <x:c r="A40" s="6" t="str">
        <x:v>ESX-035</x:v>
      </x:c>
      <x:c r="B40" s="6" t="str">
        <x:v>TLS syslog sertifika doğrulaması</x:v>
      </x:c>
      <x:c r="C40" s="6" t="str">
        <x:v>TLS syslog sertifika doğrulaması kontrolü, aşağıdaki sürüm ve kapsam koşullarında doğrulanıyor mu?</x:v>
      </x:c>
      <x:c r="D40" s="6" t="str">
        <x:v>Uzak TLS log sertifikası doğrulanmalı; strict X.509 kontrolü etkin olmalı ve toplayıcı sertifikası buna uygun olmalı.</x:v>
      </x:c>
      <x:c r="E40" s="6" t="str">
        <x:v>Şifreli fakat doğrulanmayan hedef, kayıtları sahte sunucuya gönderebilir.</x:v>
      </x:c>
      <x:c r="F40" s="6" t="str">
        <x:v>Syslog certificate-check/strictX509Compliance ayarları, CA zinciri, aktarım olayları.</x:v>
      </x:c>
      <x:c r="G40" s="6" t="str">
        <x:v>Doğrulama ayarlarını ve başarılı aktarımı birlikte incele; uyumsuz sertifikada hata görünürlüğünü test kaydıyla doğrula.</x:v>
      </x:c>
      <x:c r="H40" s="6" t="str">
        <x:v>ESXi 8 TLS syslog aktarımı.</x:v>
      </x:c>
      <x:c r="I40" s="6" t="str">
        <x:v>Strict X.509 mevcut toplayıcıyla bağlantıyı kesebilir; ölçütü kapatmak yerine sapma/sertifika düzeltmesi kaydedilir.</x:v>
      </x:c>
      <x:c r="J40" s="6" t="str">
        <x:v>CIS-ESX8:4.10
CIS-ESX8:4.11</x:v>
      </x:c>
      <x:c r="K40" s="6" t="str">
        <x:v>SC-17; AU-9</x:v>
      </x:c>
      <x:c r="L40" s="6" t="str">
        <x:v>Yeni CIS teknik maddesi. CIS Dizinine bakın.</x:v>
      </x:c>
    </x:row>
    <x:row r="41" ht="70" customHeight="1">
      <x:c r="A41" s="6" t="str">
        <x:v>ESX-036</x:v>
      </x:c>
      <x:c r="B41" s="6" t="str">
        <x:v>Host firewall ve yönetim VMkernel sınırı</x:v>
      </x:c>
      <x:c r="C41" s="6" t="str">
        <x:v>Host firewall ve yönetim VMkernel sınırı kontrolü, aşağıdaki sürüm ve kapsam koşullarında doğrulanıyor mu?</x:v>
      </x:c>
      <x:c r="D41" s="6" t="str">
        <x:v>Host firewall etkin; sadece gerekli ruleset ve izinli kaynak ağları açık; yönetim VMkernel yolları onaylı yönetim tasarımıyla sınırlı olmalı.</x:v>
      </x:c>
      <x:c r="E41" s="6" t="str">
        <x:v>Müşteri veya dış ağdan host servisine erişim tüm müşterilere yayılan ortak yönetim ihlaline neden olabilir.</x:v>
      </x:c>
      <x:c r="F41" s="6" t="str">
        <x:v>Ruleset/allowed-hosts, VMkernel hizmet/VLAN listesi, yönetim akış matrisi.</x:v>
      </x:c>
      <x:c r="G41" s="6" t="str">
        <x:v>Her açık host servisini izinli kaynakla eşleştir; tenant ve yönetim test noktalarından negatif/pozitif erişimi doğrula.</x:v>
      </x:c>
      <x:c r="H41" s="6" t="str">
        <x:v>ESXi 7 / 8; her kaynak yalnız kendi sürümünde. Profil L1/L2 seçimi Kapsam kaydında belgelenir.</x:v>
      </x:c>
      <x:c r="I41" s="6" t="str">
        <x:v>Değişiklik uygulanmaz; etkin değer ve yapılandırma salt okunur incelenir.</x:v>
      </x:c>
      <x:c r="J41" s="6" t="str">
        <x:v>CIS-ESX8:5.1
CIS-ESX8:5.2
CIS-ESX8:5.11
CIS-ESX7:2.2</x:v>
      </x:c>
      <x:c r="K41" s="6" t="str">
        <x:v>SC-7; AC-4</x:v>
      </x:c>
      <x:c r="L41" s="6" t="str">
        <x:v>2 eski soru. Birleştirme İzini bu Kontrol ID ile süzün.</x:v>
      </x:c>
    </x:row>
    <x:row r="42" ht="70" customHeight="1">
      <x:c r="A42" s="6" t="str">
        <x:v>ESX-037</x:v>
      </x:c>
      <x:c r="B42" s="6" t="str">
        <x:v>Host ve VM dvFilter erişimi</x:v>
      </x:c>
      <x:c r="C42" s="6" t="str">
        <x:v>Host ve VM dvFilter erişimi kontrolü, aşağıdaki sürüm ve kapsam koşullarında doğrulanıyor mu?</x:v>
      </x:c>
      <x:c r="D42" s="6" t="str">
        <x:v>Host bind IP kullanılmıyorsa boş; kullanılıyorsa onaylı appliance IP’si olmalı. VM ethernetX.filterY.name yalnız gerçek koruma modülüne bağlanmalı; kaynak örnek adı gerçek değer sayılmaz.</x:v>
      </x:c>
      <x:c r="E42" s="6" t="str">
        <x:v>Yetkisiz filtre bağlantısı müşteri trafiğini görme veya değiştirme imkanı doğurabilir.</x:v>
      </x:c>
      <x:c r="F42" s="6" t="str">
        <x:v>Host DVFilterBindIpAddress ve VM filter eşlemeleri; güvenlik appliance envanteri.</x:v>
      </x:c>
      <x:c r="G42" s="6" t="str">
        <x:v>Host ve VM ayarlarını ayrı incele; her açık bağlantının onaylı modülle ilişkisini doğrula.</x:v>
      </x:c>
      <x:c r="H42" s="6" t="str">
        <x:v>ESXi 7 / 8; her kaynak yalnız kendi sürümünde. Profil L1/L2 seçimi Kapsam kaydında belgelenir.</x:v>
      </x:c>
      <x:c r="I42" s="6" t="str">
        <x:v>NSX veya üçüncü taraf güvenlik ürünlerinin ihtiyaç duyduğu filter kaldırılmaz.</x:v>
      </x:c>
      <x:c r="J42" s="6" t="str">
        <x:v>CIS-ESX8:5.3
CIS-ESX8:7.20
CIS-ESX7:2.6
CIS-ESX7:8.4.1</x:v>
      </x:c>
      <x:c r="K42" s="6" t="str">
        <x:v>AC-4; CM-6</x:v>
      </x:c>
      <x:c r="L42" s="6" t="str">
        <x:v>1 eski soru. Birleştirme İzini bu Kontrol ID ile süzün.</x:v>
      </x:c>
    </x:row>
    <x:row r="43" ht="40" customHeight="1">
      <x:c r="A43" s="6" t="str">
        <x:v>ESX-038</x:v>
      </x:c>
      <x:c r="B43" s="6" t="str">
        <x:v>Misafir BPDU paketleri</x:v>
      </x:c>
      <x:c r="C43" s="6" t="str">
        <x:v>Misafir BPDU paketleri kontrolü, aşağıdaki sürüm ve kapsam koşullarında doğrulanıyor mu?</x:v>
      </x:c>
      <x:c r="D43" s="6" t="str">
        <x:v>Net.BlockGuestBPDU=1; meşru BPDU üreten iş yükü varsa dar kapsam ve belgeli istisna aranmalı.</x:v>
      </x:c>
      <x:c r="E43" s="6" t="str">
        <x:v>Bir VM’nin ürettiği BPDU, ağ topolojisi ve diğer müşterilerin bağlantı sürekliliğini etkileyebilir.</x:v>
      </x:c>
      <x:c r="F43" s="6" t="str">
        <x:v>Host BPDU ayarı, ağ appliance/bridge ihtiyacı, istisna listesi.</x:v>
      </x:c>
      <x:c r="G43" s="6" t="str">
        <x:v>Değeri ve BPDU gerektiren VM listesini karşılaştır; kaynak ihtiyacı olmadan istisna açılmadığını doğrula.</x:v>
      </x:c>
      <x:c r="H43" s="6" t="str">
        <x:v>ESXi 8.</x:v>
      </x:c>
      <x:c r="I43" s="6" t="str">
        <x:v>Ağ işlevi gören meşru VM’ler etkilenebilir.</x:v>
      </x:c>
      <x:c r="J43" s="6" t="str">
        <x:v>CIS-ESX8:5.4</x:v>
      </x:c>
      <x:c r="K43" s="6" t="str">
        <x:v>SC-7; SC-5</x:v>
      </x:c>
      <x:c r="L43" s="6" t="str">
        <x:v>Yeni CIS teknik maddesi. CIS Dizinine bakın.</x:v>
      </x:c>
    </x:row>
    <x:row r="44" ht="100" customHeight="1">
      <x:c r="A44" s="6" t="str">
        <x:v>ESX-039</x:v>
      </x:c>
      <x:c r="B44" s="6" t="str">
        <x:v>Standard vSwitch MAC güvenliği</x:v>
      </x:c>
      <x:c r="C44" s="6" t="str">
        <x:v>Standard vSwitch MAC güvenliği kontrolü, aşağıdaki sürüm ve kapsam koşullarında doğrulanıyor mu?</x:v>
      </x:c>
      <x:c r="D44" s="6" t="str">
        <x:v>Standard vSwitch ve port grubu için Forged Transmits, MAC Changes ve Promiscuous Mode Reject olmalı; ihtiyaç istisnaları ayrı port grubunda ve yetkili VM’lerle sınırlı olmalı.</x:v>
      </x:c>
      <x:c r="E44" s="6" t="str">
        <x:v>MAC taklidi ve gereksiz dinleme imkanı müşteri ağ ayrımını zayıflatır.</x:v>
      </x:c>
      <x:c r="F44" s="6" t="str">
        <x:v>Standard switch/port group security policy ve override değerleri, istisna VM listesi.</x:v>
      </x:c>
      <x:c r="G44" s="6" t="str">
        <x:v>Üst switch ile port grubu etkin değerlerini karşılaştır; üç ayarı ayrı alt sonuçla kaydet.</x:v>
      </x:c>
      <x:c r="H44" s="6" t="str">
        <x:v>Standard vSwitch. Distributed Switch bu CIS maddeleriyle uygun sayılmaz; kendi ürün sorusu kullanılır.</x:v>
      </x:c>
      <x:c r="I44" s="6" t="str">
        <x:v>Kümeleme ve ağ appliance iş yükleri istisna gerektirebilir.</x:v>
      </x:c>
      <x:c r="J44" s="6" t="str">
        <x:v>CIS-ESX8:5.6
CIS-ESX8:5.7
CIS-ESX8:5.8
CIS-ESX7:7.1
CIS-ESX7:7.2
CIS-ESX7:7.3</x:v>
      </x:c>
      <x:c r="K44" s="6" t="str">
        <x:v>AC-4; SC-7</x:v>
      </x:c>
      <x:c r="L44" s="6" t="str">
        <x:v>Yeni CIS teknik maddesi. CIS Dizinine bakın.</x:v>
      </x:c>
    </x:row>
    <x:row r="45" ht="85" customHeight="1">
      <x:c r="A45" s="6" t="str">
        <x:v>ESX-040</x:v>
      </x:c>
      <x:c r="B45" s="6" t="str">
        <x:v>Standard vSwitch VLAN sınırları</x:v>
      </x:c>
      <x:c r="C45" s="6" t="str">
        <x:v>Standard vSwitch VLAN sınırları kontrolü, aşağıdaki sürüm ve kapsam koşullarında doğrulanıyor mu?</x:v>
      </x:c>
      <x:c r="D45" s="6" t="str">
        <x:v>Native VLAN ve fiziksel switchin ayrılmış VLAN değerleri izinsiz kullanılmamalı; VLAN 4095/VGT sadece onaylı iş yükünde. ESXi 7’de VLAN 0 koşulu kendi maddesinde ayrıca değerlendirilir.</x:v>
      </x:c>
      <x:c r="E45" s="6" t="str">
        <x:v>Geniş veya yanlış etiketleme VM’ye başka tenant VLAN’larına ulaşma imkanı verebilir.</x:v>
      </x:c>
      <x:c r="F45" s="6" t="str">
        <x:v>Port group VLAN listesi, fiziksel uplink native/reserved VLAN bilgisi, VGT ihtiyacı.</x:v>
      </x:c>
      <x:c r="G45" s="6" t="str">
        <x:v>Mantıksal ve fiziksel uçların VLAN kapsamını karşılaştır; özel değerlere ilişkin sürüm koşullarını ayrı kontrol et.</x:v>
      </x:c>
      <x:c r="H45" s="6" t="str">
        <x:v>Standard vSwitch ve ilgili ESXi sürümü.</x:v>
      </x:c>
      <x:c r="I45" s="6" t="str">
        <x:v>VGT kullanan ağ appliance’ları için işlevsel test gerekir.</x:v>
      </x:c>
      <x:c r="J45" s="6" t="str">
        <x:v>CIS-ESX8:5.9
CIS-ESX8:5.10
CIS-ESX7:7.4
CIS-ESX7:7.5
CIS-ESX7:7.6</x:v>
      </x:c>
      <x:c r="K45" s="6" t="str">
        <x:v>AC-4; SC-7</x:v>
      </x:c>
      <x:c r="L45" s="6" t="str">
        <x:v>Yeni CIS teknik maddesi. CIS Dizinine bakın.</x:v>
      </x:c>
    </x:row>
    <x:row r="46" ht="70" customHeight="1">
      <x:c r="A46" s="6" t="str">
        <x:v>ESX-041</x:v>
      </x:c>
      <x:c r="B46" s="6" t="str">
        <x:v>CIM ve SNMP koşullu yetki sınırı</x:v>
      </x:c>
      <x:c r="C46" s="6" t="str">
        <x:v>CIM ve SNMP koşullu yetki sınırı kontrolü, aşağıdaki sürüm ve kapsam koşullarında doğrulanıyor mu?</x:v>
      </x:c>
      <x:c r="D46" s="6" t="str">
        <x:v>CIM/SNMP gerekiyorsa servis hesabı ve hedefler sınırlandırılmış olmalı; CIM için yalnız gerekli Host.Config.SystemManagement ve Host.CIM.CIMInteraction yetkileri değerlendirilir.</x:v>
      </x:c>
      <x:c r="E46" s="6" t="str">
        <x:v>İzleme servisi ortak yönetici yetkisine veya yetkisiz veri aktarımına dönüşebilir.</x:v>
      </x:c>
      <x:c r="F46" s="6" t="str">
        <x:v>Servis gereksinimi, hesap/yetki listesi, SNMP etkin yapılandırması ve hedefleri.</x:v>
      </x:c>
      <x:c r="G46" s="6" t="str">
        <x:v>Gereksizse servis kapatma kontrolüne bağla; gerekli servislerde hedef ve yetkiyi ürünün sürümlü izleme belgesiyle karşılaştır.</x:v>
      </x:c>
      <x:c r="H46" s="6" t="str">
        <x:v>ESXi 7 / 8; her kaynak yalnız kendi sürümünde. Profil L1/L2 seçimi Kapsam kaydında belgelenir.</x:v>
      </x:c>
      <x:c r="I46" s="6" t="str">
        <x:v>Yetersiz yetki meşru donanım izlemesini bozabilir.</x:v>
      </x:c>
      <x:c r="J46" s="6" t="str">
        <x:v>CIS-ESX8:6.1.1
CIS-ESX8:6.4.1
CIS-ESX7:2.5
CIS-ESX7:5.4</x:v>
      </x:c>
      <x:c r="K46" s="6" t="str">
        <x:v>AC-6; SC-7</x:v>
      </x:c>
      <x:c r="L46" s="6" t="str">
        <x:v>2 eski soru. Birleştirme İzini bu Kontrol ID ile süzün.</x:v>
      </x:c>
    </x:row>
    <x:row r="47" ht="55" customHeight="1">
      <x:c r="A47" s="6" t="str">
        <x:v>ESX-042</x:v>
      </x:c>
      <x:c r="B47" s="6" t="str">
        <x:v>Depolama ağı ve datastore kimliği</x:v>
      </x:c>
      <x:c r="C47" s="6" t="str">
        <x:v>Depolama ağı ve datastore kimliği kontrolü, aşağıdaki sürüm ve kapsam koşullarında doğrulanıyor mu?</x:v>
      </x:c>
      <x:c r="D47" s="6" t="str">
        <x:v>Storage iletişimi onaylı host/storage sınırında; SAN zoning/LUN maskeleme kullanılan ürüne göre doğrulanmalı. ESXi 8’de datastore isimleri yönetilen envanterde tekil olmalı.</x:v>
      </x:c>
      <x:c r="E47" s="6" t="str">
        <x:v>Yanlış LUN sunumu başka müşteri verisine erişim; belirsiz datastore adı yanlış silme veya taşıma oluşturabilir.</x:v>
      </x:c>
      <x:c r="F47" s="6" t="str">
        <x:v>SAN zoning/LUN erişim exportu, VMkernel storage ağları, datastore kimlik/ad listesi.</x:v>
      </x:c>
      <x:c r="G47" s="6" t="str">
        <x:v>Yetkili host–LUN eşlemesini müşteri tahsisiyle karşılaştır; datastore adlarını kimlikleriyle mutabıklaştır.</x:v>
      </x:c>
      <x:c r="H47" s="6" t="str">
        <x:v>ESXi 7 / 8; her kaynak yalnız kendi sürümünde. Profil L1/L2 seçimi Kapsam kaydında belgelenir.</x:v>
      </x:c>
      <x:c r="I47" s="6" t="str">
        <x:v>Depolama üreticisine özgü komutlar sürüm doğrulanmadan kullanılmaz.</x:v>
      </x:c>
      <x:c r="J47" s="6" t="str">
        <x:v>CIS-ESX8:6.2.1
CIS-ESX8:6.2.2
CIS-ESX7:6.3</x:v>
      </x:c>
      <x:c r="K47" s="6" t="str">
        <x:v>SC-7; CM-8</x:v>
      </x:c>
      <x:c r="L47" s="6" t="str">
        <x:v>1 eski soru. Birleştirme İzini bu Kontrol ID ile süzün.</x:v>
      </x:c>
    </x:row>
    <x:row r="48" ht="40" customHeight="1">
      <x:c r="A48" s="6" t="str">
        <x:v>ESX-043</x:v>
      </x:c>
      <x:c r="B48" s="6" t="str">
        <x:v>iSCSI karşılıklı CHAP</x:v>
      </x:c>
      <x:c r="C48" s="6" t="str">
        <x:v>iSCSI karşılıklı CHAP kontrolü, aşağıdaki sürüm ve kapsam koşullarında doğrulanıyor mu?</x:v>
      </x:c>
      <x:c r="D48" s="6" t="str">
        <x:v>iSCSI bağlantılarında bidirectional/mutual CHAP etkin olmalı.</x:v>
      </x:c>
      <x:c r="E48" s="6" t="str">
        <x:v>Kimliği doğrulanmayan initiator veya hedef, depolama oturumunun taklidine imkan verebilir.</x:v>
      </x:c>
      <x:c r="F48" s="6" t="str">
        <x:v>Her iSCSI adapter ve hedef için CHAP türü; initiator/target eşleşmesi.</x:v>
      </x:c>
      <x:c r="G48" s="6" t="str">
        <x:v>Tek yönlü CHAP ile karşılıklı CHAP’ı ayır; iki uçtaki ayarları doğrula.</x:v>
      </x:c>
      <x:c r="H48" s="6" t="str">
        <x:v>iSCSI kullanan host/target çiftleri.</x:v>
      </x:c>
      <x:c r="I48" s="6" t="str">
        <x:v>Hatalı CHAP ayarı datastore erişimini kesebilir.</x:v>
      </x:c>
      <x:c r="J48" s="6" t="str">
        <x:v>CIS-ESX8:6.3.1
CIS-ESX7:6.1</x:v>
      </x:c>
      <x:c r="K48" s="6" t="str">
        <x:v>IA-9; SC-23</x:v>
      </x:c>
      <x:c r="L48" s="6" t="str">
        <x:v>1 eski soru. Birleştirme İzini bu Kontrol ID ile süzün.</x:v>
      </x:c>
    </x:row>
    <x:row r="49" ht="55" customHeight="1">
      <x:c r="A49" s="6" t="str">
        <x:v>ESX-044</x:v>
      </x:c>
      <x:c r="B49" s="6" t="str">
        <x:v>iSCSI CHAP sırlarının tekilliği</x:v>
      </x:c>
      <x:c r="C49" s="6" t="str">
        <x:v>iSCSI CHAP sırlarının tekilliği kontrolü, aşağıdaki sürüm ve kapsam koşullarında doğrulanıyor mu?</x:v>
      </x:c>
      <x:c r="D49" s="6" t="str">
        <x:v>CHAP sırları bağlantı tarafları/kapsamları arasında yeniden kullanılmamalı; isim listesinin farklı olması sırların farklı olduğunu kanıtlamaz.</x:v>
      </x:c>
      <x:c r="E49" s="6" t="str">
        <x:v>Bir bağlantı sırrının açığa çıkması paylaşılan sır kullanan diğer storage yollarına yayılabilir.</x:v>
      </x:c>
      <x:c r="F49" s="6" t="str">
        <x:v>Sır kasası kayıtları ve yetkili sahibin sırları dışarı çıkarmadan yaptığı tekillik doğrulaması.</x:v>
      </x:c>
      <x:c r="G49" s="6" t="str">
        <x:v>Sır değerlerini çalışma kağıdına almadan tekillik kontrolünün yöntem ve sonucunu doğrula; CHAPName çıktısını tek başına yeterli sayma.</x:v>
      </x:c>
      <x:c r="H49" s="6" t="str">
        <x:v>iSCSI CHAP kullanılan çiftler.</x:v>
      </x:c>
      <x:c r="I49" s="6" t="str">
        <x:v>Sırları dökme/değiştirme işlemi yapılmaz.</x:v>
      </x:c>
      <x:c r="J49" s="6" t="str">
        <x:v>CIS-ESX8:6.3.2
CIS-ESX7:6.2</x:v>
      </x:c>
      <x:c r="K49" s="6" t="str">
        <x:v>IA-5</x:v>
      </x:c>
      <x:c r="L49" s="6" t="str">
        <x:v>1 eski soru. Birleştirme İzini bu Kontrol ID ile süzün.</x:v>
      </x:c>
    </x:row>
    <x:row r="50" ht="130" customHeight="1">
      <x:c r="A50" s="6" t="str">
        <x:v>ESX-045</x:v>
      </x:c>
      <x:c r="B50" s="6" t="str">
        <x:v>SSH daemon yetenek sınırlamaları</x:v>
      </x:c>
      <x:c r="C50" s="6" t="str">
        <x:v>SSH daemon yetenek sınırlamaları kontrolü, aşağıdaki sürüm ve kapsam koşullarında doğrulanıyor mu?</x:v>
      </x:c>
      <x:c r="D50" s="6" t="str">
        <x:v>GatewayPorts=no; HostbasedAuthentication=no; IgnoreRhosts=yes; AllowStreamLocalForwarding=no; AllowTcpForwarding=no; PermitTunnel=no; PermitUserEnvironment=no. Kaynakta izin verilen iş ihtiyacı istisnası ayrıca yazılır.</x:v>
      </x:c>
      <x:c r="E50" s="6" t="str">
        <x:v>Yetkili SSH oturumu TCP/Unix socket tüneli veya kullanıcı ortamıyla yönetim ağı sınırlarını aşabilir.</x:v>
      </x:c>
      <x:c r="F50" s="6" t="str">
        <x:v>Etkin sshd yapılandırması, Include/override bilgisi, onaylı forwarding ihtiyaçları.</x:v>
      </x:c>
      <x:c r="G50" s="6" t="str">
        <x:v>Her parametreyi etkin değerinden kontrol et; yalnız örnek/durağan dosyanın varlığıyla uygun sonucu verme.</x:v>
      </x:c>
      <x:c r="H50" s="6" t="str">
        <x:v>ESXi 8; SSH kullanılacaksa.</x:v>
      </x:c>
      <x:c r="I50" s="6" t="str">
        <x:v>Meşru tünel kullanan yönetim iş akışları etkilenebilir. Shell erişimi olan kullanıcı kendi yönlendirme aracını çalıştırabilir; SSH forwarding ayarı tek başına tam ağ izolasyonu değildir.</x:v>
      </x:c>
      <x:c r="J50" s="6" t="str">
        <x:v>CIS-ESX8:6.5.3
CIS-ESX8:6.5.4
CIS-ESX8:6.5.8
CIS-ESX8:6.5.9
CIS-ESX8:6.5.10
CIS-ESX8:6.5.11
CIS-ESX8:6.5.12
SSH-MAN</x:v>
      </x:c>
      <x:c r="K50" s="6" t="str">
        <x:v>CM-7; SC-7</x:v>
      </x:c>
      <x:c r="L50" s="6" t="str">
        <x:v>Yeni CIS teknik maddesi. CIS Dizinine bakın.</x:v>
      </x:c>
    </x:row>
    <x:row r="51" ht="55" customHeight="1">
      <x:c r="A51" s="6" t="str">
        <x:v>ESX-046</x:v>
      </x:c>
      <x:c r="B51" s="6" t="str">
        <x:v>SSH keepalive süre parametreleri</x:v>
      </x:c>
      <x:c r="C51" s="6" t="str">
        <x:v>SSH keepalive süre parametreleri kontrolü, aşağıdaki sürüm ve kapsam koşullarında doğrulanıyor mu?</x:v>
      </x:c>
      <x:c r="D51" s="6" t="str">
        <x:v>ClientAliveCountMax ve ClientAliveInterval onaylı bağlantı canlılık politikasıyla uyumlu olmalı. Bunlar kullanıcı klavye hareketsizliğini tek başına kanıtlayan ölçüt olarak kullanılmaz.</x:v>
      </x:c>
      <x:c r="E51" s="6" t="str">
        <x:v>Ölü bağlantıların açık kalması kaynak tüketimine ve sahipsiz yönetim bağlantılarına yol açabilir.</x:v>
      </x:c>
      <x:c r="F51" s="6" t="str">
        <x:v>Etkin iki sshd değeri ve kurumun onaylı canlılık/süre politikası.</x:v>
      </x:c>
      <x:c r="G51" s="6" t="str">
        <x:v>Sayısal değerleri kaynakta tanımlanmayan bir eşik uydurmadan karşılaştır; idle shell kontrolünü ESX-020 ile ayrı yürüt.</x:v>
      </x:c>
      <x:c r="H51" s="6" t="str">
        <x:v>ESXi 8; SSH açık; kaynak değerleri kurum tanımına bırakır.</x:v>
      </x:c>
      <x:c r="I51" s="6" t="str">
        <x:v>Değişiklik uygulanmaz; etkin değer ve yapılandırma salt okunur incelenir.</x:v>
      </x:c>
      <x:c r="J51" s="6" t="str">
        <x:v>CIS-ESX8:6.5.5
CIS-ESX8:6.5.6
SSH-MAN</x:v>
      </x:c>
      <x:c r="K51" s="6" t="str">
        <x:v>AC-12</x:v>
      </x:c>
      <x:c r="L51" s="6" t="str">
        <x:v>Yeni CIS teknik maddesi. CIS Dizinine bakın.</x:v>
      </x:c>
    </x:row>
    <x:row r="52" ht="40" customHeight="1">
      <x:c r="A52" s="6" t="str">
        <x:v>ESX-047</x:v>
      </x:c>
      <x:c r="B52" s="6" t="str">
        <x:v>VM Secure Boot</x:v>
      </x:c>
      <x:c r="C52" s="6" t="str">
        <x:v>VM Secure Boot kontrolü, aşağıdaki sürüm ve kapsam koşullarında doğrulanıyor mu?</x:v>
      </x:c>
      <x:c r="D52" s="6" t="str">
        <x:v>Seçilen L2 VM’lerinde EFI Secure Boot etkin olmalı; misafir OS desteği ve açılış uyumu kanıtlanmalı.</x:v>
      </x:c>
      <x:c r="E52" s="6" t="str">
        <x:v>Misafir açılış bileşeni değişikliği VM içi kalıcılığa izin verebilir.</x:v>
      </x:c>
      <x:c r="F52" s="6" t="str">
        <x:v>VM BootOptions.EfiSecureBootEnabled, OS/firmware tipi, test açılış kaydı.</x:v>
      </x:c>
      <x:c r="G52" s="6" t="str">
        <x:v>Destek ve profil kapsamını belirle; fiili Secure Boot değerini ve açılış testini doğrula.</x:v>
      </x:c>
      <x:c r="H52" s="6" t="str">
        <x:v>ESXi 8 L2 VM’ler; destekleyen misafir işletim sistemi.</x:v>
      </x:c>
      <x:c r="I52" s="6" t="str">
        <x:v>Kurulu OS’de sonradan etkinleştirme açılış sorununa neden olabilir.</x:v>
      </x:c>
      <x:c r="J52" s="6" t="str">
        <x:v>CIS-ESX8:7.1</x:v>
      </x:c>
      <x:c r="K52" s="6" t="str">
        <x:v>SI-7</x:v>
      </x:c>
      <x:c r="L52" s="6" t="str">
        <x:v>Yeni CIS teknik maddesi. CIS Dizinine bakın.</x:v>
      </x:c>
    </x:row>
    <x:row r="53" ht="40" customHeight="1">
      <x:c r="A53" s="6" t="str">
        <x:v>ESX-048</x:v>
      </x:c>
      <x:c r="B53" s="6" t="str">
        <x:v>Fault Tolerance aktarım şifrelemesi</x:v>
      </x:c>
      <x:c r="C53" s="6" t="str">
        <x:v>Fault Tolerance aktarım şifrelemesi kontrolü, aşağıdaki sürüm ve kapsam koşullarında doğrulanıyor mu?</x:v>
      </x:c>
      <x:c r="D53" s="6" t="str">
        <x:v>FT kullanılan VM’de FtEncryptionMode=required olmalı.</x:v>
      </x:c>
      <x:c r="E53" s="6" t="str">
        <x:v>FT aktarımındaki bellek/iş yükü bilgisi korumasız ağdan ifşa olabilir.</x:v>
      </x:c>
      <x:c r="F53" s="6" t="str">
        <x:v>FT etkin VM listesi ve FtEncryptionMode çıktısı.</x:v>
      </x:c>
      <x:c r="G53" s="6" t="str">
        <x:v>FT kapsamını belirle; required değerini ve destek uyumluluğunu kontrol et.</x:v>
      </x:c>
      <x:c r="H53" s="6" t="str">
        <x:v>ESXi 8 ve FT kullanılan VM’ler.</x:v>
      </x:c>
      <x:c r="I53" s="6" t="str">
        <x:v>Değişiklik uygulanmaz; etkin değer ve yapılandırma salt okunur incelenir.</x:v>
      </x:c>
      <x:c r="J53" s="6" t="str">
        <x:v>CIS-ESX8:7.3</x:v>
      </x:c>
      <x:c r="K53" s="6" t="str">
        <x:v>SC-8; SC-13</x:v>
      </x:c>
      <x:c r="L53" s="6" t="str">
        <x:v>Yeni CIS teknik maddesi. CIS Dizinine bakın.</x:v>
      </x:c>
    </x:row>
    <x:row r="54" ht="70" customHeight="1">
      <x:c r="A54" s="6" t="str">
        <x:v>ESX-049</x:v>
      </x:c>
      <x:c r="B54" s="6" t="str">
        <x:v>VM konsol sınırları</x:v>
      </x:c>
      <x:c r="C54" s="6" t="str">
        <x:v>VM konsol sınırları kontrolü, aşağıdaki sürüm ve kapsam koşullarında doğrulanıyor mu?</x:v>
      </x:c>
      <x:c r="D54" s="6" t="str">
        <x:v>RemoteDisplay.maxConnections=1; ESXi 8’de son konsol kapanınca misafir kilitleme ayarı etkin olmalı. Konsol kullanım yetkisi onaylı rollerle sınırlı olmalı.</x:v>
      </x:c>
      <x:c r="E54" s="6" t="str">
        <x:v>Paylaşılan konsol oturumu başka operatörün açık kimliğini kullanma ve müşteri ekranını izleme fırsatı yaratır.</x:v>
      </x:c>
      <x:c r="F54" s="6" t="str">
        <x:v>VM console ayarları, konsol rol yetkileri, guest desktop autolock değeri/testi.</x:v>
      </x:c>
      <x:c r="G54" s="6" t="str">
        <x:v>Eşzamanlı ikinci konsol ve son konsol kapanışı testlerini ayrı kaydet; OS kilit desteğini doğrula.</x:v>
      </x:c>
      <x:c r="H54" s="6" t="str">
        <x:v>ESXi 7 / 8; her kaynak yalnız kendi sürümünde. Profil L1/L2 seçimi Kapsam kaydında belgelenir.</x:v>
      </x:c>
      <x:c r="I54" s="6" t="str">
        <x:v>Ortak sorun giderme ve misafir OS kilit desteği etkilenebilir.</x:v>
      </x:c>
      <x:c r="J54" s="6" t="str">
        <x:v>CIS-ESX8:7.5
CIS-ESX8:7.6
CIS-ESX7:8.1.1
CIS-ESX7:8.3.2</x:v>
      </x:c>
      <x:c r="K54" s="6" t="str">
        <x:v>AC-3; AC-11; AC-12</x:v>
      </x:c>
      <x:c r="L54" s="6" t="str">
        <x:v>1 eski soru. Birleştirme İzini bu Kontrol ID ile süzün.</x:v>
      </x:c>
    </x:row>
    <x:row r="55" ht="250" customHeight="1">
      <x:c r="A55" s="6" t="str">
        <x:v>ESX-050</x:v>
      </x:c>
      <x:c r="B55" s="6" t="str">
        <x:v>Gereksiz VM donanımı ve 3D</x:v>
      </x:c>
      <x:c r="C55" s="6" t="str">
        <x:v>Gereksiz VM donanımı ve 3D kontrolü, aşağıdaki sürüm ve kapsam koşullarında doğrulanıyor mu?</x:v>
      </x:c>
      <x:c r="D55" s="6" t="str">
        <x:v>Gerekmeyen aygıtlar kaldırılmış/devre dışı olmalı; 3D ve passthrough yalnız kaynak profiline göre gereksinimi belgeli iş yüklerinde. Teknik Ölçütler aygıt/profil ayrımını gösterir.</x:v>
      </x:c>
      <x:c r="E55" s="6" t="str">
        <x:v>Gereksiz emüle/aktarılmış aygıt ek saldırı yüzeyi ve host kaynaklarına erişim oluşturur.</x:v>
      </x:c>
      <x:c r="F55" s="6" t="str">
        <x:v>VM ve template sanal donanım listesi, passthrough/3D etkin değerleri ve iş gerekçesi.</x:v>
      </x:c>
      <x:c r="G55" s="6" t="str">
        <x:v>Üretim VM ve şablon envanterini karşılaştır; aktif disk taşıyan AHCI gibi gerekli aygıtları gereksiz sayma.</x:v>
      </x:c>
      <x:c r="H55" s="6" t="str">
        <x:v>ESXi 7 / 8; her kaynak yalnız kendi sürümünde. Profil L1/L2 seçimi Kapsam kaydında belgelenir.</x:v>
      </x:c>
      <x:c r="I55" s="6" t="str">
        <x:v>GPU/VDI, passthrough ve takılı disk bağımlılıkları nedeniyle toplu aygıt silme yapılmaz.</x:v>
      </x:c>
      <x:c r="J55" s="6" t="str">
        <x:v>CIS-ESX8:7.4
CIS-ESX8:7.7
CIS-ESX8:7.10
CIS-ESX8:7.11
CIS-ESX8:7.12
CIS-ESX8:7.13
CIS-ESX8:7.14
CIS-ESX8:7.15
CIS-ESX8:7.16
CIS-ESX7:8.2.1
CIS-ESX7:8.2.2
CIS-ESX7:8.2.3
CIS-ESX7:8.2.4
CIS-ESX7:8.2.5
CIS-ESX7:8.2.8
CIS-ESX7:8.5.2</x:v>
      </x:c>
      <x:c r="K55" s="6" t="str">
        <x:v>CM-7; SC-4</x:v>
      </x:c>
      <x:c r="L55" s="6" t="str">
        <x:v>3 eski soru. Birleştirme İzini bu Kontrol ID ile süzün.</x:v>
      </x:c>
    </x:row>
    <x:row r="56" ht="70" customHeight="1">
      <x:c r="A56" s="6" t="str">
        <x:v>ESX-051</x:v>
      </x:c>
      <x:c r="B56" s="6" t="str">
        <x:v>Misafirin aygıt bağlama/değiştirme yetkisi</x:v>
      </x:c>
      <x:c r="C56" s="6" t="str">
        <x:v>Misafirin aygıt bağlama/değiştirme yetkisi kontrolü, aşağıdaki sürüm ve kapsam koşullarında doğrulanıyor mu?</x:v>
      </x:c>
      <x:c r="D56" s="6" t="str">
        <x:v>isolation.device.edit.disable=TRUE ve isolation.device.connectable.disable=TRUE olmalı.</x:v>
      </x:c>
      <x:c r="E56" s="6" t="str">
        <x:v>Misafir içinden aygıt değiştirme veya bağlama kontrolü, onaylı sanal donanım sınırını aşabilir.</x:v>
      </x:c>
      <x:c r="F56" s="6" t="str">
        <x:v>VM ve şablon iki advanced setting değeri.</x:v>
      </x:c>
      <x:c r="G56" s="6" t="str">
        <x:v>İki bayrağı ayrı kontrol et; disable adındaki TRUE değerinin engellemeyi ifade ettiğini doğrula.</x:v>
      </x:c>
      <x:c r="H56" s="6" t="str">
        <x:v>ESXi 7 / 8; her kaynak yalnız kendi sürümünde. Profil L1/L2 seçimi Kapsam kaydında belgelenir.</x:v>
      </x:c>
      <x:c r="I56" s="6" t="str">
        <x:v>Değişiklik uygulanmaz; etkin değer ve yapılandırma salt okunur incelenir.</x:v>
      </x:c>
      <x:c r="J56" s="6" t="str">
        <x:v>CIS-ESX8:7.8
CIS-ESX8:7.9
CIS-ESX7:8.2.6
CIS-ESX7:8.2.7</x:v>
      </x:c>
      <x:c r="K56" s="6" t="str">
        <x:v>CM-5; CM-7</x:v>
      </x:c>
      <x:c r="L56" s="6" t="str">
        <x:v>1 eski soru. Birleştirme İzini bu Kontrol ID ile süzün.</x:v>
      </x:c>
    </x:row>
    <x:row r="57" ht="100" customHeight="1">
      <x:c r="A57" s="6" t="str">
        <x:v>ESX-052</x:v>
      </x:c>
      <x:c r="B57" s="6" t="str">
        <x:v>VM konsol veri aktarımı</x:v>
      </x:c>
      <x:c r="C57" s="6" t="str">
        <x:v>VM konsol veri aktarımı kontrolü, aşağıdaki sürüm ve kapsam koşullarında doğrulanıyor mu?</x:v>
      </x:c>
      <x:c r="D57" s="6" t="str">
        <x:v>Kopyala/yapıştır/sürükle-bırak kapalı olmalı. ESXi 8 maddelerinde ilgili isolation.tools.*.disable değerinin TRUE veya belirtilen varsayılanı sağlayan yokluk hali kabul edilir; ESXi 7 kendi ölçütünden değerlendirilir.</x:v>
      </x:c>
      <x:c r="E57" s="6" t="str">
        <x:v>Yönetim konsolu üzerinden veri taşıma, ağ ve DLP kurallarının dışında müşteri verisini çıkarabilir.</x:v>
      </x:c>
      <x:c r="F57" s="6" t="str">
        <x:v>Üç isolation.tools bayrağı, şablon ayarları, kontrollü sentetik veri testi.</x:v>
      </x:c>
      <x:c r="G57" s="6" t="str">
        <x:v>Ayar yokluğunu her sürümde aynı yorumlama; sürüm varsayılanı ile fiili konsol davranışını birlikte doğrula.</x:v>
      </x:c>
      <x:c r="H57" s="6" t="str">
        <x:v>ESXi 7 / 8; her kaynak yalnız kendi sürümünde. Profil L1/L2 seçimi Kapsam kaydında belgelenir.</x:v>
      </x:c>
      <x:c r="I57" s="6" t="str">
        <x:v>Değişiklik uygulanmaz; etkin değer ve yapılandırma salt okunur incelenir.</x:v>
      </x:c>
      <x:c r="J57" s="6" t="str">
        <x:v>CIS-ESX8:7.17
CIS-ESX8:7.18
CIS-ESX8:7.19
CIS-ESX7:8.4.21
CIS-ESX7:8.4.22
CIS-ESX7:8.4.24</x:v>
      </x:c>
      <x:c r="K57" s="6" t="str">
        <x:v>AC-4; SC-4</x:v>
      </x:c>
      <x:c r="L57" s="6" t="str">
        <x:v>3 eski soru. Birleştirme İzini bu Kontrol ID ile süzün.</x:v>
      </x:c>
    </x:row>
    <x:row r="58" ht="70" customHeight="1">
      <x:c r="A58" s="6" t="str">
        <x:v>ESX-053</x:v>
      </x:c>
      <x:c r="B58" s="6" t="str">
        <x:v>Misafirden sanal disk küçültme/silme</x:v>
      </x:c>
      <x:c r="C58" s="6" t="str">
        <x:v>Misafirden sanal disk küçültme/silme kontrolü, aşağıdaki sürüm ve kapsam koşullarında doğrulanıyor mu?</x:v>
      </x:c>
      <x:c r="D58" s="6" t="str">
        <x:v>isolation.tools.diskShrink.disable ve isolation.tools.diskWiper.disable TRUE olmalı.</x:v>
      </x:c>
      <x:c r="E58" s="6" t="str">
        <x:v>Misafirden başlatılan disk işlemleri depolama kapasitesi ve hizmet sürekliliğini etkileyebilir.</x:v>
      </x:c>
      <x:c r="F58" s="6" t="str">
        <x:v>VM/template diskShrink ve diskWiper değerleri.</x:v>
      </x:c>
      <x:c r="G58" s="6" t="str">
        <x:v>İki ayarı ayrı incele; gerçek veri üzerinde disk silme/küçültme testi yapma.</x:v>
      </x:c>
      <x:c r="H58" s="6" t="str">
        <x:v>ESXi 7 / 8; her kaynak yalnız kendi sürümünde. Profil L1/L2 seçimi Kapsam kaydında belgelenir.</x:v>
      </x:c>
      <x:c r="I58" s="6" t="str">
        <x:v>Değişiklik uygulanmaz; etkin değer ve yapılandırma salt okunur incelenir.</x:v>
      </x:c>
      <x:c r="J58" s="6" t="str">
        <x:v>CIS-ESX8:7.21
CIS-ESX8:7.22
CIS-ESX7:8.6.2
CIS-ESX7:8.6.3</x:v>
      </x:c>
      <x:c r="K58" s="6" t="str">
        <x:v>CM-5; SC-5</x:v>
      </x:c>
      <x:c r="L58" s="6" t="str">
        <x:v>1 eski soru. Birleştirme İzini bu Kontrol ID ile süzün.</x:v>
      </x:c>
    </x:row>
    <x:row r="59" ht="40" customHeight="1">
      <x:c r="A59" s="6" t="str">
        <x:v>ESX-054</x:v>
      </x:c>
      <x:c r="B59" s="6" t="str">
        <x:v>Host bilgisinin VM’ye aktarımı</x:v>
      </x:c>
      <x:c r="C59" s="6" t="str">
        <x:v>Host bilgisinin VM’ye aktarımı kontrolü, aşağıdaki sürüm ve kapsam koşullarında doğrulanıyor mu?</x:v>
      </x:c>
      <x:c r="D59" s="6" t="str">
        <x:v>tools.guestlib.enableHostInfo=FALSE olmalı.</x:v>
      </x:c>
      <x:c r="E59" s="6" t="str">
        <x:v>Müşteri VM’si ortak host hakkında gereksiz bilgi toplayarak diğer kaynaklar hakkında çıkarım yapabilir.</x:v>
      </x:c>
      <x:c r="F59" s="6" t="str">
        <x:v>VM/template etkin ayarı ve istisna gereksinimi.</x:v>
      </x:c>
      <x:c r="G59" s="6" t="str">
        <x:v>Her yönetilen VM/şablon tipinde değeri karşılaştır.</x:v>
      </x:c>
      <x:c r="H59" s="6" t="str">
        <x:v>ESXi 7 / 8; her kaynak yalnız kendi sürümünde. Profil L1/L2 seçimi Kapsam kaydında belgelenir.</x:v>
      </x:c>
      <x:c r="I59" s="6" t="str">
        <x:v>Değişiklik uygulanmaz; etkin değer ve yapılandırma salt okunur incelenir.</x:v>
      </x:c>
      <x:c r="J59" s="6" t="str">
        <x:v>CIS-ESX8:7.24
CIS-ESX7:8.7.2</x:v>
      </x:c>
      <x:c r="K59" s="6" t="str">
        <x:v>SC-4</x:v>
      </x:c>
      <x:c r="L59" s="6" t="str">
        <x:v>1 eski soru. Birleştirme İzini bu Kontrol ID ile süzün.</x:v>
      </x:c>
    </x:row>
    <x:row r="60" ht="100" customHeight="1">
      <x:c r="A60" s="6" t="str">
        <x:v>ESX-055</x:v>
      </x:c>
      <x:c r="B60" s="6" t="str">
        <x:v>VM tanılama loglarının sınırları</x:v>
      </x:c>
      <x:c r="C60" s="6" t="str">
        <x:v>VM tanılama loglarının sınırları kontrolü, aşağıdaki sürüm ve kapsam koşullarında doğrulanıyor mu?</x:v>
      </x:c>
      <x:c r="D60" s="6" t="str">
        <x:v>VM tanılama logu çalışmalı; log.keepOld=10 ve log.rotateSize=1024000 bayt. ESXi 8 için Tools→VMX bilgi miktarı sınırlı onaylı değerde olmalı.</x:v>
      </x:c>
      <x:c r="E60" s="6" t="str">
        <x:v>Sınırsız misafir log/bilgi üretimi datastore’u doldurabilir; kayıtsızlık incelemeyi engelleyebilir.</x:v>
      </x:c>
      <x:c r="F60" s="6" t="str">
        <x:v>VM logging/log.keepOld/log.rotateSize/tools.setInfo.sizeLimit ayarları ve güncel vmware.log.</x:v>
      </x:c>
      <x:c r="G60" s="6" t="str">
        <x:v>Log üretimini, döndürme boyutunu ve sayı sınırını ayrı kontrol et; host log saklama gereksinimiyle karıştırma.</x:v>
      </x:c>
      <x:c r="H60" s="6" t="str">
        <x:v>ESXi 7 / 8; her kaynak yalnız kendi sürümünde. Profil L1/L2 seçimi Kapsam kaydında belgelenir.</x:v>
      </x:c>
      <x:c r="I60" s="6" t="str">
        <x:v>Saklanan VM tanılama geçmişi kurumun gerekli geçmişiyle ayrıca eşleştirilir.</x:v>
      </x:c>
      <x:c r="J60" s="6" t="str">
        <x:v>CIS-ESX8:7.25
CIS-ESX8:7.26
CIS-ESX8:7.27
CIS-ESX8:7.28
CIS-ESX7:8.7.1
CIS-ESX7:8.7.3</x:v>
      </x:c>
      <x:c r="K60" s="6" t="str">
        <x:v>AU-4; AU-12</x:v>
      </x:c>
      <x:c r="L60" s="6" t="str">
        <x:v>1 eski soru. Birleştirme İzini bu Kontrol ID ile süzün.</x:v>
      </x:c>
    </x:row>
    <x:row r="61" ht="40" customHeight="1">
      <x:c r="A61" s="6" t="str">
        <x:v>ESX-056</x:v>
      </x:c>
      <x:c r="B61" s="6" t="str">
        <x:v>VM donanım uyumluluk seviyesi</x:v>
      </x:c>
      <x:c r="C61" s="6" t="str">
        <x:v>VM donanım uyumluluk seviyesi kontrolü, aşağıdaki sürüm ve kapsam koşullarında doğrulanıyor mu?</x:v>
      </x:c>
      <x:c r="D61" s="6" t="str">
        <x:v>L2 kapsamındaki VM hardware version vmx-19 veya daha yeni olmalı.</x:v>
      </x:c>
      <x:c r="E61" s="6" t="str">
        <x:v>Eski sanal donanım seviyesi gerekli güvenlik kabiliyetlerinin kullanımını sınırlayabilir.</x:v>
      </x:c>
      <x:c r="F61" s="6" t="str">
        <x:v>VM hardware version listesi ve misafir/uygulama uyum testi.</x:v>
      </x:c>
      <x:c r="G61" s="6" t="str">
        <x:v>VM sürümünü platform ve misafir gereksinimleriyle eşleştir; sürüm yükseltme işlemi denetimde yapılmaz.</x:v>
      </x:c>
      <x:c r="H61" s="6" t="str">
        <x:v>ESXi 8 L2 VM’ler.</x:v>
      </x:c>
      <x:c r="I61" s="6" t="str">
        <x:v>Sürücü/aygıt değişimi ve geri dönüş yöntemi bakım öncesi test edilir.</x:v>
      </x:c>
      <x:c r="J61" s="6" t="str">
        <x:v>CIS-ESX8:7.29</x:v>
      </x:c>
      <x:c r="K61" s="6" t="str">
        <x:v>CM-6; SI-2</x:v>
      </x:c>
      <x:c r="L61" s="6" t="str">
        <x:v>1 eski soru. Birleştirme İzini bu Kontrol ID ile süzün.</x:v>
      </x:c>
    </x:row>
    <x:row r="62" ht="55" customHeight="1">
      <x:c r="A62" s="6" t="str">
        <x:v>ESX-057</x:v>
      </x:c>
      <x:c r="B62" s="6" t="str">
        <x:v>VMware Tools sürüm ve dağıtım politikası</x:v>
      </x:c>
      <x:c r="C62" s="6" t="str">
        <x:v>VMware Tools sürüm ve dağıtım politikası kontrolü, aşağıdaki sürüm ve kapsam koşullarında doğrulanıyor mu?</x:v>
      </x:c>
      <x:c r="D62" s="6" t="str">
        <x:v>VMware Tools sürümü destekli/güncel bazla uyumlu; otomatik güncelleme davranışı onaylı değişiklik modeliyle tutarlı olmalı.</x:v>
      </x:c>
      <x:c r="E62" s="6" t="str">
        <x:v>Eski Tools veya kontrolsüz ajan güncellemesi VM erişimi ve uygulama sürekliliğini etkileyebilir.</x:v>
      </x:c>
      <x:c r="F62" s="6" t="str">
        <x:v>VM/guest Tools sürümleri, destek/güncelleme bazları, upgrade policy ve VM dağıtım kaydı.</x:v>
      </x:c>
      <x:c r="G62" s="6" t="str">
        <x:v>Guest ile vCenter sürümünü eşleştir; otomatik güncellemenin varlığını değil onaylı modelle uyumunu doğrula.</x:v>
      </x:c>
      <x:c r="H62" s="6" t="str">
        <x:v>ESXi 7 / 8; her kaynak yalnız kendi sürümünde. Profil L1/L2 seçimi Kapsam kaydında belgelenir.</x:v>
      </x:c>
      <x:c r="I62" s="6" t="str">
        <x:v>Misafir araç paketleri OS’ye göre değişir; Windows komut adı Linux’ta varsayılmaz.</x:v>
      </x:c>
      <x:c r="J62" s="6" t="str">
        <x:v>CIS-ESX8:8.1
CIS-ESX8:8.2
CIS-ESX8:8.3</x:v>
      </x:c>
      <x:c r="K62" s="6" t="str">
        <x:v>SI-2; CM-3; SA-22</x:v>
      </x:c>
      <x:c r="L62" s="6" t="str">
        <x:v>1 eski soru. Birleştirme İzini bu Kontrol ID ile süzün.</x:v>
      </x:c>
    </x:row>
    <x:row r="63" ht="55" customHeight="1">
      <x:c r="A63" s="6" t="str">
        <x:v>ESX-058</x:v>
      </x:c>
      <x:c r="B63" s="6" t="str">
        <x:v>Tools yeniden özelleştirme ve özellik değişimi</x:v>
      </x:c>
      <x:c r="C63" s="6" t="str">
        <x:v>Tools yeniden özelleştirme ve özellik değişimi kontrolü, aşağıdaki sürüm ve kapsam koşullarında doğrulanıyor mu?</x:v>
      </x:c>
      <x:c r="D63" s="6" t="str">
        <x:v>Dağıtılmış VM’de beklenmeyen recustomization ve otomatik feature ekleme/çıkarma önlenmeli veya açık işletim gereksinimiyle sınırlandırılmalı.</x:v>
      </x:c>
      <x:c r="E63" s="6" t="str">
        <x:v>Dağıtılmış VM’nin kimlik/ağ ayarları veya koruma işlevleri habersiz değişebilir.</x:v>
      </x:c>
      <x:c r="F63" s="6" t="str">
        <x:v>Tools customization/feature politikası, template/üretim ayrımı, DR iş akışı.</x:v>
      </x:c>
      <x:c r="G63" s="6" t="str">
        <x:v>Üretim VM ve template koşullarını ayrı incele; DR’nin IP değiştirme ihtiyacını doğrudan ihlal sayma.</x:v>
      </x:c>
      <x:c r="H63" s="6" t="str">
        <x:v>ESXi 8; recustomization L2. Templates ve DR ihtiyacı ayrı değerlendirilir.</x:v>
      </x:c>
      <x:c r="I63" s="6" t="str">
        <x:v>DR IP değişikliği ve dağıtım özelleştirme iş akışları etkilenebilir.</x:v>
      </x:c>
      <x:c r="J63" s="6" t="str">
        <x:v>CIS-ESX8:8.4
CIS-ESX8:8.5
CIS-ESX8:8.6</x:v>
      </x:c>
      <x:c r="K63" s="6" t="str">
        <x:v>CM-3; CM-5</x:v>
      </x:c>
      <x:c r="L63" s="6" t="str">
        <x:v>Yeni CIS teknik maddesi. CIS Dizinine bakın.</x:v>
      </x:c>
    </x:row>
    <x:row r="64" ht="115" customHeight="1">
      <x:c r="A64" s="6" t="str">
        <x:v>ESX-059</x:v>
      </x:c>
      <x:c r="B64" s="6" t="str">
        <x:v>Gereksiz Tools bilgi/işlev modülleri</x:v>
      </x:c>
      <x:c r="C64" s="6" t="str">
        <x:v>Gereksiz Tools bilgi/işlev modülleri kontrolü, aşağıdaki sürüm ve kapsam koşullarında doğrulanıyor mu?</x:v>
      </x:c>
      <x:c r="D64" s="6" t="str">
        <x:v>Gerekmiyorsa: globalconf.enabled=false; containerinfo.poll-interval=0; appinfo.disabled=true; gueststoreupgrade.policy=off; servicediscovery.disabled=true; guestoperations.disabled=true. Windows MSI transforms=false. Profil/OS koşulları Teknik Ölçütler kaydından alınır.</x:v>
      </x:c>
      <x:c r="E64" s="6" t="str">
        <x:v>Gereksiz guest yönetim ve keşif işlevleri VM bilgisi aktarımını ve ayrıcalıklı işlem yüzeyini genişletir.</x:v>
      </x:c>
      <x:c r="F64" s="6" t="str">
        <x:v>Guest Tools etkin config, OS türü, kullanılan entegrasyon/modül gereksinimleri.</x:v>
      </x:c>
      <x:c r="G64" s="6" t="str">
        <x:v>Her modülü varlık ve iş ihtiyacıyla eşleştir; eksik özellik ile kapalı özelliği ayır; Windows MSI ölçütünü Linux’a uygulama.</x:v>
      </x:c>
      <x:c r="H64" s="6" t="str">
        <x:v>ESXi 8 VMware Tools; L1/L2 ve OS ayrımı zorunlu.</x:v>
      </x:c>
      <x:c r="I64" s="6" t="str">
        <x:v>Keşif, guest customization, yedekleme ve otomasyon bağımlılıkları kesilebilir.</x:v>
      </x:c>
      <x:c r="J64" s="6" t="str">
        <x:v>CIS-ESX8:8.7
CIS-ESX8:8.8
CIS-ESX8:8.9
CIS-ESX8:8.10
CIS-ESX8:8.11
CIS-ESX8:8.12
CIS-ESX8:8.15</x:v>
      </x:c>
      <x:c r="K64" s="6" t="str">
        <x:v>CM-7; AC-6</x:v>
      </x:c>
      <x:c r="L64" s="6" t="str">
        <x:v>Yeni CIS teknik maddesi. CIS Dizinine bakın.</x:v>
      </x:c>
    </x:row>
    <x:row r="65" ht="40" customHeight="1">
      <x:c r="A65" s="6" t="str">
        <x:v>ESX-060</x:v>
      </x:c>
      <x:c r="B65" s="6" t="str">
        <x:v>Tools olaylarının işletim sistemi kaydı</x:v>
      </x:c>
      <x:c r="C65" s="6" t="str">
        <x:v>Tools olaylarının işletim sistemi kaydı kontrolü, aşağıdaki sürüm ve kapsam koşullarında doğrulanıyor mu?</x:v>
      </x:c>
      <x:c r="D65" s="6" t="str">
        <x:v>Tools logu etkin, gerçek olay üretir ve işletim sisteminin onaylı log mekanizmasına yönlenir.</x:v>
      </x:c>
      <x:c r="E65" s="6" t="str">
        <x:v>Guest ajanı sorunları ve işlemleri merkezi olay incelemesinin dışında kalabilir.</x:v>
      </x:c>
      <x:c r="F65" s="6" t="str">
        <x:v>Tools logging ayarı, guest OS hedefi ve test olay kaydı.</x:v>
      </x:c>
      <x:c r="G65" s="6" t="str">
        <x:v>Log dosyası varlığı yerine yeni bir olayın hedef sistem kaydına ulaşmasını doğrula.</x:v>
      </x:c>
      <x:c r="H65" s="6" t="str">
        <x:v>ESXi 8 Tools; Linux/Windows hedefi ayrı doğrulanır.</x:v>
      </x:c>
      <x:c r="I65" s="6" t="str">
        <x:v>Eski dosya yoluna bağlı izleme entegrasyonları uyarlanabilir.</x:v>
      </x:c>
      <x:c r="J65" s="6" t="str">
        <x:v>CIS-ESX8:8.13
CIS-ESX8:8.14</x:v>
      </x:c>
      <x:c r="K65" s="6" t="str">
        <x:v>AU-12</x:v>
      </x:c>
      <x:c r="L65" s="6" t="str">
        <x:v>Yeni CIS teknik maddesi. CIS Dizinine bakın.</x:v>
      </x:c>
    </x:row>
    <x:row r="66" ht="40" customHeight="1">
      <x:c r="A66" s="6" t="str">
        <x:v>ESX-061</x:v>
      </x:c>
      <x:c r="B66" s="6" t="str">
        <x:v>ESXi 7 host sertifika yaşam döngüsü</x:v>
      </x:c>
      <x:c r="C66" s="6" t="str">
        <x:v>ESXi 7 host sertifika yaşam döngüsü kontrolü, aşağıdaki sürüm ve kapsam koşullarında doğrulanıyor mu?</x:v>
      </x:c>
      <x:c r="D66" s="6" t="str">
        <x:v>ESXi 7 yönetim sertifikası onaylı güven zincirinden gelmeli; süresi geçmiş/iptal sertifikalar kaldırılmalı.</x:v>
      </x:c>
      <x:c r="E66" s="6" t="str">
        <x:v>Güvenilmeyen veya eski sertifika sahte yönetim uçlarına bağlanma ve kesinti riski yaratır.</x:v>
      </x:c>
      <x:c r="F66" s="6" t="str">
        <x:v>Host sertifika listesi, zincir, geçerlilik/iptal durumu, değişiklik kaydı.</x:v>
      </x:c>
      <x:c r="G66" s="6" t="str">
        <x:v>Her sertifikayı etkin endpoint ve CA kaydıyla eşleştir.</x:v>
      </x:c>
      <x:c r="H66" s="6" t="str">
        <x:v>ESXi 7.</x:v>
      </x:c>
      <x:c r="I66" s="6" t="str">
        <x:v>Sertifika değiştirme yönetim bağlantılarını etkileyebilir.</x:v>
      </x:c>
      <x:c r="J66" s="6" t="str">
        <x:v>CIS-ESX7:2.4
CIS-ESX7:2.7</x:v>
      </x:c>
      <x:c r="K66" s="6" t="str">
        <x:v>SC-17</x:v>
      </x:c>
      <x:c r="L66" s="6" t="str">
        <x:v>1 eski soru. Birleştirme İzini bu Kontrol ID ile süzün.</x:v>
      </x:c>
    </x:row>
    <x:row r="67" ht="55" customHeight="1">
      <x:c r="A67" s="6" t="str">
        <x:v>ESX-062</x:v>
      </x:c>
      <x:c r="B67" s="6" t="str">
        <x:v>ESXi 7 AD katılımı ve yönetici grubu</x:v>
      </x:c>
      <x:c r="C67" s="6" t="str">
        <x:v>ESXi 7 AD katılımı ve yönetici grubu kontrolü, aşağıdaki sürüm ve kapsam koşullarında doğrulanıyor mu?</x:v>
      </x:c>
      <x:c r="D67" s="6" t="str">
        <x:v>Merkezi AD kimlik modeli uygulanıyorsa Authentication Proxy ile katılım ve esxAdminsGroup üyeliği yetkili hesaplarla sınırlı olmalı.</x:v>
      </x:c>
      <x:c r="E67" s="6" t="str">
        <x:v>Geniş AD grup üyeliği beklenmeyen host yönetici yetkisi sağlayabilir.</x:v>
      </x:c>
      <x:c r="F67" s="6" t="str">
        <x:v>AD join yöntemi, proxy kaydı, esxAdminsGroup yapılandırması ve gerçek AD üyeleri.</x:v>
      </x:c>
      <x:c r="G67" s="6" t="str">
        <x:v>Host ayarı ile AD grubu üyelerini birlikte incele; merkezi kimlik kullanım kararını mevcut mimariyle eşleştir.</x:v>
      </x:c>
      <x:c r="H67" s="6" t="str">
        <x:v>ESXi 7 ve AD entegrasyonu; alternatif mimari varsa CIS sapması/uygulanabilirliği açık değerlendirilir.</x:v>
      </x:c>
      <x:c r="I67" s="6" t="str">
        <x:v>Değişiklik uygulanmaz; etkin değer ve yapılandırma salt okunur incelenir.</x:v>
      </x:c>
      <x:c r="J67" s="6" t="str">
        <x:v>CIS-ESX7:2.8
CIS-ESX7:4.6
CIS-ESX7:4.7</x:v>
      </x:c>
      <x:c r="K67" s="6" t="str">
        <x:v>AC-2; AC-6; IA-2</x:v>
      </x:c>
      <x:c r="L67" s="6" t="str">
        <x:v>1 eski soru. Birleştirme İzini bu Kontrol ID ile süzün.</x:v>
      </x:c>
    </x:row>
    <x:row r="68" ht="40" customHeight="1">
      <x:c r="A68" s="6" t="str">
        <x:v>ESX-063</x:v>
      </x:c>
      <x:c r="B68" s="6" t="str">
        <x:v>ESXi 7 kişisel yerel yönetici hesabı</x:v>
      </x:c>
      <x:c r="C68" s="6" t="str">
        <x:v>ESXi 7 kişisel yerel yönetici hesabı kontrolü, aşağıdaki sürüm ve kapsam koşullarında doğrulanıyor mu?</x:v>
      </x:c>
      <x:c r="D68" s="6" t="str">
        <x:v>Root dışında kişiye atanmış yetkili yerel yönetici erişim yolu bulunmalı; root günlük ortak hesap olarak kullanılmamalı.</x:v>
      </x:c>
      <x:c r="E68" s="6" t="str">
        <x:v>Ortak root işlemleri kişiye atanamaz; hesap sızıntısı bütün host yönetimini etkiler.</x:v>
      </x:c>
      <x:c r="F68" s="6" t="str">
        <x:v>Host account/role listesi ve yönetim oturum kayıtları.</x:v>
      </x:c>
      <x:c r="G68" s="6" t="str">
        <x:v>Hesap sahipliğini ve gerçek oturum kullanımını karşılaştır.</x:v>
      </x:c>
      <x:c r="H68" s="6" t="str">
        <x:v>ESXi 7.</x:v>
      </x:c>
      <x:c r="I68" s="6" t="str">
        <x:v>Değişiklik uygulanmaz; etkin değer ve yapılandırma salt okunur incelenir.</x:v>
      </x:c>
      <x:c r="J68" s="6" t="str">
        <x:v>CIS-ESX7:4.1</x:v>
      </x:c>
      <x:c r="K68" s="6" t="str">
        <x:v>AC-2; AU-3</x:v>
      </x:c>
      <x:c r="L68" s="6" t="str">
        <x:v>1 eski soru. Birleştirme İzini bu Kontrol ID ile süzün.</x:v>
      </x:c>
    </x:row>
    <x:row r="69" ht="40" customHeight="1">
      <x:c r="A69" s="6" t="str">
        <x:v>ESX-064</x:v>
      </x:c>
      <x:c r="B69" s="6" t="str">
        <x:v>ESXi 7 SSH authorized_keys</x:v>
      </x:c>
      <x:c r="C69" s="6" t="str">
        <x:v>ESXi 7 SSH authorized_keys kontrolü, aşağıdaki sürüm ve kapsam koşullarında doğrulanıyor mu?</x:v>
      </x:c>
      <x:c r="D69" s="6" t="str">
        <x:v>CIS ölçütü: authorized_keys boş olmalı. Onaylı anahtar bulunması kurumsal istisna olabilir ancak bu CIS maddesini geçmez.</x:v>
      </x:c>
      <x:c r="E69" s="6" t="str">
        <x:v>Doğrudan anahtar ile giriş merkezi erişim ve parola yönetim yolunu atlayabilir.</x:v>
      </x:c>
      <x:c r="F69" s="6" t="str">
        <x:v>authorized_keys içeriğinin sır içermeyen parmak izi/boşluk kanıtı; erişim istisnaları.</x:v>
      </x:c>
      <x:c r="G69" s="6" t="str">
        <x:v>Dosyanın boşluğunu kontrol et; anahtarların sadece sahipli olmasını CIS uygunluğu sayma.</x:v>
      </x:c>
      <x:c r="H69" s="6" t="str">
        <x:v>ESXi 7.</x:v>
      </x:c>
      <x:c r="I69" s="6" t="str">
        <x:v>Değişiklik uygulanmaz; etkin değer ve yapılandırma salt okunur incelenir.</x:v>
      </x:c>
      <x:c r="J69" s="6" t="str">
        <x:v>CIS-ESX7:5.7</x:v>
      </x:c>
      <x:c r="K69" s="6" t="str">
        <x:v>AC-6; IA-5</x:v>
      </x:c>
      <x:c r="L69" s="6" t="str">
        <x:v>1 eski soru. Birleştirme İzini bu Kontrol ID ile süzün.</x:v>
      </x:c>
    </x:row>
    <x:row r="70" ht="40" customHeight="1">
      <x:c r="A70" s="6" t="str">
        <x:v>ESX-065</x:v>
      </x:c>
      <x:c r="B70" s="6" t="str">
        <x:v>ESXi 7 açık yapılandırma dosyası bütünlüğü</x:v>
      </x:c>
      <x:c r="C70" s="6" t="str">
        <x:v>ESXi 7 açık yapılandırma dosyası bütünlüğü kontrolü, aşağıdaki sürüm ve kapsam koşullarında doğrulanıyor mu?</x:v>
      </x:c>
      <x:c r="D70" s="6" t="str">
        <x:v>Kaynakta belirtilen host yapılandırma dosyaları onaylı bazdan yetkisiz sapma taşımamalı.</x:v>
      </x:c>
      <x:c r="E70" s="6" t="str">
        <x:v>Açık yönetim dosyalarının değiştirilmesi kalıcı yetki veya saldırı yüzeyi oluşturabilir.</x:v>
      </x:c>
      <x:c r="F70" s="6" t="str">
        <x:v>Kaynak dosya listesi, baz/current hash veya fark raporu, onaylı değişiklikler.</x:v>
      </x:c>
      <x:c r="G70" s="6" t="str">
        <x:v>Dosya bazını ve güncel farkları onay kaydına bağla; yalnız tarih değişimine dayanma.</x:v>
      </x:c>
      <x:c r="H70" s="6" t="str">
        <x:v>ESXi 7.</x:v>
      </x:c>
      <x:c r="I70" s="6" t="str">
        <x:v>Değişiklik uygulanmaz; etkin değer ve yapılandırma salt okunur incelenir.</x:v>
      </x:c>
      <x:c r="J70" s="6" t="str">
        <x:v>CIS-ESX7:5.11</x:v>
      </x:c>
      <x:c r="K70" s="6" t="str">
        <x:v>SI-7; CM-3</x:v>
      </x:c>
      <x:c r="L70" s="6" t="str">
        <x:v>1 eski soru. Birleştirme İzini bu Kontrol ID ile süzün.</x:v>
      </x:c>
    </x:row>
    <x:row r="71" ht="40" customHeight="1">
      <x:c r="A71" s="6" t="str">
        <x:v>ESX-066</x:v>
      </x:c>
      <x:c r="B71" s="6" t="str">
        <x:v>ESXi 7 merkezi core dump</x:v>
      </x:c>
      <x:c r="C71" s="6" t="str">
        <x:v>ESXi 7 merkezi core dump kontrolü, aşağıdaki sürüm ve kapsam koşullarında doğrulanıyor mu?</x:v>
      </x:c>
      <x:c r="D71" s="6" t="str">
        <x:v>Host core dump toplama hedefi merkezi ve onaylı olmalı; dump erişimi müşteri sırlarına göre sınırlandırılmalı.</x:v>
      </x:c>
      <x:c r="E71" s="6" t="str">
        <x:v>Host arızasında teşhis verisi kaybolabilir; dump içindeki müşteri belleği geniş erişime açılabilir.</x:v>
      </x:c>
      <x:c r="F71" s="6" t="str">
        <x:v>Core dump hedef/config, erişim izinleri ve kontrollü mevcut teşhis kaydı.</x:v>
      </x:c>
      <x:c r="G71" s="6" t="str">
        <x:v>Dump üretmek için hostu çökertmeden hedef ve erişimi doğrula; var olan test/olay kanıtını incele.</x:v>
      </x:c>
      <x:c r="H71" s="6" t="str">
        <x:v>ESXi 7.</x:v>
      </x:c>
      <x:c r="I71" s="6" t="str">
        <x:v>Dump hassas veri içerebilir; çalışma dosyasına ham dump alınmaz.</x:v>
      </x:c>
      <x:c r="J71" s="6" t="str">
        <x:v>CIS-ESX7:3.1</x:v>
      </x:c>
      <x:c r="K71" s="6" t="str">
        <x:v>SI-12; AC-6</x:v>
      </x:c>
      <x:c r="L71" s="6" t="str">
        <x:v>Yeni CIS teknik maddesi. CIS Dizinine bakın.</x:v>
      </x:c>
    </x:row>
    <x:row r="72" ht="40" customHeight="1">
      <x:c r="A72" s="6" t="str">
        <x:v>ESX-067</x:v>
      </x:c>
      <x:c r="B72" s="6" t="str">
        <x:v>ESXi 7 gereksiz guest işlevleri</x:v>
      </x:c>
      <x:c r="C72" s="6" t="str">
        <x:v>ESXi 7 gereksiz guest işlevleri kontrolü, aşağıdaki sürüm ve kapsam koşullarında doğrulanıyor mu?</x:v>
      </x:c>
      <x:c r="D72" s="6" t="str">
        <x:v>Misafir içinde gerekmeyen servis ve işlevler kurumsal OS bazına göre kapalı olmalı.</x:v>
      </x:c>
      <x:c r="E72" s="6" t="str">
        <x:v>Gereksiz guest servisleri müşterinin saldırı yüzeyini genişletir.</x:v>
      </x:c>
      <x:c r="F72" s="6" t="str">
        <x:v>Guest servis/port listesi, OS baz dokümanı ve iş yükü gereksinimi.</x:v>
      </x:c>
      <x:c r="G72" s="6" t="str">
        <x:v>Sorumluluk matrisiyle MSP kapsamını ayır; kurum OS bazına göre karşılaştır.</x:v>
      </x:c>
      <x:c r="H72" s="6" t="str">
        <x:v>ESXi 7; MSP tarafından yönetilen guest OS kapsamı.</x:v>
      </x:c>
      <x:c r="I72" s="6" t="str">
        <x:v>Değişiklik uygulanmaz; etkin değer ve yapılandırma salt okunur incelenir.</x:v>
      </x:c>
      <x:c r="J72" s="6" t="str">
        <x:v>CIS-ESX7:8.3.1</x:v>
      </x:c>
      <x:c r="K72" s="6" t="str">
        <x:v>CM-7</x:v>
      </x:c>
      <x:c r="L72" s="6" t="str">
        <x:v>Yeni CIS teknik maddesi. CIS Dizinine bakın.</x:v>
      </x:c>
    </x:row>
    <x:row r="73" ht="40" customHeight="1">
      <x:c r="A73" s="6" t="str">
        <x:v>ESX-068</x:v>
      </x:c>
      <x:c r="B73" s="6" t="str">
        <x:v>ESXi 7 sanal seri port taşıması</x:v>
      </x:c>
      <x:c r="C73" s="6" t="str">
        <x:v>ESXi 7 sanal seri port taşıması kontrolü, aşağıdaki sürüm ve kapsam koşullarında doğrulanıyor mu?</x:v>
      </x:c>
      <x:c r="D73" s="6" t="str">
        <x:v>Ağ üzerinden sanal seri port gerekiyorsa kaynakta desteklenen güvenli protokol kullanılmalı; gereksizse seri port kapalı.</x:v>
      </x:c>
      <x:c r="E73" s="6" t="str">
        <x:v>Sanal seri konsolun açık taşınması yönetim/veri gizliliğini bozar.</x:v>
      </x:c>
      <x:c r="F73" s="6" t="str">
        <x:v>Seri port backing/protokol ayarı ve endpoint güvenliği.</x:v>
      </x:c>
      <x:c r="G73" s="6" t="str">
        <x:v>Her sanal seri portu cihaz gereksinimi ve protokolüyle eşleştir.</x:v>
      </x:c>
      <x:c r="H73" s="6" t="str">
        <x:v>ESXi 7 ve ağ seri portu kullanılan VM’ler.</x:v>
      </x:c>
      <x:c r="I73" s="6" t="str">
        <x:v>Değişiklik uygulanmaz; etkin değer ve yapılandırma salt okunur incelenir.</x:v>
      </x:c>
      <x:c r="J73" s="6" t="str">
        <x:v>CIS-ESX7:8.3.3</x:v>
      </x:c>
      <x:c r="K73" s="6" t="str">
        <x:v>SC-8</x:v>
      </x:c>
      <x:c r="L73" s="6" t="str">
        <x:v>1 eski soru. Birleştirme İzini bu Kontrol ID ile süzün.</x:v>
      </x:c>
    </x:row>
    <x:row r="74" ht="310" customHeight="1">
      <x:c r="A74" s="6" t="str">
        <x:v>ESX-069</x:v>
      </x:c>
      <x:c r="B74" s="6" t="str">
        <x:v>ESXi 7 guest-host masaüstü entegrasyonları</x:v>
      </x:c>
      <x:c r="C74" s="6" t="str">
        <x:v>ESXi 7 guest-host masaüstü entegrasyonları kontrolü, aşağıdaki sürüm ve kapsam koşullarında doğrulanıyor mu?</x:v>
      </x:c>
      <x:c r="D74" s="6" t="str">
        <x:v>Teknik Ölçütler listesindeki 19 entegrasyon bayrağı TRUE; isolation.tools.setGUIOptions.enable FALSE veya ayar yok olmalı. İsim son ekinden değer tahmin edilmez. Kaynak 8.4.19 isolation.tools.ghi.launchmenu.change=TRUE kullanır.</x:v>
      </x:c>
      <x:c r="E74" s="6" t="str">
        <x:v>Gereksiz guest-host entegrasyon kanalları hypervisor/misafir sınırında ek saldırı ve bilgi aktarımı yüzeyi oluşturur.</x:v>
      </x:c>
      <x:c r="F74" s="6" t="str">
        <x:v>VM/template advanced config exportu; her parametre için etkin/varsayılan durum.</x:v>
      </x:c>
      <x:c r="G74" s="6" t="str">
        <x:v>Teknik Ölçütler sayfasındaki her parametre için aynı VM/template üzerinde etkin değeri ve kaynak maddesini ayrı alt test kaydına bağla.</x:v>
      </x:c>
      <x:c r="H74" s="6" t="str">
        <x:v>ESXi 7; yalnız bu sürümün maddeleri, ESXi 8’e kopyalanmaz.</x:v>
      </x:c>
      <x:c r="I74" s="6" t="str">
        <x:v>Masaüstü entegrasyonu kullanan iş yüklerinde işlev kaybı değerlendirilmeli.</x:v>
      </x:c>
      <x:c r="J74" s="6" t="str">
        <x:v>CIS-ESX7:8.4.2
CIS-ESX7:8.4.3
CIS-ESX7:8.4.4
CIS-ESX7:8.4.5
CIS-ESX7:8.4.6
CIS-ESX7:8.4.7
CIS-ESX7:8.4.8
CIS-ESX7:8.4.9
CIS-ESX7:8.4.10
CIS-ESX7:8.4.11
CIS-ESX7:8.4.12
CIS-ESX7:8.4.13
CIS-ESX7:8.4.14
CIS-ESX7:8.4.15
CIS-ESX7:8.4.16
CIS-ESX7:8.4.17
CIS-ESX7:8.4.18
CIS-ESX7:8.4.19
CIS-ESX7:8.4.20
CIS-ESX7:8.4.23</x:v>
      </x:c>
      <x:c r="K74" s="6" t="str">
        <x:v>CM-7; SC-4</x:v>
      </x:c>
      <x:c r="L74" s="6" t="str">
        <x:v>Yeni CIS teknik maddesi. CIS Dizinine bakın.</x:v>
      </x:c>
    </x:row>
    <x:row r="75" ht="40" customHeight="1">
      <x:c r="A75" s="6" t="str">
        <x:v>ESX-070</x:v>
      </x:c>
      <x:c r="B75" s="6" t="str">
        <x:v>ESXi 7 VM kaynak sınırları</x:v>
      </x:c>
      <x:c r="C75" s="6" t="str">
        <x:v>ESXi 7 VM kaynak sınırları kontrolü, aşağıdaki sürüm ve kapsam koşullarında doğrulanıyor mu?</x:v>
      </x:c>
      <x:c r="D75" s="6" t="str">
        <x:v>VM kaynak limit/rezervasyonları hizmet gereksinimi ve kapasite planıyla uyumlu olmalı.</x:v>
      </x:c>
      <x:c r="E75" s="6" t="str">
        <x:v>Bir VM’nin kaynak tüketimi diğer müşteri iş yüklerini etkileyebilir veya aşırı limit kendi hizmetini kesebilir.</x:v>
      </x:c>
      <x:c r="F75" s="6" t="str">
        <x:v>VM CPU/bellek rezervasyon-limitleri ve kapasite planı.</x:v>
      </x:c>
      <x:c r="G75" s="6" t="str">
        <x:v>Kaynak politikasını müşteri hizmet hedefi ve gerçek tüketimle karşılaştır; tek evrensel sayı kullanma.</x:v>
      </x:c>
      <x:c r="H75" s="6" t="str">
        <x:v>ESXi 7.</x:v>
      </x:c>
      <x:c r="I75" s="6" t="str">
        <x:v>Değişiklik uygulanmaz; etkin değer ve yapılandırma salt okunur incelenir.</x:v>
      </x:c>
      <x:c r="J75" s="6" t="str">
        <x:v>CIS-ESX7:8.5.1</x:v>
      </x:c>
      <x:c r="K75" s="6" t="str">
        <x:v>SC-6</x:v>
      </x:c>
      <x:c r="L75" s="6" t="str">
        <x:v>1 eski soru. Birleştirme İzini bu Kontrol ID ile süzün.</x:v>
      </x:c>
    </x:row>
    <x:row r="76" ht="40" customHeight="1">
      <x:c r="A76" s="6" t="str">
        <x:v>ESX-071</x:v>
      </x:c>
      <x:c r="B76" s="6" t="str">
        <x:v>ESXi 7 nonpersistent disk</x:v>
      </x:c>
      <x:c r="C76" s="6" t="str">
        <x:v>ESXi 7 nonpersistent disk kontrolü, aşağıdaki sürüm ve kapsam koşullarında doğrulanıyor mu?</x:v>
      </x:c>
      <x:c r="D76" s="6" t="str">
        <x:v>Nonpersistent disk kullanımı sınırlı/onaylı olmalı; yeniden başlatmada veri/log kaybı riski telafi edilmiş olmalı.</x:v>
      </x:c>
      <x:c r="E76" s="6" t="str">
        <x:v>VM yeniden başlatılması olay kanıtını ve korunması gereken veriyi silebilir.</x:v>
      </x:c>
      <x:c r="F76" s="6" t="str">
        <x:v>Disk mode envanteri, veri/log kalıcılık tasarımı, iş gerekçesi.</x:v>
      </x:c>
      <x:c r="G76" s="6" t="str">
        <x:v>Disk modunu korunan veri gereksinimi ve dış log hedefiyle eşleştir.</x:v>
      </x:c>
      <x:c r="H76" s="6" t="str">
        <x:v>ESXi 7.</x:v>
      </x:c>
      <x:c r="I76" s="6" t="str">
        <x:v>Değişiklik uygulanmaz; etkin değer ve yapılandırma salt okunur incelenir.</x:v>
      </x:c>
      <x:c r="J76" s="6" t="str">
        <x:v>CIS-ESX7:8.6.1</x:v>
      </x:c>
      <x:c r="K76" s="6" t="str">
        <x:v>AU-9; CP-9</x:v>
      </x:c>
      <x:c r="L76" s="6" t="str">
        <x:v>1 eski soru. Birleştirme İzini bu Kontrol ID ile süzün.</x:v>
      </x:c>
    </x:row>
    <x:row r="77" ht="55" customHeight="1">
      <x:c r="A77" s="6" t="str">
        <x:v>ESX-072</x:v>
      </x:c>
      <x:c r="B77" s="6" t="str">
        <x:v>Standart VM dağıtımı</x:v>
      </x:c>
      <x:c r="C77" s="6" t="str">
        <x:v>VM dağıtımı onaylı ve güvenli şablon sürecinden geçiyor mu?</x:v>
      </x:c>
      <x:c r="D77" s="6" t="str">
        <x:v>ESXi 7 kapsamında standart VM dağıtım yöntemi belgeli; kullanılan şablonların varlığı, onaylı yapılandırması ve dağıtım kayıtları doğrulanmış olmalı.</x:v>
      </x:c>
      <x:c r="E77" s="6" t="str">
        <x:v>Risk senaryosu: Yönetimsiz veya farklı yapılandırmalı VM dağıtımı müşteri ortamında bilinen güvenli bazın dışına çıkılmasına neden olabilir.</x:v>
      </x:c>
      <x:c r="F77" s="6" t="str">
        <x:v>Şablon envanteri, onaylı baz, dağıtım prosedürü ve seçilen VM oluşturma kaydı.</x:v>
      </x:c>
      <x:c r="G77" s="6" t="str">
        <x:v>Dağıtılmış VM ile onaylı template/baz sürümünü karşılaştır; dağıtım kaydını ve sonradan değişiklikleri incele.</x:v>
      </x:c>
      <x:c r="H77" s="6" t="str">
        <x:v>CIS ESXi 7 v1.6.0; 8.3.4. ESXi 8 için otomatik madde eşdeğerliği kurulmaz.</x:v>
      </x:c>
      <x:c r="I77" s="6" t="str">
        <x:v>Misafir araç paketleri OS’ye göre değişir; Windows komut adı Linux’ta varsayılmaz.</x:v>
      </x:c>
      <x:c r="J77" s="6" t="str">
        <x:v>CIS-ESX7:8.3.4</x:v>
      </x:c>
      <x:c r="K77" s="6" t="str">
        <x:v>CM-2; CM-6</x:v>
      </x:c>
      <x:c r="L77" s="6" t="str">
        <x:v>Yeni CIS teknik maddesi. CIS Dizinine bakın.</x:v>
      </x:c>
    </x:row>
    <x:row r="78" ht="85" customHeight="1">
      <x:c r="A78" s="6" t="str">
        <x:v>VMW-V10-04</x:v>
      </x:c>
      <x:c r="B78" s="6" t="str">
        <x:v>Snapshot yaşam döngüsü</x:v>
      </x:c>
      <x:c r="C78" s="6" t="str">
        <x:v>Snapshotlar yedek yerine kullanılmıyor; yaş, boyut, sahip ve süre politikasıyla otomatik izleniyor mu?</x:v>
      </x:c>
      <x:c r="D78" s="6" t="str">
        <x:v>Süresi geçmiş/sahipsiz snapshot yoktur; silme/merge işlemi kontrollüdür.</x:v>
      </x:c>
      <x:c r="E78" s="6" t="str">
        <x:v>Risk senaryosu (atıflı kontrol amacından denetçi değerlendirmesi): Snapshot bağımsız kurtarma kopyası sanılırsa kaynak disk veya datastore kaybında dönüş yolu kalmayabilir; kontrolsüz büyüyen snapshot depolama kapasitesini ve hizmeti etkileyebilir.</x:v>
      </x:c>
      <x:c r="F78" s="6" t="str">
        <x:v>Snapshot inventory ve age alarm raporu</x:v>
      </x:c>
      <x:c r="G78" s="6" t="str">
        <x:v>Salt okunur sistem çıktısını onaylı rol, kapsam ve yapılandırma kaydıyla karşılaştır; ölçütteki her koşul için kanıt konumu ve ayrı alt sonucu kaydet. Yalnız görüşme veya ekran görüntüsüyle fiili işleyiş sonucunu kapatma.</x:v>
      </x:c>
      <x:c r="H78" s="6" t="str">
        <x:v>Kurulu ürün/dağıtım, müşteri sözleşmesi ve işlev desteği Kapsam kaydında doğrulanır. Ürün ve sürüme uygun benchmark yoksa üretici kılavuzu ve kurum esası kullanılır; gerekçe yazılır.</x:v>
      </x:c>
      <x:c r="I78" s="6" t="str">
        <x:v>Kurum için onaylı periyot/eşik gerekir; metindeki uygulama örnekleri NIST’in zorunlu ürün parametresi değildir. Üretimde değişiklik veya kesinti testi yapılmaz.</x:v>
      </x:c>
      <x:c r="J78" s="6" t="str">
        <x:v>NIST-53: CP-9; CP-2</x:v>
      </x:c>
      <x:c r="K78" s="6" t="str">
        <x:v>CP-9; CP-2</x:v>
      </x:c>
      <x:c r="L78" s="6" t="str">
        <x:v>1 eski soru. Birleştirme İzini bu Kontrol ID ile süzün.</x:v>
      </x:c>
    </x:row>
  </x:sheetData>
  <x:pageMargins left="0.7" right="0.7" top="0.75" bottom="0.75" header="0.3" footer="0.3"/>
  <x:tableParts count="1">
    <x:tablePart xmlns:r="http://schemas.openxmlformats.org/officeDocument/2006/relationships" r:id="R40bcb4758bcb450e"/>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VMware vCenter</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VCT-007</x:v>
      </x:c>
      <x:c r="B6" s="6" t="str">
        <x:v>Yetki kapsamı</x:v>
      </x:c>
      <x:c r="C6" s="6" t="str">
        <x:v>vCenter global permission ve propagate seçenekleri müşteri kapsamını aşıyor mu?</x:v>
      </x:c>
      <x:c r="D6" s="6" t="str">
        <x:v>Global/kalıtılan yetkiler yalnız gerekli nesneleri kapsamalı.</x:v>
      </x:c>
      <x:c r="E6" s="6" t="str">
        <x:v>Üst klasördeki kalıtım tenant sınırını görünmeden genişletir.</x:v>
      </x:c>
      <x:c r="F6" s="6" t="str">
        <x:v>Global permissions, roller, klasör/resource pool izinleri.</x:v>
      </x:c>
      <x:c r="G6" s="6" t="str">
        <x:v>İki müşteri hesabıyla karşılıklı VM/console/snapshot erişimini salt okunur test et.</x:v>
      </x:c>
      <x:c r="H6" s="6" t="str">
        <x:v>vCenter sürümü ve kimlik entegrasyonu doğrulanmalı.</x:v>
      </x:c>
      <x:c r="I6" s="6" t="str">
        <x:v>Kurulu sürüm/dağıtımın özellik ve lisans desteği kanıtlanır. Test, salt okunur çıktı veya onaylı izole ortamla yürütülür.</x:v>
      </x:c>
      <x:c r="J6" s="6" t="str">
        <x:v>NIST-53: AC-3; BIGR: 4.3.1.4
NIST-53: AC-3; AC-6
BIGR: 3.1.9.9 | 3.1.9.9 — basılı s.61 / PDF 65</x:v>
      </x:c>
      <x:c r="K6" s="6" t="str">
        <x:v>AC-3; AC-6</x:v>
      </x:c>
      <x:c r="L6" s="6" t="str">
        <x:v>2 eski soru. Birleştirme İzini bu Kontrol ID ile süzün.</x:v>
      </x:c>
    </x:row>
    <x:row r="7" ht="70" customHeight="1">
      <x:c r="A7" s="6" t="str">
        <x:v>VCT-008</x:v>
      </x:c>
      <x:c r="B7" s="6" t="str">
        <x:v>SSO</x:v>
      </x:c>
      <x:c r="C7" s="6" t="str">
        <x:v>vCenter SSO parola politikası onaylı baz ile uyumlu mu?</x:v>
      </x:c>
      <x:c r="D7" s="6" t="str">
        <x:v>8.0.3 SCG parola karmaşıklığı ve geçmişiyle veya onaylı eşdeğer politika ile uyum sağlanmalı.</x:v>
      </x:c>
      <x:c r="E7" s="6" t="str">
        <x:v>Yerel SSO hesabı kurumsal kimlik politikasını atlatabilir.</x:v>
      </x:c>
      <x:c r="F7" s="6" t="str">
        <x:v>SSO password policy, local administrator envanteri.</x:v>
      </x:c>
      <x:c r="G7" s="6" t="str">
        <x:v>SSO ile federasyon politikalarını ayrı karşılaştır; acil hesap kullanımını incele.</x:v>
      </x:c>
      <x:c r="H7" s="6" t="str">
        <x:v>vCenter sürümü ve kimlik entegrasyonu doğrulanmalı.</x:v>
      </x:c>
      <x:c r="I7" s="6" t="str">
        <x:v>Kurulu sürüm/dağıtımın özellik ve lisans desteği kanıtlanır. Test, salt okunur çıktı veya onaylı izole ortamla yürütülür.</x:v>
      </x:c>
      <x:c r="J7" s="6" t="str">
        <x:v>VMW-SCG: vcenter-8.administration-sso-password-policy, vcenter-8.administration-sso-password-reuse
NIST-53: IA-5
BIGR: 3.1.12 | 3.1.12 — bölüm başlangıcı; basılı s.68 / PDF 72</x:v>
      </x:c>
      <x:c r="K7" s="6" t="str">
        <x:v>IA-5</x:v>
      </x:c>
      <x:c r="L7" s="6" t="str">
        <x:v>1 eski soru. Birleştirme İzini bu Kontrol ID ile süzün.</x:v>
      </x:c>
    </x:row>
    <x:row r="8" ht="55" customHeight="1">
      <x:c r="A8" s="6" t="str">
        <x:v>VCT-009</x:v>
      </x:c>
      <x:c r="B8" s="6" t="str">
        <x:v>Appliance erişimi</x:v>
      </x:c>
      <x:c r="C8" s="6" t="str">
        <x:v>VCSA SSH erişimi rutin kullanım dışında kapalı mı?</x:v>
      </x:c>
      <x:c r="D8" s="6" t="str">
        <x:v>SSH kapalı; geçici açma işlemleri onaylı ve süreli olmalı.</x:v>
      </x:c>
      <x:c r="E8" s="6" t="str">
        <x:v>Appliance kabuğu vCenter içi rol sınırlarını aşan kontrol verir.</x:v>
      </x:c>
      <x:c r="F8" s="6" t="str">
        <x:v>VAMI SSH durumu, değişiklik kaydı.</x:v>
      </x:c>
      <x:c r="G8" s="6" t="str">
        <x:v>Güncel servis durumunu son bakım kaydıyla karşılaştır.</x:v>
      </x:c>
      <x:c r="H8" s="6" t="str">
        <x:v>vCenter sürümü ve kimlik entegrasyonu doğrulanmalı.</x:v>
      </x:c>
      <x:c r="I8" s="6" t="str">
        <x:v>Kurulu sürüm/dağıtımın özellik ve lisans desteği kanıtlanır. Test, salt okunur çıktı veya onaylı izole ortamla yürütülür.</x:v>
      </x:c>
      <x:c r="J8" s="6" t="str">
        <x:v>VMW-SCG: vcenter-8.vami-access-ssh
NIST-53: CM-7; AC-6
BIGR: 3.1.9.4 | 3.1.9.4 — basılı s.61 / PDF 65</x:v>
      </x:c>
      <x:c r="K8" s="6" t="str">
        <x:v>CM-7; AC-6</x:v>
      </x:c>
      <x:c r="L8" s="6" t="str">
        <x:v>1 eski soru. Birleştirme İzini bu Kontrol ID ile süzün.</x:v>
      </x:c>
    </x:row>
    <x:row r="9" ht="55" customHeight="1">
      <x:c r="A9" s="6" t="str">
        <x:v>VCT-011</x:v>
      </x:c>
      <x:c r="B9" s="6" t="str">
        <x:v>Kurtarma</x:v>
      </x:c>
      <x:c r="C9" s="6" t="str">
        <x:v>vCenter konfigürasyonu ve gerekli kimlik/anahtar bağımlılıkları yedekten geri alınabiliyor mu?</x:v>
      </x:c>
      <x:c r="D9" s="6" t="str">
        <x:v>Desteklenen yedekleme yöntemi ve test edilmiş geri dönüş planı bulunmalı.</x:v>
      </x:c>
      <x:c r="E9" s="6" t="str">
        <x:v>Hostlar çalışsa da yönetim ve hizmet sağlama durur.</x:v>
      </x:c>
      <x:c r="F9" s="6" t="str">
        <x:v>VCSA yedek görevleri, yedek erişim yetkileri, restore test raporu.</x:v>
      </x:c>
      <x:c r="G9" s="6" t="str">
        <x:v>İzole ortamda yapılan son restore testinin envanter/kimlik işlevlerini doğruladığını kontrol et.</x:v>
      </x:c>
      <x:c r="H9" s="6" t="str">
        <x:v>vCenter sürümü ve kimlik entegrasyonu doğrulanmalı.</x:v>
      </x:c>
      <x:c r="I9" s="6" t="str">
        <x:v>Kurulu sürüm/dağıtımın özellik ve lisans desteği kanıtlanır. Test, salt okunur çıktı veya onaylı izole ortamla yürütülür.</x:v>
      </x:c>
      <x:c r="J9" s="6" t="str">
        <x:v>NIST-53: CP-9, CP-10
NIST-53: CP-9; CP-10
BIGR: 3.1.13.4 | 3.1.13.4 — basılı s.74 / PDF 78</x:v>
      </x:c>
      <x:c r="K9" s="6" t="str">
        <x:v>CP-9; CP-10</x:v>
      </x:c>
      <x:c r="L9" s="6" t="str">
        <x:v>2 eski soru. Birleştirme İzini bu Kontrol ID ile süzün.</x:v>
      </x:c>
    </x:row>
    <x:row r="10" ht="70" customHeight="1">
      <x:c r="A10" s="6" t="str">
        <x:v>VMW-V01-01</x:v>
      </x:c>
      <x:c r="B10" s="6" t="str">
        <x:v>Kimlik ve erişim yönetimi</x:v>
      </x:c>
      <x:c r="C10" s="6" t="str">
        <x:v>vCenter kurumsal kimlik entegrasyonu ve yerel hesap istisnaları kontrol ediliyor mu?</x:v>
      </x:c>
      <x:c r="D10" s="6" t="str">
        <x:v>SSO/identity federation kullanımı kurulu sürümün desteğiyle doğrulanmalı; kimlik kaynağı kesintisindeki yerel erişim sahipli, korumalı ve izlenebilir olmalı.</x:v>
      </x:c>
      <x:c r="E10" s="6" t="str">
        <x:v>vCenter kimlik ve ayrıcalıklı erişim yönetimi yeterli değilse, gereğinden geniş, sahipsiz veya zamanında kapatılmamış hesaplar yetkisiz erişim ve işlem riskini artırır.</x:v>
      </x:c>
      <x:c r="F10" s="6" t="str">
        <x:v>SSO yapılandırması, kullanıcı/rol exportu, login logları</x:v>
      </x:c>
      <x:c r="G10" s="6" t="str">
        <x:v>Salt okunur sistem çıktısını onaylı rol, kapsam ve yapılandırma kaydıyla karşılaştır; ölçütteki her koşul için kanıt konumu ve ayrı alt sonucu kaydet. Yalnız görüşme veya ekran görüntüsüyle fiili işleyiş sonucunu kapatma.</x:v>
      </x:c>
      <x:c r="H10" s="6" t="str">
        <x:v>Kurulu ürün/dağıtım, müşteri sözleşmesi ve işlev desteği Kapsam kaydında doğrulanır. Tüm hizmetlerde uygulanır; ürün merkezi kimliği desteklemiyorsa telafi edici kontrol aranır.</x:v>
      </x:c>
      <x:c r="I10" s="6" t="str">
        <x:v>Kurum için onaylı periyot/eşik gerekir; metindeki uygulama örnekleri NIST’in zorunlu ürün parametresi değildir. Üretimde değişiklik veya kesinti testi yapılmaz.</x:v>
      </x:c>
      <x:c r="J10" s="6" t="str">
        <x:v>NIST-53: IA-2; AC-2</x:v>
      </x:c>
      <x:c r="K10" s="6" t="str">
        <x:v>IA-2; AC-2</x:v>
      </x:c>
      <x:c r="L10" s="6" t="str">
        <x:v>1 eski soru. Birleştirme İzini bu Kontrol ID ile süzün.</x:v>
      </x:c>
    </x:row>
    <x:row r="11" ht="85" customHeight="1">
      <x:c r="A11" s="6" t="str">
        <x:v>VMW-V11-01</x:v>
      </x:c>
      <x:c r="B11" s="6" t="str">
        <x:v>Küme sürekliliği ve kapasite</x:v>
      </x:c>
      <x:c r="C11" s="6" t="str">
        <x:v>HA admission control, datastore/network heartbeat ve DRS kuralları müşteri kritikliği ve failure-domain tasarımıyla uyumlu mu?</x:v>
      </x:c>
      <x:c r="D11" s="6" t="str">
        <x:v>Tekil arızada kapasite ve yerleşim kuralları kritik iş yüklerini korur.</x:v>
      </x:c>
      <x:c r="E11" s="6" t="str">
        <x:v>Risk senaryosu (atıflı kontrol amacından denetçi değerlendirmesi): Küme kaybı için yeterli kapasite ve yerleşim kuralı yoksa host arızası sonrasında kritik VM'ler başlatılamayabilir; ilişkili bileşenler aynı hata alanında birlikte kaybedilebilir.</x:v>
      </x:c>
      <x:c r="F11" s="6" t="str">
        <x:v>Cluster HA/DRS config ve failover testleri</x:v>
      </x:c>
      <x:c r="G11" s="6" t="str">
        <x:v>Salt okunur sistem çıktısını onaylı rol, kapsam ve yapılandırma kaydıyla karşılaştır; ölçütteki her koşul için kanıt konumu ve ayrı alt sonucu kaydet. Yalnız görüşme veya ekran görüntüsüyle fiili işleyiş sonucunu kapatma.</x:v>
      </x:c>
      <x:c r="H11" s="6" t="str">
        <x:v>Kurulu ürün/dağıtım, müşteri sözleşmesi ve işlev desteği Kapsam kaydında doğrulanır. Yedekleme sorumluluğu müşteride ise paylaşılan sorumluluk matrisiyle gerekçelendirilir.</x:v>
      </x:c>
      <x:c r="I11" s="6" t="str">
        <x:v>Kurum için onaylı periyot/eşik gerekir; metindeki uygulama örnekleri NIST’in zorunlu ürün parametresi değildir. Üretimde değişiklik veya kesinti testi yapılmaz.</x:v>
      </x:c>
      <x:c r="J11" s="6" t="str">
        <x:v>NIST-53: CP-2; SC-5</x:v>
      </x:c>
      <x:c r="K11" s="6" t="str">
        <x:v>CP-2; SC-5</x:v>
      </x:c>
      <x:c r="L11" s="6" t="str">
        <x:v>1 eski soru. Birleştirme İzini bu Kontrol ID ile süzün.</x:v>
      </x:c>
    </x:row>
  </x:sheetData>
  <x:pageMargins left="0.7" right="0.7" top="0.75" bottom="0.75" header="0.3" footer="0.3"/>
  <x:tableParts count="1">
    <x:tablePart xmlns:r="http://schemas.openxmlformats.org/officeDocument/2006/relationships" r:id="R892d1c4ce15b4281"/>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VMware vSAN</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85" customHeight="1">
      <x:c r="A6" s="6" t="str">
        <x:v>VMW-V07-02</x:v>
      </x:c>
      <x:c r="B6" s="6" t="str">
        <x:v>Müşteri/tenant izolasyonu</x:v>
      </x:c>
      <x:c r="C6" s="6" t="str">
        <x:v>Datastore ve VM disk işlemleri müşteri yetki sınırını koruyor mu?</x:v>
      </x:c>
      <x:c r="D6" s="6" t="str">
        <x:v>Yetkisiz tenant browse/attach/clone işlemleri reddedilmeli. Storage Policy tek başına erişim yetkilendirmesi sağlamaz; nesne/rol yetkileri ayrıca test edilir.</x:v>
      </x:c>
      <x:c r="E6" s="6" t="str">
        <x:v>Risk senaryosu (atıflı kontrol amacından denetçi değerlendirmesi): Datastore ve sanal disk yetkileri müşteri sınırını aşarsa bir müşteri veya operatör diğer müşterinin diskini okuyabilir, başka VM'ye bağlayabilir, değiştirebilir veya silebilir.</x:v>
      </x:c>
      <x:c r="F6" s="6" t="str">
        <x:v>SPBM/storage policy, datastore ve permission exportu</x:v>
      </x:c>
      <x:c r="G6" s="6" t="str">
        <x:v>Salt okunur sistem çıktısını onaylı rol, kapsam ve yapılandırma kaydıyla karşılaştır; ölçütteki her koşul için kanıt konumu ve ayrı alt sonucu kaydet. Yalnız görüşme veya ekran görüntüsüyle fiili işleyiş sonucunu kapatma.</x:v>
      </x:c>
      <x:c r="H6" s="6" t="str">
        <x:v>Kurulu ürün/dağıtım, müşteri sözleşmesi ve işlev desteği Kapsam kaydında doğrulanır. Tüm hizmetlerde uygulanır; ürün donanım anahtar modülü desteklemiyorsa gerekçe ve telafi kontrolü aranır.</x:v>
      </x:c>
      <x:c r="I6" s="6" t="str">
        <x:v>Kurum için onaylı periyot/eşik gerekir; metindeki uygulama örnekleri NIST’in zorunlu ürün parametresi değildir. Üretimde değişiklik veya kesinti testi yapılmaz.</x:v>
      </x:c>
      <x:c r="J6" s="6" t="str">
        <x:v>NIST-53: AC-3; SC-4</x:v>
      </x:c>
      <x:c r="K6" s="6" t="str">
        <x:v>AC-3; SC-4</x:v>
      </x:c>
      <x:c r="L6" s="6" t="str">
        <x:v>1 eski soru. Birleştirme İzini bu Kontrol ID ile süzün.</x:v>
      </x:c>
    </x:row>
    <x:row r="7" ht="55" customHeight="1">
      <x:c r="A7" s="6" t="str">
        <x:v>VSN-007</x:v>
      </x:c>
      <x:c r="B7" s="6" t="str">
        <x:v>Depolama güvenliği</x:v>
      </x:c>
      <x:c r="C7" s="6" t="str">
        <x:v>vSAN depolama ağı müşteri ve yönetim dışı ağlardan ayrılmış mı?</x:v>
      </x:c>
      <x:c r="D7" s="6" t="str">
        <x:v>vSAN iletişimi ayrılmış/kontrollü ağlarda olmalı; yalnız gerekli uçlar erişebilmeli.</x:v>
      </x:c>
      <x:c r="E7" s="6" t="str">
        <x:v>Depolama trafiğine erişen tenant veri veya hizmet sürekliliğini etkileyebilir.</x:v>
      </x:c>
      <x:c r="F7" s="6" t="str">
        <x:v>VMkernel ağları, VLAN/segment ve erişim kuralları.</x:v>
      </x:c>
      <x:c r="G7" s="6" t="str">
        <x:v>Tenant ağından depolama uçlarına erişimin reddini güvenli test et.</x:v>
      </x:c>
      <x:c r="H7" s="6" t="str">
        <x:v>OSA/ESA mimarisi, vSAN sürümü ve lisansı doğrulanmalı.</x:v>
      </x:c>
      <x:c r="I7" s="6" t="str">
        <x:v>Kurulu sürüm/dağıtımın özellik ve lisans desteği kanıtlanır. Test, salt okunur çıktı veya onaylı izole ortamla yürütülür.</x:v>
      </x:c>
      <x:c r="J7" s="6" t="str">
        <x:v>BIGR: 3.1.9.12
NIST-53: SC-7; AC-4
BIGR: 3.1.9.12 | 3.1.9.12 — basılı s.62 / PDF 66</x:v>
      </x:c>
      <x:c r="K7" s="6" t="str">
        <x:v>SC-7; AC-4</x:v>
      </x:c>
      <x:c r="L7" s="6" t="str">
        <x:v>1 eski soru. Birleştirme İzini bu Kontrol ID ile süzün.</x:v>
      </x:c>
    </x:row>
    <x:row r="8" ht="55" customHeight="1">
      <x:c r="A8" s="6" t="str">
        <x:v>VSN-008</x:v>
      </x:c>
      <x:c r="B8" s="6" t="str">
        <x:v>Şifreleme</x:v>
      </x:c>
      <x:c r="C8" s="6" t="str">
        <x:v>Diskteki veri şifreleme gereksinimi küme ve VM düzeyinde doğru uygulanmış mı?</x:v>
      </x:c>
      <x:c r="D8" s="6" t="str">
        <x:v>Veri sınıfının gerektirdiği şifreleme etkin; vSAN at-rest ve VM encryption ayrımı belgeli olmalı.</x:v>
      </x:c>
      <x:c r="E8" s="6" t="str">
        <x:v>Disk kaybı veya yanlış storage policy kritik veriyi açık bırakır.</x:v>
      </x:c>
      <x:c r="F8" s="6" t="str">
        <x:v>Küme encryption ve storage policy exportu, anahtar sağlayıcı eşlemesi.</x:v>
      </x:c>
      <x:c r="G8" s="6" t="str">
        <x:v>Seçilmiş müşteri VM'sinin fiili depolama politikasını küme ayarıyla karşılaştır.</x:v>
      </x:c>
      <x:c r="H8" s="6" t="str">
        <x:v>Üretici açıklaması VCF 9.0 ESA içindir; diğer sürümlerde özellik eşdeğerliği doğrulanır.</x:v>
      </x:c>
      <x:c r="I8" s="6" t="str">
        <x:v>Kurulu sürüm/dağıtımın özellik ve lisans desteği kanıtlanır. Test, salt okunur çıktı veya onaylı izole ortamla yürütülür.</x:v>
      </x:c>
      <x:c r="J8" s="6" t="str">
        <x:v>VMW-VSAN: at-rest ile Encrypt VM ayrımı
NIST-53: SC-28
BIGR: 4.4.2 | 4.4.2 — bölüm başlangıcı; basılı s.170 / PDF 174</x:v>
      </x:c>
      <x:c r="K8" s="6" t="str">
        <x:v>SC-28</x:v>
      </x:c>
      <x:c r="L8" s="6" t="str">
        <x:v>2 eski soru. Birleştirme İzini bu Kontrol ID ile süzün.</x:v>
      </x:c>
    </x:row>
    <x:row r="9" ht="55" customHeight="1">
      <x:c r="A9" s="6" t="str">
        <x:v>VSN-009</x:v>
      </x:c>
      <x:c r="B9" s="6" t="str">
        <x:v>Anahtar sürekliliği</x:v>
      </x:c>
      <x:c r="C9" s="6" t="str">
        <x:v>vSAN anahtar sağlayıcısının kaybında gerekli anahtarlar güvenli biçimde kurtarılabiliyor mu?</x:v>
      </x:c>
      <x:c r="D9" s="6" t="str">
        <x:v>Anahtar yedeği, erişim kontrolü ve kurtarma testi mevcut olmalı.</x:v>
      </x:c>
      <x:c r="E9" s="6" t="str">
        <x:v>Anahtar kaybı sağlıklı diskler ve yedekler üzerinde kalıcı veri kaybına yol açar.</x:v>
      </x:c>
      <x:c r="F9" s="6" t="str">
        <x:v>KMS/NKP yedek ve kurtarma planı, erişim listesi, test raporu.</x:v>
      </x:c>
      <x:c r="G9" s="6" t="str">
        <x:v>Üretimde anahtar silmeden izole kurtarma kanıtını ve bağımlılıkları incele.</x:v>
      </x:c>
      <x:c r="H9" s="6" t="str">
        <x:v>OSA/ESA mimarisi, vSAN sürümü ve lisansı doğrulanmalı.</x:v>
      </x:c>
      <x:c r="I9" s="6" t="str">
        <x:v>Kurulu sürüm/dağıtımın özellik ve lisans desteği kanıtlanır. Test, salt okunur çıktı veya onaylı izole ortamla yürütülür.</x:v>
      </x:c>
      <x:c r="J9" s="6" t="str">
        <x:v>NIST-53: SC-12
NIST-53: SC-12; CP-9
BIGR: 4.4.2 | 4.4.2 — bölüm başlangıcı; basılı s.170 / PDF 174</x:v>
      </x:c>
      <x:c r="K9" s="6" t="str">
        <x:v>SC-12; CP-9</x:v>
      </x:c>
      <x:c r="L9" s="6" t="str">
        <x:v>2 eski soru. Birleştirme İzini bu Kontrol ID ile süzün.</x:v>
      </x:c>
    </x:row>
    <x:row r="10" ht="55" customHeight="1">
      <x:c r="A10" s="6" t="str">
        <x:v>VSN-010</x:v>
      </x:c>
      <x:c r="B10" s="6" t="str">
        <x:v>Dayanıklılık</x:v>
      </x:c>
      <x:c r="C10" s="6" t="str">
        <x:v>VM depolama politikaları ve hata alanları hizmet dayanıklılık hedefleriyle uyumlu mu?</x:v>
      </x:c>
      <x:c r="D10" s="6" t="str">
        <x:v>Politika uyumluluğu ve hata toleransı onaylı hizmet hedeflerini karşılamalı.</x:v>
      </x:c>
      <x:c r="E10" s="6" t="str">
        <x:v>Aynı hata alanındaki kayıplar birden çok müşterinin verisini erişilemez kılar.</x:v>
      </x:c>
      <x:c r="F10" s="6" t="str">
        <x:v>Storage policy compliance, fault domain yerleşimi, kapasite raporu.</x:v>
      </x:c>
      <x:c r="G10" s="6" t="str">
        <x:v>Bir hata alanı kaybı senaryosunda kullanılabilir kopyaları ve kapasiteyi değerlendir.</x:v>
      </x:c>
      <x:c r="H10" s="6" t="str">
        <x:v>OSA/ESA mimarisi, vSAN sürümü ve lisansı doğrulanmalı.</x:v>
      </x:c>
      <x:c r="I10" s="6" t="str">
        <x:v>Kurulu sürüm/dağıtımın özellik ve lisans desteği kanıtlanır. Test, salt okunur çıktı veya onaylı izole ortamla yürütülür.</x:v>
      </x:c>
      <x:c r="J10" s="6" t="str">
        <x:v>NIST-53: CP-2, CP-10
NIST-53: CP-2; CP-10
BIGR: 3.1.9.2 | 3.1.9.2 — basılı s.61 / PDF 65</x:v>
      </x:c>
      <x:c r="K10" s="6" t="str">
        <x:v>CP-2; CP-10</x:v>
      </x:c>
      <x:c r="L10" s="6" t="str">
        <x:v>2 eski soru. Birleştirme İzini bu Kontrol ID ile süzün.</x:v>
      </x:c>
    </x:row>
    <x:row r="11" ht="55" customHeight="1">
      <x:c r="A11" s="6" t="str">
        <x:v>VSN-011</x:v>
      </x:c>
      <x:c r="B11" s="6" t="str">
        <x:v>Kapasite</x:v>
      </x:c>
      <x:c r="C11" s="6" t="str">
        <x:v>vSAN kapasite ve yeniden eşitleme alarmları sorumlu ekibe ulaşıyor mu?</x:v>
      </x:c>
      <x:c r="D11" s="6" t="str">
        <x:v>Eşikler kapasite planına dayanmalı; alarm ve müdahale kaydı bulunmalı.</x:v>
      </x:c>
      <x:c r="E11" s="6" t="str">
        <x:v>Kapasite doluluğu yeniden koruma işlemini engeller ve veri kaybı riskini artırır.</x:v>
      </x:c>
      <x:c r="F11" s="6" t="str">
        <x:v>Kapasite trendi, alarm eşikleri, resync/backlog olay kayıtları.</x:v>
      </x:c>
      <x:c r="G11" s="6" t="str">
        <x:v>Bir alarmı bilet ve giderim sonucuyla eşleştir.</x:v>
      </x:c>
      <x:c r="H11" s="6" t="str">
        <x:v>OSA/ESA mimarisi, vSAN sürümü ve lisansı doğrulanmalı.</x:v>
      </x:c>
      <x:c r="I11" s="6" t="str">
        <x:v>Kurulu sürüm/dağıtımın özellik ve lisans desteği kanıtlanır. Test, salt okunur çıktı veya onaylı izole ortamla yürütülür.</x:v>
      </x:c>
      <x:c r="J11" s="6" t="str">
        <x:v>NIST-53: SC-6
NIST-53: SI-4; SC-6
BIGR: 3.1.9.2 | 3.1.9.2 — basılı s.61 / PDF 65</x:v>
      </x:c>
      <x:c r="K11" s="6" t="str">
        <x:v>SI-4; SC-6</x:v>
      </x:c>
      <x:c r="L11" s="6" t="str">
        <x:v>3 eski soru. Birleştirme İzini bu Kontrol ID ile süzün.</x:v>
      </x:c>
    </x:row>
  </x:sheetData>
  <x:pageMargins left="0.7" right="0.7" top="0.75" bottom="0.75" header="0.3" footer="0.3"/>
  <x:tableParts count="1">
    <x:tablePart xmlns:r="http://schemas.openxmlformats.org/officeDocument/2006/relationships" r:id="Rdccc11170a794a20"/>
  </x:tableParts>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VMware NSX</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NSX-007</x:v>
      </x:c>
      <x:c r="B6" s="6" t="str">
        <x:v>Mikrosegmentasyon</x:v>
      </x:c>
      <x:c r="C6" s="6" t="str">
        <x:v>DFW politikaları izinli akış dışındaki müşteri geçişlerini engelliyor mu?</x:v>
      </x:c>
      <x:c r="D6" s="6" t="str">
        <x:v>Kaynak/hedef/servis kapsamı onaylı akış matrisiyle aynı olmalı.</x:v>
      </x:c>
      <x:c r="E6" s="6" t="str">
        <x:v>Doğu-batı trafiği üzerinden yatay hareket diğer müşterileri etkiler.</x:v>
      </x:c>
      <x:c r="F6" s="6" t="str">
        <x:v>DFW rule exportu, Applied To kapsamı, akış matrisi.</x:v>
      </x:c>
      <x:c r="G6" s="6" t="str">
        <x:v>İki tenant arasında izinli ve yasaklı akışları iki yönlü güvenli test et.</x:v>
      </x:c>
      <x:c r="H6" s="6" t="str">
        <x:v>NSX-T/NSX sürümü, DFW/Gateway Firewall lisansı ve kurulum kapsamı teyit edilmeli.</x:v>
      </x:c>
      <x:c r="I6" s="6" t="str">
        <x:v>Kurulu sürüm/dağıtımın özellik ve lisans desteği kanıtlanır. Test, salt okunur çıktı veya onaylı izole ortamla yürütülür.</x:v>
      </x:c>
      <x:c r="J6" s="6" t="str">
        <x:v>NIST-53: SC-7; BIGR: 4.3.1.4
NIST-53: AC-4; SC-7
BIGR: 3.1.9.11 | 3.1.9.11 — basılı s.62 / PDF 66</x:v>
      </x:c>
      <x:c r="K6" s="6" t="str">
        <x:v>AC-4; SC-7</x:v>
      </x:c>
      <x:c r="L6" s="6" t="str">
        <x:v>2 eski soru. Birleştirme İzini bu Kontrol ID ile süzün.</x:v>
      </x:c>
    </x:row>
    <x:row r="7" ht="55" customHeight="1">
      <x:c r="A7" s="6" t="str">
        <x:v>NSX-008</x:v>
      </x:c>
      <x:c r="B7" s="6" t="str">
        <x:v>Kural kapsamı</x:v>
      </x:c>
      <x:c r="C7" s="6" t="str">
        <x:v>NSX dinamik grupları ve etiket atama yetkileri doğru VM'leri kapsıyor mu?</x:v>
      </x:c>
      <x:c r="D7" s="6" t="str">
        <x:v>Grup üyeliği tenant envanteriyle mutabık; etiket değiştiren yetkiler sınırlı olmalı.</x:v>
      </x:c>
      <x:c r="E7" s="6" t="str">
        <x:v>Yanlış etiket veya grup ifadesi koruma dışında VM bırakır.</x:v>
      </x:c>
      <x:c r="F7" s="6" t="str">
        <x:v>Grup ifadeleri/üyeleri, VM etiketleri, rol listesi.</x:v>
      </x:c>
      <x:c r="G7" s="6" t="str">
        <x:v>Yeni oluşturulmuş VM örneğinde etkin grup ve kural üyeliğini doğrula.</x:v>
      </x:c>
      <x:c r="H7" s="6" t="str">
        <x:v>NSX-T/NSX sürümü, DFW/Gateway Firewall lisansı ve kurulum kapsamı teyit edilmeli.</x:v>
      </x:c>
      <x:c r="I7" s="6" t="str">
        <x:v>Kurulu sürüm/dağıtımın özellik ve lisans desteği kanıtlanır. Test, salt okunur çıktı veya onaylı izole ortamla yürütülür.</x:v>
      </x:c>
      <x:c r="J7" s="6" t="str">
        <x:v>NIST-53: CM-6
NIST-53: AC-3; CM-6
BIGR: 3.1.9.7 | 3.1.9.7 — basılı s.61 / PDF 65</x:v>
      </x:c>
      <x:c r="K7" s="6" t="str">
        <x:v>AC-3; CM-6</x:v>
      </x:c>
      <x:c r="L7" s="6" t="str">
        <x:v>2 eski soru. Birleştirme İzini bu Kontrol ID ile süzün.</x:v>
      </x:c>
    </x:row>
    <x:row r="8" ht="55" customHeight="1">
      <x:c r="A8" s="6" t="str">
        <x:v>NSX-009</x:v>
      </x:c>
      <x:c r="B8" s="6" t="str">
        <x:v>İstisnalar</x:v>
      </x:c>
      <x:c r="C8" s="6" t="str">
        <x:v>DFW exclusion list sadece onaylı sistemleri içeriyor mu?</x:v>
      </x:c>
      <x:c r="D8" s="6" t="str">
        <x:v>İstisnalar gerekçeli, sahipli ve telafi kontrolüyle izlenmeli; API ve UI listesi tutarlı olmalı.</x:v>
      </x:c>
      <x:c r="E8" s="6" t="str">
        <x:v>İstisna listesindeki VM'ler güvenlik politikasını atlatır.</x:v>
      </x:c>
      <x:c r="F8" s="6" t="str">
        <x:v>Exclusion list UI/API exportu ve istisna onayları.</x:v>
      </x:c>
      <x:c r="G8" s="6" t="str">
        <x:v>GET /policy/api/v1/infra/settings/firewall/security/exclude-list sonucunu UI ile karşılaştır.</x:v>
      </x:c>
      <x:c r="H8" s="6" t="str">
        <x:v>NSX-T/NSX sürümü, DFW/Gateway Firewall lisansı ve kurulum kapsamı teyit edilmeli.</x:v>
      </x:c>
      <x:c r="I8" s="6" t="str">
        <x:v>Kurulu sürüm/dağıtımın özellik ve lisans desteği kanıtlanır. Test, salt okunur çıktı veya onaylı izole ortamla yürütülür.</x:v>
      </x:c>
      <x:c r="J8" s="6" t="str">
        <x:v>VMW-NSX: KB378422, exclusion list doğrulaması
NIST-53: CM-6; SC-7
BIGR: 3.1.9.11 | 3.1.9.11 — basılı s.62 / PDF 66</x:v>
      </x:c>
      <x:c r="K8" s="6" t="str">
        <x:v>CM-6; SC-7</x:v>
      </x:c>
      <x:c r="L8" s="6" t="str">
        <x:v>1 eski soru. Birleştirme İzini bu Kontrol ID ile süzün.</x:v>
      </x:c>
    </x:row>
    <x:row r="9" ht="55" customHeight="1">
      <x:c r="A9" s="6" t="str">
        <x:v>NSX-010</x:v>
      </x:c>
      <x:c r="B9" s="6" t="str">
        <x:v>Yönlendirme</x:v>
      </x:c>
      <x:c r="C9" s="6" t="str">
        <x:v>Tier-0/Tier-1 ve gateway kuralları tenant rotalarının izinsiz birleşmesini engelliyor mu?</x:v>
      </x:c>
      <x:c r="D9" s="6" t="str">
        <x:v>Müşteri route advertisement ve gateway erişimleri onaylı tasarımla sınırlı olmalı.</x:v>
      </x:c>
      <x:c r="E9" s="6" t="str">
        <x:v>Rota sızıntısı sanal ağ izolasyonunu bozar.</x:v>
      </x:c>
      <x:c r="F9" s="6" t="str">
        <x:v>Gateway/routing exportu, north-south akış diyagramı.</x:v>
      </x:c>
      <x:c r="G9" s="6" t="str">
        <x:v>İki tenant rota tablosunu karşılaştır; yetkisiz prefix erişimini test et.</x:v>
      </x:c>
      <x:c r="H9" s="6" t="str">
        <x:v>NSX-T/NSX sürümü, DFW/Gateway Firewall lisansı ve kurulum kapsamı teyit edilmeli.</x:v>
      </x:c>
      <x:c r="I9" s="6" t="str">
        <x:v>Kurulu sürüm/dağıtımın özellik ve lisans desteği kanıtlanır. Test, salt okunur çıktı veya onaylı izole ortamla yürütülür.</x:v>
      </x:c>
      <x:c r="J9" s="6" t="str">
        <x:v>NIST-53: SC-7
NIST-53: AC-4; SC-7
BIGR: 4.3.1.4 | 4.3.1.4 — basılı s.164 / PDF 168</x:v>
      </x:c>
      <x:c r="K9" s="6" t="str">
        <x:v>AC-4; SC-7</x:v>
      </x:c>
      <x:c r="L9" s="6" t="str">
        <x:v>2 eski soru. Birleştirme İzini bu Kontrol ID ile süzün.</x:v>
      </x:c>
    </x:row>
    <x:row r="10" ht="55" customHeight="1">
      <x:c r="A10" s="6" t="str">
        <x:v>NSX-011</x:v>
      </x:c>
      <x:c r="B10" s="6" t="str">
        <x:v>Politika işletimi</x:v>
      </x:c>
      <x:c r="C10" s="6" t="str">
        <x:v>Kritik NSX kural değişikliklerinin etkinliği ve log üretimi test ediliyor mu?</x:v>
      </x:c>
      <x:c r="D10" s="6" t="str">
        <x:v>Etkin kural ve gerçek trafik sonucu eşleşmeli; test olayı kayıtlı olmalı.</x:v>
      </x:c>
      <x:c r="E10" s="6" t="str">
        <x:v>Kural kaydedilmiş olsa da yanlış kapsam veya sıra korumayı etkisiz bırakır.</x:v>
      </x:c>
      <x:c r="F10" s="6" t="str">
        <x:v>Kural sıra/kapsamı, hit/log örneği, değişiklik testi.</x:v>
      </x:c>
      <x:c r="G10" s="6" t="str">
        <x:v>Onaylı test akışını etkin kurala ve loga geri izle.</x:v>
      </x:c>
      <x:c r="H10" s="6" t="str">
        <x:v>NSX-T/NSX sürümü, DFW/Gateway Firewall lisansı ve kurulum kapsamı teyit edilmeli.</x:v>
      </x:c>
      <x:c r="I10" s="6" t="str">
        <x:v>Kurulu sürüm/dağıtımın özellik ve lisans desteği kanıtlanır. Test, salt okunur çıktı veya onaylı izole ortamla yürütülür.</x:v>
      </x:c>
      <x:c r="J10" s="6" t="str">
        <x:v>NIST-53: CM-3, AU-12
NIST-53: CM-3; AU-12
BIGR: 3.1.8 | 3.1.8 — bölüm başlangıcı; basılı s.59 / PDF 63</x:v>
      </x:c>
      <x:c r="K10" s="6" t="str">
        <x:v>CM-3; AU-12</x:v>
      </x:c>
      <x:c r="L10" s="6" t="str">
        <x:v>2 eski soru. Birleştirme İzini bu Kontrol ID ile süzün.</x:v>
      </x:c>
    </x:row>
    <x:row r="11" ht="55" customHeight="1">
      <x:c r="A11" s="6" t="str">
        <x:v>NSX-012</x:v>
      </x:c>
      <x:c r="B11" s="6" t="str">
        <x:v>Kurtarma</x:v>
      </x:c>
      <x:c r="C11" s="6" t="str">
        <x:v>NSX yönetim yedeği ve edge/küme arızası senaryosu doğrulanmış mı?</x:v>
      </x:c>
      <x:c r="D11" s="6" t="str">
        <x:v>Yedekten geri dönüş ve hata senaryoları hizmet hedefini karşılamalı.</x:v>
      </x:c>
      <x:c r="E11" s="6" t="str">
        <x:v>Yönetim kaybı yeni politika uygulamayı; edge arızası tüm müşteri erişimini durdurur.</x:v>
      </x:c>
      <x:c r="F11" s="6" t="str">
        <x:v>NSX backup ayarı, erişim izinleri, restore/failover testleri.</x:v>
      </x:c>
      <x:c r="G11" s="6" t="str">
        <x:v>İzole test kayıtlarında yönetim, ağ ve güvenlik politikasının geri geldiğini doğrula.</x:v>
      </x:c>
      <x:c r="H11" s="6" t="str">
        <x:v>NSX-T/NSX sürümü, DFW/Gateway Firewall lisansı ve kurulum kapsamı teyit edilmeli.</x:v>
      </x:c>
      <x:c r="I11" s="6" t="str">
        <x:v>Kurulu sürüm/dağıtımın özellik ve lisans desteği kanıtlanır. Test, salt okunur çıktı veya onaylı izole ortamla yürütülür.</x:v>
      </x:c>
      <x:c r="J11" s="6" t="str">
        <x:v>NIST-53: CP-9, CP-10
NIST-53: CP-9; CP-10
BIGR: 3.1.13 | 3.1.13 — bölüm başlangıcı; basılı s.74 / PDF 78</x:v>
      </x:c>
      <x:c r="K11" s="6" t="str">
        <x:v>CP-9; CP-10</x:v>
      </x:c>
      <x:c r="L11" s="6" t="str">
        <x:v>2 eski soru. Birleştirme İzini bu Kontrol ID ile süzün.</x:v>
      </x:c>
    </x:row>
    <x:row r="12" ht="70" customHeight="1">
      <x:c r="A12" s="6" t="str">
        <x:v>VMW-V06-06</x:v>
      </x:c>
      <x:c r="B12" s="6" t="str">
        <x:v>Güvenlik ve hizmet izleme</x:v>
      </x:c>
      <x:c r="C12" s="6" t="str">
        <x:v>NSX güvenlik politikası yayınlama hatası, node/edge sağlık kaybı ve log kesintisi alarm üretiyor mu?</x:v>
      </x:c>
      <x:c r="D12" s="6" t="str">
        <x:v>Kontrollü test veya geçmiş olay alarm-SLA zinciriyle doğrulanır.</x:v>
      </x:c>
      <x:c r="E12" s="6" t="str">
        <x:v>Risk senaryosu (atıflı kontrol amacından denetçi değerlendirmesi): Güvenlik politikası dağıtım hatası, node/edge arızası veya kayıt kesintisi alarm üretmezse beklenen koruma uygulanmadan ya da hizmet bozulurken işletim bunu fark etmeyebilir.</x:v>
      </x:c>
      <x:c r="F12" s="6" t="str">
        <x:v>NSX alarm ve olay kayıtları</x:v>
      </x:c>
      <x:c r="G12" s="6" t="str">
        <x:v>Salt okunur sistem çıktısını onaylı rol, kapsam ve yapılandırma kaydıyla karşılaştır; ölçütteki her koşul için kanıt konumu ve ayrı alt sonucu kaydet. Yalnız görüşme veya ekran görüntüsüyle fiili işleyiş sonucunu kapatma.</x:v>
      </x:c>
      <x:c r="H12" s="6" t="str">
        <x:v>Kurulu ürün/dağıtım, müşteri sözleşmesi ve işlev desteği Kapsam kaydında doğrulanır. Yalnız tek müşteriye tahsis edilmiş (dedicated) hizmetlerde gerekçeli olarak daraltılabilir.</x:v>
      </x:c>
      <x:c r="I12" s="6" t="str">
        <x:v>Kurum için onaylı periyot/eşik gerekir; metindeki uygulama örnekleri NIST’in zorunlu ürün parametresi değildir. Üretimde değişiklik veya kesinti testi yapılmaz.</x:v>
      </x:c>
      <x:c r="J12" s="6" t="str">
        <x:v>NIST-53: SI-4; CA-7</x:v>
      </x:c>
      <x:c r="K12" s="6" t="str">
        <x:v>SI-4; CA-7</x:v>
      </x:c>
      <x:c r="L12" s="6" t="str">
        <x:v>1 eski soru. Birleştirme İzini bu Kontrol ID ile süzün.</x:v>
      </x:c>
    </x:row>
  </x:sheetData>
  <x:pageMargins left="0.7" right="0.7" top="0.75" bottom="0.75" header="0.3" footer="0.3"/>
  <x:tableParts count="1">
    <x:tablePart xmlns:r="http://schemas.openxmlformats.org/officeDocument/2006/relationships" r:id="Ra49117c52b8d4759"/>
  </x:tableParts>
</x:worksheet>
</file>

<file path=xl/worksheets/sheet1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VMware Distributed Switch</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VDS-007</x:v>
      </x:c>
      <x:c r="B6" s="6" t="str">
        <x:v>L2 güvenlik</x:v>
      </x:c>
      <x:c r="C6" s="6" t="str">
        <x:v>Dağıtılmış port gruplarında promiscuous mode gereksizse Reject mi?</x:v>
      </x:c>
      <x:c r="D6" s="6" t="str">
        <x:v>SCG bazında Reject; zorunlu appliance istisnası dar kapsamlı ve onaylı olmalı.</x:v>
      </x:c>
      <x:c r="E6" s="6" t="str">
        <x:v>VM kendisine ait olmayan trafiği dinleyebilir.</x:v>
      </x:c>
      <x:c r="F6" s="6" t="str">
        <x:v>VDS/dvPortgroup security policy ve override exportu.</x:v>
      </x:c>
      <x:c r="G6" s="6" t="str">
        <x:v>Üst politika ile port override'larını birlikte kontrol et.</x:v>
      </x:c>
      <x:c r="H6" s="6" t="str">
        <x:v>vCenter üzerinden yönetilen VDS; NSX veya appliance istisnaları ayrıca incelenir.</x:v>
      </x:c>
      <x:c r="I6" s="6" t="str">
        <x:v>Kurulu sürüm/dağıtımın özellik ve lisans desteği kanıtlanır. Test, salt okunur çıktı veya onaylı izole ortamla yürütülür.</x:v>
      </x:c>
      <x:c r="J6" s="6" t="str">
        <x:v>VMW-SCG: vcenter-8.network-reject-promiscuous-mode-dvportgroup
NIST-53: AC-4; SC-7
BIGR: 3.1.9.7 | 3.1.9.7 — basılı s.61 / PDF 65</x:v>
      </x:c>
      <x:c r="K6" s="6" t="str">
        <x:v>AC-4; SC-7</x:v>
      </x:c>
      <x:c r="L6" s="6" t="str">
        <x:v>2 eski soru. Birleştirme İzini bu Kontrol ID ile süzün.</x:v>
      </x:c>
    </x:row>
    <x:row r="7" ht="55" customHeight="1">
      <x:c r="A7" s="6" t="str">
        <x:v>VDS-008</x:v>
      </x:c>
      <x:c r="B7" s="6" t="str">
        <x:v>L2 güvenlik</x:v>
      </x:c>
      <x:c r="C7" s="6" t="str">
        <x:v>Dağıtılmış port gruplarında forged transmits gereksizse Reject mi?</x:v>
      </x:c>
      <x:c r="D7" s="6" t="str">
        <x:v>SCG bazında Reject; ihtiyaç varsa sınırlı istisna bulunmalı.</x:v>
      </x:c>
      <x:c r="E7" s="6" t="str">
        <x:v>Sahte kaynak MAC ile kimlik taklidi veya trafik yönlendirme yapılabilir.</x:v>
      </x:c>
      <x:c r="F7" s="6" t="str">
        <x:v>Forged transmits politika/override ayarları.</x:v>
      </x:c>
      <x:c r="G7" s="6" t="str">
        <x:v>Her tenant port grubunda etkin değeri kontrol et; appliance istisnasını mimariyle eşleştir.</x:v>
      </x:c>
      <x:c r="H7" s="6" t="str">
        <x:v>vCenter üzerinden yönetilen VDS; NSX veya appliance istisnaları ayrıca incelenir.</x:v>
      </x:c>
      <x:c r="I7" s="6" t="str">
        <x:v>Kurulu sürüm/dağıtımın özellik ve lisans desteği kanıtlanır. Test, salt okunur çıktı veya onaylı izole ortamla yürütülür.</x:v>
      </x:c>
      <x:c r="J7" s="6" t="str">
        <x:v>VMW-SCG: vcenter-8.network-reject-forged-transmit-dvportgroup
NIST-53: AC-4; SC-7
BIGR: 3.1.9.7 | 3.1.9.7 — basılı s.61 / PDF 65</x:v>
      </x:c>
      <x:c r="K7" s="6" t="str">
        <x:v>AC-4; SC-7</x:v>
      </x:c>
      <x:c r="L7" s="6" t="str">
        <x:v>2 eski soru. Birleştirme İzini bu Kontrol ID ile süzün.</x:v>
      </x:c>
    </x:row>
    <x:row r="8" ht="55" customHeight="1">
      <x:c r="A8" s="6" t="str">
        <x:v>VDS-009</x:v>
      </x:c>
      <x:c r="B8" s="6" t="str">
        <x:v>L2 güvenlik</x:v>
      </x:c>
      <x:c r="C8" s="6" t="str">
        <x:v>Dağıtılmış port gruplarında MAC address changes gereksizse Reject mi?</x:v>
      </x:c>
      <x:c r="D8" s="6" t="str">
        <x:v>SCG bazında Reject; meşru HA ihtiyacı varsa istisna kontrollü olmalı.</x:v>
      </x:c>
      <x:c r="E8" s="6" t="str">
        <x:v>Misafir MAC değişikliği ağ kimliğini ve kontrolleri atlatabilir.</x:v>
      </x:c>
      <x:c r="F8" s="6" t="str">
        <x:v>MAC changes etkin ayarı, override ve değişiklik onayı.</x:v>
      </x:c>
      <x:c r="G8" s="6" t="str">
        <x:v>Port grubu ve port düzeyindeki kalıtımı karşılaştır.</x:v>
      </x:c>
      <x:c r="H8" s="6" t="str">
        <x:v>vCenter üzerinden yönetilen VDS; NSX veya appliance istisnaları ayrıca incelenir.</x:v>
      </x:c>
      <x:c r="I8" s="6" t="str">
        <x:v>Kurulu sürüm/dağıtımın özellik ve lisans desteği kanıtlanır. Test, salt okunur çıktı veya onaylı izole ortamla yürütülür.</x:v>
      </x:c>
      <x:c r="J8" s="6" t="str">
        <x:v>VMW-SCG: vcenter-8.network-reject-mac-changes-dvportgroup
NIST-53: AC-4; SC-7
BIGR: 3.1.9.7 | 3.1.9.7 — basılı s.61 / PDF 65</x:v>
      </x:c>
      <x:c r="K8" s="6" t="str">
        <x:v>AC-4; SC-7</x:v>
      </x:c>
      <x:c r="L8" s="6" t="str">
        <x:v>2 eski soru. Birleştirme İzini bu Kontrol ID ile süzün.</x:v>
      </x:c>
    </x:row>
    <x:row r="9" ht="55" customHeight="1">
      <x:c r="A9" s="6" t="str">
        <x:v>VDS-010</x:v>
      </x:c>
      <x:c r="B9" s="6" t="str">
        <x:v>Tenant ağı</x:v>
      </x:c>
      <x:c r="C9" s="6" t="str">
        <x:v>VLAN/trunk aralıkları her tenant için gerekli ağlarla sınırlandırılmış mı?</x:v>
      </x:c>
      <x:c r="D9" s="6" t="str">
        <x:v>Port grubu VLAN/trunk ve uplink tasarımı yetkili ağ matrisiyle sınırlı olmalı.</x:v>
      </x:c>
      <x:c r="E9" s="6" t="str">
        <x:v>Geniş trunk bir müşteriye başka müşterinin VLAN'ını açabilir.</x:v>
      </x:c>
      <x:c r="F9" s="6" t="str">
        <x:v>VLAN/trunk listesi, uplink fiziksel switch ayarları.</x:v>
      </x:c>
      <x:c r="G9" s="6" t="str">
        <x:v>Mantıksal ve fiziksel uçları karşılaştır; yanlış VLAN erişimini güvenli test et.</x:v>
      </x:c>
      <x:c r="H9" s="6" t="str">
        <x:v>vCenter üzerinden yönetilen VDS; NSX veya appliance istisnaları ayrıca incelenir.</x:v>
      </x:c>
      <x:c r="I9" s="6" t="str">
        <x:v>Kurulu sürüm/dağıtımın özellik ve lisans desteği kanıtlanır. Test, salt okunur çıktı veya onaylı izole ortamla yürütülür.</x:v>
      </x:c>
      <x:c r="J9" s="6" t="str">
        <x:v>NIST-53: SC-7
NIST-53: AC-4; SC-7
BIGR: 4.3.1.4 | 4.3.1.4 — basılı s.164 / PDF 168</x:v>
      </x:c>
      <x:c r="K9" s="6" t="str">
        <x:v>AC-4; SC-7</x:v>
      </x:c>
      <x:c r="L9" s="6" t="str">
        <x:v>2 eski soru. Birleştirme İzini bu Kontrol ID ile süzün.</x:v>
      </x:c>
    </x:row>
    <x:row r="10" ht="55" customHeight="1">
      <x:c r="A10" s="6" t="str">
        <x:v>VDS-011</x:v>
      </x:c>
      <x:c r="B10" s="6" t="str">
        <x:v>Trafik kopyalama</x:v>
      </x:c>
      <x:c r="C10" s="6" t="str">
        <x:v>Port mirroring ve trafik yakalama yetkileri kontrollü mü?</x:v>
      </x:c>
      <x:c r="D10" s="6" t="str">
        <x:v>Yalnız onaylı hedef/süre; yakalama verisi erişimi sınırlı olmalı.</x:v>
      </x:c>
      <x:c r="E10" s="6" t="str">
        <x:v>Müşteri trafiği başka bir dinleme noktasına gizlice kopyalanabilir.</x:v>
      </x:c>
      <x:c r="F10" s="6" t="str">
        <x:v>Mirror oturumları, hedef portlar, onay ve saklama kaydı.</x:v>
      </x:c>
      <x:c r="G10" s="6" t="str">
        <x:v>Etkin oturumları yetki ve iş emriyle eşleştir.</x:v>
      </x:c>
      <x:c r="H10" s="6" t="str">
        <x:v>vCenter üzerinden yönetilen VDS; NSX veya appliance istisnaları ayrıca incelenir.</x:v>
      </x:c>
      <x:c r="I10" s="6" t="str">
        <x:v>Kurulu sürüm/dağıtımın özellik ve lisans desteği kanıtlanır. Test, salt okunur çıktı veya onaylı izole ortamla yürütülür.</x:v>
      </x:c>
      <x:c r="J10" s="6" t="str">
        <x:v>NIST-53: AC-6, SC-7
NIST-53: AC-6; AU-9
BIGR: 3.1.9.7 | 3.1.9.7 — basılı s.61 / PDF 65</x:v>
      </x:c>
      <x:c r="K10" s="6" t="str">
        <x:v>AC-6; AU-9</x:v>
      </x:c>
      <x:c r="L10" s="6" t="str">
        <x:v>1 eski soru. Birleştirme İzini bu Kontrol ID ile süzün.</x:v>
      </x:c>
    </x:row>
    <x:row r="11" ht="55" customHeight="1">
      <x:c r="A11" s="6" t="str">
        <x:v>VDS-012</x:v>
      </x:c>
      <x:c r="B11" s="6" t="str">
        <x:v>Kurtarma</x:v>
      </x:c>
      <x:c r="C11" s="6" t="str">
        <x:v>VDS konfigürasyonu ve uplink kaybı için kurtarma kanıtı var mı?</x:v>
      </x:c>
      <x:c r="D11" s="6" t="str">
        <x:v>Geri alınabilir konfigürasyon ve uplink arıza testi bulunmalı.</x:v>
      </x:c>
      <x:c r="E11" s="6" t="str">
        <x:v>Hatalı switch değişikliği VM ve yönetim bağlantısını birlikte kesebilir.</x:v>
      </x:c>
      <x:c r="F11" s="6" t="str">
        <x:v>VDS yedeği/exportu, uplink yerleşimi, failover testi.</x:v>
      </x:c>
      <x:c r="G11" s="6" t="str">
        <x:v>Yedek kapsamını port gruplarıyla karşılaştır; testte müşteri bağlantı sonucunu incele.</x:v>
      </x:c>
      <x:c r="H11" s="6" t="str">
        <x:v>vCenter üzerinden yönetilen VDS; NSX veya appliance istisnaları ayrıca incelenir.</x:v>
      </x:c>
      <x:c r="I11" s="6" t="str">
        <x:v>Kurulu sürüm/dağıtımın özellik ve lisans desteği kanıtlanır. Test, salt okunur çıktı veya onaylı izole ortamla yürütülür.</x:v>
      </x:c>
      <x:c r="J11" s="6" t="str">
        <x:v>NIST-53: CP-9, CP-10
NIST-53: CP-9; CP-10
BIGR: 3.1.13.4 | 3.1.13.4 — basılı s.74 / PDF 78</x:v>
      </x:c>
      <x:c r="K11" s="6" t="str">
        <x:v>CP-9; CP-10</x:v>
      </x:c>
      <x:c r="L11" s="6" t="str">
        <x:v>2 eski soru. Birleştirme İzini bu Kontrol ID ile süzün.</x:v>
      </x:c>
    </x:row>
    <x:row r="12" ht="40" customHeight="1">
      <x:c r="A12" s="6" t="str">
        <x:v>VDS-C01</x:v>
      </x:c>
      <x:c r="B12" s="6" t="str">
        <x:v>VDS health check kullanımı</x:v>
      </x:c>
      <x:c r="C12" s="6" t="str">
        <x:v>VDS health check kullanımı kontrolü, aşağıdaki sürüm ve kapsam koşullarında doğrulanıyor mu?</x:v>
      </x:c>
      <x:c r="D12" s="6" t="str">
        <x:v>CIS ESXi 7 bazında VDS health check kapalı olmalı; onaylı sorun giderme kullanımı süreli sapma olarak kaydedilir.</x:v>
      </x:c>
      <x:c r="E12" s="6" t="str">
        <x:v>Gereksiz health-check trafiği fiziksel ağda operasyonel etki ve görünürlük oluşturabilir.</x:v>
      </x:c>
      <x:c r="F12" s="6" t="str">
        <x:v>VDS health check etkin ayarları, sorun giderme onayı ve kapatma kaydı.</x:v>
      </x:c>
      <x:c r="G12" s="6" t="str">
        <x:v>Etkinlik durumunu incele; bakım sonrasında kapandığını doğrula.</x:v>
      </x:c>
      <x:c r="H12" s="6" t="str">
        <x:v>ESXi 7 benchmarkının VDS maddesi; sürüm eşdeğerliği ayrıca doğrulanır.</x:v>
      </x:c>
      <x:c r="I12" s="6" t="str">
        <x:v>Ağ teşhis kabiliyeti etkilenir; denetimde ayar değiştirilmez.</x:v>
      </x:c>
      <x:c r="J12" s="6" t="str">
        <x:v>CIS-ESX7:2.9</x:v>
      </x:c>
      <x:c r="K12" s="6" t="str">
        <x:v>CM-6</x:v>
      </x:c>
      <x:c r="L12" s="6" t="str">
        <x:v>Yeni CIS teknik maddesi. CIS Dizinine bakın.</x:v>
      </x:c>
    </x:row>
    <x:row r="13" ht="40" customHeight="1">
      <x:c r="A13" s="6" t="str">
        <x:v>VDS-C02</x:v>
      </x:c>
      <x:c r="B13" s="6" t="str">
        <x:v>VDS NetFlow hedefi</x:v>
      </x:c>
      <x:c r="C13" s="6" t="str">
        <x:v>VDS NetFlow hedefi kontrolü, aşağıdaki sürüm ve kapsam koşullarında doğrulanıyor mu?</x:v>
      </x:c>
      <x:c r="D13" s="6" t="str">
        <x:v>NetFlow kullanılıyorsa akış kayıtları yalnız onaylı toplayıcıya gönderilmeli.</x:v>
      </x:c>
      <x:c r="E13" s="6" t="str">
        <x:v>Müşteri ağ metadata’sı yetkisiz toplayıcıya aktarılabilir.</x:v>
      </x:c>
      <x:c r="F13" s="6" t="str">
        <x:v>VDS NetFlow exporter/hedef ayarı ve toplayıcı yetki/kayıt örneği.</x:v>
      </x:c>
      <x:c r="G13" s="6" t="str">
        <x:v>Hedef IP ve collector kimliğini onaylı izleme mimarisiyle eşleştir.</x:v>
      </x:c>
      <x:c r="H13" s="6" t="str">
        <x:v>ESXi 7 benchmarkı; VDS NetFlow kullanılıyorsa.</x:v>
      </x:c>
      <x:c r="I13" s="6" t="str">
        <x:v>Akış metadata’sının mahremiyeti ve saklama süresi gözetilir.</x:v>
      </x:c>
      <x:c r="J13" s="6" t="str">
        <x:v>CIS-ESX7:7.7</x:v>
      </x:c>
      <x:c r="K13" s="6" t="str">
        <x:v>AC-4; AU-9</x:v>
      </x:c>
      <x:c r="L13" s="6" t="str">
        <x:v>Yeni CIS teknik maddesi. CIS Dizinine bakın.</x:v>
      </x:c>
    </x:row>
  </x:sheetData>
  <x:pageMargins left="0.7" right="0.7" top="0.75" bottom="0.75" header="0.3" footer="0.3"/>
  <x:tableParts count="1">
    <x:tablePart xmlns:r="http://schemas.openxmlformats.org/officeDocument/2006/relationships" r:id="R05392224225b4342"/>
  </x:tableParts>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VMware vMotion</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VMO-008</x:v>
      </x:c>
      <x:c r="B6" s="6" t="str">
        <x:v>Ağ izolasyonu</x:v>
      </x:c>
      <x:c r="C6" s="6" t="str">
        <x:v>vMotion VMkernel ağları tenant iş yüklerinden ayrılmış mı?</x:v>
      </x:c>
      <x:c r="D6" s="6" t="str">
        <x:v>vMotion ağ erişimi yalnız yetkili hostlar arasında olmalı.</x:v>
      </x:c>
      <x:c r="E6" s="6" t="str">
        <x:v>Müşteri ağı taşıma trafiğine müdahale edebilir veya kaynak tüketebilir.</x:v>
      </x:c>
      <x:c r="F6" s="6" t="str">
        <x:v>VMkernel service, VLAN, routing ve ACL ayarları.</x:v>
      </x:c>
      <x:c r="G6" s="6" t="str">
        <x:v>Tenant test noktasından vMotion uçlarına erişimin reddini doğrula.</x:v>
      </x:c>
      <x:c r="H6" s="6" t="str">
        <x:v>Ayrı uygulama değil vSphere işlevi; ortak kontroller vCenter/ESXi kanıtına bağlantıyla kapatılabilir.</x:v>
      </x:c>
      <x:c r="I6" s="6" t="str">
        <x:v>Kurulu sürüm/dağıtımın özellik ve lisans desteği kanıtlanır. Test, salt okunur çıktı veya onaylı izole ortamla yürütülür.</x:v>
      </x:c>
      <x:c r="J6" s="6" t="str">
        <x:v>NIST-53: SC-7
NIST-53: SC-7; AC-4
BIGR: 3.1.9.7 | 3.1.9.7 — basılı s.61 / PDF 65</x:v>
      </x:c>
      <x:c r="K6" s="6" t="str">
        <x:v>SC-7; AC-4</x:v>
      </x:c>
      <x:c r="L6" s="6" t="str">
        <x:v>2 eski soru. Birleştirme İzini bu Kontrol ID ile süzün.</x:v>
      </x:c>
    </x:row>
    <x:row r="7" ht="55" customHeight="1">
      <x:c r="A7" s="6" t="str">
        <x:v>VMO-009</x:v>
      </x:c>
      <x:c r="B7" s="6" t="str">
        <x:v>Yerleşim sınırı</x:v>
      </x:c>
      <x:c r="C7" s="6" t="str">
        <x:v>Taşıma işlemi VM'yi izin verilmeyen müşteri veya lokasyon havuzuna götürebiliyor mu?</x:v>
      </x:c>
      <x:c r="D7" s="6" t="str">
        <x:v>İzinli hedefler sınıflandırma ve sözleşme sınırlarıyla uyumlu olmalı.</x:v>
      </x:c>
      <x:c r="E7" s="6" t="str">
        <x:v>Taşıma veri yerleşimi ve fiziksel izolasyon şartlarını bozabilir.</x:v>
      </x:c>
      <x:c r="F7" s="6" t="str">
        <x:v>Cluster/datacenter hedef listesi, taşıma yetkileri, görev kayıtları.</x:v>
      </x:c>
      <x:c r="G7" s="6" t="str">
        <x:v>Bir tenant için izinli ve izinsiz hedef yetkilerini karşılaştır.</x:v>
      </x:c>
      <x:c r="H7" s="6" t="str">
        <x:v>Ayrı uygulama değil vSphere işlevi; ortak kontroller vCenter/ESXi kanıtına bağlantıyla kapatılabilir.</x:v>
      </x:c>
      <x:c r="I7" s="6" t="str">
        <x:v>Kurulu sürüm/dağıtımın özellik ve lisans desteği kanıtlanır. Test, salt okunur çıktı veya onaylı izole ortamla yürütülür.</x:v>
      </x:c>
      <x:c r="J7" s="6" t="str">
        <x:v>NIST-53: AC-3; BDDK-2020: md.25
NIST-53: AC-3; SC-32
BIGR: 3.1.9.13 | 3.1.9.13 — basılı s.62 / PDF 66</x:v>
      </x:c>
      <x:c r="K7" s="6" t="str">
        <x:v>AC-3; SC-32</x:v>
      </x:c>
      <x:c r="L7" s="6" t="str">
        <x:v>1 eski soru. Birleştirme İzini bu Kontrol ID ile süzün.</x:v>
      </x:c>
    </x:row>
    <x:row r="8" ht="55" customHeight="1">
      <x:c r="A8" s="6" t="str">
        <x:v>VMO-010</x:v>
      </x:c>
      <x:c r="B8" s="6" t="str">
        <x:v>İşletim testi</x:v>
      </x:c>
      <x:c r="C8" s="6" t="str">
        <x:v>vMotion sonrasında güvenlik politikası ve müşteri ağı aynı şekilde korunuyor mu?</x:v>
      </x:c>
      <x:c r="D8" s="6" t="str">
        <x:v>Taşıma öncesi/sonrası ağ, erişim ve güvenlik kontrolleri eşdeğer olmalı.</x:v>
      </x:c>
      <x:c r="E8" s="6" t="str">
        <x:v>Taşınan VM yanlış ağda veya farklı güvenlik kapsamında kalabilir.</x:v>
      </x:c>
      <x:c r="F8" s="6" t="str">
        <x:v>Görev ID, kaynak/hedef host, ön/son ağ ve DFW üyeliği.</x:v>
      </x:c>
      <x:c r="G8" s="6" t="str">
        <x:v>Test VM taşımasının iki tarafındaki izinli/yasaklı akış sonucunu karşılaştır.</x:v>
      </x:c>
      <x:c r="H8" s="6" t="str">
        <x:v>Ayrı uygulama değil vSphere işlevi; ortak kontroller vCenter/ESXi kanıtına bağlantıyla kapatılabilir.</x:v>
      </x:c>
      <x:c r="I8" s="6" t="str">
        <x:v>Kurulu sürüm/dağıtımın özellik ve lisans desteği kanıtlanır. Test, salt okunur çıktı veya onaylı izole ortamla yürütülür.</x:v>
      </x:c>
      <x:c r="J8" s="6" t="str">
        <x:v>NIST-53: CM-3
NIST-53: CM-3; CA-2
BIGR: 3.1.9.7 | 3.1.9.7 — basılı s.61 / PDF 65</x:v>
      </x:c>
      <x:c r="K8" s="6" t="str">
        <x:v>CM-3; CA-2</x:v>
      </x:c>
      <x:c r="L8" s="6" t="str">
        <x:v>1 eski soru. Birleştirme İzini bu Kontrol ID ile süzün.</x:v>
      </x:c>
    </x:row>
    <x:row r="9" ht="40" customHeight="1">
      <x:c r="A9" s="6" t="str">
        <x:v>VMO-C01</x:v>
      </x:c>
      <x:c r="B9" s="6" t="str">
        <x:v>vMotion şifreleme modu</x:v>
      </x:c>
      <x:c r="C9" s="6" t="str">
        <x:v>vMotion şifreleme modu kontrolü, aşağıdaki sürüm ve kapsam koşullarında doğrulanıyor mu?</x:v>
      </x:c>
      <x:c r="D9" s="6" t="str">
        <x:v>MigrateEncryption=required olmalı; opportunistic aynı güvenceyi vermez.</x:v>
      </x:c>
      <x:c r="E9" s="6" t="str">
        <x:v>Canlı taşımadaki VM belleği müşteri sırlarını taşıyabilir.</x:v>
      </x:c>
      <x:c r="F9" s="6" t="str">
        <x:v>VM/şablon MigrateEncryption exportu ve kontrollü taşıma testi.</x:v>
      </x:c>
      <x:c r="G9" s="6" t="str">
        <x:v>Tüm seçili VM değerlerini incele; şifrelemesiz uçla taşımanın reddine ilişkin test kanıtını doğrula.</x:v>
      </x:c>
      <x:c r="H9" s="6" t="str">
        <x:v>ESXi 8 VM’leri; başka sürüm için üretici kaynağı ayrıca doğrulanır.</x:v>
      </x:c>
      <x:c r="I9" s="6" t="str">
        <x:v>Taşıma uyumluluğu ve performansı bakım/test ortamında değerlendirilir.</x:v>
      </x:c>
      <x:c r="J9" s="6" t="str">
        <x:v>CIS-ESX8:7.2</x:v>
      </x:c>
      <x:c r="K9" s="6" t="str">
        <x:v>SC-8; SC-13</x:v>
      </x:c>
      <x:c r="L9" s="6" t="str">
        <x:v>2 eski soru. Birleştirme İzini bu Kontrol ID ile süzün.</x:v>
      </x:c>
    </x:row>
  </x:sheetData>
  <x:pageMargins left="0.7" right="0.7" top="0.75" bottom="0.75" header="0.3" footer="0.3"/>
  <x:tableParts count="1">
    <x:tablePart xmlns:r="http://schemas.openxmlformats.org/officeDocument/2006/relationships" r:id="R652a25d17b66436b"/>
  </x:tableParts>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VMware Cloud Director</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VCD-007</x:v>
      </x:c>
      <x:c r="B6" s="6" t="str">
        <x:v>Tenant yetkileri</x:v>
      </x:c>
      <x:c r="C6" s="6" t="str">
        <x:v>Rights bundle ve global role yayınları sadece hedef organizasyonları kapsıyor mu?</x:v>
      </x:c>
      <x:c r="D6" s="6" t="str">
        <x:v>Yayımlanan haklar hizmet sözleşmesi ve rol matrisiyle sınırlı olmalı.</x:v>
      </x:c>
      <x:c r="E6" s="6" t="str">
        <x:v>Geniş rol yayını müşteriye beklenmeyen yönetim kabiliyeti verir.</x:v>
      </x:c>
      <x:c r="F6" s="6" t="str">
        <x:v>Global roles, rights bundles ve published tenants exportu.</x:v>
      </x:c>
      <x:c r="G6" s="6" t="str">
        <x:v>Bir rolün haklarını ve yayımlandığı organizasyonları birlikte kontrol et.</x:v>
      </x:c>
      <x:c r="H6" s="6" t="str">
        <x:v>vCloud Director / VMware Cloud Director; sürüm ve federasyon modeli teyit edilmeli.</x:v>
      </x:c>
      <x:c r="I6" s="6" t="str">
        <x:v>Kurulu sürüm/dağıtımın özellik ve lisans desteği kanıtlanır. Test, salt okunur çıktı veya onaylı izole ortamla yürütülür.</x:v>
      </x:c>
      <x:c r="J6" s="6" t="str">
        <x:v>VMW-VCD: Global Roles, Query Global Role Tenants
NIST-53: AC-3; AC-6
BIGR: 4.3.1.4 | 4.3.1.4 — basılı s.164 / PDF 168</x:v>
      </x:c>
      <x:c r="K6" s="6" t="str">
        <x:v>AC-3; AC-6</x:v>
      </x:c>
      <x:c r="L6" s="6" t="str">
        <x:v>3 eski soru. Birleştirme İzini bu Kontrol ID ile süzün.</x:v>
      </x:c>
    </x:row>
    <x:row r="7" ht="55" customHeight="1">
      <x:c r="A7" s="6" t="str">
        <x:v>VCD-008</x:v>
      </x:c>
      <x:c r="B7" s="6" t="str">
        <x:v>Tenant izolasyonu</x:v>
      </x:c>
      <x:c r="C7" s="6" t="str">
        <x:v>Tenant hesabı başka organizasyonun VM, ağ, katalog ve görevlerini görebiliyor mu?</x:v>
      </x:c>
      <x:c r="D7" s="6" t="str">
        <x:v>İzin verilmeyen çapraz organizasyon okuma/değiştirme reddedilmeli.</x:v>
      </x:c>
      <x:c r="E7" s="6" t="str">
        <x:v>API veya portal üzerinden başka müşterinin verisi açığa çıkar.</x:v>
      </x:c>
      <x:c r="F7" s="6" t="str">
        <x:v>İki tenant test hesabı, API cevapları, rol ve nesne listesi.</x:v>
      </x:c>
      <x:c r="G7" s="6" t="str">
        <x:v>Bilinen test nesnesine diğer tenant ile eriş; kendi nesnesine olumlu erişimle birlikte kaydet.</x:v>
      </x:c>
      <x:c r="H7" s="6" t="str">
        <x:v>vCloud Director / VMware Cloud Director; sürüm ve federasyon modeli teyit edilmeli.</x:v>
      </x:c>
      <x:c r="I7" s="6" t="str">
        <x:v>Kurulu sürüm/dağıtımın özellik ve lisans desteği kanıtlanır. Test, salt okunur çıktı veya onaylı izole ortamla yürütülür.</x:v>
      </x:c>
      <x:c r="J7" s="6" t="str">
        <x:v>NIST-53: AC-3
NIST-53: AC-3; SC-4
BIGR: 4.3.1.4 | 4.3.1.4 — basılı s.164 / PDF 168</x:v>
      </x:c>
      <x:c r="K7" s="6" t="str">
        <x:v>AC-3; SC-4</x:v>
      </x:c>
      <x:c r="L7" s="6" t="str">
        <x:v>3 eski soru. Birleştirme İzini bu Kontrol ID ile süzün.</x:v>
      </x:c>
    </x:row>
    <x:row r="8" ht="70" customHeight="1">
      <x:c r="A8" s="6" t="str">
        <x:v>VCD-009</x:v>
      </x:c>
      <x:c r="B8" s="6" t="str">
        <x:v>Katalog güvenliği</x:v>
      </x:c>
      <x:c r="C8" s="6" t="str">
        <x:v>Paylaşılan katalog ve şablonlarda sırlar veya müşteri kalıntıları temizleniyor mu?</x:v>
      </x:c>
      <x:c r="D8" s="6" t="str">
        <x:v>İmaj onayı, bütünlük kontrolü ve gizli veri temizleme kanıtı olmalı.</x:v>
      </x:c>
      <x:c r="E8" s="6" t="str">
        <x:v>Şablon içindeki token/parola/veri tüm abonelere yayılabilir.</x:v>
      </x:c>
      <x:c r="F8" s="6" t="str">
        <x:v>Katalog paylaşım listesi, imaj üretim ve kontrol kayıtları.</x:v>
      </x:c>
      <x:c r="G8" s="6" t="str">
        <x:v>Bir paylaşılan şablonun kaynağını ve yayım öncesi denetimini kontrol et.</x:v>
      </x:c>
      <x:c r="H8" s="6" t="str">
        <x:v>vCloud Director / VMware Cloud Director; sürüm ve federasyon modeli teyit edilmeli.</x:v>
      </x:c>
      <x:c r="I8" s="6" t="str">
        <x:v>Kurulu sürüm/dağıtımın özellik ve lisans desteği kanıtlanır. Test, salt okunur çıktı veya onaylı izole ortamla yürütülür.</x:v>
      </x:c>
      <x:c r="J8" s="6" t="str">
        <x:v>NIST-53: SI-7
NIST-53: SI-7; MP-6
BIGR: 3.1.9.6; 4.3.1.5 | 3.1.9.6 — basılı s.61 / PDF 65
4.3.1.5 — basılı s.164 / PDF 168</x:v>
      </x:c>
      <x:c r="K8" s="6" t="str">
        <x:v>SI-7; MP-6</x:v>
      </x:c>
      <x:c r="L8" s="6" t="str">
        <x:v>1 eski soru. Birleştirme İzini bu Kontrol ID ile süzün.</x:v>
      </x:c>
    </x:row>
    <x:row r="9" ht="70" customHeight="1">
      <x:c r="A9" s="6" t="str">
        <x:v>VCD-010</x:v>
      </x:c>
      <x:c r="B9" s="6" t="str">
        <x:v>Kaynak kotası</x:v>
      </x:c>
      <x:c r="C9" s="6" t="str">
        <x:v>Organizasyon kaynak kotaları bir tenantın ortak kapasiteyi tüketmesini sınırlandırıyor mu?</x:v>
      </x:c>
      <x:c r="D9" s="6" t="str">
        <x:v>Kotalar kapasite planı ve sözleşmeye göre tanımlı olmalı.</x:v>
      </x:c>
      <x:c r="E9" s="6" t="str">
        <x:v>Aşırı VM/disk/ağ tüketimi diğer müşterilerin hizmetini keser.</x:v>
      </x:c>
      <x:c r="F9" s="6" t="str">
        <x:v>Org VDC kaynak/kota ayarları, tüketim raporu.</x:v>
      </x:c>
      <x:c r="G9" s="6" t="str">
        <x:v>Kota sınırının onaylı test veya geçmiş olayda uygulandığını doğrula.</x:v>
      </x:c>
      <x:c r="H9" s="6" t="str">
        <x:v>vCloud Director / VMware Cloud Director; sürüm ve federasyon modeli teyit edilmeli.</x:v>
      </x:c>
      <x:c r="I9" s="6" t="str">
        <x:v>Kurulu sürüm/dağıtımın özellik ve lisans desteği kanıtlanır. Test, salt okunur çıktı veya onaylı izole ortamla yürütülür.</x:v>
      </x:c>
      <x:c r="J9" s="6" t="str">
        <x:v>NIST-53: SC-6
NIST-53: SC-5; SC-6
BIGR: 3.1.9.2; 4.3.1.7 | 3.1.9.2 — basılı s.61 / PDF 65
4.3.1.7 — basılı s.165 / PDF 169</x:v>
      </x:c>
      <x:c r="K9" s="6" t="str">
        <x:v>SC-5; SC-6</x:v>
      </x:c>
      <x:c r="L9" s="6" t="str">
        <x:v>2 eski soru. Birleştirme İzini bu Kontrol ID ile süzün.</x:v>
      </x:c>
    </x:row>
    <x:row r="10" ht="55" customHeight="1">
      <x:c r="A10" s="6" t="str">
        <x:v>VCD-011</x:v>
      </x:c>
      <x:c r="B10" s="6" t="str">
        <x:v>Hücre güvenliği</x:v>
      </x:c>
      <x:c r="C10" s="6" t="str">
        <x:v>Cloud Director hücreleri ve arka uçlarına yalnız gerekli yönetim yollarından erişiliyor mu?</x:v>
      </x:c>
      <x:c r="D10" s="6" t="str">
        <x:v>Yönetim, veri tabanı ve altyapı bağlantıları ayrı ve sınırlandırılmış olmalı.</x:v>
      </x:c>
      <x:c r="E10" s="6" t="str">
        <x:v>İnternete açık arka uç, tenant portalı dışından ortak kontrol düzlemini tehlikeye atar.</x:v>
      </x:c>
      <x:c r="F10" s="6" t="str">
        <x:v>Hücre/DB ağ diyagramı, firewall ve servis dinleme listesi.</x:v>
      </x:c>
      <x:c r="G10" s="6" t="str">
        <x:v>Dış/tenant ağından arka uç erişim reddini doğrula.</x:v>
      </x:c>
      <x:c r="H10" s="6" t="str">
        <x:v>vCloud Director / VMware Cloud Director; sürüm ve federasyon modeli teyit edilmeli.</x:v>
      </x:c>
      <x:c r="I10" s="6" t="str">
        <x:v>Kurulu sürüm/dağıtımın özellik ve lisans desteği kanıtlanır. Test, salt okunur çıktı veya onaylı izole ortamla yürütülür.</x:v>
      </x:c>
      <x:c r="J10" s="6" t="str">
        <x:v>NIST-53: SC-7
NIST-53: SC-7; CM-7
BIGR: 4.3.1.7 | 4.3.1.7 — basılı s.165 / PDF 169</x:v>
      </x:c>
      <x:c r="K10" s="6" t="str">
        <x:v>SC-7; CM-7</x:v>
      </x:c>
      <x:c r="L10" s="6" t="str">
        <x:v>1 eski soru. Birleştirme İzini bu Kontrol ID ile süzün.</x:v>
      </x:c>
    </x:row>
    <x:row r="11" ht="40" customHeight="1">
      <x:c r="A11" s="6" t="str">
        <x:v>VCD-012</x:v>
      </x:c>
      <x:c r="B11" s="6" t="str">
        <x:v>Kurtarma ve çıkış</x:v>
      </x:c>
      <x:c r="C11" s="6" t="str">
        <x:v>Organizasyon konfigürasyonu ve müşteri verisi geri yüklenip hizmet sonunda teslim edilebiliyor mu?</x:v>
      </x:c>
      <x:c r="D11" s="6" t="str">
        <x:v>Veri tabanı, hücre ayarları ve tenant iş yükleri için tamamlayıcı kurtarma/teslim planı olmalı.</x:v>
      </x:c>
      <x:c r="E11" s="6" t="str">
        <x:v>Yalnız hücre yedeği müşteri hizmetini geri kurmaya yetmeyebilir.</x:v>
      </x:c>
      <x:c r="F11" s="6" t="str">
        <x:v>Yedek kapsamı, tenant restore/export testi, teslim tutanağı.</x:v>
      </x:c>
      <x:c r="G11" s="6" t="str">
        <x:v>Bir organizasyonun rol, ağ, VM ve katalog bağımlılıklarını testle karşılaştır.</x:v>
      </x:c>
      <x:c r="H11" s="6" t="str">
        <x:v>vCloud Director / VMware Cloud Director; sürüm ve federasyon modeli teyit edilmeli.</x:v>
      </x:c>
      <x:c r="I11" s="6" t="str">
        <x:v>Kurulu sürüm/dağıtımın özellik ve lisans desteği kanıtlanır. Test, salt okunur çıktı veya onaylı izole ortamla yürütülür.</x:v>
      </x:c>
      <x:c r="J11" s="6" t="str">
        <x:v>NIST-53: CP-9; CP-10
BIGR: 4.3.1.9 | 4.3.1.9 — basılı s.165 / PDF 169</x:v>
      </x:c>
      <x:c r="K11" s="6" t="str">
        <x:v>CP-9; CP-10</x:v>
      </x:c>
      <x:c r="L11" s="6" t="str">
        <x:v>2 eski soru. Birleştirme İzini bu Kontrol ID ile süzün.</x:v>
      </x:c>
    </x:row>
    <x:row r="12" ht="70" customHeight="1">
      <x:c r="A12" s="6" t="str">
        <x:v>VMW-V08-04</x:v>
      </x:c>
      <x:c r="B12" s="6" t="str">
        <x:v>Müşteri/tenant izolasyonu</x:v>
      </x:c>
      <x:c r="C12" s="6" t="str">
        <x:v>Catalog, vApp template ve content library paylaşımı yalnız hedef organizationlarla sınırlandırılmış mı?</x:v>
      </x:c>
      <x:c r="D12" s="6" t="str">
        <x:v>Özel katalog başka tenantta görünmez; paylaşım listesi onayla eşleşir.</x:v>
      </x:c>
      <x:c r="E12" s="6" t="str">
        <x:v>vCloud Director müşteri alanı ve yetki izolasyonu yeterli değilse, bir müşteri diğerinin verisine, yönetim nesnesine veya hizmet kaynağına erişebilir.</x:v>
      </x:c>
      <x:c r="F12" s="6" t="str">
        <x:v>Catalog sharing ve publish/subscription ayarları</x:v>
      </x:c>
      <x:c r="G12" s="6" t="str">
        <x:v>Salt okunur sistem çıktısını onaylı rol, kapsam ve yapılandırma kaydıyla karşılaştır; ölçütteki her koşul için kanıt konumu ve ayrı alt sonucu kaydet. Yalnız görüşme veya ekran görüntüsüyle fiili işleyiş sonucunu kapatma.</x:v>
      </x:c>
      <x:c r="H12" s="6" t="str">
        <x:v>Kurulu ürün/dağıtım, müşteri sözleşmesi ve işlev desteği Kapsam kaydında doğrulanır. Yalnız tek müşteriye tahsis edilmiş (dedicated) hizmetlerde gerekçeli olarak daraltılabilir.</x:v>
      </x:c>
      <x:c r="I12" s="6" t="str">
        <x:v>Kurum için onaylı periyot/eşik gerekir; metindeki uygulama örnekleri NIST’in zorunlu ürün parametresi değildir. Üretimde değişiklik veya kesinti testi yapılmaz.</x:v>
      </x:c>
      <x:c r="J12" s="6" t="str">
        <x:v>NIST-53: AC-4; SC-4</x:v>
      </x:c>
      <x:c r="K12" s="6" t="str">
        <x:v>AC-4; SC-4</x:v>
      </x:c>
      <x:c r="L12" s="6" t="str">
        <x:v>1 eski soru. Birleştirme İzini bu Kontrol ID ile süzün.</x:v>
      </x:c>
    </x:row>
  </x:sheetData>
  <x:pageMargins left="0.7" right="0.7" top="0.75" bottom="0.75" header="0.3" footer="0.3"/>
  <x:tableParts count="1">
    <x:tablePart xmlns:r="http://schemas.openxmlformats.org/officeDocument/2006/relationships" r:id="R05119f9853ac4d09"/>
  </x:tableParts>
</x:worksheet>
</file>

<file path=xl/worksheets/sheet1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Veeam</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VEE-007</x:v>
      </x:c>
      <x:c r="B6" s="6" t="str">
        <x:v>Yönetim izolasyonu</x:v>
      </x:c>
      <x:c r="C6" s="6" t="str">
        <x:v>Yedekleme altyapısının kimlik ve ağ bağımlılığı üretim ortamı ihlaline dayanıklı mı?</x:v>
      </x:c>
      <x:c r="D6" s="6" t="str">
        <x:v>Ayrı yönetim güven sınırı ve yalnız gerekli iletişimler kurulmuş olmalı.</x:v>
      </x:c>
      <x:c r="E6" s="6" t="str">
        <x:v>Üretim etki alanının ele geçirilmesi yedek sunucusuna da erişim sağlar.</x:v>
      </x:c>
      <x:c r="F6" s="6" t="str">
        <x:v>Backup sunucu domain/forest bilgisi, erişim ACL'leri, yönetici listesi.</x:v>
      </x:c>
      <x:c r="G6" s="6" t="str">
        <x:v>Üretim yöneticisinin yedek yönetim yetkisini ve ağ erişimini karşılaştır.</x:v>
      </x:c>
      <x:c r="H6" s="6" t="str">
        <x:v>VBR sürümü, Windows/Linux sunucu modeli ve Cloud Connect kullanımı teyit edilmeli.</x:v>
      </x:c>
      <x:c r="I6" s="6" t="str">
        <x:v>Kurulu sürüm/dağıtımın özellik ve lisans desteği kanıtlanır. Test, salt okunur çıktı veya onaylı izole ortamla yürütülür.</x:v>
      </x:c>
      <x:c r="J6" s="6" t="str">
        <x:v>VEEAM-SEC: management domain, communication
NIST-53: SC-7; AC-6
BIGR: 3.1.13 | 3.1.13 — bölüm başlangıcı; basılı s.74 / PDF 78</x:v>
      </x:c>
      <x:c r="K6" s="6" t="str">
        <x:v>SC-7; AC-6</x:v>
      </x:c>
      <x:c r="L6" s="6" t="str">
        <x:v>4 eski soru. Birleştirme İzini bu Kontrol ID ile süzün.</x:v>
      </x:c>
    </x:row>
    <x:row r="7" ht="55" customHeight="1">
      <x:c r="A7" s="6" t="str">
        <x:v>VEE-008</x:v>
      </x:c>
      <x:c r="B7" s="6" t="str">
        <x:v>Değişmezlik</x:v>
      </x:c>
      <x:c r="C7" s="6" t="str">
        <x:v>Kritik yedekler silme/değiştirmeye karşı bağımsız korunuyor mu?</x:v>
      </x:c>
      <x:c r="D7" s="6" t="str">
        <x:v>Hizmet hedeflerine uygun immutable/offline kopya; silme yetkisi ayrı ve test edilmiş olmalı.</x:v>
      </x:c>
      <x:c r="E7" s="6" t="str">
        <x:v>Fidye yazılımı üretim ve erişilebilir yedekleri birlikte yok eder.</x:v>
      </x:c>
      <x:c r="F7" s="6" t="str">
        <x:v>Repository immutability ayarı, saklama süresi, kopya listesi, yetkiler.</x:v>
      </x:c>
      <x:c r="G7" s="6" t="str">
        <x:v>Test yedeğini normal backup admin yetkisiyle koruma süresi içinde silememe kanıtını incele.</x:v>
      </x:c>
      <x:c r="H7" s="6" t="str">
        <x:v>VBR sürümü, Windows/Linux sunucu modeli ve Cloud Connect kullanımı teyit edilmeli.</x:v>
      </x:c>
      <x:c r="I7" s="6" t="str">
        <x:v>Kurulu sürüm/dağıtımın özellik ve lisans desteği kanıtlanır. Test, salt okunur çıktı veya onaylı izole ortamla yürütülür.</x:v>
      </x:c>
      <x:c r="J7" s="6" t="str">
        <x:v>VEEAM-HARD: immutability
NIST-53: CP-9; AC-3
BIGR: 3.1.13 | 3.1.13 — bölüm başlangıcı; basılı s.74 / PDF 78</x:v>
      </x:c>
      <x:c r="K7" s="6" t="str">
        <x:v>CP-9; AC-3</x:v>
      </x:c>
      <x:c r="L7" s="6" t="str">
        <x:v>4 eski soru. Birleştirme İzini bu Kontrol ID ile süzün.</x:v>
      </x:c>
    </x:row>
    <x:row r="8" ht="55" customHeight="1">
      <x:c r="A8" s="6" t="str">
        <x:v>VEE-009</x:v>
      </x:c>
      <x:c r="B8" s="6" t="str">
        <x:v>Hardened repository</x:v>
      </x:c>
      <x:c r="C8" s="6" t="str">
        <x:v>Hardened repository kimlik bilgileri tek kullanımlı dağıtım yaklaşımıyla korunuyor mu?</x:v>
      </x:c>
      <x:c r="D8" s="6" t="str">
        <x:v>Tek kullanımlı dağıtım kimlikleri ve sınırlı depo rolleri kurulu sürüm rehberiyle uyumlu olmalı.</x:v>
      </x:c>
      <x:c r="E8" s="6" t="str">
        <x:v>Kalıcı depo kimliği çalınırsa sunucu dışından yedeklere müdahale edilir.</x:v>
      </x:c>
      <x:c r="F8" s="6" t="str">
        <x:v>Repository ekleme/kimlik modeli, OS kullanıcıları, rol ve SSH erişim kayıtları.</x:v>
      </x:c>
      <x:c r="G8" s="6" t="str">
        <x:v>Kalıcı yönetim erişimlerini ve gereksiz ek rollerin yokluğunu kontrol et.</x:v>
      </x:c>
      <x:c r="H8" s="6" t="str">
        <x:v>Hardened repository varsa; diğer modeller için değişmezlik kontrolü ayrıca uygulanır.</x:v>
      </x:c>
      <x:c r="I8" s="6" t="str">
        <x:v>Kurulu sürüm/dağıtımın özellik ve lisans desteği kanıtlanır. Test, salt okunur çıktı veya onaylı izole ortamla yürütülür.</x:v>
      </x:c>
      <x:c r="J8" s="6" t="str">
        <x:v>VEEAM-HARD: single-use credentials, role limitations
NIST-53: IA-5; CM-7
BIGR: 3.1.12 | 3.1.12 — bölüm başlangıcı; basılı s.68 / PDF 72</x:v>
      </x:c>
      <x:c r="K8" s="6" t="str">
        <x:v>IA-5; CM-7</x:v>
      </x:c>
      <x:c r="L8" s="6" t="str">
        <x:v>1 eski soru. Birleştirme İzini bu Kontrol ID ile süzün.</x:v>
      </x:c>
    </x:row>
    <x:row r="9" ht="55" customHeight="1">
      <x:c r="A9" s="6" t="str">
        <x:v>VEE-010</x:v>
      </x:c>
      <x:c r="B9" s="6" t="str">
        <x:v>Şifreleme</x:v>
      </x:c>
      <x:c r="C9" s="6" t="str">
        <x:v>Yedek verisi ve gerekli taşıma kanalları şifreli mi?</x:v>
      </x:c>
      <x:c r="D9" s="6" t="str">
        <x:v>Veri sınıfına uygun backup encryption ve güvenli taşıma uygulanmalı.</x:v>
      </x:c>
      <x:c r="E9" s="6" t="str">
        <x:v>Depo veya ağ erişimi müşteri verisini açığa çıkarır.</x:v>
      </x:c>
      <x:c r="F9" s="6" t="str">
        <x:v>Backup job encryption, network encryption, anahtar erişim/kurtarma kayıtları.</x:v>
      </x:c>
      <x:c r="G9" s="6" t="str">
        <x:v>Bir yedeği izole ortamda yetkili anahtarla açma ve yetkisiz açamama sonucunu incele.</x:v>
      </x:c>
      <x:c r="H9" s="6" t="str">
        <x:v>VBR sürümü, Windows/Linux sunucu modeli ve Cloud Connect kullanımı teyit edilmeli.</x:v>
      </x:c>
      <x:c r="I9" s="6" t="str">
        <x:v>Kurulu sürüm/dağıtımın özellik ve lisans desteği kanıtlanır. Test, salt okunur çıktı veya onaylı izole ortamla yürütülür.</x:v>
      </x:c>
      <x:c r="J9" s="6" t="str">
        <x:v>VEEAM-SEC: backup encryption
NIST-53: SC-8; SC-28
BIGR: 4.4.2 | 4.4.2 — bölüm başlangıcı; basılı s.170 / PDF 174</x:v>
      </x:c>
      <x:c r="K9" s="6" t="str">
        <x:v>SC-8; SC-28</x:v>
      </x:c>
      <x:c r="L9" s="6" t="str">
        <x:v>2 eski soru. Birleştirme İzini bu Kontrol ID ile süzün.</x:v>
      </x:c>
    </x:row>
    <x:row r="10" ht="55" customHeight="1">
      <x:c r="A10" s="6" t="str">
        <x:v>VEE-011</x:v>
      </x:c>
      <x:c r="B10" s="6" t="str">
        <x:v>Kurtarma doğrulaması</x:v>
      </x:c>
      <x:c r="C10" s="6" t="str">
        <x:v>Uygulama ve veri tutarlılığı dahil gerçek geri dönüş testleri yapılıyor mu?</x:v>
      </x:c>
      <x:c r="D10" s="6" t="str">
        <x:v>Kurtarılan veri ve uygulama işlevi RTO/RPO hedefleriyle doğrulanmalı.</x:v>
      </x:c>
      <x:c r="E10" s="6" t="str">
        <x:v>Başarılı backup job, uygulamanın geri döneceğini kanıtlamaz.</x:v>
      </x:c>
      <x:c r="F10" s="6" t="str">
        <x:v>Restore/SureBackup kullanılıyorsa raporu, uygulama kabulü, zaman kayıtları.</x:v>
      </x:c>
      <x:c r="G10" s="6" t="str">
        <x:v>Son kritik servis testinin açılış değil işlev/veri tutarlılığı doğrulaması içerdiğini kontrol et.</x:v>
      </x:c>
      <x:c r="H10" s="6" t="str">
        <x:v>VBR sürümü, Windows/Linux sunucu modeli ve Cloud Connect kullanımı teyit edilmeli.</x:v>
      </x:c>
      <x:c r="I10" s="6" t="str">
        <x:v>Kurulu sürüm/dağıtımın özellik ve lisans desteği kanıtlanır. Test, salt okunur çıktı veya onaylı izole ortamla yürütülür.</x:v>
      </x:c>
      <x:c r="J10" s="6" t="str">
        <x:v>NIST-53: CP-10; BIGR: 3.1.13.4
NIST-53: CP-4; CP-10
BIGR: 3.1.13.4 | 3.1.13.4 — basılı s.74 / PDF 78</x:v>
      </x:c>
      <x:c r="K10" s="6" t="str">
        <x:v>CP-4; CP-10</x:v>
      </x:c>
      <x:c r="L10" s="6" t="str">
        <x:v>3 eski soru. Birleştirme İzini bu Kontrol ID ile süzün.</x:v>
      </x:c>
    </x:row>
    <x:row r="11" ht="55" customHeight="1">
      <x:c r="A11" s="6" t="str">
        <x:v>VEE-012</x:v>
      </x:c>
      <x:c r="B11" s="6" t="str">
        <x:v>Konfigürasyon kurtarma</x:v>
      </x:c>
      <x:c r="C11" s="6" t="str">
        <x:v>Veeam konfigürasyon yedeği şifreli ve üretim sunucusundan bağımsız saklanıyor mu?</x:v>
      </x:c>
      <x:c r="D11" s="6" t="str">
        <x:v>Konfigürasyon yedeği ve erişim/anahtar kurtarma yöntemi mevcut olmalı.</x:v>
      </x:c>
      <x:c r="E11" s="6" t="str">
        <x:v>Backup sunucusu kaybında iş tanımları ve gerekli kimlikler kurtarılamaz.</x:v>
      </x:c>
      <x:c r="F11" s="6" t="str">
        <x:v>Configuration backup ayarı, hedef yetkileri, restore testi.</x:v>
      </x:c>
      <x:c r="G11" s="6" t="str">
        <x:v>Yedeğin son başarılı kaydını ve izole geri alma sonucunu incele.</x:v>
      </x:c>
      <x:c r="H11" s="6" t="str">
        <x:v>VBR sürümü, Windows/Linux sunucu modeli ve Cloud Connect kullanımı teyit edilmeli.</x:v>
      </x:c>
      <x:c r="I11" s="6" t="str">
        <x:v>Kurulu sürüm/dağıtımın özellik ve lisans desteği kanıtlanır. Test, salt okunur çıktı veya onaylı izole ortamla yürütülür.</x:v>
      </x:c>
      <x:c r="J11" s="6" t="str">
        <x:v>VEEAM-CHECK: configuration backup encryption
NIST-53: CP-9; SC-28
BIGR: 3.1.13 | 3.1.13 — bölüm başlangıcı; basılı s.74 / PDF 78</x:v>
      </x:c>
      <x:c r="K11" s="6" t="str">
        <x:v>CP-9; SC-28</x:v>
      </x:c>
      <x:c r="L11" s="6" t="str">
        <x:v>2 eski soru. Birleştirme İzini bu Kontrol ID ile süzün.</x:v>
      </x:c>
    </x:row>
    <x:row r="12" ht="40" customHeight="1">
      <x:c r="A12" s="6" t="str">
        <x:v>VEE-013</x:v>
      </x:c>
      <x:c r="B12" s="6" t="str">
        <x:v>Güvenlik değerlendirmesi</x:v>
      </x:c>
      <x:c r="C12" s="6" t="str">
        <x:v>Security &amp; Compliance Analyzer bulguları değerlendirilip kapatılıyor mu?</x:v>
      </x:c>
      <x:c r="D12" s="6" t="str">
        <x:v>Son analiz, başarısız maddelerin risk kararı ve teknik kapanış kanıtı bulunmalı.</x:v>
      </x:c>
      <x:c r="E12" s="6" t="str">
        <x:v>Yerleşik kontrolün tespit ettiği zayıflıklar fark edilmeden kalır.</x:v>
      </x:c>
      <x:c r="F12" s="6" t="str">
        <x:v>Analyzer exportu, istisnalar, düzeltme kaydı.</x:v>
      </x:c>
      <x:c r="G12" s="6" t="str">
        <x:v>Başarısız veya suppressed maddeleri ayar exportuyla karşılaştır.</x:v>
      </x:c>
      <x:c r="H12" s="6" t="str">
        <x:v>Kurulu sürümde Analyzer varsa. Sonuç tam uyum sertifikası sayılmaz.</x:v>
      </x:c>
      <x:c r="I12" s="6" t="str">
        <x:v>Kurulu sürüm/dağıtımın özellik ve lisans desteği kanıtlanır. Test, salt okunur çıktı veya onaylı izole ortamla yürütülür.</x:v>
      </x:c>
      <x:c r="J12" s="6" t="str">
        <x:v>VEEAM-CHECK: Security &amp; Compliance Analyzer
NIST-53: CA-2; CM-6</x:v>
      </x:c>
      <x:c r="K12" s="6" t="str">
        <x:v>CA-2; CM-6</x:v>
      </x:c>
      <x:c r="L12" s="6" t="str">
        <x:v>2 eski soru. Birleştirme İzini bu Kontrol ID ile süzün.</x:v>
      </x:c>
    </x:row>
    <x:row r="13" ht="55" customHeight="1">
      <x:c r="A13" s="6" t="str">
        <x:v>VEE-014</x:v>
      </x:c>
      <x:c r="B13" s="6" t="str">
        <x:v>Tenant geri dönüşü</x:v>
      </x:c>
      <x:c r="C13" s="6" t="str">
        <x:v>Bir müşteri operatörü başka müşterinin yedeğini listeleyip geri yükleyebiliyor mu?</x:v>
      </x:c>
      <x:c r="D13" s="6" t="str">
        <x:v>Tenant/job/repository ve restore hedef yetkileri onaylı kapsamla sınırlı olmalı.</x:v>
      </x:c>
      <x:c r="E13" s="6" t="str">
        <x:v>Yedek arayüzü tenant veri izolasyonunu atlatabilir.</x:v>
      </x:c>
      <x:c r="F13" s="6" t="str">
        <x:v>Tenant/rol/job eşlemesi, restore yetkileri, iki test hesabı.</x:v>
      </x:c>
      <x:c r="G13" s="6" t="str">
        <x:v>İki müşteri arasında listeleme ve restore yetkisini olumsuz test et.</x:v>
      </x:c>
      <x:c r="H13" s="6" t="str">
        <x:v>VBR sürümü, Windows/Linux sunucu modeli ve Cloud Connect kullanımı teyit edilmeli.</x:v>
      </x:c>
      <x:c r="I13" s="6" t="str">
        <x:v>Kurulu sürüm/dağıtımın özellik ve lisans desteği kanıtlanır. Test, salt okunur çıktı veya onaylı izole ortamla yürütülür.</x:v>
      </x:c>
      <x:c r="J13" s="6" t="str">
        <x:v>NIST-53: AC-3
NIST-53: AC-3; SC-4
BIGR: 4.3.1.4 | 4.3.1.4 — basılı s.164 / PDF 168</x:v>
      </x:c>
      <x:c r="K13" s="6" t="str">
        <x:v>AC-3; SC-4</x:v>
      </x:c>
      <x:c r="L13" s="6" t="str">
        <x:v>3 eski soru. Birleştirme İzini bu Kontrol ID ile süzün.</x:v>
      </x:c>
    </x:row>
    <x:row r="14" ht="70" customHeight="1">
      <x:c r="A14" s="6" t="str">
        <x:v>VEE-V02-03</x:v>
      </x:c>
      <x:c r="B14" s="6" t="str">
        <x:v>Yedek deposu kapasitesi</x:v>
      </x:c>
      <x:c r="C14" s="6" t="str">
        <x:v>Repository kapasitesi, immutability nedeniyle büyüme, SOBR tier ve object storage maliyet/limitleri izleniyor mu?</x:v>
      </x:c>
      <x:c r="D14" s="6" t="str">
        <x:v>Doluluk, offload ve restore kapasitesi RPO/RTO’yu riske atmadan öngörülür.</x:v>
      </x:c>
      <x:c r="E14" s="6" t="str">
        <x:v>Risk senaryosu (atıflı kontrol amacından denetçi değerlendirmesi): Değişmezlik süresince silinemeyen kopyalar ve tier limitleri kapasite planına alınmazsa yeni yedek işi alan bulamayabilir; beklenen kurtarma noktaları oluşmayabilir.</x:v>
      </x:c>
      <x:c r="F14" s="6" t="str">
        <x:v>Capacity trend, SOBR policy ve alarm</x:v>
      </x:c>
      <x:c r="G14" s="6" t="str">
        <x:v>Salt okunur sistem çıktısını onaylı rol, kapsam ve yapılandırma kaydıyla karşılaştır; ölçütteki her koşul için kanıt konumu ve ayrı alt sonucu kaydet. Yalnız görüşme veya ekran görüntüsüyle fiili işleyiş sonucunu kapatma.</x:v>
      </x:c>
      <x:c r="H14" s="6" t="str">
        <x:v>Kurulu ürün/dağıtım, müşteri sözleşmesi ve işlev desteği Kapsam kaydında doğrulanır. Yedekleme sorumluluğu müşteride ise paylaşılan sorumluluk matrisiyle gerekçelendirilir.</x:v>
      </x:c>
      <x:c r="I14" s="6" t="str">
        <x:v>Kurum için onaylı periyot/eşik gerekir; metindeki uygulama örnekleri NIST’in zorunlu ürün parametresi değildir. Üretimde değişiklik veya kesinti testi yapılmaz.</x:v>
      </x:c>
      <x:c r="J14" s="6" t="str">
        <x:v>NIST-53: SC-6; SC-5
VEEAM-SOBR</x:v>
      </x:c>
      <x:c r="K14" s="6" t="str">
        <x:v>SC-6; SC-5</x:v>
      </x:c>
      <x:c r="L14" s="6" t="str">
        <x:v>1 eski soru. Birleştirme İzini bu Kontrol ID ile süzün.</x:v>
      </x:c>
    </x:row>
    <x:row r="15" ht="70" customHeight="1">
      <x:c r="A15" s="6" t="str">
        <x:v>VEE-V04-01</x:v>
      </x:c>
      <x:c r="B15" s="6" t="str">
        <x:v>Yedekleme ve siber dayanıklılık</x:v>
      </x:c>
      <x:c r="C15" s="6" t="str">
        <x:v>Tüm kritik VM/uygulama/veritabanları onaylı backup job ve SLA ile eşleştirilmiş mi?</x:v>
      </x:c>
      <x:c r="D15" s="6" t="str">
        <x:v>Envanterdeki kritik varlıkların job, schedule, retention ve son başarı kaydı vardır.</x:v>
      </x:c>
      <x:c r="E15" s="6" t="str">
        <x:v>Risk senaryosu (atıflı kontrol amacından denetçi değerlendirmesi): Kritik uygulama ve bileşenler yedek işiyle eşleştirilmezse konsolda başarılı işler görünürken envanterdeki bazı hizmetler hiç yedeklenmiyor olabilir.</x:v>
      </x:c>
      <x:c r="F15" s="6" t="str">
        <x:v>CMDB-backup job mutabakatı</x:v>
      </x:c>
      <x:c r="G15" s="6" t="str">
        <x:v>Salt okunur sistem çıktısını onaylı rol, kapsam ve yapılandırma kaydıyla karşılaştır; ölçütteki her koşul için kanıt konumu ve ayrı alt sonucu kaydet. Yalnız görüşme veya ekran görüntüsüyle fiili işleyiş sonucunu kapatma.</x:v>
      </x:c>
      <x:c r="H15" s="6" t="str">
        <x:v>Kurulu ürün/dağıtım, müşteri sözleşmesi ve işlev desteği Kapsam kaydında doğrulanır. Yedekleme sorumluluğu müşteride ise paylaşılan sorumluluk matrisiyle gerekçelendirilir.</x:v>
      </x:c>
      <x:c r="I15" s="6" t="str">
        <x:v>Kurum için onaylı periyot/eşik gerekir; metindeki uygulama örnekleri NIST’in zorunlu ürün parametresi değildir. Üretimde değişiklik veya kesinti testi yapılmaz.</x:v>
      </x:c>
      <x:c r="J15" s="6" t="str">
        <x:v>NIST-53: CP-9; CP-2</x:v>
      </x:c>
      <x:c r="K15" s="6" t="str">
        <x:v>CP-9; CP-2</x:v>
      </x:c>
      <x:c r="L15" s="6" t="str">
        <x:v>1 eski soru. Birleştirme İzini bu Kontrol ID ile süzün.</x:v>
      </x:c>
    </x:row>
    <x:row r="16" ht="70" customHeight="1">
      <x:c r="A16" s="6" t="str">
        <x:v>VEE-V04-02</x:v>
      </x:c>
      <x:c r="B16" s="6" t="str">
        <x:v>Yedekleme ve siber dayanıklılık</x:v>
      </x:c>
      <x:c r="C16" s="6" t="str">
        <x:v>RPO, retention, full/incremental zincir ve application-aware ayarlar iş gereksinimiyle uyumlu mu?</x:v>
      </x:c>
      <x:c r="D16" s="6" t="str">
        <x:v>Canlı ayarlar onaylı RPO/retention ile tutarlıdır; zincir sağlığı doğrulanır.</x:v>
      </x:c>
      <x:c r="E16" s="6" t="str">
        <x:v>Risk senaryosu (atıflı kontrol amacından denetçi değerlendirmesi): Yedek sıklığı, saklama ve uygulama tutarlılığı iş ihtiyacına uymuyorsa geri dönülebilen veri beklenenden eski veya uygulama açısından tutarsız olabilir.</x:v>
      </x:c>
      <x:c r="F16" s="6" t="str">
        <x:v>Job config ve SLA matrisi</x:v>
      </x:c>
      <x:c r="G16" s="6" t="str">
        <x:v>Salt okunur sistem çıktısını onaylı rol, kapsam ve yapılandırma kaydıyla karşılaştır; ölçütteki her koşul için kanıt konumu ve ayrı alt sonucu kaydet. Yalnız görüşme veya ekran görüntüsüyle fiili işleyiş sonucunu kapatma.</x:v>
      </x:c>
      <x:c r="H16" s="6" t="str">
        <x:v>Kurulu ürün/dağıtım, müşteri sözleşmesi ve işlev desteği Kapsam kaydında doğrulanır. Yedekleme sorumluluğu müşteride ise paylaşılan sorumluluk matrisiyle gerekçelendirilir.</x:v>
      </x:c>
      <x:c r="I16" s="6" t="str">
        <x:v>Kurum için onaylı periyot/eşik gerekir; metindeki uygulama örnekleri NIST’in zorunlu ürün parametresi değildir. Üretimde değişiklik veya kesinti testi yapılmaz.</x:v>
      </x:c>
      <x:c r="J16" s="6" t="str">
        <x:v>NIST-53: CP-9; CP-2</x:v>
      </x:c>
      <x:c r="K16" s="6" t="str">
        <x:v>CP-9; CP-2</x:v>
      </x:c>
      <x:c r="L16" s="6" t="str">
        <x:v>1 eski soru. Birleştirme İzini bu Kontrol ID ile süzün.</x:v>
      </x:c>
    </x:row>
    <x:row r="17" ht="70" customHeight="1">
      <x:c r="A17" s="6" t="str">
        <x:v>VEE-V04-05</x:v>
      </x:c>
      <x:c r="B17" s="6" t="str">
        <x:v>Yedekleme işlerinin izlenmesi</x:v>
      </x:c>
      <x:c r="C17" s="6" t="str">
        <x:v>Başarısız, uyarılı, devre dışı, silinmiş veya kapsamı değişmiş backup job olayları merkezi izleniyor mu?</x:v>
      </x:c>
      <x:c r="D17" s="6" t="str">
        <x:v>Kontrollü test olayı SLA içinde alarm ve bilet üretir.</x:v>
      </x:c>
      <x:c r="E17" s="6" t="str">
        <x:v>Risk senaryosu (atıflı kontrol amacından denetçi değerlendirmesi): Başarısız, kapatılmış veya kapsamı daraltılmış iş izlenmezse yedekleme açığı günlerce sürebilir; kurtarma noktası kaybı gerçek olayda anlaşılabilir.</x:v>
      </x:c>
      <x:c r="F17" s="6" t="str">
        <x:v>Job history, audit log, SIEM alarmı</x:v>
      </x:c>
      <x:c r="G17" s="6" t="str">
        <x:v>Salt okunur sistem çıktısını onaylı rol, kapsam ve yapılandırma kaydıyla karşılaştır; ölçütteki her koşul için kanıt konumu ve ayrı alt sonucu kaydet. Yalnız görüşme veya ekran görüntüsüyle fiili işleyiş sonucunu kapatma.</x:v>
      </x:c>
      <x:c r="H17" s="6" t="str">
        <x:v>Kurulu ürün/dağıtım, müşteri sözleşmesi ve işlev desteği Kapsam kaydında doğrulanır. Yedekleme sorumluluğu müşteride ise paylaşılan sorumluluk matrisiyle gerekçelendirilir.</x:v>
      </x:c>
      <x:c r="I17" s="6" t="str">
        <x:v>Kurum için onaylı periyot/eşik gerekir; metindeki uygulama örnekleri NIST’in zorunlu ürün parametresi değildir. Üretimde değişiklik veya kesinti testi yapılmaz.</x:v>
      </x:c>
      <x:c r="J17" s="6" t="str">
        <x:v>NIST-53: SI-4; CA-7</x:v>
      </x:c>
      <x:c r="K17" s="6" t="str">
        <x:v>SI-4; CA-7</x:v>
      </x:c>
      <x:c r="L17" s="6" t="str">
        <x:v>1 eski soru. Birleştirme İzini bu Kontrol ID ile süzün.</x:v>
      </x:c>
    </x:row>
    <x:row r="18" ht="70" customHeight="1">
      <x:c r="A18" s="6" t="str">
        <x:v>VEE-V05-03</x:v>
      </x:c>
      <x:c r="B18" s="6" t="str">
        <x:v>Yedekleme ve siber dayanıklılık</x:v>
      </x:c>
      <x:c r="C18" s="6" t="str">
        <x:v>Yedekten geri dönüş öncesinde zararlı içerik riski değerlendiriliyor mu?</x:v>
      </x:c>
      <x:c r="D18" s="6" t="str">
        <x:v>Kurulu sürüm/entegrasyon destekliyorsa Secure Restore veya doğrulanmış eşdeğer süreç; şüpheli içerik için izole analiz, onay ve kayıt olmalı. Her Veeam kurulumu için aynı özellik desteği varsayılmaz.</x:v>
      </x:c>
      <x:c r="E18" s="6" t="str">
        <x:v>Risk senaryosu (atıflı kontrol amacından denetçi değerlendirmesi): Yedek içindeki zararlı içerik ve ihlal zamanı değerlendirilmezse geri dönüş saldırganın kalıcılığını veya zararlı yazılımı yeniden üretime taşıyabilir.</x:v>
      </x:c>
      <x:c r="F18" s="6" t="str">
        <x:v>Secure Restore config ve olay örneği</x:v>
      </x:c>
      <x:c r="G18" s="6" t="str">
        <x:v>Salt okunur sistem çıktısını onaylı rol, kapsam ve yapılandırma kaydıyla karşılaştır; ölçütteki her koşul için kanıt konumu ve ayrı alt sonucu kaydet. Yalnız görüşme veya ekran görüntüsüyle fiili işleyiş sonucunu kapatma.</x:v>
      </x:c>
      <x:c r="H18" s="6" t="str">
        <x:v>Kurulu ürün/dağıtım, müşteri sözleşmesi ve işlev desteği Kapsam kaydında doğrulanır. Yedekleme sorumluluğu müşteride ise paylaşılan sorumluluk matrisiyle gerekçelendirilir.</x:v>
      </x:c>
      <x:c r="I18" s="6" t="str">
        <x:v>Kurum için onaylı periyot/eşik gerekir; metindeki uygulama örnekleri NIST’in zorunlu ürün parametresi değildir. Üretimde değişiklik veya kesinti testi yapılmaz.</x:v>
      </x:c>
      <x:c r="J18" s="6" t="str">
        <x:v>NIST-53: SI-3; CP-10</x:v>
      </x:c>
      <x:c r="K18" s="6" t="str">
        <x:v>SI-3; CP-10</x:v>
      </x:c>
      <x:c r="L18" s="6" t="str">
        <x:v>1 eski soru. Birleştirme İzini bu Kontrol ID ile süzün.</x:v>
      </x:c>
    </x:row>
    <x:row r="19" ht="70" customHeight="1">
      <x:c r="A19" s="6" t="str">
        <x:v>VEE-V05-04</x:v>
      </x:c>
      <x:c r="B19" s="6" t="str">
        <x:v>Yedekleme ve siber dayanıklılık</x:v>
      </x:c>
      <x:c r="C19" s="6" t="str">
        <x:v>Ransomware sonrası temiz oda/izole recovery ortamı, güvenilir yönetim kimliği ve öncelikli kurtarma sırası test edilmiş mi?</x:v>
      </x:c>
      <x:c r="D19" s="6" t="str">
        <x:v>Üretim kimlik ve ağından bağımsız kurtarma yolu fiilen çalışır.</x:v>
      </x:c>
      <x:c r="E19" s="6" t="str">
        <x:v>Risk senaryosu (atıflı kontrol amacından denetçi değerlendirmesi): Kurtarma ortamı ve yönetim kimliği saldırıdan ayrılmamışsa temizlenmiş sistem yeniden etkilenebilir; bağımlılık sırası bilinmediği için kritik hizmetin dönüşü gecikebilir.</x:v>
      </x:c>
      <x:c r="F19" s="6" t="str">
        <x:v>Cyber recovery planı ve tatbikat</x:v>
      </x:c>
      <x:c r="G19" s="6" t="str">
        <x:v>Salt okunur sistem çıktısını onaylı rol, kapsam ve yapılandırma kaydıyla karşılaştır; ölçütteki her koşul için kanıt konumu ve ayrı alt sonucu kaydet. Yalnız görüşme veya ekran görüntüsüyle fiili işleyiş sonucunu kapatma.</x:v>
      </x:c>
      <x:c r="H19" s="6" t="str">
        <x:v>Kurulu ürün/dağıtım, müşteri sözleşmesi ve işlev desteği Kapsam kaydında doğrulanır. Yedekleme sorumluluğu müşteride ise paylaşılan sorumluluk matrisiyle gerekçelendirilir.</x:v>
      </x:c>
      <x:c r="I19" s="6" t="str">
        <x:v>Kurum için onaylı periyot/eşik gerekir; metindeki uygulama örnekleri NIST’in zorunlu ürün parametresi değildir. Üretimde değişiklik veya kesinti testi yapılmaz.</x:v>
      </x:c>
      <x:c r="J19" s="6" t="str">
        <x:v>NIST-53: CP-10; IR-4</x:v>
      </x:c>
      <x:c r="K19" s="6" t="str">
        <x:v>CP-10; IR-4</x:v>
      </x:c>
      <x:c r="L19" s="6" t="str">
        <x:v>1 eski soru. Birleştirme İzini bu Kontrol ID ile süzün.</x:v>
      </x:c>
    </x:row>
  </x:sheetData>
  <x:pageMargins left="0.7" right="0.7" top="0.75" bottom="0.75" header="0.3" footer="0.3"/>
  <x:tableParts count="1">
    <x:tablePart xmlns:r="http://schemas.openxmlformats.org/officeDocument/2006/relationships" r:id="Rc1f5111221cc4ab2"/>
  </x:tableParts>
</x:worksheet>
</file>

<file path=xl/worksheets/sheet1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Carbon Black EDRaaS</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85" customHeight="1">
      <x:c r="A6" s="6" t="str">
        <x:v>CB-V06-02</x:v>
      </x:c>
      <x:c r="B6" s="6" t="str">
        <x:v>Güvenlik izleme</x:v>
      </x:c>
      <x:c r="C6" s="6" t="str">
        <x:v>Watchlist ve detection içerikleri sahiplik, sürüm, test, tuning ve emeklilik süreciyle yönetiliyor mu?</x:v>
      </x:c>
      <x:c r="D6" s="6" t="str">
        <x:v>Aktif içerik son test, veri gereksinimi ve yanıta sahiptir; sahipsiz/eski içerik yoktur.</x:v>
      </x:c>
      <x:c r="E6" s="6" t="str">
        <x:v>Risk senaryosu (atıflı kontrol amacından denetçi değerlendirmesi): Tespit içeriğinin sahibi, test geçmişi ve sürümü izlenmezse eski veya hatalı kural yeni tehdidi kaçırabilir; gereksiz alarmlar analistin gerçek olayı ayırt etmesini zorlaştırabilir.</x:v>
      </x:c>
      <x:c r="F6" s="6" t="str">
        <x:v>Use-case katalog, watchlist exportu ve testler</x:v>
      </x:c>
      <x:c r="G6" s="6" t="str">
        <x:v>Salt okunur sistem çıktısını onaylı rol, kapsam ve yapılandırma kaydıyla karşılaştır; ölçütteki her koşul için kanıt konumu ve ayrı alt sonucu kaydet. Yalnız görüşme veya ekran görüntüsüyle fiili işleyiş sonucunu kapatma.</x:v>
      </x:c>
      <x:c r="H6" s="6" t="str">
        <x:v>Kurulu ürün/dağıtım, müşteri sözleşmesi ve işlev desteği Kapsam kaydında doğrulanır. Tüm hizmetlerde uygulanır; izleme dış hizmetten alınıyorsa sözleşme ve SLA ölçüt alınır.</x:v>
      </x:c>
      <x:c r="I6" s="6" t="str">
        <x:v>Kurum için onaylı periyot/eşik gerekir; metindeki uygulama örnekleri NIST’in zorunlu ürün parametresi değildir. Üretimde değişiklik veya kesinti testi yapılmaz.</x:v>
      </x:c>
      <x:c r="J6" s="6" t="str">
        <x:v>NIST-53: SI-4; AU-6</x:v>
      </x:c>
      <x:c r="K6" s="6" t="str">
        <x:v>SI-4; AU-6</x:v>
      </x:c>
      <x:c r="L6" s="6" t="str">
        <x:v>1 eski soru. Birleştirme İzini bu Kontrol ID ile süzün.</x:v>
      </x:c>
    </x:row>
    <x:row r="7" ht="70" customHeight="1">
      <x:c r="A7" s="6" t="str">
        <x:v>CB-V06-03</x:v>
      </x:c>
      <x:c r="B7" s="6" t="str">
        <x:v>Güvenlik izleme</x:v>
      </x:c>
      <x:c r="C7" s="6" t="str">
        <x:v>Alert suppression ve reputation override kayıtları kapsam ve bitiş tarihiyle yönetiliyor mu?</x:v>
      </x:c>
      <x:c r="D7" s="6" t="str">
        <x:v>Sınırsız veya geniş kapsamlı bastırma yoktur; riskli değişiklik alarm üretir.</x:v>
      </x:c>
      <x:c r="E7" s="6" t="str">
        <x:v>Risk senaryosu (atıflı kontrol amacından denetçi değerlendirmesi): Süresiz veya geniş alarm bastırma ve itibar istisnası, saldırganın kullanabileceği dosya veya davranışın koruma ve inceleme dışında kalmasına neden olabilir.</x:v>
      </x:c>
      <x:c r="F7" s="6" t="str">
        <x:v>Suppression/override listesi</x:v>
      </x:c>
      <x:c r="G7" s="6" t="str">
        <x:v>Salt okunur sistem çıktısını onaylı rol, kapsam ve yapılandırma kaydıyla karşılaştır; ölçütteki her koşul için kanıt konumu ve ayrı alt sonucu kaydet. Yalnız görüşme veya ekran görüntüsüyle fiili işleyiş sonucunu kapatma.</x:v>
      </x:c>
      <x:c r="H7" s="6" t="str">
        <x:v>Kurulu ürün/dağıtım, müşteri sözleşmesi ve işlev desteği Kapsam kaydında doğrulanır. Tüm hizmetlerde uygulanır; izleme dış hizmetten alınıyorsa sözleşme ve SLA ölçüt alınır.</x:v>
      </x:c>
      <x:c r="I7" s="6" t="str">
        <x:v>Kurum için onaylı periyot/eşik gerekir; metindeki uygulama örnekleri NIST’in zorunlu ürün parametresi değildir. Üretimde değişiklik veya kesinti testi yapılmaz.</x:v>
      </x:c>
      <x:c r="J7" s="6" t="str">
        <x:v>NIST-53: SI-4; CM-7</x:v>
      </x:c>
      <x:c r="K7" s="6" t="str">
        <x:v>SI-4; CM-7</x:v>
      </x:c>
      <x:c r="L7" s="6" t="str">
        <x:v>1 eski soru. Birleştirme İzini bu Kontrol ID ile süzün.</x:v>
      </x:c>
    </x:row>
    <x:row r="8" ht="55" customHeight="1">
      <x:c r="A8" s="6" t="str">
        <x:v>CBR-007</x:v>
      </x:c>
      <x:c r="B8" s="6" t="str">
        <x:v>Tenant izolasyonu</x:v>
      </x:c>
      <x:c r="C8" s="6" t="str">
        <x:v>EDR organizasyon ve müşteri yetkileri UI ve API üzerinde ayrılmış mı?</x:v>
      </x:c>
      <x:c r="D8" s="6" t="str">
        <x:v>Tenant cihaz, olay ve API yetkileri onaylı müşteri sınırında olmalı.</x:v>
      </x:c>
      <x:c r="E8" s="6" t="str">
        <x:v>Müşteri cihaz verisi veya müdahale yetkisi başka müşteriye açılır.</x:v>
      </x:c>
      <x:c r="F8" s="6" t="str">
        <x:v>Organizasyon/rol/API permission listesi, iki test hesabı.</x:v>
      </x:c>
      <x:c r="G8" s="6" t="str">
        <x:v>Başka tenant test cihazını sorgulama ve müdahale yetkisinin reddini doğrula.</x:v>
      </x:c>
      <x:c r="H8" s="6" t="str">
        <x:v>Carbon Black Cloud veya on-prem EDR ayrımı teyit edilmeli; Cloud Live Response kaynakları yalnız Cloud için geçerli.</x:v>
      </x:c>
      <x:c r="I8" s="6" t="str">
        <x:v>Kurulu sürüm/dağıtımın özellik ve lisans desteği kanıtlanır. Test, salt okunur çıktı veya onaylı izole ortamla yürütülür.</x:v>
      </x:c>
      <x:c r="J8" s="6" t="str">
        <x:v>NIST-53: AC-3
NIST-53: AC-3; SC-4
BIGR: 4.3.1.4 | 4.3.1.4 — basılı s.164 / PDF 168</x:v>
      </x:c>
      <x:c r="K8" s="6" t="str">
        <x:v>AC-3; SC-4</x:v>
      </x:c>
      <x:c r="L8" s="6" t="str">
        <x:v>4 eski soru. Birleştirme İzini bu Kontrol ID ile süzün.</x:v>
      </x:c>
    </x:row>
    <x:row r="9" ht="55" customHeight="1">
      <x:c r="A9" s="6" t="str">
        <x:v>CBR-008</x:v>
      </x:c>
      <x:c r="B9" s="6" t="str">
        <x:v>Sensör kapsamı</x:v>
      </x:c>
      <x:c r="C9" s="6" t="str">
        <x:v>Sözleşme kapsamındaki cihazların çalışan EDR sensörü var mı?</x:v>
      </x:c>
      <x:c r="D9" s="6" t="str">
        <x:v>Envanter, sensor sürümü ve son bağlantı bilgileri mutabık; eksikler takip edilmeli.</x:v>
      </x:c>
      <x:c r="E9" s="6" t="str">
        <x:v>Kurulu görünmeyen veya iletişimi kesilen sensör saldırıyı görünmez kılar.</x:v>
      </x:c>
      <x:c r="F9" s="6" t="str">
        <x:v>Müşteri envanteri, sensor health/last seen exportu, eksik cihaz biletleri.</x:v>
      </x:c>
      <x:c r="G9" s="6" t="str">
        <x:v>Envanteri EDR cihaz listesiyle eşleştir; çevrimdışı cihaz örneğini incele.</x:v>
      </x:c>
      <x:c r="H9" s="6" t="str">
        <x:v>Carbon Black Cloud veya on-prem EDR ayrımı teyit edilmeli; Cloud Live Response kaynakları yalnız Cloud için geçerli.</x:v>
      </x:c>
      <x:c r="I9" s="6" t="str">
        <x:v>Kurulu sürüm/dağıtımın özellik ve lisans desteği kanıtlanır. Test, salt okunur çıktı veya onaylı izole ortamla yürütülür.</x:v>
      </x:c>
      <x:c r="J9" s="6" t="str">
        <x:v>NIST-53: SI-4
NIST-53: CM-8; SI-4
BIGR: 3.1.5 | 3.1.5 — bölüm başlangıcı; basılı s.47 / PDF 51</x:v>
      </x:c>
      <x:c r="K9" s="6" t="str">
        <x:v>CM-8; SI-4</x:v>
      </x:c>
      <x:c r="L9" s="6" t="str">
        <x:v>3 eski soru. Birleştirme İzini bu Kontrol ID ile süzün.</x:v>
      </x:c>
    </x:row>
    <x:row r="10" ht="55" customHeight="1">
      <x:c r="A10" s="6" t="str">
        <x:v>CBR-009</x:v>
      </x:c>
      <x:c r="B10" s="6" t="str">
        <x:v>Politika etkinliği</x:v>
      </x:c>
      <x:c r="C10" s="6" t="str">
        <x:v>Cihazlara beklenen tespit/önleme politikası fiilen uygulanmış mı?</x:v>
      </x:c>
      <x:c r="D10" s="6" t="str">
        <x:v>Etkin policy müşteri bazına uygun; bypass/istisnalar onaylı ve süreli olmalı.</x:v>
      </x:c>
      <x:c r="E10" s="6" t="str">
        <x:v>Yanlış policy veya bypass modu korumayı devreden çıkarır.</x:v>
      </x:c>
      <x:c r="F10" s="6" t="str">
        <x:v>Policy exportu, device assignment, bypass ve exclusion kayıtları.</x:v>
      </x:c>
      <x:c r="G10" s="6" t="str">
        <x:v>Konsol politikasıyla test cihazının etkin ayarını karşılaştır.</x:v>
      </x:c>
      <x:c r="H10" s="6" t="str">
        <x:v>Carbon Black Cloud veya on-prem EDR ayrımı teyit edilmeli; Cloud Live Response kaynakları yalnız Cloud için geçerli.</x:v>
      </x:c>
      <x:c r="I10" s="6" t="str">
        <x:v>Kurulu sürüm/dağıtımın özellik ve lisans desteği kanıtlanır. Test, salt okunur çıktı veya onaylı izole ortamla yürütülür.</x:v>
      </x:c>
      <x:c r="J10" s="6" t="str">
        <x:v>NIST-53: CM-6, SI-3
NIST-53: CM-6; SI-3
BIGR: 3.1.5 | 3.1.5 — bölüm başlangıcı; basılı s.47 / PDF 51</x:v>
      </x:c>
      <x:c r="K10" s="6" t="str">
        <x:v>CM-6; SI-3</x:v>
      </x:c>
      <x:c r="L10" s="6" t="str">
        <x:v>4 eski soru. Birleştirme İzini bu Kontrol ID ile süzün.</x:v>
      </x:c>
    </x:row>
    <x:row r="11" ht="55" customHeight="1">
      <x:c r="A11" s="6" t="str">
        <x:v>CBR-010</x:v>
      </x:c>
      <x:c r="B11" s="6" t="str">
        <x:v>Live Response</x:v>
      </x:c>
      <x:c r="C11" s="6" t="str">
        <x:v>Live Response yetkisi yalnız onaylı müdahale personeline verilmiş mi?</x:v>
      </x:c>
      <x:c r="D11" s="6" t="str">
        <x:v>Yetki dar kapsamlı; kullanım olay kaydı ve müşteri müdahale yetkisiyle bağlı olmalı.</x:v>
      </x:c>
      <x:c r="E11" s="6" t="str">
        <x:v>Uzaktan komut/dosya erişimi müşteri sisteminde tam yetkili kötüye kullanıma dönüşür.</x:v>
      </x:c>
      <x:c r="F11" s="6" t="str">
        <x:v>Live Response rol izinleri ve oturum geçmişi, olay onayı.</x:v>
      </x:c>
      <x:c r="G11" s="6" t="str">
        <x:v>Rolün yetkilerini üretici asgari izin listesiyle karşılaştır; bir oturumu olay biletiyle eşleştir.</x:v>
      </x:c>
      <x:c r="H11" s="6" t="str">
        <x:v>Carbon Black Cloud Live Response kullanılıyorsa.</x:v>
      </x:c>
      <x:c r="I11" s="6" t="str">
        <x:v>Kurulu sürüm/dağıtımın özellik ve lisans desteği kanıtlanır. Test, salt okunur çıktı veya onaylı izole ortamla yürütülür.</x:v>
      </x:c>
      <x:c r="J11" s="6" t="str">
        <x:v>CB-LR: minimum Live Response permissions
NIST-53: AC-6; IR-4
BIGR: 3.1.12.9 | 3.1.12.9 — basılı s.68 / PDF 72</x:v>
      </x:c>
      <x:c r="K11" s="6" t="str">
        <x:v>AC-6; IR-4</x:v>
      </x:c>
      <x:c r="L11" s="6" t="str">
        <x:v>2 eski soru. Birleştirme İzini bu Kontrol ID ile süzün.</x:v>
      </x:c>
    </x:row>
    <x:row r="12" ht="40" customHeight="1">
      <x:c r="A12" s="6" t="str">
        <x:v>CBR-011</x:v>
      </x:c>
      <x:c r="B12" s="6" t="str">
        <x:v>Telemetri mahremiyeti</x:v>
      </x:c>
      <x:c r="C12" s="6" t="str">
        <x:v>EDR telemetrisi ve toplanan dosyaların veri konumu/erişimi müşteri şartlarıyla uyumlu mu?</x:v>
      </x:c>
      <x:c r="D12" s="6" t="str">
        <x:v>Toplanan veri, amaç, saklama, konum ve analist erişimi sözleşmede ve teknik ayarda tutarlı olmalı.</x:v>
      </x:c>
      <x:c r="E12" s="6" t="str">
        <x:v>Dosya, komut satırı veya kullanıcı bilgileri yetkisiz bölgeye ya da analiste aktarılır.</x:v>
      </x:c>
      <x:c r="F12" s="6" t="str">
        <x:v>Veri akışı, sağlayıcı region belgesi, policy, dosya toplama ve erişim kayıtları.</x:v>
      </x:c>
      <x:c r="G12" s="6" t="str">
        <x:v>Bir dosya toplama olayının yetkisini, hedefini ve saklama süresini izle.</x:v>
      </x:c>
      <x:c r="H12" s="6" t="str">
        <x:v>Bankaya verilen kapsamdaki hizmetlerde veri yerleşimi ayrıca değerlendirilir.</x:v>
      </x:c>
      <x:c r="I12" s="6" t="str">
        <x:v>Kurulu sürüm/dağıtımın özellik ve lisans desteği kanıtlanır. Test, salt okunur çıktı veya onaylı izole ortamla yürütülür.</x:v>
      </x:c>
      <x:c r="J12" s="6" t="str">
        <x:v>NIST-53: SA-9; AC-6; SI-12
BIGR: 4.3.1.1 | 4.3.1.1 — basılı s.164 / PDF 168</x:v>
      </x:c>
      <x:c r="K12" s="6" t="str">
        <x:v>SA-9; AC-6; SI-12</x:v>
      </x:c>
      <x:c r="L12" s="6" t="str">
        <x:v>2 eski soru. Birleştirme İzini bu Kontrol ID ile süzün.</x:v>
      </x:c>
    </x:row>
    <x:row r="13" ht="55" customHeight="1">
      <x:c r="A13" s="6" t="str">
        <x:v>CBR-012</x:v>
      </x:c>
      <x:c r="B13" s="6" t="str">
        <x:v>Müdahale testi</x:v>
      </x:c>
      <x:c r="C13" s="6" t="str">
        <x:v>EDR tespiti SOC biletine ve izinli izolasyon/geri açma işlemine kadar test edilmiş mi?</x:v>
      </x:c>
      <x:c r="D13" s="6" t="str">
        <x:v>Güvenli testte alarm, müşteri eşlemesi, yetkili müdahale ve geri açma izlenmeli.</x:v>
      </x:c>
      <x:c r="E13" s="6" t="str">
        <x:v>Alarm var olsa da operasyonel müdahale çalışmayabilir.</x:v>
      </x:c>
      <x:c r="F13" s="6" t="str">
        <x:v>Kontrollü tatbikat raporu, alarm ID, bilet ve izolasyon kaydı.</x:v>
      </x:c>
      <x:c r="G13" s="6" t="str">
        <x:v>Üretim dışı test cihazındaki senaryonun uçtan uca zaman çizelgesini karşılaştır.</x:v>
      </x:c>
      <x:c r="H13" s="6" t="str">
        <x:v>Carbon Black Cloud veya on-prem EDR ayrımı teyit edilmeli; Cloud Live Response kaynakları yalnız Cloud için geçerli.</x:v>
      </x:c>
      <x:c r="I13" s="6" t="str">
        <x:v>Kurulu sürüm/dağıtımın özellik ve lisans desteği kanıtlanır. Test, salt okunur çıktı veya onaylı izole ortamla yürütülür.</x:v>
      </x:c>
      <x:c r="J13" s="6" t="str">
        <x:v>NIST-53: IR-3
NIST-53: IR-3; IR-4; SI-4
BIGR: 3.1.10.7 | 3.1.10.7 — basılı s.64 / PDF 68</x:v>
      </x:c>
      <x:c r="K13" s="6" t="str">
        <x:v>IR-3; IR-4; SI-4</x:v>
      </x:c>
      <x:c r="L13" s="6" t="str">
        <x:v>2 eski soru. Birleştirme İzini bu Kontrol ID ile süzün.</x:v>
      </x:c>
    </x:row>
    <x:row r="14" ht="55" customHeight="1">
      <x:c r="A14" s="6" t="str">
        <x:v>CBR-013</x:v>
      </x:c>
      <x:c r="B14" s="6" t="str">
        <x:v>Sensör koruması</x:v>
      </x:c>
      <x:c r="C14" s="6" t="str">
        <x:v>Sensörün yetkisiz durdurulması/kaldırılması tespit veya önleme kontrolüne tabi mi?</x:v>
      </x:c>
      <x:c r="D14" s="6" t="str">
        <x:v>Platformun desteklediği koruma ve yetkili kaldırma süreci uygulanmalı.</x:v>
      </x:c>
      <x:c r="E14" s="6" t="str">
        <x:v>Yerel kullanıcı EDR'yi kapatıp görünmez çalışabilir.</x:v>
      </x:c>
      <x:c r="F14" s="6" t="str">
        <x:v>Tamper/uninstall politikası, bakım istisnası, test olayı.</x:v>
      </x:c>
      <x:c r="G14" s="6" t="str">
        <x:v>İzole test cihazında düşük yetkili kullanıcıyla kapatma denemesinin sonucunu doğrula.</x:v>
      </x:c>
      <x:c r="H14" s="6" t="str">
        <x:v>İşletim sistemi ve Carbon Black ürün/sensör kabiliyetine göre doğrulanır.</x:v>
      </x:c>
      <x:c r="I14" s="6" t="str">
        <x:v>Kurulu sürüm/dağıtımın özellik ve lisans desteği kanıtlanır. Test, salt okunur çıktı veya onaylı izole ortamla yürütülür.</x:v>
      </x:c>
      <x:c r="J14" s="6" t="str">
        <x:v>NIST-53: SI-3
NIST-53: SI-3; CM-5
BIGR: 3.1.5 | 3.1.5 — bölüm başlangıcı; basılı s.47 / PDF 51</x:v>
      </x:c>
      <x:c r="K14" s="6" t="str">
        <x:v>SI-3; CM-5</x:v>
      </x:c>
      <x:c r="L14" s="6" t="str">
        <x:v>3 eski soru. Birleştirme İzini bu Kontrol ID ile süzün.</x:v>
      </x:c>
    </x:row>
  </x:sheetData>
  <x:pageMargins left="0.7" right="0.7" top="0.75" bottom="0.75" header="0.3" footer="0.3"/>
  <x:tableParts count="1">
    <x:tablePart xmlns:r="http://schemas.openxmlformats.org/officeDocument/2006/relationships" r:id="R6028e179f7f746ef"/>
  </x:tableParts>
</x:worksheet>
</file>

<file path=xl/worksheets/sheet1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FortiGate VDOM</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FGC-001</x:v>
      </x:c>
      <x:c r="B6" s="6" t="str">
        <x:v>DNS ve zaman kaynakları</x:v>
      </x:c>
      <x:c r="C6" s="6" t="str">
        <x:v>DNS ve zaman kaynakları kontrolü, aşağıdaki sürüm ve kapsam koşullarında doğrulanıyor mu?</x:v>
      </x:c>
      <x:c r="D6" s="6" t="str">
        <x:v>DNS kaynakları onaylı; NTP eşitleme etkin; saat dilimi işletim standardıyla uyumlu. Kaynaktaki örnek IP ve GMT değerleri kurum ölçütü değildir.</x:v>
      </x:c>
      <x:c r="E6" s="6" t="str">
        <x:v>Yanlış DNS güvenlik servislerinin erişimini; yanlış zaman olay korelasyonu ve sertifika doğrulamasını bozar.</x:v>
      </x:c>
      <x:c r="F6" s="6" t="str">
        <x:v>DNS/NTP/global saat ayarları ve fiili eşitleme kaydı.</x:v>
      </x:c>
      <x:c r="G6" s="6" t="str">
        <x:v>Kaynakları izinli listeyle, etkin saati referans saatle karşılaştır; yalnız yapılandırılmış adresi yeterli sayma.</x:v>
      </x:c>
      <x:c r="H6" s="6" t="str">
        <x:v>FortiOS 7.4.x; global ve VDOM bağlamı ayrı kanıtlanır.</x:v>
      </x:c>
      <x:c r="I6" s="6" t="str">
        <x:v>Salt okunur inceleme; değişiklik ayrı onaylı bakım işlemidir.</x:v>
      </x:c>
      <x:c r="J6" s="6" t="str">
        <x:v>CIS-FGT:1.1
CIS-FGT:2.1.3
CIS-FGT:2.1.4</x:v>
      </x:c>
      <x:c r="K6" s="6" t="str">
        <x:v>SC-20; SC-45; AU-8</x:v>
      </x:c>
      <x:c r="L6" s="6" t="str">
        <x:v>1 eski soru. Birleştirme İzini bu Kontrol ID ile süzün.</x:v>
      </x:c>
    </x:row>
    <x:row r="7" ht="40" customHeight="1">
      <x:c r="A7" s="6" t="str">
        <x:v>FGC-002</x:v>
      </x:c>
      <x:c r="B7" s="6" t="str">
        <x:v>Zone içi trafik sınırı</x:v>
      </x:c>
      <x:c r="C7" s="6" t="str">
        <x:v>Zone içi trafik sınırı kontrolü, aşağıdaki sürüm ve kapsam koşullarında doğrulanıyor mu?</x:v>
      </x:c>
      <x:c r="D7" s="6" t="str">
        <x:v>Zone intrazone=deny; gerekli akışlar açık politika ile tanımlanmış olmalı.</x:v>
      </x:c>
      <x:c r="E7" s="6" t="str">
        <x:v>Aynı zone içinde görünmeyen serbest akış farklı müşteri veya güvenlik alanları arasında yatay harekete izin verebilir.</x:v>
      </x:c>
      <x:c r="F7" s="6" t="str">
        <x:v>Zone üyelikleri, intrazone ve etkin firewall kuralları.</x:v>
      </x:c>
      <x:c r="G7" s="6" t="str">
        <x:v>Her zone için arayüz-tenant eşleşmesini ve örnek izin/ret akışını doğrula.</x:v>
      </x:c>
      <x:c r="H7" s="6" t="str">
        <x:v>FortiOS 7.4.x; global ve VDOM bağlamı ayrı kanıtlanır.</x:v>
      </x:c>
      <x:c r="I7" s="6" t="str">
        <x:v>Salt okunur inceleme; değişiklik ayrı onaylı bakım işlemidir.</x:v>
      </x:c>
      <x:c r="J7" s="6" t="str">
        <x:v>CIS-FGT:1.2</x:v>
      </x:c>
      <x:c r="K7" s="6" t="str">
        <x:v>SC-7; AC-4</x:v>
      </x:c>
      <x:c r="L7" s="6" t="str">
        <x:v>Yeni CIS teknik maddesi. CIS Dizinine bakın.</x:v>
      </x:c>
    </x:row>
    <x:row r="8" ht="40" customHeight="1">
      <x:c r="A8" s="6" t="str">
        <x:v>FGC-003</x:v>
      </x:c>
      <x:c r="B8" s="6" t="str">
        <x:v>WAN ve arayüz yönetim erişimi</x:v>
      </x:c>
      <x:c r="C8" s="6" t="str">
        <x:v>WAN ve arayüz yönetim erişimi kontrolü, aşağıdaki sürüm ve kapsam koşullarında doğrulanıyor mu?</x:v>
      </x:c>
      <x:c r="D8" s="6" t="str">
        <x:v>WAN allowaccess içinde ping/https/http/ssh/snmp/radius-acct bulunmamalı; tüm arayüzlerde HTTP/Telnet yönetimi kapalı olmalı.</x:v>
      </x:c>
      <x:c r="E8" s="6" t="str">
        <x:v>WAN yönetimi internet kaynaklı denemeleri yönetim düzlemine taşır; açık metin kanal kimlik bilgisini açığa çıkarır.</x:v>
      </x:c>
      <x:c r="F8" s="6" t="str">
        <x:v>Arayüz rolü, allowaccess ve erişim matrisi.</x:v>
      </x:c>
      <x:c r="G8" s="6" t="str">
        <x:v>WAN rolünü gerçek rota/topolojiyle doğrula; izinli olmayan kaynaktan kontrollü bağlantı reddini incele.</x:v>
      </x:c>
      <x:c r="H8" s="6" t="str">
        <x:v>FortiOS 7.4.x; global ve VDOM bağlamı ayrı kanıtlanır.</x:v>
      </x:c>
      <x:c r="I8" s="6" t="str">
        <x:v>WAN üzerindeki ping izleme ve uzaktan erişim tasarımı etkilenebilir; kurum istisnası CIS uygunluğu sayılmaz.</x:v>
      </x:c>
      <x:c r="J8" s="6" t="str">
        <x:v>CIS-FGT:1.3
CIS-FGT:2.4.5</x:v>
      </x:c>
      <x:c r="K8" s="6" t="str">
        <x:v>SC-7; SC-8</x:v>
      </x:c>
      <x:c r="L8" s="6" t="str">
        <x:v>1 eski soru. Birleştirme İzini bu Kontrol ID ile süzün.</x:v>
      </x:c>
    </x:row>
    <x:row r="9" ht="70" customHeight="1">
      <x:c r="A9" s="6" t="str">
        <x:v>FGC-004</x:v>
      </x:c>
      <x:c r="B9" s="6" t="str">
        <x:v>Yönetim uyarısı ve cihaz tanımlaması</x:v>
      </x:c>
      <x:c r="C9" s="6" t="str">
        <x:v>Yönetim uyarısı ve cihaz tanımlaması kontrolü, aşağıdaki sürüm ve kapsam koşullarında doğrulanıyor mu?</x:v>
      </x:c>
      <x:c r="D9" s="6" t="str">
        <x:v>Pre/post login banner etkin; hostname ayırt edilebilir; giriş öncesi hostname gösterimi kapalı olmalı.</x:v>
      </x:c>
      <x:c r="E9" s="6" t="str">
        <x:v>Yanlış cihaza müdahale veya giriş ekranından altyapı bilgisinin açığa çıkması riski oluşur.</x:v>
      </x:c>
      <x:c r="F9" s="6" t="str">
        <x:v>Global banner/hostname/gui-display-hostname ayarları ve ekran örneği.</x:v>
      </x:c>
      <x:c r="G9" s="6" t="str">
        <x:v>Giriş öncesi/sonrası ekranı cihaz kimliğiyle karşılaştır; bannerın otomasyon etkisini işletim sahibinden doğrula.</x:v>
      </x:c>
      <x:c r="H9" s="6" t="str">
        <x:v>FortiOS 7.4.x; global ve VDOM bağlamı ayrı kanıtlanır.</x:v>
      </x:c>
      <x:c r="I9" s="6" t="str">
        <x:v>Post-login banner otomatik yönetim akışlarını etkileyebilir.</x:v>
      </x:c>
      <x:c r="J9" s="6" t="str">
        <x:v>CIS-FGT:2.1.1
CIS-FGT:2.1.2
CIS-FGT:2.1.5
CIS-FGT:2.1.13</x:v>
      </x:c>
      <x:c r="K9" s="6" t="str">
        <x:v>AC-8; CM-8</x:v>
      </x:c>
      <x:c r="L9" s="6" t="str">
        <x:v>Yeni CIS teknik maddesi. CIS Dizinine bakın.</x:v>
      </x:c>
    </x:row>
    <x:row r="10" ht="40" customHeight="1">
      <x:c r="A10" s="6" t="str">
        <x:v>FGC-005</x:v>
      </x:c>
      <x:c r="B10" s="6" t="str">
        <x:v>Firmware güvenlik güncellemeleri</x:v>
      </x:c>
      <x:c r="C10" s="6" t="str">
        <x:v>Firmware güvenlik güncellemeleri kontrolü, aşağıdaki sürüm ve kapsam koşullarında doğrulanıyor mu?</x:v>
      </x:c>
      <x:c r="D10" s="6" t="str">
        <x:v>Kurulu firmware için uygulanabilir üretici güncellemesi, destek ve yükseltme yolu belgeli olmalı.</x:v>
      </x:c>
      <x:c r="E10" s="6" t="str">
        <x:v>Ortak firewall zafiyeti birden fazla VDOM hizmetini etkileyebilir.</x:v>
      </x:c>
      <x:c r="F10" s="6" t="str">
        <x:v>Build envanteri, PSIRT eşleşmesi, destek/yükseltme yolu ve yama kaydı.</x:v>
      </x:c>
      <x:c r="G10" s="6" t="str">
        <x:v>Kurulu build ile duyuru etki aralığını ve uygulanan düzeltmeyi karşılaştır.</x:v>
      </x:c>
      <x:c r="H10" s="6" t="str">
        <x:v>FortiOS 7.4.x L2; hedef build kurum envanteriyle belirlenir.</x:v>
      </x:c>
      <x:c r="I10" s="6" t="str">
        <x:v>HA yükseltme ve geri dönüş uyumluluğu bakım öncesi doğrulanır.</x:v>
      </x:c>
      <x:c r="J10" s="6" t="str">
        <x:v>CIS-FGT:2.1.6</x:v>
      </x:c>
      <x:c r="K10" s="6" t="str">
        <x:v>SI-2; SA-22</x:v>
      </x:c>
      <x:c r="L10" s="6" t="str">
        <x:v>1 eski soru. Birleştirme İzini bu Kontrol ID ile süzün.</x:v>
      </x:c>
    </x:row>
    <x:row r="11" ht="40" customHeight="1">
      <x:c r="A11" s="6" t="str">
        <x:v>FGC-006</x:v>
      </x:c>
      <x:c r="B11" s="6" t="str">
        <x:v>USB otomatik yükleme</x:v>
      </x:c>
      <x:c r="C11" s="6" t="str">
        <x:v>USB otomatik yükleme kontrolü, aşağıdaki sürüm ve kapsam koşullarında doğrulanıyor mu?</x:v>
      </x:c>
      <x:c r="D11" s="6" t="str">
        <x:v>auto-install-config ve auto-install-image disable olmalı.</x:v>
      </x:c>
      <x:c r="E11" s="6" t="str">
        <x:v>Fiziksel takılan medya yetkisiz yapılandırma veya firmware yükleyebilir.</x:v>
      </x:c>
      <x:c r="F11" s="6" t="str">
        <x:v>Otomatik yükleme etkin ayarları.</x:v>
      </x:c>
      <x:c r="G11" s="6" t="str">
        <x:v>Her cluster üyesinin etkin durumunu incele; medyayla üretimde yükleme denemesi yapma.</x:v>
      </x:c>
      <x:c r="H11" s="6" t="str">
        <x:v>FortiOS 7.4.x; global ve VDOM bağlamı ayrı kanıtlanır.</x:v>
      </x:c>
      <x:c r="I11" s="6" t="str">
        <x:v>Salt okunur inceleme; değişiklik ayrı onaylı bakım işlemidir.</x:v>
      </x:c>
      <x:c r="J11" s="6" t="str">
        <x:v>CIS-FGT:2.1.7</x:v>
      </x:c>
      <x:c r="K11" s="6" t="str">
        <x:v>CM-7; CM-5</x:v>
      </x:c>
      <x:c r="L11" s="6" t="str">
        <x:v>Yeni CIS teknik maddesi. CIS Dizinine bakın.</x:v>
      </x:c>
    </x:row>
    <x:row r="12" ht="55" customHeight="1">
      <x:c r="A12" s="6" t="str">
        <x:v>FGC-007</x:v>
      </x:c>
      <x:c r="B12" s="6" t="str">
        <x:v>Yönetim TLS ve kriptografi</x:v>
      </x:c>
      <x:c r="C12" s="6" t="str">
        <x:v>Yönetim TLS ve kriptografi kontrolü, aşağıdaki sürüm ve kapsam koşullarında doğrulanıyor mu?</x:v>
      </x:c>
      <x:c r="D12" s="6" t="str">
        <x:v>ssl-static-key-ciphers=disable; strong-crypto=enable; admin-https-ssl-versions yalnız tlsv1-3 olmalı. Bu CIS sürümünün yönetim ölçütüdür.</x:v>
      </x:c>
      <x:c r="E12" s="6" t="str">
        <x:v>Zayıf yönetim taşıması ayrıcalıklı oturumu ve müşteri güvenlik yapılandırmasını etkiler.</x:v>
      </x:c>
      <x:c r="F12" s="6" t="str">
        <x:v>Global kriptografi ayarları ve izinli yönetim ucunda TLS el sıkışma sonucu.</x:v>
      </x:c>
      <x:c r="G12" s="6" t="str">
        <x:v>Üç ayarı ayrı doğrula; VPN/proxy TLS ayarlarını bu yönetim ayarıyla kanıtlama.</x:v>
      </x:c>
      <x:c r="H12" s="6" t="str">
        <x:v>FortiOS 7.4.x; global ve VDOM bağlamı ayrı kanıtlanır.</x:v>
      </x:c>
      <x:c r="I12" s="6" t="str">
        <x:v>TLS 1.3 desteklemeyen yönetim istemcileri bağlanamaz.</x:v>
      </x:c>
      <x:c r="J12" s="6" t="str">
        <x:v>CIS-FGT:2.1.8
CIS-FGT:2.1.9
CIS-FGT:2.1.10</x:v>
      </x:c>
      <x:c r="K12" s="6" t="str">
        <x:v>SC-8; SC-13</x:v>
      </x:c>
      <x:c r="L12" s="6" t="str">
        <x:v>2 eski soru. Birleştirme İzini bu Kontrol ID ile süzün.</x:v>
      </x:c>
    </x:row>
    <x:row r="13" ht="40" customHeight="1">
      <x:c r="A13" s="6" t="str">
        <x:v>FGC-008</x:v>
      </x:c>
      <x:c r="B13" s="6" t="str">
        <x:v>Tek CPU çekirdeği yüksek kullanım kaydı</x:v>
      </x:c>
      <x:c r="C13" s="6" t="str">
        <x:v>Tek CPU çekirdeği yüksek kullanım kaydı kontrolü, aşağıdaki sürüm ve kapsam koşullarında doğrulanıyor mu?</x:v>
      </x:c>
      <x:c r="D13" s="6" t="str">
        <x:v>log-single-cpu-high=enable olmalı.</x:v>
      </x:c>
      <x:c r="E13" s="6" t="str">
        <x:v>Toplam CPU normal görünürken tek çekirdek darboğazı trafik incelemesini veya yönetimi etkileyebilir.</x:v>
      </x:c>
      <x:c r="F13" s="6" t="str">
        <x:v>Global ayar, geçmiş CPU olay örneği ve izleme yönlendirmesi.</x:v>
      </x:c>
      <x:c r="G13" s="6" t="str">
        <x:v>Etkin ayarı ve varsa gerçek olayın merkeze ulaşmasını doğrula; denetimde CPU yükü üretme.</x:v>
      </x:c>
      <x:c r="H13" s="6" t="str">
        <x:v>FortiOS 7.4.x; global ve VDOM bağlamı ayrı kanıtlanır.</x:v>
      </x:c>
      <x:c r="I13" s="6" t="str">
        <x:v>Salt okunur inceleme; değişiklik ayrı onaylı bakım işlemidir.</x:v>
      </x:c>
      <x:c r="J13" s="6" t="str">
        <x:v>CIS-FGT:2.1.12</x:v>
      </x:c>
      <x:c r="K13" s="6" t="str">
        <x:v>SI-4</x:v>
      </x:c>
      <x:c r="L13" s="6" t="str">
        <x:v>Yeni CIS teknik maddesi. CIS Dizinine bakın.</x:v>
      </x:c>
    </x:row>
    <x:row r="14" ht="55" customHeight="1">
      <x:c r="A14" s="6" t="str">
        <x:v>FGC-009</x:v>
      </x:c>
      <x:c r="B14" s="6" t="str">
        <x:v>Yerel parola ve giriş denemesi</x:v>
      </x:c>
      <x:c r="C14" s="6" t="str">
        <x:v>Yerel parola ve giriş denemesi kontrolü, aşağıdaki sürüm ve kapsam koşullarında doğrulanıyor mu?</x:v>
      </x:c>
      <x:c r="D14" s="6" t="str">
        <x:v>Parola politikası etkin, scope=both, min-length=14; admin-lockout-threshold=3 ve admin-lockout-duration=900 saniye kaynak düzeltme bazıdır.</x:v>
      </x:c>
      <x:c r="E14" s="6" t="str">
        <x:v>Zayıf parola ve sınırsız deneme yönetici hesabının ele geçirilmesini kolaylaştırır.</x:v>
      </x:c>
      <x:c r="F14" s="6" t="str">
        <x:v>Password-policy ve lockout etkin ayarları; yerel/uzak hesap kapsamı.</x:v>
      </x:c>
      <x:c r="G14" s="6" t="str">
        <x:v>Parametreleri ve birimleri ayrı kontrol et; kilidin kaynak IP davranışını hesap kilidi diye raporlama.</x:v>
      </x:c>
      <x:c r="H14" s="6" t="str">
        <x:v>FortiOS 7.4.x; global ve VDOM bağlamı ayrı kanıtlanır.</x:v>
      </x:c>
      <x:c r="I14" s="6" t="str">
        <x:v>Kaynağın eşitsizlik ifadeleri ile düzeltme değeri farklı ayrıntıdadır; burada açık 3/900 baz alınır. Üretimde hesap/IP kilitleme denemesi yapılmaz.</x:v>
      </x:c>
      <x:c r="J14" s="6" t="str">
        <x:v>CIS-FGT:2.2.1
CIS-FGT:2.2.2</x:v>
      </x:c>
      <x:c r="K14" s="6" t="str">
        <x:v>IA-5; AC-7</x:v>
      </x:c>
      <x:c r="L14" s="6" t="str">
        <x:v>Yeni CIS teknik maddesi. CIS Dizinine bakın.</x:v>
      </x:c>
    </x:row>
    <x:row r="15" ht="55" customHeight="1">
      <x:c r="A15" s="6" t="str">
        <x:v>FGC-010</x:v>
      </x:c>
      <x:c r="B15" s="6" t="str">
        <x:v>SNMP kimlik ve bildirim sınırı</x:v>
      </x:c>
      <x:c r="C15" s="6" t="str">
        <x:v>SNMP kimlik ve bildirim sınırı kontrolü, aşağıdaki sürüm ve kapsam koşullarında doğrulanıyor mu?</x:v>
      </x:c>
      <x:c r="D15" s="6" t="str">
        <x:v>SNMP gerekiyorsa yalnız v3 auth-priv; v1/v2c community yok; notify-hosts yalnız onaylı adresler. L2 kapsamda kullanıcı queries kapalı.</x:v>
      </x:c>
      <x:c r="E15" s="6" t="str">
        <x:v>SNMP bilgisi altyapıyı açığa çıkarabilir; trap yanlış alıcıya müşteri metadata’sı taşır.</x:v>
      </x:c>
      <x:c r="F15" s="6" t="str">
        <x:v>SNMP user/community, security-level, notify-hosts ve queries exportu.</x:v>
      </x:c>
      <x:c r="G15" s="6" t="str">
        <x:v>Kullanıcıları ve hedefleri izleme mimarisiyle eşleştir; notify-hosts alanını sorgu kaynak ACL kanıtı olarak kullanma.</x:v>
      </x:c>
      <x:c r="H15" s="6" t="str">
        <x:v>FortiOS 7.4.x; SNMP varsa; queries kapatma L2.</x:v>
      </x:c>
      <x:c r="I15" s="6" t="str">
        <x:v>Sorguları kapatma izleme ürününü etkileyebilir.</x:v>
      </x:c>
      <x:c r="J15" s="6" t="str">
        <x:v>CIS-FGT:2.3.1
CIS-FGT:2.3.2
CIS-FGT:2.3.3</x:v>
      </x:c>
      <x:c r="K15" s="6" t="str">
        <x:v>IA-3; AC-4; SC-8</x:v>
      </x:c>
      <x:c r="L15" s="6" t="str">
        <x:v>1 eski soru. Birleştirme İzini bu Kontrol ID ile süzün.</x:v>
      </x:c>
    </x:row>
    <x:row r="16" ht="55" customHeight="1">
      <x:c r="A16" s="6" t="str">
        <x:v>FGC-011</x:v>
      </x:c>
      <x:c r="B16" s="6" t="str">
        <x:v>Yönetici hesap, rol ve güvenilir kaynak</x:v>
      </x:c>
      <x:c r="C16" s="6" t="str">
        <x:v>Yönetici hesap, rol ve güvenilir kaynak kontrolü, aşağıdaki sürüm ve kapsam koşullarında doğrulanıyor mu?</x:v>
      </x:c>
      <x:c r="D16" s="6" t="str">
        <x:v>Varsayılan admin hesabı kaldırılmış; isimlendirilmiş yönetici hesapları accprofile ve VDOM yetkileriyle sınırlı; tüm trusthost girdileri onaylı kaynaklarla uyumlu.</x:v>
      </x:c>
      <x:c r="E16" s="6" t="str">
        <x:v>Geniş global rol veya kaynak listesi tek hesabın tüm müşteri VDOM’larına ulaşmasına izin verebilir.</x:v>
      </x:c>
      <x:c r="F16" s="6" t="str">
        <x:v>system admin ve accprofile tam exportu; trusthost1..N; görev/VDOM matrisi.</x:v>
      </x:c>
      <x:c r="G16" s="6" t="str">
        <x:v>Hesap varlığını doğrudan listeden kontrol et; kaynak PDF’deki boş parola araması hesabın yokluğunu kanıtlamaz. İç içe rol haklarını ve tüm trusthost girdilerini incele.</x:v>
      </x:c>
      <x:c r="H16" s="6" t="str">
        <x:v>FortiOS 7.4.x; global ve VDOM bağlamı ayrı kanıtlanır.</x:v>
      </x:c>
      <x:c r="I16" s="6" t="str">
        <x:v>Salt okunur inceleme; değişiklik ayrı onaylı bakım işlemidir.</x:v>
      </x:c>
      <x:c r="J16" s="6" t="str">
        <x:v>CIS-FGT:2.4.1
CIS-FGT:2.4.2
CIS-FGT:2.4.3</x:v>
      </x:c>
      <x:c r="K16" s="6" t="str">
        <x:v>AC-2; AC-6; SC-7</x:v>
      </x:c>
      <x:c r="L16" s="6" t="str">
        <x:v>4 eski soru. Birleştirme İzini bu Kontrol ID ile süzün.</x:v>
      </x:c>
    </x:row>
    <x:row r="17" ht="40" customHeight="1">
      <x:c r="A17" s="6" t="str">
        <x:v>FGC-012</x:v>
      </x:c>
      <x:c r="B17" s="6" t="str">
        <x:v>Yönetici boşta oturum süresi</x:v>
      </x:c>
      <x:c r="C17" s="6" t="str">
        <x:v>Yönetici boşta oturum süresi kontrolü, aşağıdaki sürüm ve kapsam koşullarında doğrulanıyor mu?</x:v>
      </x:c>
      <x:c r="D17" s="6" t="str">
        <x:v>admintimeout=5 dakika kaynak bazıdır.</x:v>
      </x:c>
      <x:c r="E17" s="6" t="str">
        <x:v>Açık bırakılan yönetici oturumu firewall politikasının yetkisiz değiştirilmesine izin verebilir.</x:v>
      </x:c>
      <x:c r="F17" s="6" t="str">
        <x:v>Global admintimeout ve kontrollü boşta GUI testi.</x:v>
      </x:c>
      <x:c r="G17" s="6" t="str">
        <x:v>Dakika birimini ve gerçek oturum sonlandırmayı doğrula.</x:v>
      </x:c>
      <x:c r="H17" s="6" t="str">
        <x:v>FortiOS 7.4.x; global ve VDOM bağlamı ayrı kanıtlanır.</x:v>
      </x:c>
      <x:c r="I17" s="6" t="str">
        <x:v>Salt okunur inceleme; değişiklik ayrı onaylı bakım işlemidir.</x:v>
      </x:c>
      <x:c r="J17" s="6" t="str">
        <x:v>CIS-FGT:2.4.4</x:v>
      </x:c>
      <x:c r="K17" s="6" t="str">
        <x:v>AC-12</x:v>
      </x:c>
      <x:c r="L17" s="6" t="str">
        <x:v>Yeni CIS teknik maddesi. CIS Dizinine bakın.</x:v>
      </x:c>
    </x:row>
    <x:row r="18" ht="40" customHeight="1">
      <x:c r="A18" s="6" t="str">
        <x:v>FGC-013</x:v>
      </x:c>
      <x:c r="B18" s="6" t="str">
        <x:v>Local-in erişim politikası</x:v>
      </x:c>
      <x:c r="C18" s="6" t="str">
        <x:v>Local-in erişim politikası kontrolü, aşağıdaki sürüm ve kapsam koşullarında doğrulanıyor mu?</x:v>
      </x:c>
      <x:c r="D18" s="6" t="str">
        <x:v>Cihazın kendisine gelen akışlar local-in/local-in-policy6 ile onaylı servis ve kaynaklara sınırlandırılmalı.</x:v>
      </x:c>
      <x:c r="E18" s="6" t="str">
        <x:v>Forwarding kuralları cihazın kendisine erişimi tek başına denetlemez.</x:v>
      </x:c>
      <x:c r="F18" s="6" t="str">
        <x:v>Local-in IPv4/IPv6 politikaları ve arayüz izinleri.</x:v>
      </x:c>
      <x:c r="G18" s="6" t="str">
        <x:v>Cihaza yönelen akışı geçiş trafiğinden ayır; kuralları salt okunur exportla incele, Feature Visibility değiştirme.</x:v>
      </x:c>
      <x:c r="H18" s="6" t="str">
        <x:v>FortiOS 7.4.x; global ve VDOM bağlamı ayrı kanıtlanır.</x:v>
      </x:c>
      <x:c r="I18" s="6" t="str">
        <x:v>Salt okunur inceleme; değişiklik ayrı onaylı bakım işlemidir.</x:v>
      </x:c>
      <x:c r="J18" s="6" t="str">
        <x:v>CIS-FGT:2.4.6</x:v>
      </x:c>
      <x:c r="K18" s="6" t="str">
        <x:v>SC-7</x:v>
      </x:c>
      <x:c r="L18" s="6" t="str">
        <x:v>2 eski soru. Birleştirme İzini bu Kontrol ID ile süzün.</x:v>
      </x:c>
    </x:row>
    <x:row r="19" ht="55" customHeight="1">
      <x:c r="A19" s="6" t="str">
        <x:v>FGC-014</x:v>
      </x:c>
      <x:c r="B19" s="6" t="str">
        <x:v>Yönetim dinleme portları</x:v>
      </x:c>
      <x:c r="C19" s="6" t="str">
        <x:v>Yönetim dinleme portları kontrolü, aşağıdaki sürüm ve kapsam koşullarında doğrulanıyor mu?</x:v>
      </x:c>
      <x:c r="D19" s="6" t="str">
        <x:v>Varsayılan yönetim portları değiştirilmiş ve HTTP-to-HTTPS redirect kapalı olmalı; yeni portun belirli bir sayı olması zorunlu değildir.</x:v>
      </x:c>
      <x:c r="E19" s="6" t="str">
        <x:v>Varsayılan port yüzeyi keşfi kolaylaştırır ve hizmet portuyla çakışabilir; port değiştirme erişim kontrolünün yerine geçmez.</x:v>
      </x:c>
      <x:c r="F19" s="6" t="str">
        <x:v>Global admin-port/admin-sport/admin-https-redirect ve dinleme testi.</x:v>
      </x:c>
      <x:c r="G19" s="6" t="str">
        <x:v>Onaylı yeni portu etkin dinleme sonucu ile karşılaştır; kaynaktaki self-sign sertifika örneğini güvenlik önerisi olarak aktarma.</x:v>
      </x:c>
      <x:c r="H19" s="6" t="str">
        <x:v>FortiOS 7.4.x; global ve VDOM bağlamı ayrı kanıtlanır.</x:v>
      </x:c>
      <x:c r="I19" s="6" t="str">
        <x:v>Yönetim araçlarının port bağımlılığı etkilenir.</x:v>
      </x:c>
      <x:c r="J19" s="6" t="str">
        <x:v>CIS-FGT:2.4.7</x:v>
      </x:c>
      <x:c r="K19" s="6" t="str">
        <x:v>CM-6</x:v>
      </x:c>
      <x:c r="L19" s="6" t="str">
        <x:v>Yeni CIS teknik maddesi. CIS Dizinine bakın.</x:v>
      </x:c>
    </x:row>
    <x:row r="20" ht="40" customHeight="1">
      <x:c r="A20" s="6" t="str">
        <x:v>FGC-015</x:v>
      </x:c>
      <x:c r="B20" s="6" t="str">
        <x:v>Yönetim yüzeyi sanal yama</x:v>
      </x:c>
      <x:c r="C20" s="6" t="str">
        <x:v>Yönetim yüzeyi sanal yama kontrolü, aşağıdaki sürüm ve kapsam koşullarında doğrulanıyor mu?</x:v>
      </x:c>
      <x:c r="D20" s="6" t="str">
        <x:v>İlgili izin veren local-in politikalarda virtual-patch etkinliği ve koruma içeriği doğrulanmalı.</x:v>
      </x:c>
      <x:c r="E20" s="6" t="str">
        <x:v>Henüz düzeltilemeyen yönetim açığının ağdan istismarı tüm cihazı etkileyebilir.</x:v>
      </x:c>
      <x:c r="F20" s="6" t="str">
        <x:v>Local-in virtual-patch ayarı, lisans/model desteği ve imza durumu.</x:v>
      </x:c>
      <x:c r="G20" s="6" t="str">
        <x:v>Kurulu model/build desteğini kanıtla; koruma işlevinin bağlandığı gerçek kuralı doğrula.</x:v>
      </x:c>
      <x:c r="H20" s="6" t="str">
        <x:v>FortiOS 7.4.x; model/lisans/işlev destekliyorsa.</x:v>
      </x:c>
      <x:c r="I20" s="6" t="str">
        <x:v>Salt okunur inceleme; değişiklik ayrı onaylı bakım işlemidir.</x:v>
      </x:c>
      <x:c r="J20" s="6" t="str">
        <x:v>CIS-FGT:2.4.8</x:v>
      </x:c>
      <x:c r="K20" s="6" t="str">
        <x:v>SI-2; SI-4</x:v>
      </x:c>
      <x:c r="L20" s="6" t="str">
        <x:v>Yeni CIS teknik maddesi. CIS Dizinine bakın.</x:v>
      </x:c>
    </x:row>
    <x:row r="21" ht="70" customHeight="1">
      <x:c r="A21" s="6" t="str">
        <x:v>FGC-016</x:v>
      </x:c>
      <x:c r="B21" s="6" t="str">
        <x:v>HA üyeliği, sağlık ve yönetim</x:v>
      </x:c>
      <x:c r="C21" s="6" t="str">
        <x:v>HA üyeliği, sağlık ve yönetim kontrolü, aşağıdaki sürüm ve kapsam koşullarında doğrulanıyor mu?</x:v>
      </x:c>
      <x:c r="D21" s="6" t="str">
        <x:v>Onaylı a-a/a-p küme; güvenli heartbeat ve senkronizasyon; kritik arayüz izleme; ayrılmış üye yönetimi; group-id sıfırdan farklı ve aynı L2 alanındaki kümelerle çakışmıyor.</x:v>
      </x:c>
      <x:c r="E21" s="6" t="str">
        <x:v>Tek cihaz veya arayüz arızası tüm müşterilerde kesinti yaratabilir; yanlış cluster kimliği komşu kümeyi etkileyebilir.</x:v>
      </x:c>
      <x:c r="F21" s="6" t="str">
        <x:v>HA durum/üyelik/sync, monitor/hbdev, üye yönetim ve group-id kayıtları; son failover testi.</x:v>
      </x:c>
      <x:c r="G21" s="6" t="str">
        <x:v>Tüm üyeleri ve kritik arayüzleri karşılaştır; geçmiş onaylı failoverda trafik ve VDOM durumunu doğrula.</x:v>
      </x:c>
      <x:c r="H21" s="6" t="str">
        <x:v>FortiOS 7.4.x; global ve VDOM bağlamı ayrı kanıtlanır.</x:v>
      </x:c>
      <x:c r="I21" s="6" t="str">
        <x:v>Kaynak Audit içindeki set komutları çalıştırılmaz; failover yalnız ayrı onaylı testte.</x:v>
      </x:c>
      <x:c r="J21" s="6" t="str">
        <x:v>CIS-FGT:2.5.1
CIS-FGT:2.5.2
CIS-FGT:2.5.3
CIS-FGT:2.5.4</x:v>
      </x:c>
      <x:c r="K21" s="6" t="str">
        <x:v>CP-2; SC-6; SC-7</x:v>
      </x:c>
      <x:c r="L21" s="6" t="str">
        <x:v>2 eski soru. Birleştirme İzini bu Kontrol ID ile süzün.</x:v>
      </x:c>
    </x:row>
    <x:row r="22" ht="40" customHeight="1">
      <x:c r="A22" s="6" t="str">
        <x:v>FGC-017</x:v>
      </x:c>
      <x:c r="B22" s="6" t="str">
        <x:v>Kullanılmayan kuralın yaşam döngüsü</x:v>
      </x:c>
      <x:c r="C22" s="6" t="str">
        <x:v>Kullanılmayan kuralın yaşam döngüsü kontrolü, aşağıdaki sürüm ve kapsam koşullarında doğrulanıyor mu?</x:v>
      </x:c>
      <x:c r="D22" s="6" t="str">
        <x:v>Kural hit bilgisi temsili gözlem dönemi ve iş sahibi onayıyla değerlendirilmiş; gereksiz kurallar kaldırılmış olmalı.</x:v>
      </x:c>
      <x:c r="E22" s="6" t="str">
        <x:v>Artık gerekli olmayan izin daha sonra saldırı veya yanlış yönlendirme için açık yol bırakır.</x:v>
      </x:c>
      <x:c r="F22" s="6" t="str">
        <x:v>Başlangıç/bitiş hit sayaçları, gözlem dönemi, kural sahibi ve değişiklik bileti.</x:v>
      </x:c>
      <x:c r="G22" s="6" t="str">
        <x:v>Sayaçları sıfırlamadan dönem farkını incele; düşük hit bilgisini tek başına gereksizliğin kanıtı sayma.</x:v>
      </x:c>
      <x:c r="H22" s="6" t="str">
        <x:v>FortiOS 7.4.x; global ve VDOM bağlamı ayrı kanıtlanır.</x:v>
      </x:c>
      <x:c r="I22" s="6" t="str">
        <x:v>Salt okunur inceleme; değişiklik ayrı onaylı bakım işlemidir.</x:v>
      </x:c>
      <x:c r="J22" s="6" t="str">
        <x:v>CIS-FGT:3.1</x:v>
      </x:c>
      <x:c r="K22" s="6" t="str">
        <x:v>AC-4; CM-3</x:v>
      </x:c>
      <x:c r="L22" s="6" t="str">
        <x:v>1 eski soru. Birleştirme İzini bu Kontrol ID ile süzün.</x:v>
      </x:c>
    </x:row>
    <x:row r="23" ht="55" customHeight="1">
      <x:c r="A23" s="6" t="str">
        <x:v>FGC-018</x:v>
      </x:c>
      <x:c r="B23" s="6" t="str">
        <x:v>Tehdit istihbaratı adres engelleme</x:v>
      </x:c>
      <x:c r="C23" s="6" t="str">
        <x:v>Tehdit istihbaratı adres engelleme kontrolü, aşağıdaki sürüm ve kapsam koşullarında doğrulanıyor mu?</x:v>
      </x:c>
      <x:c r="D23" s="6" t="str">
        <x:v>Kapsamdaki inbound/outbound trafik için benchmarkta belirtilen ISDB zararlı kaynak/hedef sınıfları uygun yönde engellenmiş olmalı; nesne listesi kaynak sürümüyle karşılaştırılır.</x:v>
      </x:c>
      <x:c r="E23" s="6" t="str">
        <x:v>Bilinen C2 ve zararlı uçlara erişim botnet iletişimini veya istismar keşfini kolaylaştırabilir.</x:v>
      </x:c>
      <x:c r="F23" s="6" t="str">
        <x:v>ISDB nesne sürümü, ilgili deny kuralı ve trafik yönü, örnek engelleme kaydı.</x:v>
      </x:c>
      <x:c r="G23" s="6" t="str">
        <x:v>Kaynağın inbound/outbound listelerini birbirine kopyalama; effective policy sırasını ve ilgili nesneleri test kaydıyla doğrula.</x:v>
      </x:c>
      <x:c r="H23" s="6" t="str">
        <x:v>FortiOS 7.4.x; global ve VDOM bağlamı ayrı kanıtlanır.</x:v>
      </x:c>
      <x:c r="I23" s="6" t="str">
        <x:v>Tor/VPN/proxy sınıfları iş kullanımını etkileyebilir; kaynak listesi güncel tehditlerin tamamını temsil etmez.</x:v>
      </x:c>
      <x:c r="J23" s="6" t="str">
        <x:v>CIS-FGT:3.3</x:v>
      </x:c>
      <x:c r="K23" s="6" t="str">
        <x:v>SI-4; SC-7</x:v>
      </x:c>
      <x:c r="L23" s="6" t="str">
        <x:v>Yeni CIS teknik maddesi. CIS Dizinine bakın.</x:v>
      </x:c>
    </x:row>
    <x:row r="24" ht="40" customHeight="1">
      <x:c r="A24" s="6" t="str">
        <x:v>FGC-019</x:v>
      </x:c>
      <x:c r="B24" s="6" t="str">
        <x:v>Politika trafik kaydı</x:v>
      </x:c>
      <x:c r="C24" s="6" t="str">
        <x:v>Politika trafik kaydı kontrolü, aşağıdaki sürüm ve kapsam koşullarında doğrulanıyor mu?</x:v>
      </x:c>
      <x:c r="D24" s="6" t="str">
        <x:v>Kapsamdaki firewall kurallarında trafik kaydı açık; izin/ret olayları kural ve VDOM kimliğiyle izlenebilir olmalı.</x:v>
      </x:c>
      <x:c r="E24" s="6" t="str">
        <x:v>Trafik izi olmadığında tenant ihlalinin yolunu ve etkilenen tarafları belirlemek güçleşir.</x:v>
      </x:c>
      <x:c r="F24" s="6" t="str">
        <x:v>Kural logging ayarları, explicit/implicit deny değerlendirmesi, SIEM olay örneği.</x:v>
      </x:c>
      <x:c r="G24" s="6" t="str">
        <x:v>Seçili izin ve ret akışının VDOM/kural/sonuç alanıyla merkezde görüldüğünü doğrula.</x:v>
      </x:c>
      <x:c r="H24" s="6" t="str">
        <x:v>FortiOS 7.4.x; global ve VDOM bağlamı ayrı kanıtlanır.</x:v>
      </x:c>
      <x:c r="I24" s="6" t="str">
        <x:v>Salt okunur inceleme; değişiklik ayrı onaylı bakım işlemidir.</x:v>
      </x:c>
      <x:c r="J24" s="6" t="str">
        <x:v>CIS-FGT:3.4</x:v>
      </x:c>
      <x:c r="K24" s="6" t="str">
        <x:v>AU-12</x:v>
      </x:c>
      <x:c r="L24" s="6" t="str">
        <x:v>1 eski soru. Birleştirme İzini bu Kontrol ID ile süzün.</x:v>
      </x:c>
    </x:row>
    <x:row r="25" ht="40" customHeight="1">
      <x:c r="A25" s="6" t="str">
        <x:v>FGC-021</x:v>
      </x:c>
      <x:c r="B25" s="6" t="str">
        <x:v>Güvenlik içerik güncelliği</x:v>
      </x:c>
      <x:c r="C25" s="6" t="str">
        <x:v>Güvenlik içerik güncelliği kontrolü, aşağıdaki sürüm ve kapsam koşullarında doğrulanıyor mu?</x:v>
      </x:c>
      <x:c r="D25" s="6" t="str">
        <x:v>FortiGuard otomatik güncelleme zamanlaması Automatic; fiili imza güncelliği ve indirme hataları izleniyor olmalı.</x:v>
      </x:c>
      <x:c r="E25" s="6" t="str">
        <x:v>Güncel olmayan içerik yeni zararlı örüntülerini kaçırabilir.</x:v>
      </x:c>
      <x:c r="F25" s="6" t="str">
        <x:v>Autoupdate etkin ayarı, AV/IPS paket sürümleri, indirme/başarısızlık logları.</x:v>
      </x:c>
      <x:c r="G25" s="6" t="str">
        <x:v>Yalnız yapılandırmayı değil son başarılı güncelleme ile fiili paket sürümünü karşılaştır.</x:v>
      </x:c>
      <x:c r="H25" s="6" t="str">
        <x:v>FortiOS 7.4.x; global ve VDOM bağlamı ayrı kanıtlanır.</x:v>
      </x:c>
      <x:c r="I25" s="6" t="str">
        <x:v>Salt okunur inceleme; değişiklik ayrı onaylı bakım işlemidir.</x:v>
      </x:c>
      <x:c r="J25" s="6" t="str">
        <x:v>CIS-FGT:4.2.1</x:v>
      </x:c>
      <x:c r="K25" s="6" t="str">
        <x:v>SI-3; SI-4</x:v>
      </x:c>
      <x:c r="L25" s="6" t="str">
        <x:v>3 eski soru. Birleştirme İzini bu Kontrol ID ile süzün.</x:v>
      </x:c>
    </x:row>
    <x:row r="26" ht="70" customHeight="1">
      <x:c r="A26" s="6" t="str">
        <x:v>FGC-022</x:v>
      </x:c>
      <x:c r="B26" s="6" t="str">
        <x:v>AV tarama ve salgın koruması</x:v>
      </x:c>
      <x:c r="C26" s="6" t="str">
        <x:v>AV tarama ve salgın koruması kontrolü, aşağıdaki sürüm ve kapsam koşullarında doğrulanıyor mu?</x:v>
      </x:c>
      <x:c r="D26" s="6" t="str">
        <x:v>İlgili politikalarda AV etkin; kapsanan protokollerde outbreak-prevention block, machine-learning-detection ve grayware enable olmalı.</x:v>
      </x:c>
      <x:c r="E26" s="6" t="str">
        <x:v>Profilin eksik protokol kapsamı zararlı dosyanın taranmadan geçmesine izin verir.</x:v>
      </x:c>
      <x:c r="F26" s="6" t="str">
        <x:v>AV profil protokol/aksiyonları, global AV ayarı ve politika bağları.</x:v>
      </x:c>
      <x:c r="G26" s="6" t="str">
        <x:v>Her kullanılan protokolü etkin profile eşleştir; onaylı zararsız test dosyasının beklenen sonuca ulaştığını doğrula.</x:v>
      </x:c>
      <x:c r="H26" s="6" t="str">
        <x:v>FortiOS 7.4.x; global ve VDOM bağlamı ayrı kanıtlanır.</x:v>
      </x:c>
      <x:c r="I26" s="6" t="str">
        <x:v>Yanlış pozitif ve iş protokolü uyumu ayrı test edilir.</x:v>
      </x:c>
      <x:c r="J26" s="6" t="str">
        <x:v>CIS-FGT:4.2.2
CIS-FGT:4.2.3
CIS-FGT:4.2.4
CIS-FGT:4.2.5</x:v>
      </x:c>
      <x:c r="K26" s="6" t="str">
        <x:v>SI-3</x:v>
      </x:c>
      <x:c r="L26" s="6" t="str">
        <x:v>Yeni CIS teknik maddesi. CIS Dizinine bakın.</x:v>
      </x:c>
    </x:row>
    <x:row r="27" ht="55" customHeight="1">
      <x:c r="A27" s="6" t="str">
        <x:v>FGC-023</x:v>
      </x:c>
      <x:c r="B27" s="6" t="str">
        <x:v>Inline sandbox veri işleme</x:v>
      </x:c>
      <x:c r="C27" s="6" t="str">
        <x:v>Inline sandbox veri işleme kontrolü, aşağıdaki sürüm ve kapsam koşullarında doğrulanıyor mu?</x:v>
      </x:c>
      <x:c r="D27" s="6" t="str">
        <x:v>Desteklenen/onaylı kullanımda sandbox-inline-scan etkin; AV profili inline ve ilgili protokol aksiyonları block olmalı.</x:v>
      </x:c>
      <x:c r="E27" s="6" t="str">
        <x:v>Beklemeden teslim edilen bilinmeyen dosya kullanıcıya ulaşabilir; dış sandboxa gönderilen içerik müşteri verisi taşıyabilir.</x:v>
      </x:c>
      <x:c r="F27" s="6" t="str">
        <x:v>Model/lisans desteği, sandbox hedef/bölge sözleşmesi, AV inline ayarları ve güvenli örnek akış.</x:v>
      </x:c>
      <x:c r="G27" s="6" t="str">
        <x:v>Müşteri veri aktarım onayını ve teknik modu birlikte doğrula; ülke/onay uygunluğu belirsizse etkinleştirmeyi önermeden kapsamı açık bırak.</x:v>
      </x:c>
      <x:c r="H27" s="6" t="str">
        <x:v>FortiOS 7.4.x L2; destek ve müşteri veri işleme onayı varsa.</x:v>
      </x:c>
      <x:c r="I27" s="6" t="str">
        <x:v>Gecikme, dosya transferi ve veri yerleşimi etkisi değerlendirilir.</x:v>
      </x:c>
      <x:c r="J27" s="6" t="str">
        <x:v>CIS-FGT:4.2.6</x:v>
      </x:c>
      <x:c r="K27" s="6" t="str">
        <x:v>SI-3; AC-4</x:v>
      </x:c>
      <x:c r="L27" s="6" t="str">
        <x:v>Yeni CIS teknik maddesi. CIS Dizinine bakın.</x:v>
      </x:c>
    </x:row>
    <x:row r="28" ht="40" customHeight="1">
      <x:c r="A28" s="6" t="str">
        <x:v>FGC-024</x:v>
      </x:c>
      <x:c r="B28" s="6" t="str">
        <x:v>İçerik arındırma (CDR)</x:v>
      </x:c>
      <x:c r="C28" s="6" t="str">
        <x:v>İçerik arındırma (CDR) kontrolü, aşağıdaki sürüm ve kapsam koşullarında doğrulanıyor mu?</x:v>
      </x:c>
      <x:c r="D28" s="6" t="str">
        <x:v>Proxy incelemede kaynakta kapsanan XLSB/OpenOffice/RTF dosyaları için CDR etkin ve kullanılan profile bağlı olmalı.</x:v>
      </x:c>
      <x:c r="E28" s="6" t="str">
        <x:v>Etkin dosya içeriği zararlı işlev taşıyabilir; arındırma kapalıysa riskli içerik aynen geçer.</x:v>
      </x:c>
      <x:c r="F28" s="6" t="str">
        <x:v>CDR ve proxy profil ayarları, politika bağı, onaylı örnek dosya önce/sonra sonucu.</x:v>
      </x:c>
      <x:c r="G28" s="6" t="str">
        <x:v>Yeni profil oluşturma; mevcut etkin profilde desteklenen format ve arındırma davranışını incele.</x:v>
      </x:c>
      <x:c r="H28" s="6" t="str">
        <x:v>FortiOS 7.4.x; proxy tabanlı AV/CDR destekli trafik.</x:v>
      </x:c>
      <x:c r="I28" s="6" t="str">
        <x:v>Dosyanın işlevsel içeriği değişebilir; test verisiyle doğrulanır.</x:v>
      </x:c>
      <x:c r="J28" s="6" t="str">
        <x:v>CIS-FGT:4.2.7</x:v>
      </x:c>
      <x:c r="K28" s="6" t="str">
        <x:v>SI-3</x:v>
      </x:c>
      <x:c r="L28" s="6" t="str">
        <x:v>Yeni CIS teknik maddesi. CIS Dizinine bakın.</x:v>
      </x:c>
    </x:row>
    <x:row r="29" ht="55" customHeight="1">
      <x:c r="A29" s="6" t="str">
        <x:v>FGC-025</x:v>
      </x:c>
      <x:c r="B29" s="6" t="str">
        <x:v>DNS güvenlik filtresi</x:v>
      </x:c>
      <x:c r="C29" s="6" t="str">
        <x:v>DNS güvenlik filtresi kontrolü, aşağıdaki sürüm ve kapsam koşullarında doğrulanıyor mu?</x:v>
      </x:c>
      <x:c r="D29" s="6" t="str">
        <x:v>DNS filtresi ilgili politikalara bağlı; botnet C&amp;C engellemesi ve log-all-domain etkin olmalı.</x:v>
      </x:c>
      <x:c r="E29" s="6" t="str">
        <x:v>DNS üzerinden C2 çözümlemesi açık kalabilir; DNS kayıtları eksikse olay yolu görülemez.</x:v>
      </x:c>
      <x:c r="F29" s="6" t="str">
        <x:v>DNS profil ayarları, politika bağları, güvenli DNS test kaydı.</x:v>
      </x:c>
      <x:c r="G29" s="6" t="str">
        <x:v>İstemcinin gerçekten filtreden geçen DNS yolunu ve deny/log sonucunu doğrula.</x:v>
      </x:c>
      <x:c r="H29" s="6" t="str">
        <x:v>FortiOS 7.4.x; global ve VDOM bağlamı ayrı kanıtlanır.</x:v>
      </x:c>
      <x:c r="I29" s="6" t="str">
        <x:v>Şifreli veya alternatif DNS yolları ayrıca kapsamlandırılır; tüm DNS kaydı kişisel metadata taşıyabilir.</x:v>
      </x:c>
      <x:c r="J29" s="6" t="str">
        <x:v>CIS-FGT:4.3.1
CIS-FGT:4.3.2
CIS-FGT:4.3.3</x:v>
      </x:c>
      <x:c r="K29" s="6" t="str">
        <x:v>SI-4; AU-12</x:v>
      </x:c>
      <x:c r="L29" s="6" t="str">
        <x:v>Yeni CIS teknik maddesi. CIS Dizinine bakın.</x:v>
      </x:c>
    </x:row>
    <x:row r="30" ht="40" customHeight="1">
      <x:c r="A30" s="6" t="str">
        <x:v>FGC-026</x:v>
      </x:c>
      <x:c r="B30" s="6" t="str">
        <x:v>Web tehdit kategorileri</x:v>
      </x:c>
      <x:c r="C30" s="6" t="str">
        <x:v>Web tehdit kategorileri kontrolü, aşağıdaki sürüm ve kapsam koşullarında doğrulanıyor mu?</x:v>
      </x:c>
      <x:c r="D30" s="6" t="str">
        <x:v>Uygulanan web filtresinde malicious/phishing/spam kategorileri Block olmalı.</x:v>
      </x:c>
      <x:c r="E30" s="6" t="str">
        <x:v>Kullanıcıların zararlı siteye erişimi kimlik avı veya zararlı indirmeye yol açabilir.</x:v>
      </x:c>
      <x:c r="F30" s="6" t="str">
        <x:v>Web filter kategori aksiyonları, kural bağları ve güvenli URL test kaydı.</x:v>
      </x:c>
      <x:c r="G30" s="6" t="str">
        <x:v>Profildeki ayarı gerçek trafik yolu ve category loguyla birlikte doğrula.</x:v>
      </x:c>
      <x:c r="H30" s="6" t="str">
        <x:v>FortiOS 7.4.x; global ve VDOM bağlamı ayrı kanıtlanır.</x:v>
      </x:c>
      <x:c r="I30" s="6" t="str">
        <x:v>Kategori yanlış pozitifleri belgelenir; yeni görülen tüm alan adlarına koşulsuz blok varsayılmaz.</x:v>
      </x:c>
      <x:c r="J30" s="6" t="str">
        <x:v>CIS-FGT:4.4.1</x:v>
      </x:c>
      <x:c r="K30" s="6" t="str">
        <x:v>SI-3; SI-4</x:v>
      </x:c>
      <x:c r="L30" s="6" t="str">
        <x:v>Yeni CIS teknik maddesi. CIS Dizinine bakın.</x:v>
      </x:c>
    </x:row>
    <x:row r="31" ht="70" customHeight="1">
      <x:c r="A31" s="6" t="str">
        <x:v>FGC-027</x:v>
      </x:c>
      <x:c r="B31" s="6" t="str">
        <x:v>Uygulama kontrolü</x:v>
      </x:c>
      <x:c r="C31" s="6" t="str">
        <x:v>Uygulama kontrolü kontrolü, aşağıdaki sürüm ve kapsam koşullarında doğrulanıyor mu?</x:v>
      </x:c>
      <x:c r="D31" s="6" t="str">
        <x:v>App Control ilgili politikalara bağlı; P2P/Proxy ve varsayılan olmayan porttaki uygulamalar engelli; diğer kategoriler görünürlük için en az Monitor, riskliler Block olmalı.</x:v>
      </x:c>
      <x:c r="E31" s="6" t="str">
        <x:v>Port bazlı izin kontrolünü aşan uygulama veya proxy müşteri ağ sınırını baypas edebilir.</x:v>
      </x:c>
      <x:c r="F31" s="6" t="str">
        <x:v>Uygulama profil kategorileri/port davranışı, kural bağları ve uygulama logları.</x:v>
      </x:c>
      <x:c r="G31" s="6" t="str">
        <x:v>Allow ile Monitor farkını ve gerçek uygulama tanımasını doğrula; sadece TCP port kuralını kanıt sayma.</x:v>
      </x:c>
      <x:c r="H31" s="6" t="str">
        <x:v>FortiOS 7.4.x; global ve VDOM bağlamı ayrı kanıtlanır.</x:v>
      </x:c>
      <x:c r="I31" s="6" t="str">
        <x:v>İş için onaylı proxy ve özel port uygulamaları etkilenebilir.</x:v>
      </x:c>
      <x:c r="J31" s="6" t="str">
        <x:v>CIS-FGT:4.5.1
CIS-FGT:4.5.2
CIS-FGT:4.5.3
CIS-FGT:4.5.4</x:v>
      </x:c>
      <x:c r="K31" s="6" t="str">
        <x:v>AC-4; SI-4</x:v>
      </x:c>
      <x:c r="L31" s="6" t="str">
        <x:v>Yeni CIS teknik maddesi. CIS Dizinine bakın.</x:v>
      </x:c>
    </x:row>
    <x:row r="32" ht="40" customHeight="1">
      <x:c r="A32" s="6" t="str">
        <x:v>FGC-028</x:v>
      </x:c>
      <x:c r="B32" s="6" t="str">
        <x:v>Kompromize uç karantinası</x:v>
      </x:c>
      <x:c r="C32" s="6" t="str">
        <x:v>Kompromize uç karantinası kontrolü, aşağıdaki sürüm ve kapsam koşullarında doğrulanıyor mu?</x:v>
      </x:c>
      <x:c r="D32" s="6" t="str">
        <x:v>Desteklenen entegrasyonda kompromize cihaz karantina aksiyonu hedef ve geri alma yöntemiyle test edilmiş olmalı.</x:v>
      </x:c>
      <x:c r="E32" s="6" t="str">
        <x:v>Alarm üreten uç erişimde kalırsa yatay hareket sürer; yanlış karantina hizmeti kesebilir.</x:v>
      </x:c>
      <x:c r="F32" s="6" t="str">
        <x:v>FortiAP/FortiSwitch/EMS entegrasyonu, otomasyon aksiyonu, onaylı test/geri alma kaydı.</x:v>
      </x:c>
      <x:c r="G32" s="6" t="str">
        <x:v>Yalnız desteklenen test cihazında hedef kapsamını ve geri alma kanıtını doğrula.</x:v>
      </x:c>
      <x:c r="H32" s="6" t="str">
        <x:v>FortiOS 7.4.x; ilgili FortiAP/FortiSwitch/EMS ekosistemi varsa.</x:v>
      </x:c>
      <x:c r="I32" s="6" t="str">
        <x:v>Müşteri cihazı izolasyonu ayrı test onayı gerektirir.</x:v>
      </x:c>
      <x:c r="J32" s="6" t="str">
        <x:v>CIS-FGT:5.1.1</x:v>
      </x:c>
      <x:c r="K32" s="6" t="str">
        <x:v>IR-4</x:v>
      </x:c>
      <x:c r="L32" s="6" t="str">
        <x:v>Yeni CIS teknik maddesi. CIS Dizinine bakın.</x:v>
      </x:c>
    </x:row>
    <x:row r="33" ht="40" customHeight="1">
      <x:c r="A33" s="6" t="str">
        <x:v>FGC-029</x:v>
      </x:c>
      <x:c r="B33" s="6" t="str">
        <x:v>Security Fabric üyeliği</x:v>
      </x:c>
      <x:c r="C33" s="6" t="str">
        <x:v>Security Fabric üyeliği kontrolü, aşağıdaki sürüm ve kapsam koşullarında doğrulanıyor mu?</x:v>
      </x:c>
      <x:c r="D33" s="6" t="str">
        <x:v>Kullanılıyorsa Security Fabric root ve yetkili üyeler onaylı mimariyle eşleşmeli.</x:v>
      </x:c>
      <x:c r="E33" s="6" t="str">
        <x:v>Yetkisiz fabric üyeliği ortak yönetim alanında güvenlik verisi ve kontrol paylaşımını genişletebilir.</x:v>
      </x:c>
      <x:c r="F33" s="6" t="str">
        <x:v>Fabric root/üye kimlikleri, onaylı topoloji, yetkilendirme durumu.</x:v>
      </x:c>
      <x:c r="G33" s="6" t="str">
        <x:v>Keşfedilen üyeleri onaylı listeyle karşılaştır; her bağımsız MSP kurulumu için fabric zorunluluğu varsayma.</x:v>
      </x:c>
      <x:c r="H33" s="6" t="str">
        <x:v>FortiOS 7.4.x; Security Fabric kullanılan kapsam.</x:v>
      </x:c>
      <x:c r="I33" s="6" t="str">
        <x:v>Salt okunur inceleme; değişiklik ayrı onaylı bakım işlemidir.</x:v>
      </x:c>
      <x:c r="J33" s="6" t="str">
        <x:v>CIS-FGT:5.2.1.1</x:v>
      </x:c>
      <x:c r="K33" s="6" t="str">
        <x:v>IA-3; AC-4</x:v>
      </x:c>
      <x:c r="L33" s="6" t="str">
        <x:v>Yeni CIS teknik maddesi. CIS Dizinine bakın.</x:v>
      </x:c>
    </x:row>
    <x:row r="34" ht="40" customHeight="1">
      <x:c r="A34" s="6" t="str">
        <x:v>FGC-030</x:v>
      </x:c>
      <x:c r="B34" s="6" t="str">
        <x:v>SSL VPN sertifika ve taşıma güvenliği</x:v>
      </x:c>
      <x:c r="C34" s="6" t="str">
        <x:v>SSL VPN sertifika ve taşıma güvenliği kontrolü, aşağıdaki sürüm ve kapsam koşullarında doğrulanıyor mu?</x:v>
      </x:c>
      <x:c r="D34" s="6" t="str">
        <x:v>Kullanılan SSL VPN’de güvenilir/geçerli sertifika; en az TLS 1.2, en çok TLS 1.3 ve yüksek algoritma seviyesi doğrulanmalı.</x:v>
      </x:c>
      <x:c r="E34" s="6" t="str">
        <x:v>Güvenilmeyen sertifika veya zayıf taşıma uzaktan erişim kimliğini açığa çıkarabilir.</x:v>
      </x:c>
      <x:c r="F34" s="6" t="str">
        <x:v>VPN sertifika zinciri, etkin TLS/algoritma ayarı ve el sıkışma sonucu.</x:v>
      </x:c>
      <x:c r="G34" s="6" t="str">
        <x:v>CIS komut adındaki yazım hatasını uygulamadan, kurulu build arayüzü ve fiili protokol testinden doğrula.</x:v>
      </x:c>
      <x:c r="H34" s="6" t="str">
        <x:v>FortiOS 7.4.x; model/build üzerinde SSL VPN kullanılıyorsa.</x:v>
      </x:c>
      <x:c r="I34" s="6" t="str">
        <x:v>İstemci uyumu ve sertifika yenileme bağımlılığı izlenir.</x:v>
      </x:c>
      <x:c r="J34" s="6" t="str">
        <x:v>CIS-FGT:6.1.1
CIS-FGT:6.1.2</x:v>
      </x:c>
      <x:c r="K34" s="6" t="str">
        <x:v>SC-8; SC-17</x:v>
      </x:c>
      <x:c r="L34" s="6" t="str">
        <x:v>1 eski soru. Birleştirme İzini bu Kontrol ID ile süzün.</x:v>
      </x:c>
    </x:row>
    <x:row r="35" ht="40" customHeight="1">
      <x:c r="A35" s="6" t="str">
        <x:v>FGC-031</x:v>
      </x:c>
      <x:c r="B35" s="6" t="str">
        <x:v>Olay kaydı ve merkezi aktarım</x:v>
      </x:c>
      <x:c r="C35" s="6" t="str">
        <x:v>Olay kaydı ve merkezi aktarım kontrolü, aşağıdaki sürüm ve kapsam koşullarında doğrulanıyor mu?</x:v>
      </x:c>
      <x:c r="D35" s="6" t="str">
        <x:v>Tüm event log türleri etkin; loglar onaylı merkezi sunucuya aktarılıyor olmalı.</x:v>
      </x:c>
      <x:c r="E35" s="6" t="str">
        <x:v>Yerel cihaz kaybı veya manipülasyonu yönetim ve güvenlik olaylarının kanıtını yok edebilir.</x:v>
      </x:c>
      <x:c r="F35" s="6" t="str">
        <x:v>Event filter, log hedefi, örnek yönetim/güvenlik olayı ve merkez kaydı.</x:v>
      </x:c>
      <x:c r="G35" s="6" t="str">
        <x:v>Olay türü kapsamını ve kaynak-VDOM-zaman ilişkisinin merkezde korunduğunu doğrula.</x:v>
      </x:c>
      <x:c r="H35" s="6" t="str">
        <x:v>FortiOS 7.4.x; global ve VDOM bağlamı ayrı kanıtlanır.</x:v>
      </x:c>
      <x:c r="I35" s="6" t="str">
        <x:v>Salt okunur inceleme; değişiklik ayrı onaylı bakım işlemidir.</x:v>
      </x:c>
      <x:c r="J35" s="6" t="str">
        <x:v>CIS-FGT:7.1.1
CIS-FGT:7.2.1</x:v>
      </x:c>
      <x:c r="K35" s="6" t="str">
        <x:v>AU-12; AU-9</x:v>
      </x:c>
      <x:c r="L35" s="6" t="str">
        <x:v>1 eski soru. Birleştirme İzini bu Kontrol ID ile süzün.</x:v>
      </x:c>
    </x:row>
    <x:row r="36" ht="40" customHeight="1">
      <x:c r="A36" s="6" t="str">
        <x:v>FGC-032</x:v>
      </x:c>
      <x:c r="B36" s="6" t="str">
        <x:v>FortiAnalyzer şifreli güvenilir log</x:v>
      </x:c>
      <x:c r="C36" s="6" t="str">
        <x:v>FortiAnalyzer şifreli güvenilir log kontrolü, aşağıdaki sürüm ve kapsam koşullarında doğrulanıyor mu?</x:v>
      </x:c>
      <x:c r="D36" s="6" t="str">
        <x:v>FortiAnalyzer aktarımında enc-algorithm=high ve reliable etkin olmalı.</x:v>
      </x:c>
      <x:c r="E36" s="6" t="str">
        <x:v>Şifresiz veya kayıplı log yolu olay gizliliğini ve sürekliliğini zayıflatır.</x:v>
      </x:c>
      <x:c r="F36" s="6" t="str">
        <x:v>FortiAnalyzer etkin aktarım ayarı, bağlantı ve alınan olay kanıtı.</x:v>
      </x:c>
      <x:c r="G36" s="6" t="str">
        <x:v>Küme/VDOM override ayarlarını incele; sadece hedef tanımını yeterli sayma.</x:v>
      </x:c>
      <x:c r="H36" s="6" t="str">
        <x:v>FortiOS 7.4.x; FortiAnalyzer kullanılıyorsa.</x:v>
      </x:c>
      <x:c r="I36" s="6" t="str">
        <x:v>Salt okunur inceleme; değişiklik ayrı onaylı bakım işlemidir.</x:v>
      </x:c>
      <x:c r="J36" s="6" t="str">
        <x:v>CIS-FGT:7.3.1</x:v>
      </x:c>
      <x:c r="K36" s="6" t="str">
        <x:v>SC-8; AU-9</x:v>
      </x:c>
      <x:c r="L36" s="6" t="str">
        <x:v>1 eski soru. Birleştirme İzini bu Kontrol ID ile süzün.</x:v>
      </x:c>
    </x:row>
    <x:row r="37" ht="55" customHeight="1">
      <x:c r="A37" s="6" t="str">
        <x:v>FGC-033</x:v>
      </x:c>
      <x:c r="B37" s="6" t="str">
        <x:v>Syslog TLS aktarımı</x:v>
      </x:c>
      <x:c r="C37" s="6" t="str">
        <x:v>Syslog TLS aktarımı kontrolü, aşağıdaki sürüm ve kapsam koşullarında doğrulanıyor mu?</x:v>
      </x:c>
      <x:c r="D37" s="6" t="str">
        <x:v>Etkin syslog hedefinde mode=reliable ve enc-algorithm=high; gerçek TLS bağlantısı ve sertifika güveni doğrulanmalı.</x:v>
      </x:c>
      <x:c r="E37" s="6" t="str">
        <x:v>TCP kullanılması tek başına logu şifrelemez; yanlış güven zinciri hedef sahteciliğine izin verebilir.</x:v>
      </x:c>
      <x:c r="F37" s="6" t="str">
        <x:v>Global/VDOM syslog override ayarı, sertifika zinciri ve alıcıdaki TLS bağlantı/olay kaydı.</x:v>
      </x:c>
      <x:c r="G37" s="6" t="str">
        <x:v>İki CIS maddesini tek testte değerlendir; güncel 7.4.5 CLI Referansı ile mode/enc-algorithm alanlarını doğrula.</x:v>
      </x:c>
      <x:c r="H37" s="6" t="str">
        <x:v>FortiOS 7.4.x; syslog kullanılıyorsa. Ek kaynak FGT-SYSLOG.</x:v>
      </x:c>
      <x:c r="I37" s="6" t="str">
        <x:v>7.3.2 ve 7.3.3 yinelenen maddelerdir; kaynakta FortiAnalyzer açıklaması ve reliable komutu karışmıştır.</x:v>
      </x:c>
      <x:c r="J37" s="6" t="str">
        <x:v>CIS-FGT:7.3.2
CIS-FGT:7.3.3
FGT-SYSLOG</x:v>
      </x:c>
      <x:c r="K37" s="6" t="str">
        <x:v>SC-8; AU-9</x:v>
      </x:c>
      <x:c r="L37" s="6" t="str">
        <x:v>1 eski soru. Birleştirme İzini bu Kontrol ID ile süzün.</x:v>
      </x:c>
    </x:row>
    <x:row r="38" ht="55" customHeight="1">
      <x:c r="A38" s="6" t="str">
        <x:v>FGT-007</x:v>
      </x:c>
      <x:c r="B38" s="6" t="str">
        <x:v>VDOM izolasyonu</x:v>
      </x:c>
      <x:c r="C38" s="6" t="str">
        <x:v>Her müşterinin interface, policy ve routing kapsamı doğru VDOM'a atanmış mı?</x:v>
      </x:c>
      <x:c r="D38" s="6" t="str">
        <x:v>Müşteri-VDOM eşlemesi tasarımla tutarlı; çapraz erişim yalnız onaylı akışla mümkün olmalı.</x:v>
      </x:c>
      <x:c r="E38" s="6" t="str">
        <x:v>Hatalı interface veya rota eşlemesi tenantlar arasında erişim oluşturur.</x:v>
      </x:c>
      <x:c r="F38" s="6" t="str">
        <x:v>VDOM/interface/routing/policy exportu, akış matrisi.</x:v>
      </x:c>
      <x:c r="G38" s="6" t="str">
        <x:v>İki tenant yönünde izinsiz akışların reddini ve izinli akışın doğru VDOM'da işlendiğini test et.</x:v>
      </x:c>
      <x:c r="H38" s="6" t="str">
        <x:v>FortiOS sürümü, VDOM modu, HA ve lisanslar teyit edilmeli.</x:v>
      </x:c>
      <x:c r="I38" s="6" t="str">
        <x:v>Kurulu sürüm/dağıtımın özellik ve lisans desteği kanıtlanır. Test, salt okunur çıktı veya onaylı izole ortamla yürütülür.</x:v>
      </x:c>
      <x:c r="J38" s="6" t="str">
        <x:v>FGT-VDOM: VDOM overview
NIST-53: AC-4; SC-7
BIGR: 4.3.1.4 | 4.3.1.4 — basılı s.164 / PDF 168</x:v>
      </x:c>
      <x:c r="K38" s="6" t="str">
        <x:v>AC-4; SC-7</x:v>
      </x:c>
      <x:c r="L38" s="6" t="str">
        <x:v>3 eski soru. Birleştirme İzini bu Kontrol ID ile süzün.</x:v>
      </x:c>
    </x:row>
    <x:row r="39" ht="55" customHeight="1">
      <x:c r="A39" s="6" t="str">
        <x:v>FGT-008</x:v>
      </x:c>
      <x:c r="B39" s="6" t="str">
        <x:v>VDOM yetkisi</x:v>
      </x:c>
      <x:c r="C39" s="6" t="str">
        <x:v>VDOM yöneticileri global ayarlara veya başka VDOM'a erişebiliyor mu?</x:v>
      </x:c>
      <x:c r="D39" s="6" t="str">
        <x:v>Yönetici profili ve atanmış VDOM listesi sadece gerekli kapsamı içermeli.</x:v>
      </x:c>
      <x:c r="E39" s="6" t="str">
        <x:v>Tenant yöneticisi ortak firewall'u veya başka müşteriyi değiştirir.</x:v>
      </x:c>
      <x:c r="F39" s="6" t="str">
        <x:v>Admin profile ve VDOM atama çıktısı.</x:v>
      </x:c>
      <x:c r="G39" s="6" t="str">
        <x:v>Tenant test yöneticisiyle global ve karşı VDOM okuma/değiştirme yetkilerini doğrula.</x:v>
      </x:c>
      <x:c r="H39" s="6" t="str">
        <x:v>FortiOS sürümü, VDOM modu, HA ve lisanslar teyit edilmeli.</x:v>
      </x:c>
      <x:c r="I39" s="6" t="str">
        <x:v>Kurulu sürüm/dağıtımın özellik ve lisans desteği kanıtlanır. Test, salt okunur çıktı veya onaylı izole ortamla yürütülür.</x:v>
      </x:c>
      <x:c r="J39" s="6" t="str">
        <x:v>NIST-53: AC-3; FGT-VDOM: separate configurations
NIST-53: AC-3; AC-6
BIGR: 3.1.12 | 3.1.12 — bölüm başlangıcı; basılı s.68 / PDF 72</x:v>
      </x:c>
      <x:c r="K39" s="6" t="str">
        <x:v>AC-3; AC-6</x:v>
      </x:c>
      <x:c r="L39" s="6" t="str">
        <x:v>1 eski soru. Birleştirme İzini bu Kontrol ID ile süzün.</x:v>
      </x:c>
    </x:row>
    <x:row r="40" ht="55" customHeight="1">
      <x:c r="A40" s="6" t="str">
        <x:v>FGT-010</x:v>
      </x:c>
      <x:c r="B40" s="6" t="str">
        <x:v>Kaynak kotası</x:v>
      </x:c>
      <x:c r="C40" s="6" t="str">
        <x:v>Per-VDOM kritik kaynak limitleri kapasite planına göre tanımlı mı?</x:v>
      </x:c>
      <x:c r="D40" s="6" t="str">
        <x:v>Önemli kaynaklara uygun maksimumlar tanımlanmış olmalı; varsayılan sınırsızlık değerlendirilmiş olmalı.</x:v>
      </x:c>
      <x:c r="E40" s="6" t="str">
        <x:v>Bir VDOM session veya başka ortak kaynağı tüketerek diğerlerini etkiler.</x:v>
      </x:c>
      <x:c r="F40" s="6" t="str">
        <x:v>Global/per-VDOM resources, session trendi, kapasite planı.</x:v>
      </x:c>
      <x:c r="G40" s="6" t="str">
        <x:v>Limitleri taahhütler ve gözlenen tüketimle karşılaştır.</x:v>
      </x:c>
      <x:c r="H40" s="6" t="str">
        <x:v>FortiOS sürümü, VDOM modu, HA ve lisanslar teyit edilmeli.</x:v>
      </x:c>
      <x:c r="I40" s="6" t="str">
        <x:v>Kurulu sürüm/dağıtımın özellik ve lisans desteği kanıtlanır. Test, salt okunur çıktı veya onaylı izole ortamla yürütülür.</x:v>
      </x:c>
      <x:c r="J40" s="6" t="str">
        <x:v>FGT-VDOM: Per-VDOM resource setting
NIST-53: SC-5; SC-6
BIGR: 4.3.1.7 | 4.3.1.7 — basılı s.165 / PDF 169</x:v>
      </x:c>
      <x:c r="K40" s="6" t="str">
        <x:v>SC-5; SC-6</x:v>
      </x:c>
      <x:c r="L40" s="6" t="str">
        <x:v>2 eski soru. Birleştirme İzini bu Kontrol ID ile süzün.</x:v>
      </x:c>
    </x:row>
    <x:row r="41" ht="55" customHeight="1">
      <x:c r="A41" s="6" t="str">
        <x:v>FGT-011</x:v>
      </x:c>
      <x:c r="B41" s="6" t="str">
        <x:v>Kural hijyeni</x:v>
      </x:c>
      <x:c r="C41" s="6" t="str">
        <x:v>Firewall izinleri gerekli kaynak/hedef/servisle ve güncel iş gerekçesiyle sınırlı mı?</x:v>
      </x:c>
      <x:c r="D41" s="6" t="str">
        <x:v>Her izinli akışın gerekçesi/sahibi olmalı; kullanılmayan/geniş kurallar gözden geçirilmeli.</x:v>
      </x:c>
      <x:c r="E41" s="6" t="str">
        <x:v>Geniş veya unutulmuş kurallar saldırı ve veri çıkışına yol açar.</x:v>
      </x:c>
      <x:c r="F41" s="6" t="str">
        <x:v>Policy exportu, hit count, NAT/VIP ve değişiklik onayı.</x:v>
      </x:c>
      <x:c r="G41" s="6" t="str">
        <x:v>Any servisli ve internet kaynaklı kuralları risk bazında seçip gerekçesini doğrula.</x:v>
      </x:c>
      <x:c r="H41" s="6" t="str">
        <x:v>FortiOS sürümü, VDOM modu, HA ve lisanslar teyit edilmeli.</x:v>
      </x:c>
      <x:c r="I41" s="6" t="str">
        <x:v>Kurulu sürüm/dağıtımın özellik ve lisans desteği kanıtlanır. Test, salt okunur çıktı veya onaylı izole ortamla yürütülür.</x:v>
      </x:c>
      <x:c r="J41" s="6" t="str">
        <x:v>NIST-53: AC-4, CM-6
NIST-53: AC-4; CM-6
BIGR: 3.1.6 | 3.1.6 — bölüm başlangıcı; basılı s.49 / PDF 53</x:v>
      </x:c>
      <x:c r="K41" s="6" t="str">
        <x:v>AC-4; CM-6</x:v>
      </x:c>
      <x:c r="L41" s="6" t="str">
        <x:v>3 eski soru. Birleştirme İzini bu Kontrol ID ile süzün.</x:v>
      </x:c>
    </x:row>
    <x:row r="42" ht="55" customHeight="1">
      <x:c r="A42" s="6" t="str">
        <x:v>FGT-013</x:v>
      </x:c>
      <x:c r="B42" s="6" t="str">
        <x:v>Yüksek erişilebilirlik</x:v>
      </x:c>
      <x:c r="C42" s="6" t="str">
        <x:v>HA failover sırasında VDOM politikaları ve müşteri erişim sınırları korunuyor mu?</x:v>
      </x:c>
      <x:c r="D42" s="6" t="str">
        <x:v>HA senkronizasyonu ve failover sonucu güvenlik/SLA hedeflerini karşılamalı.</x:v>
      </x:c>
      <x:c r="E42" s="6" t="str">
        <x:v>Yedek cihaz farklı ayarlarla korumasız trafik geçirir veya hizmet kesilir.</x:v>
      </x:c>
      <x:c r="F42" s="6" t="str">
        <x:v>HA status/checksum, VDOM config, kontrollü failover raporu.</x:v>
      </x:c>
      <x:c r="G42" s="6" t="str">
        <x:v>Son testin her kritik VDOM için izinli/yasaklı trafik sonucunu kontrol et.</x:v>
      </x:c>
      <x:c r="H42" s="6" t="str">
        <x:v>FortiOS sürümü, VDOM modu, HA ve lisanslar teyit edilmeli.</x:v>
      </x:c>
      <x:c r="I42" s="6" t="str">
        <x:v>Kurulu sürüm/dağıtımın özellik ve lisans desteği kanıtlanır. Test, salt okunur çıktı veya onaylı izole ortamla yürütülür.</x:v>
      </x:c>
      <x:c r="J42" s="6" t="str">
        <x:v>FGT-VDOM: Virtual clustering; NIST-53: CP-4
NIST-53: CP-4; CP-10
BIGR: 3.1.13 | 3.1.13 — bölüm başlangıcı; basılı s.74 / PDF 78</x:v>
      </x:c>
      <x:c r="K42" s="6" t="str">
        <x:v>CP-4; CP-10</x:v>
      </x:c>
      <x:c r="L42" s="6" t="str">
        <x:v>2 eski soru. Birleştirme İzini bu Kontrol ID ile süzün.</x:v>
      </x:c>
    </x:row>
    <x:row r="43" ht="70" customHeight="1">
      <x:c r="A43" s="6" t="str">
        <x:v>FTG-V01-04</x:v>
      </x:c>
      <x:c r="B43" s="6" t="str">
        <x:v>Müşteri/tenant izolasyonu</x:v>
      </x:c>
      <x:c r="C43" s="6" t="str">
        <x:v>Inter-VDOM link, route leaking ve shared service bağlantıları veri akış matrisi ve varsayılan ret ile kontrol ediliyor mu?</x:v>
      </x:c>
      <x:c r="D43" s="6" t="str">
        <x:v>İzinsiz tenantlar arası rota veya politika yoktur; negatif bağlantı testi başarısızdır.</x:v>
      </x:c>
      <x:c r="E43" s="6" t="str">
        <x:v>VDOM ve müşteriler arası ağ/yönetim izolasyonu yeterli değilse, bir müşteri diğerinin verisine, yönetim nesnesine veya hizmet kaynağına erişebilir.</x:v>
      </x:c>
      <x:c r="F43" s="6" t="str">
        <x:v>Inter-VDOM link/route/policy exportu</x:v>
      </x:c>
      <x:c r="G43" s="6" t="str">
        <x:v>Salt okunur sistem çıktısını onaylı rol, kapsam ve yapılandırma kaydıyla karşılaştır; ölçütteki her koşul için kanıt konumu ve ayrı alt sonucu kaydet. Yalnız görüşme veya ekran görüntüsüyle fiili işleyiş sonucunu kapatma.</x:v>
      </x:c>
      <x:c r="H43" s="6" t="str">
        <x:v>Kurulu ürün/dağıtım, müşteri sözleşmesi ve işlev desteği Kapsam kaydında doğrulanır. Yalnız tek müşteriye tahsis edilmiş (dedicated) hizmetlerde gerekçeli olarak daraltılabilir.</x:v>
      </x:c>
      <x:c r="I43" s="6" t="str">
        <x:v>Kurum için onaylı periyot/eşik gerekir; metindeki uygulama örnekleri NIST’in zorunlu ürün parametresi değildir. Üretimde değişiklik veya kesinti testi yapılmaz.</x:v>
      </x:c>
      <x:c r="J43" s="6" t="str">
        <x:v>NIST-53: SC-7; AC-4</x:v>
      </x:c>
      <x:c r="K43" s="6" t="str">
        <x:v>SC-7; AC-4</x:v>
      </x:c>
      <x:c r="L43" s="6" t="str">
        <x:v>1 eski soru. Birleştirme İzini bu Kontrol ID ile süzün.</x:v>
      </x:c>
    </x:row>
    <x:row r="44" ht="70" customHeight="1">
      <x:c r="A44" s="6" t="str">
        <x:v>FTG-V02-02</x:v>
      </x:c>
      <x:c r="B44" s="6" t="str">
        <x:v>Ayrıcalıklı erişim</x:v>
      </x:c>
      <x:c r="C44" s="6" t="str">
        <x:v>Remote RADIUS/TACACS+/LDAP grup-rol eşleşmeleri en az yetki ve fail-safe davranışla yapılandırılmış mı?</x:v>
      </x:c>
      <x:c r="D44" s="6" t="str">
        <x:v>Kimlik kaynağı kesintisi yetkisiz geniş erişim üretmez; yerel fallback kontrol altındadır.</x:v>
      </x:c>
      <x:c r="E44" s="6" t="str">
        <x:v>Yönetici, uzak kimlik kaynağı ve API erişimi yeterli değilse, tek bir ayrıcalıklı hesabın ele geçirilmesi ortak altyapıyı ve birden fazla müşteriyi aynı anda etkileyebilir.</x:v>
      </x:c>
      <x:c r="F44" s="6" t="str">
        <x:v>Remote auth ve group mapping exportu</x:v>
      </x:c>
      <x:c r="G44" s="6" t="str">
        <x:v>Salt okunur sistem çıktısını onaylı rol, kapsam ve yapılandırma kaydıyla karşılaştır; ölçütteki her koşul için kanıt konumu ve ayrı alt sonucu kaydet. Yalnız görüşme veya ekran görüntüsüyle fiili işleyiş sonucunu kapatma.</x:v>
      </x:c>
      <x:c r="H44" s="6" t="str">
        <x:v>Kurulu ürün/dağıtım, müşteri sözleşmesi ve işlev desteği Kapsam kaydında doğrulanır. Tüm hizmetlerde uygulanır; istisnasızdır.</x:v>
      </x:c>
      <x:c r="I44" s="6" t="str">
        <x:v>Kurum için onaylı periyot/eşik gerekir; metindeki uygulama örnekleri NIST’in zorunlu ürün parametresi değildir. Üretimde değişiklik veya kesinti testi yapılmaz.</x:v>
      </x:c>
      <x:c r="J44" s="6" t="str">
        <x:v>NIST-53: IA-2; IA-8</x:v>
      </x:c>
      <x:c r="K44" s="6" t="str">
        <x:v>IA-2; IA-8</x:v>
      </x:c>
      <x:c r="L44" s="6" t="str">
        <x:v>1 eski soru. Birleştirme İzini bu Kontrol ID ile süzün.</x:v>
      </x:c>
    </x:row>
    <x:row r="45" ht="70" customHeight="1">
      <x:c r="A45" s="6" t="str">
        <x:v>FTG-V06-01</x:v>
      </x:c>
      <x:c r="B45" s="6" t="str">
        <x:v>Ağ ve yönetim düzlemi güvenliği</x:v>
      </x:c>
      <x:c r="C45" s="6" t="str">
        <x:v>Statik/dinamik routing, policy route ve SD-WAN kuralları tenantlar arası istenmeyen yol oluşturmayacak şekilde doğrulanıyor mu?</x:v>
      </x:c>
      <x:c r="D45" s="6" t="str">
        <x:v>İzinli akış dışında rota/geri dönüş yolu yoktur.</x:v>
      </x:c>
      <x:c r="E45" s="6" t="str">
        <x:v>Risk senaryosu (atıflı kontrol amacından denetçi değerlendirmesi): Yönlendirme veya SD-WAN değişikliği istenmeyen tenant yolunu açarsa onaylı akışın dışındaki trafik diğer müşteri ağına veya ortak hizmete ulaşabilir.</x:v>
      </x:c>
      <x:c r="F45" s="6" t="str">
        <x:v>Routing table/config ve reachability test</x:v>
      </x:c>
      <x:c r="G45" s="6" t="str">
        <x:v>Salt okunur sistem çıktısını onaylı rol, kapsam ve yapılandırma kaydıyla karşılaştır; ölçütteki her koşul için kanıt konumu ve ayrı alt sonucu kaydet. Yalnız görüşme veya ekran görüntüsüyle fiili işleyiş sonucunu kapatma.</x:v>
      </x:c>
      <x:c r="H45" s="6" t="str">
        <x:v>Kurulu ürün/dağıtım, müşteri sözleşmesi ve işlev desteği Kapsam kaydında doğrulanır. Yalnız sağlayıcının ağ katmanına erişiminin bulunmadığı saf SaaS bileşenlerinde daraltılabilir.</x:v>
      </x:c>
      <x:c r="I45" s="6" t="str">
        <x:v>Kurum için onaylı periyot/eşik gerekir; metindeki uygulama örnekleri NIST’in zorunlu ürün parametresi değildir. Üretimde değişiklik veya kesinti testi yapılmaz.</x:v>
      </x:c>
      <x:c r="J45" s="6" t="str">
        <x:v>NIST-53: SC-7; AC-4</x:v>
      </x:c>
      <x:c r="K45" s="6" t="str">
        <x:v>SC-7; AC-4</x:v>
      </x:c>
      <x:c r="L45" s="6" t="str">
        <x:v>1 eski soru. Birleştirme İzini bu Kontrol ID ile süzün.</x:v>
      </x:c>
    </x:row>
    <x:row r="46" ht="70" customHeight="1">
      <x:c r="A46" s="6" t="str">
        <x:v>FTG-V06-02</x:v>
      </x:c>
      <x:c r="B46" s="6" t="str">
        <x:v>Ağ ve yönetim düzlemi güvenliği</x:v>
      </x:c>
      <x:c r="C46" s="6" t="str">
        <x:v>Arayüz rolüne göre sahte kaynak trafiği sınırlandırılmış mı?</x:v>
      </x:c>
      <x:c r="D46" s="6" t="str">
        <x:v>Onaylı kaynak doğrulama tasarımı ve etkin yönlendirmeye göre sahte kaynaklar reddedilmeli; asimetrik yönlendirme gereksinimi ayrıca belgelenmeli. RFC1918 her arayüzde koşulsuz engellenmez.</x:v>
      </x:c>
      <x:c r="E46" s="6" t="str">
        <x:v>Risk senaryosu (atıflı kontrol amacından denetçi değerlendirmesi): Kaynak adres doğrulaması uygulanmayan uygun arayüzde sahte kaynaklı trafik kabul edilebilir; yalnız kaynak adresine güvenen erişim ve olay ilişkilendirmesi yanıltılabilir.</x:v>
      </x:c>
      <x:c r="F46" s="6" t="str">
        <x:v>Interface/system settings ve test trafiği</x:v>
      </x:c>
      <x:c r="G46" s="6" t="str">
        <x:v>Salt okunur sistem çıktısını onaylı rol, kapsam ve yapılandırma kaydıyla karşılaştır; ölçütteki her koşul için kanıt konumu ve ayrı alt sonucu kaydet. Yalnız görüşme veya ekran görüntüsüyle fiili işleyiş sonucunu kapatma.</x:v>
      </x:c>
      <x:c r="H46" s="6" t="str">
        <x:v>Kurulu ürün/dağıtım, müşteri sözleşmesi ve işlev desteği Kapsam kaydında doğrulanır. Yalnız sağlayıcının ağ katmanına erişiminin bulunmadığı saf SaaS bileşenlerinde daraltılabilir.</x:v>
      </x:c>
      <x:c r="I46" s="6" t="str">
        <x:v>Kurum için onaylı periyot/eşik gerekir; metindeki uygulama örnekleri NIST’in zorunlu ürün parametresi değildir. Üretimde değişiklik veya kesinti testi yapılmaz.</x:v>
      </x:c>
      <x:c r="J46" s="6" t="str">
        <x:v>NIST-53: SC-7
FGT-RPF</x:v>
      </x:c>
      <x:c r="K46" s="6" t="str">
        <x:v>SC-7</x:v>
      </x:c>
      <x:c r="L46" s="6" t="str">
        <x:v>1 eski soru. Birleştirme İzini bu Kontrol ID ile süzün.</x:v>
      </x:c>
    </x:row>
    <x:row r="47" ht="70" customHeight="1">
      <x:c r="A47" s="6" t="str">
        <x:v>FTG-V06-03</x:v>
      </x:c>
      <x:c r="B47" s="6" t="str">
        <x:v>Ağ ve yönetim düzlemi güvenliği</x:v>
      </x:c>
      <x:c r="C47" s="6" t="str">
        <x:v>VIP, DNAT/SNAT ve merkezi NAT nesneleri yetim, çakışan veya gereksiz internet yayını oluşturuyor mu?</x:v>
      </x:c>
      <x:c r="D47" s="6" t="str">
        <x:v>Dış yüzey envanteri canlı NAT ile uyumlu; sahipsiz yayın yoktur.</x:v>
      </x:c>
      <x:c r="E47" s="6" t="str">
        <x:v>Risk senaryosu (atıflı kontrol amacından denetçi değerlendirmesi): Yetim veya çakışan NAT nesnesi kapatıldığı düşünülen servisi yayımlayabilir ya da trafiği yanlış müşteri hedefine yönlendirebilir.</x:v>
      </x:c>
      <x:c r="F47" s="6" t="str">
        <x:v>VIP/NAT/policy exportu ve dış tarama</x:v>
      </x:c>
      <x:c r="G47" s="6" t="str">
        <x:v>Salt okunur sistem çıktısını onaylı rol, kapsam ve yapılandırma kaydıyla karşılaştır; ölçütteki her koşul için kanıt konumu ve ayrı alt sonucu kaydet. Yalnız görüşme veya ekran görüntüsüyle fiili işleyiş sonucunu kapatma.</x:v>
      </x:c>
      <x:c r="H47" s="6" t="str">
        <x:v>Kurulu ürün/dağıtım, müşteri sözleşmesi ve işlev desteği Kapsam kaydında doğrulanır. Yalnız sağlayıcının ağ katmanına erişiminin bulunmadığı saf SaaS bileşenlerinde daraltılabilir.</x:v>
      </x:c>
      <x:c r="I47" s="6" t="str">
        <x:v>Kurum için onaylı periyot/eşik gerekir; metindeki uygulama örnekleri NIST’in zorunlu ürün parametresi değildir. Üretimde değişiklik veya kesinti testi yapılmaz.</x:v>
      </x:c>
      <x:c r="J47" s="6" t="str">
        <x:v>NIST-53: CM-8; SC-7; RA-5</x:v>
      </x:c>
      <x:c r="K47" s="6" t="str">
        <x:v>CM-8; SC-7; RA-5</x:v>
      </x:c>
      <x:c r="L47" s="6" t="str">
        <x:v>1 eski soru. Birleştirme İzini bu Kontrol ID ile süzün.</x:v>
      </x:c>
    </x:row>
    <x:row r="48" ht="85" customHeight="1">
      <x:c r="A48" s="6" t="str">
        <x:v>FTG-V09-02</x:v>
      </x:c>
      <x:c r="B48" s="6" t="str">
        <x:v>Değişiklik yönetimi</x:v>
      </x:c>
      <x:c r="C48" s="6" t="str">
        <x:v>FortiGate/FortiManager yapılandırma yedekleri şifreli, değişiklik öncesi otomatik ve restore testi yapılmış mı?</x:v>
      </x:c>
      <x:c r="D48" s="6" t="str">
        <x:v>Cihaz/cluster kaybında VDOM ve gizli bilgiler güvenli biçimde geri getirilebilir.</x:v>
      </x:c>
      <x:c r="E48" s="6" t="str">
        <x:v>Risk senaryosu (atıflı kontrol amacından denetçi değerlendirmesi): Yapılandırma yedeği okunabilir sırlar içerir veya geri yüklenebilirliği denenmezse yedek sızıntısı erişim bilgilerini açabilir; arızada güvenli politika geri getirilemeyebilir.</x:v>
      </x:c>
      <x:c r="F48" s="6" t="str">
        <x:v>Config backup/revision ve restore testi</x:v>
      </x:c>
      <x:c r="G48" s="6" t="str">
        <x:v>Salt okunur sistem çıktısını onaylı rol, kapsam ve yapılandırma kaydıyla karşılaştır; ölçütteki her koşul için kanıt konumu ve ayrı alt sonucu kaydet. Yalnız görüşme veya ekran görüntüsüyle fiili işleyiş sonucunu kapatma.</x:v>
      </x:c>
      <x:c r="H48" s="6" t="str">
        <x:v>Kurulu ürün/dağıtım, müşteri sözleşmesi ve işlev desteği Kapsam kaydında doğrulanır. Tüm hizmetlerde uygulanır; yönetilen SaaS bileşenlerinde sağlayıcı değişiklik bildirimi ölçüt alınır.</x:v>
      </x:c>
      <x:c r="I48" s="6" t="str">
        <x:v>Kurum için onaylı periyot/eşik gerekir; metindeki uygulama örnekleri NIST’in zorunlu ürün parametresi değildir. Üretimde değişiklik veya kesinti testi yapılmaz.</x:v>
      </x:c>
      <x:c r="J48" s="6" t="str">
        <x:v>NIST-53: CP-4; CP-10</x:v>
      </x:c>
      <x:c r="K48" s="6" t="str">
        <x:v>CP-4; CP-10</x:v>
      </x:c>
      <x:c r="L48" s="6" t="str">
        <x:v>1 eski soru. Birleştirme İzini bu Kontrol ID ile süzün.</x:v>
      </x:c>
    </x:row>
    <x:row r="49" ht="70" customHeight="1">
      <x:c r="A49" s="6" t="str">
        <x:v>FTG-V12-01</x:v>
      </x:c>
      <x:c r="B49" s="6" t="str">
        <x:v>Kimlik ve erişim yönetimi</x:v>
      </x:c>
      <x:c r="C49" s="6" t="str">
        <x:v>Site-to-site ve yönetim VPN kimlikleri, güçlü kripto, peer doğrulama ve tenant/route kapsamıyla yönetiliyor mu?</x:v>
      </x:c>
      <x:c r="D49" s="6" t="str">
        <x:v>Tünel yalnız onaylı ağları taşır; zayıf proposal/ortak PSK kontrolsüz değildir.</x:v>
      </x:c>
      <x:c r="E49" s="6" t="str">
        <x:v>VPN kimlik, kriptografi ve ağ kapsamı yeterli değilse, gereğinden geniş, sahipsiz veya zamanında kapatılmamış hesaplar yetkisiz erişim ve işlem riskini artırır.</x:v>
      </x:c>
      <x:c r="F49" s="6" t="str">
        <x:v>IPsec/SSL VPN config ve erişim testi</x:v>
      </x:c>
      <x:c r="G49" s="6" t="str">
        <x:v>Salt okunur sistem çıktısını onaylı rol, kapsam ve yapılandırma kaydıyla karşılaştır; ölçütteki her koşul için kanıt konumu ve ayrı alt sonucu kaydet. Yalnız görüşme veya ekran görüntüsüyle fiili işleyiş sonucunu kapatma.</x:v>
      </x:c>
      <x:c r="H49" s="6" t="str">
        <x:v>Kurulu ürün/dağıtım, müşteri sözleşmesi ve işlev desteği Kapsam kaydında doğrulanır. Tüm hizmetlerde uygulanır; ürün merkezi kimliği desteklemiyorsa telafi edici kontrol aranır.</x:v>
      </x:c>
      <x:c r="I49" s="6" t="str">
        <x:v>Kurum için onaylı periyot/eşik gerekir; metindeki uygulama örnekleri NIST’in zorunlu ürün parametresi değildir. Üretimde değişiklik veya kesinti testi yapılmaz.</x:v>
      </x:c>
      <x:c r="J49" s="6" t="str">
        <x:v>NIST-53: AC-17; SC-8</x:v>
      </x:c>
      <x:c r="K49" s="6" t="str">
        <x:v>AC-17; SC-8</x:v>
      </x:c>
      <x:c r="L49" s="6" t="str">
        <x:v>1 eski soru. Birleştirme İzini bu Kontrol ID ile süzün.</x:v>
      </x:c>
    </x:row>
  </x:sheetData>
  <x:pageMargins left="0.7" right="0.7" top="0.75" bottom="0.75" header="0.3" footer="0.3"/>
  <x:tableParts count="1">
    <x:tablePart xmlns:r="http://schemas.openxmlformats.org/officeDocument/2006/relationships" r:id="Re11569a30b8d4dd2"/>
  </x:tableParts>
</x:worksheet>
</file>

<file path=xl/worksheets/sheet1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Forti IPS</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40" customHeight="1">
      <x:c r="A6" s="6" t="str">
        <x:v>FGC-020</x:v>
      </x:c>
      <x:c r="B6" s="6" t="str">
        <x:v>IPS profilinin trafik yoluna bağlanması</x:v>
      </x:c>
      <x:c r="C6" s="6" t="str">
        <x:v>IPS profilinin trafik yoluna bağlanması kontrolü, aşağıdaki sürüm ve kapsam koşullarında doğrulanıyor mu?</x:v>
      </x:c>
      <x:c r="D6" s="6" t="str">
        <x:v>İlgili politikalara IPS profili bağlı; WAN çıkışında botnet bağlantı taraması Block olarak uygulanmış olmalı.</x:v>
      </x:c>
      <x:c r="E6" s="6" t="str">
        <x:v>Tanımlı fakat bağlanmamış profil saldırı trafiğini incelemez; C2 bağlantısı açık kalır.</x:v>
      </x:c>
      <x:c r="F6" s="6" t="str">
        <x:v>IPS sensor ayarları, firewall profil bağları ve güvenli test olayı.</x:v>
      </x:c>
      <x:c r="G6" s="6" t="str">
        <x:v>Profil varlığını etkin kural bağından ayır; ilgili trafik yönünde block sonucunu incele.</x:v>
      </x:c>
      <x:c r="H6" s="6" t="str">
        <x:v>FortiOS 7.4.x; global ve VDOM bağlamı ayrı kanıtlanır.</x:v>
      </x:c>
      <x:c r="I6" s="6" t="str">
        <x:v>Salt okunur inceleme; değişiklik ayrı onaylı bakım işlemidir.</x:v>
      </x:c>
      <x:c r="J6" s="6" t="str">
        <x:v>CIS-FGT:4.1.1
CIS-FGT:4.1.2</x:v>
      </x:c>
      <x:c r="K6" s="6" t="str">
        <x:v>SI-4; SC-7</x:v>
      </x:c>
      <x:c r="L6" s="6" t="str">
        <x:v>2 eski soru. Birleştirme İzini bu Kontrol ID ile süzün.</x:v>
      </x:c>
    </x:row>
    <x:row r="7" ht="55" customHeight="1">
      <x:c r="A7" s="6" t="str">
        <x:v>IPS-009</x:v>
      </x:c>
      <x:c r="B7" s="6" t="str">
        <x:v>Önleme politikası</x:v>
      </x:c>
      <x:c r="C7" s="6" t="str">
        <x:v>IPS imza eylemleri risk ve uygulama ihtiyacına göre belirlenmiş mi?</x:v>
      </x:c>
      <x:c r="D7" s="6" t="str">
        <x:v>Önleme beklenen trafik için block eylemi ve test edilmiş istisnalar bulunmalı.</x:v>
      </x:c>
      <x:c r="E7" s="6" t="str">
        <x:v>Yalnız izleme modunda kalan kural saldırıyı durdurmaz; yanlış blok hizmeti keser.</x:v>
      </x:c>
      <x:c r="F7" s="6" t="str">
        <x:v>Sensor filter/override/action exportu, risk kararı.</x:v>
      </x:c>
      <x:c r="G7" s="6" t="str">
        <x:v>Kritik imza örneklerini gerçek eylem, uygulama kapsamı ve testle karşılaştır.</x:v>
      </x:c>
      <x:c r="H7" s="6" t="str">
        <x:v>FortiGate üzerinde IPS kabulü; bağımsız FortiIPS ürünü varsa sürüm ve mimari uyarlanmalı.</x:v>
      </x:c>
      <x:c r="I7" s="6" t="str">
        <x:v>Kurulu sürüm/dağıtımın özellik ve lisans desteği kanıtlanır. Test, salt okunur çıktı veya onaylı izole ortamla yürütülür.</x:v>
      </x:c>
      <x:c r="J7" s="6" t="str">
        <x:v>NIST-53: SI-4
NIST-53: SI-4; CM-6
BIGR: 3.1.6 | 3.1.6 — bölüm başlangıcı; basılı s.49 / PDF 53</x:v>
      </x:c>
      <x:c r="K7" s="6" t="str">
        <x:v>SI-4; CM-6</x:v>
      </x:c>
      <x:c r="L7" s="6" t="str">
        <x:v>2 eski soru. Birleştirme İzini bu Kontrol ID ile süzün.</x:v>
      </x:c>
    </x:row>
    <x:row r="8" ht="55" customHeight="1">
      <x:c r="A8" s="6" t="str">
        <x:v>IPS-010</x:v>
      </x:c>
      <x:c r="B8" s="6" t="str">
        <x:v>Şifreli trafik</x:v>
      </x:c>
      <x:c r="C8" s="6" t="str">
        <x:v>Şifreli trafikte IPS görünürlük sınırı ve telafi kontrolleri belgeli mi?</x:v>
      </x:c>
      <x:c r="D8" s="6" t="str">
        <x:v>TLS çözümleme kapsamı veya alternatif uç/uygulama kontrolü risk bazında belirlenmiş olmalı.</x:v>
      </x:c>
      <x:c r="E8" s="6" t="str">
        <x:v>İncelenemeyen trafik korunduğu varsayılarak kör nokta yaratır.</x:v>
      </x:c>
      <x:c r="F8" s="6" t="str">
        <x:v>Inspection policy, çözümleme istisnaları, trafik dağılımı, telafi planı.</x:v>
      </x:c>
      <x:c r="G8" s="6" t="str">
        <x:v>Korunduğu söylenen bir TLS akışında inceleme noktasını ve çıkan olayı doğrula.</x:v>
      </x:c>
      <x:c r="H8" s="6" t="str">
        <x:v>TLS çözümleme müşteri yetkisi ve teknik destek koşullarına bağlıdır.</x:v>
      </x:c>
      <x:c r="I8" s="6" t="str">
        <x:v>Kurulu sürüm/dağıtımın özellik ve lisans desteği kanıtlanır. Test, salt okunur çıktı veya onaylı izole ortamla yürütülür.</x:v>
      </x:c>
      <x:c r="J8" s="6" t="str">
        <x:v>NIST-53: SI-4
NIST-53: SI-4; SC-7
BIGR: 3.1.6 | 3.1.6 — bölüm başlangıcı; basılı s.49 / PDF 53</x:v>
      </x:c>
      <x:c r="K8" s="6" t="str">
        <x:v>SI-4; SC-7</x:v>
      </x:c>
      <x:c r="L8" s="6" t="str">
        <x:v>2 eski soru. Birleştirme İzini bu Kontrol ID ile süzün.</x:v>
      </x:c>
    </x:row>
    <x:row r="9" ht="55" customHeight="1">
      <x:c r="A9" s="6" t="str">
        <x:v>IPS-011</x:v>
      </x:c>
      <x:c r="B9" s="6" t="str">
        <x:v>İstisna yönetimi</x:v>
      </x:c>
      <x:c r="C9" s="6" t="str">
        <x:v>IPS istisnaları dar kaynak/hedef/imza kapsamı ve bitiş kontrolü içeriyor mu?</x:v>
      </x:c>
      <x:c r="D9" s="6" t="str">
        <x:v>İstisna gerekçesi, sahibi ve yeniden inceleme tarihi olmalı.</x:v>
      </x:c>
      <x:c r="E9" s="6" t="str">
        <x:v>Geniş bypass uzun süre korumasız alan oluşturur.</x:v>
      </x:c>
      <x:c r="F9" s="6" t="str">
        <x:v>IPS override/bypass listesi, onay ve telafi testi.</x:v>
      </x:c>
      <x:c r="G9" s="6" t="str">
        <x:v>En geniş istisnaları seçerek kapsam ve kapanış durumunu kontrol et.</x:v>
      </x:c>
      <x:c r="H9" s="6" t="str">
        <x:v>FortiGate üzerinde IPS kabulü; bağımsız FortiIPS ürünü varsa sürüm ve mimari uyarlanmalı.</x:v>
      </x:c>
      <x:c r="I9" s="6" t="str">
        <x:v>Kurulu sürüm/dağıtımın özellik ve lisans desteği kanıtlanır. Test, salt okunur çıktı veya onaylı izole ortamla yürütülür.</x:v>
      </x:c>
      <x:c r="J9" s="6" t="str">
        <x:v>NIST-53: CM-6
NIST-53: CM-6; RA-7
BIGR: 3.1.6 | 3.1.6 — bölüm başlangıcı; basılı s.49 / PDF 53</x:v>
      </x:c>
      <x:c r="K9" s="6" t="str">
        <x:v>CM-6; RA-7</x:v>
      </x:c>
      <x:c r="L9" s="6" t="str">
        <x:v>2 eski soru. Birleştirme İzini bu Kontrol ID ile süzün.</x:v>
      </x:c>
    </x:row>
    <x:row r="10" ht="55" customHeight="1">
      <x:c r="A10" s="6" t="str">
        <x:v>IPS-012</x:v>
      </x:c>
      <x:c r="B10" s="6" t="str">
        <x:v>Arıza davranışı</x:v>
      </x:c>
      <x:c r="C10" s="6" t="str">
        <x:v>IPS motoru doygunluğunda veya arızasında trafik davranışı bilinip test edilmiş mi?</x:v>
      </x:c>
      <x:c r="D10" s="6" t="str">
        <x:v>Fail-open/fail-close davranışı hizmet riskiyle uyumlu ve alarmı çalışır olmalı.</x:v>
      </x:c>
      <x:c r="E10" s="6" t="str">
        <x:v>Kontrol devre dışıyken trafik korumasız geçer veya kritik hizmet durur.</x:v>
      </x:c>
      <x:c r="F10" s="6" t="str">
        <x:v>IPS kaynak trendi, arıza/bypass ayarı, lab testi.</x:v>
      </x:c>
      <x:c r="G10" s="6" t="str">
        <x:v>Üretim dışı arıza testinde trafik ve alarm sonucunu karşılaştır.</x:v>
      </x:c>
      <x:c r="H10" s="6" t="str">
        <x:v>FortiGate üzerinde IPS kabulü; bağımsız FortiIPS ürünü varsa sürüm ve mimari uyarlanmalı.</x:v>
      </x:c>
      <x:c r="I10" s="6" t="str">
        <x:v>Kurulu sürüm/dağıtımın özellik ve lisans desteği kanıtlanır. Test, salt okunur çıktı veya onaylı izole ortamla yürütülür.</x:v>
      </x:c>
      <x:c r="J10" s="6" t="str">
        <x:v>NIST-53: SC-24
NIST-53: SC-24; CP-4
BIGR: 4.3.1.7 | 4.3.1.7 — basılı s.165 / PDF 169</x:v>
      </x:c>
      <x:c r="K10" s="6" t="str">
        <x:v>SC-24; CP-4</x:v>
      </x:c>
      <x:c r="L10" s="6" t="str">
        <x:v>2 eski soru. Birleştirme İzini bu Kontrol ID ile süzün.</x:v>
      </x:c>
    </x:row>
  </x:sheetData>
  <x:pageMargins left="0.7" right="0.7" top="0.75" bottom="0.75" header="0.3" footer="0.3"/>
  <x:tableParts count="1">
    <x:tablePart xmlns:r="http://schemas.openxmlformats.org/officeDocument/2006/relationships" r:id="R40500915f52549d9"/>
  </x:tableParts>
</x:worksheet>
</file>

<file path=xl/worksheets/sheet1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Splunk SIEM</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SPL-007</x:v>
      </x:c>
      <x:c r="B6" s="6" t="str">
        <x:v>Tenant verisi</x:v>
      </x:c>
      <x:c r="C6" s="6" t="str">
        <x:v>Rollerin erişebildiği indeksler tenant sınırlarıyla uyumlu mu?</x:v>
      </x:c>
      <x:c r="D6" s="6" t="str">
        <x:v>Rol/indeks izinleri gerçek ayrım sağlamalı; yalnız dashboard gizleme yeterli sayılmamalı.</x:v>
      </x:c>
      <x:c r="E6" s="6" t="str">
        <x:v>Başka müşterinin olayları ve hassas verileri arama ile açığa çıkar.</x:v>
      </x:c>
      <x:c r="F6" s="6" t="str">
        <x:v>authorize.conf/rol exportu, indeks-tenant matrisi, arama sonuçları.</x:v>
      </x:c>
      <x:c r="G6" s="6" t="str">
        <x:v>İki müşteri rolüyle karşı indeks aramalarının reddini ve kendi indeks erişimini doğrula.</x:v>
      </x:c>
      <x:c r="H6" s="6" t="str">
        <x:v>Enterprise veya Cloud; Enterprise Security lisansı ve sürümü ayrıca teyit edilmeli.</x:v>
      </x:c>
      <x:c r="I6" s="6" t="str">
        <x:v>Kurulu sürüm/dağıtımın özellik ve lisans desteği kanıtlanır. Test, salt okunur çıktı veya onaylı izole ortamla yürütülür.</x:v>
      </x:c>
      <x:c r="J6" s="6" t="str">
        <x:v>SPL-RBAC: privileged/non-privileged indexes
NIST-53: AC-3; SC-4
BIGR: 4.3.1.4 | 4.3.1.4 — basılı s.164 / PDF 168</x:v>
      </x:c>
      <x:c r="K6" s="6" t="str">
        <x:v>AC-3; SC-4</x:v>
      </x:c>
      <x:c r="L6" s="6" t="str">
        <x:v>5 eski soru. Birleştirme İzini bu Kontrol ID ile süzün.</x:v>
      </x:c>
    </x:row>
    <x:row r="7" ht="55" customHeight="1">
      <x:c r="A7" s="6" t="str">
        <x:v>SPL-008</x:v>
      </x:c>
      <x:c r="B7" s="6" t="str">
        <x:v>Kanal güvenliği</x:v>
      </x:c>
      <x:c r="C7" s="6" t="str">
        <x:v>Forwarder-indexer, Splunk Web ve yönetim iletişimi güvenli TLS ile korunuyor mu?</x:v>
      </x:c>
      <x:c r="D7" s="6" t="str">
        <x:v>Gerekli kanallar şifreli, karşı uç sertifikası doğrulanmış olmalı.</x:v>
      </x:c>
      <x:c r="E7" s="6" t="str">
        <x:v>Log veya yönetici kimliği ağ üzerinde ele geçirilebilir.</x:v>
      </x:c>
      <x:c r="F7" s="6" t="str">
        <x:v>inputs/outputs/server/web TLS ayarları, sertifikalar.</x:v>
      </x:c>
      <x:c r="G7" s="6" t="str">
        <x:v>Her kanal türünde etkin konfigürasyonu ve sertifika doğrulama sonucunu kontrol et.</x:v>
      </x:c>
      <x:c r="H7" s="6" t="str">
        <x:v>Enterprise veya Cloud; Enterprise Security lisansı ve sürümü ayrıca teyit edilmeli.</x:v>
      </x:c>
      <x:c r="I7" s="6" t="str">
        <x:v>Kurulu sürüm/dağıtımın özellik ve lisans desteği kanıtlanır. Test, salt okunur çıktı veya onaylı izole ortamla yürütülür.</x:v>
      </x:c>
      <x:c r="J7" s="6" t="str">
        <x:v>SPL-SEC: certificates and encryption
NIST-53: SC-8; SC-17
BIGR: 3.1.8 | 3.1.8 — bölüm başlangıcı; basılı s.59 / PDF 63</x:v>
      </x:c>
      <x:c r="K7" s="6" t="str">
        <x:v>SC-8; SC-17</x:v>
      </x:c>
      <x:c r="L7" s="6" t="str">
        <x:v>3 eski soru. Birleştirme İzini bu Kontrol ID ile süzün.</x:v>
      </x:c>
    </x:row>
    <x:row r="8" ht="55" customHeight="1">
      <x:c r="A8" s="6" t="str">
        <x:v>SPL-009</x:v>
      </x:c>
      <x:c r="B8" s="6" t="str">
        <x:v>Kaynak kapsamı</x:v>
      </x:c>
      <x:c r="C8" s="6" t="str">
        <x:v>Kritik ürünlerin log kaynakları SIEM envanteriyle mutabık mı?</x:v>
      </x:c>
      <x:c r="D8" s="6" t="str">
        <x:v>Ürün/tenant log listesiyle aktif kaynaklar ve son olay zamanları eşleşmeli.</x:v>
      </x:c>
      <x:c r="E8" s="6" t="str">
        <x:v>Eksik bir cihaz veya tenant saldırının fark edilmemesine neden olur.</x:v>
      </x:c>
      <x:c r="F8" s="6" t="str">
        <x:v>Log kaynak matrisi, source/host/sourcetype envanteri, last event raporu.</x:v>
      </x:c>
      <x:c r="G8" s="6" t="str">
        <x:v>Envanter farklarını çıkar; hiç veri gelmeyen veya geciken kaynak için bilet ara.</x:v>
      </x:c>
      <x:c r="H8" s="6" t="str">
        <x:v>Enterprise veya Cloud; Enterprise Security lisansı ve sürümü ayrıca teyit edilmeli.</x:v>
      </x:c>
      <x:c r="I8" s="6" t="str">
        <x:v>Kurulu sürüm/dağıtımın özellik ve lisans desteği kanıtlanır. Test, salt okunur çıktı veya onaylı izole ortamla yürütülür.</x:v>
      </x:c>
      <x:c r="J8" s="6" t="str">
        <x:v>NIST-53: AU-12
NIST-53: AU-12; SI-4
BIGR: 3.1.8.6 | 3.1.8.6 — basılı s.59 / PDF 63</x:v>
      </x:c>
      <x:c r="K8" s="6" t="str">
        <x:v>AU-12; SI-4</x:v>
      </x:c>
      <x:c r="L8" s="6" t="str">
        <x:v>2 eski soru. Birleştirme İzini bu Kontrol ID ile süzün.</x:v>
      </x:c>
    </x:row>
    <x:row r="9" ht="55" customHeight="1">
      <x:c r="A9" s="6" t="str">
        <x:v>SPL-010</x:v>
      </x:c>
      <x:c r="B9" s="6" t="str">
        <x:v>Ayrıştırma</x:v>
      </x:c>
      <x:c r="C9" s="6" t="str">
        <x:v>Olaylar doğru zaman, kaynak, kullanıcı ve tenant alanlarıyla ayrıştırılıyor mu?</x:v>
      </x:c>
      <x:c r="D9" s="6" t="str">
        <x:v>Örnek ham olay ile parse edilen alanlar aynı anlamı taşımalı.</x:v>
      </x:c>
      <x:c r="E9" s="6" t="str">
        <x:v>Yanlış timestamp veya alan eşlemesi korelasyonu ve müşteri bildirimini bozar.</x:v>
      </x:c>
      <x:c r="F9" s="6" t="str">
        <x:v>Ham olay, parser ayarları, normalize alanlar, saat kaynağı.</x:v>
      </x:c>
      <x:c r="G9" s="6" t="str">
        <x:v>Her ürün türünden örnek olayı ham/normalize alan bazında karşılaştır.</x:v>
      </x:c>
      <x:c r="H9" s="6" t="str">
        <x:v>Enterprise veya Cloud; Enterprise Security lisansı ve sürümü ayrıca teyit edilmeli.</x:v>
      </x:c>
      <x:c r="I9" s="6" t="str">
        <x:v>Kurulu sürüm/dağıtımın özellik ve lisans desteği kanıtlanır. Test, salt okunur çıktı veya onaylı izole ortamla yürütülür.</x:v>
      </x:c>
      <x:c r="J9" s="6" t="str">
        <x:v>NIST-53: AU-3
NIST-53: AU-3; AU-8
BIGR: 3.1.8.4 | 3.1.8.4 — basılı s.59 / PDF 63</x:v>
      </x:c>
      <x:c r="K9" s="6" t="str">
        <x:v>AU-3; AU-8</x:v>
      </x:c>
      <x:c r="L9" s="6" t="str">
        <x:v>2 eski soru. Birleştirme İzini bu Kontrol ID ile süzün.</x:v>
      </x:c>
    </x:row>
    <x:row r="10" ht="55" customHeight="1">
      <x:c r="A10" s="6" t="str">
        <x:v>SPL-011</x:v>
      </x:c>
      <x:c r="B10" s="6" t="str">
        <x:v>Tespit mühendisliği</x:v>
      </x:c>
      <x:c r="C10" s="6" t="str">
        <x:v>Kritik kullanım senaryoları uçtan uca test edilip versiyonlanıyor mu?</x:v>
      </x:c>
      <x:c r="D10" s="6" t="str">
        <x:v>Kuralın veri bağımlılığı, test olayı, beklenen alarmı ve sahibi tanımlı olmalı.</x:v>
      </x:c>
      <x:c r="E10" s="6" t="str">
        <x:v>Etkin görünse de yanlış arama, izin veya schedule kuralı alarm üretmez.</x:v>
      </x:c>
      <x:c r="F10" s="6" t="str">
        <x:v>Detection kataloğu, scheduled search ayarı, test alert ve biletleri.</x:v>
      </x:c>
      <x:c r="G10" s="6" t="str">
        <x:v>Ayrıcalıklı giriş veya kontrol kapatma testini veri girişinden bildirime kadar izle.</x:v>
      </x:c>
      <x:c r="H10" s="6" t="str">
        <x:v>Enterprise veya Cloud; Enterprise Security lisansı ve sürümü ayrıca teyit edilmeli.</x:v>
      </x:c>
      <x:c r="I10" s="6" t="str">
        <x:v>Kurulu sürüm/dağıtımın özellik ve lisans desteği kanıtlanır. Test, salt okunur çıktı veya onaylı izole ortamla yürütülür.</x:v>
      </x:c>
      <x:c r="J10" s="6" t="str">
        <x:v>NIST-53: SI-4
NIST-53: SI-4; IR-3
BIGR: 3.1.8.8 | 3.1.8.8 — basılı s.59 / PDF 63</x:v>
      </x:c>
      <x:c r="K10" s="6" t="str">
        <x:v>SI-4; IR-3</x:v>
      </x:c>
      <x:c r="L10" s="6" t="str">
        <x:v>2 eski soru. Birleştirme İzini bu Kontrol ID ile süzün.</x:v>
      </x:c>
    </x:row>
    <x:row r="11" ht="70" customHeight="1">
      <x:c r="A11" s="6" t="str">
        <x:v>SPL-012</x:v>
      </x:c>
      <x:c r="B11" s="6" t="str">
        <x:v>Veri kaybı</x:v>
      </x:c>
      <x:c r="C11" s="6" t="str">
        <x:v>Forwarding/indexing durması, kuyruk ve kapasite sorunları için alarm çalışıyor mu?</x:v>
      </x:c>
      <x:c r="D11" s="6" t="str">
        <x:v>Alım hatası/kapasite ve kaynaksızlık kontrolleri görünür ve aksiyona bağlı olmalı.</x:v>
      </x:c>
      <x:c r="E11" s="6" t="str">
        <x:v>Log alımı sessizce durur ve saldırı kanıtları kaybolur.</x:v>
      </x:c>
      <x:c r="F11" s="6" t="str">
        <x:v>Ingestion izleme, iç loglar, kapasite ve alarm kayıtları.</x:v>
      </x:c>
      <x:c r="G11" s="6" t="str">
        <x:v>Bir kaynak susması senaryosu veya geçmiş hatada alarm/bilet bağlantısını doğrula.</x:v>
      </x:c>
      <x:c r="H11" s="6" t="str">
        <x:v>Enterprise veya Cloud; Enterprise Security lisansı ve sürümü ayrıca teyit edilmeli.</x:v>
      </x:c>
      <x:c r="I11" s="6" t="str">
        <x:v>Kurulu sürüm/dağıtımın özellik ve lisans desteği kanıtlanır. Test, salt okunur çıktı veya onaylı izole ortamla yürütülür.</x:v>
      </x:c>
      <x:c r="J11" s="6" t="str">
        <x:v>NIST-53: AU-5
NIST-53: AU-4; AU-5; SI-4
BIGR: 3.1.8.5; 3.1.8.6 | 3.1.8.5 — basılı s.59 / PDF 63
3.1.8.6 — basılı s.59 / PDF 63</x:v>
      </x:c>
      <x:c r="K11" s="6" t="str">
        <x:v>AU-4; AU-5; SI-4</x:v>
      </x:c>
      <x:c r="L11" s="6" t="str">
        <x:v>4 eski soru. Birleştirme İzini bu Kontrol ID ile süzün.</x:v>
      </x:c>
    </x:row>
    <x:row r="12" ht="55" customHeight="1">
      <x:c r="A12" s="6" t="str">
        <x:v>SPL-013</x:v>
      </x:c>
      <x:c r="B12" s="6" t="str">
        <x:v>Hassas veri</x:v>
      </x:c>
      <x:c r="C12" s="6" t="str">
        <x:v>Aramalardaki hassas alanlar ve rapor paylaşımları yetkiye göre korunuyor mu?</x:v>
      </x:c>
      <x:c r="D12" s="6" t="str">
        <x:v>Toplama ve erişim veri minimizasyonuna uygun; export ve zamanlı rapor alıcıları sınırlı olmalı.</x:v>
      </x:c>
      <x:c r="E12" s="6" t="str">
        <x:v>SIEM ikinci bir parola/kişisel veri deposuna dönüşür.</x:v>
      </x:c>
      <x:c r="F12" s="6" t="str">
        <x:v>Maskeleme/erişim ayarları, rapor alıcıları, örnek maskelenmiş olay.</x:v>
      </x:c>
      <x:c r="G12" s="6" t="str">
        <x:v>Düşük yetkili kullanıcıyla hassas alanı ve export erişimini karşılaştır.</x:v>
      </x:c>
      <x:c r="H12" s="6" t="str">
        <x:v>Enterprise veya Cloud; Enterprise Security lisansı ve sürümü ayrıca teyit edilmeli.</x:v>
      </x:c>
      <x:c r="I12" s="6" t="str">
        <x:v>Kurulu sürüm/dağıtımın özellik ve lisans desteği kanıtlanır. Test, salt okunur çıktı veya onaylı izole ortamla yürütülür.</x:v>
      </x:c>
      <x:c r="J12" s="6" t="str">
        <x:v>SPL-SEC: sensitive data; NIST-53: SI-12
NIST-53: AC-6; SI-12
BIGR: 3.1.7 | 3.1.7 — bölüm başlangıcı; basılı s.57 / PDF 61</x:v>
      </x:c>
      <x:c r="K12" s="6" t="str">
        <x:v>AC-6; SI-12</x:v>
      </x:c>
      <x:c r="L12" s="6" t="str">
        <x:v>4 eski soru. Birleştirme İzini bu Kontrol ID ile süzün.</x:v>
      </x:c>
    </x:row>
    <x:row r="13" ht="55" customHeight="1">
      <x:c r="A13" s="6" t="str">
        <x:v>SPL-014</x:v>
      </x:c>
      <x:c r="B13" s="6" t="str">
        <x:v>Platform denetimi</x:v>
      </x:c>
      <x:c r="C13" s="6" t="str">
        <x:v>Splunk rol, uygulama ve yönetim değişiklikleri bağımsız izleniyor mu?</x:v>
      </x:c>
      <x:c r="D13" s="6" t="str">
        <x:v>Yönetim audit kayıtları korunmalı ve bağımsız gözden geçirilmeli.</x:v>
      </x:c>
      <x:c r="E13" s="6" t="str">
        <x:v>SIEM yöneticisi kendi izini veya tespit kurallarını değiştirebilir.</x:v>
      </x:c>
      <x:c r="F13" s="6" t="str">
        <x:v>Audit olayları, admin rol değişimi, app yükleme ve inceleme kaydı.</x:v>
      </x:c>
      <x:c r="G13" s="6" t="str">
        <x:v>Bir yönetim değişikliğini audit kaydı ve değişiklik onayıyla eşleştir.</x:v>
      </x:c>
      <x:c r="H13" s="6" t="str">
        <x:v>Enterprise veya Cloud; Enterprise Security lisansı ve sürümü ayrıca teyit edilmeli.</x:v>
      </x:c>
      <x:c r="I13" s="6" t="str">
        <x:v>Kurulu sürüm/dağıtımın özellik ve lisans desteği kanıtlanır. Test, salt okunur çıktı veya onaylı izole ortamla yürütülür.</x:v>
      </x:c>
      <x:c r="J13" s="6" t="str">
        <x:v>SPL-SEC: auditing activity
NIST-53: AU-6; AU-9
BIGR: 3.1.8.2 | 3.1.8.2 — basılı s.59 / PDF 63</x:v>
      </x:c>
      <x:c r="K13" s="6" t="str">
        <x:v>AU-6; AU-9</x:v>
      </x:c>
      <x:c r="L13" s="6" t="str">
        <x:v>3 eski soru. Birleştirme İzini bu Kontrol ID ile süzün.</x:v>
      </x:c>
    </x:row>
    <x:row r="14" ht="70" customHeight="1">
      <x:c r="A14" s="6" t="str">
        <x:v>SPL-V03-01</x:v>
      </x:c>
      <x:c r="B14" s="6" t="str">
        <x:v>Gizli bilgi yönetimi</x:v>
      </x:c>
      <x:c r="C14" s="6" t="str">
        <x:v>HEC, bearer, session, workload ve API tokenları index/tenant/hedef kapsamlı ve rotasyonlu mu?</x:v>
      </x:c>
      <x:c r="D14" s="6" t="str">
        <x:v>Paylaşılan/geniş/aktif fakat kullanılmayan token yoktur; TLS zorunludur.</x:v>
      </x:c>
      <x:c r="E14" s="6" t="str">
        <x:v>Erişim anahtarları ve bileşenler arası güven ilişkileri yeterli değilse, düz metin, uzun ömürlü veya geniş yetkili sırlar kalıcı ve izlenmesi güç yetkisiz erişim sağlayabilir.</x:v>
      </x:c>
      <x:c r="F14" s="6" t="str">
        <x:v>Token envanteri, inputs ve kullanım logları</x:v>
      </x:c>
      <x:c r="G14" s="6" t="str">
        <x:v>Salt okunur sistem çıktısını onaylı rol, kapsam ve yapılandırma kaydıyla karşılaştır; ölçütteki her koşul için kanıt konumu ve ayrı alt sonucu kaydet. Yalnız görüşme veya ekran görüntüsüyle fiili işleyiş sonucunu kapatma.</x:v>
      </x:c>
      <x:c r="H14" s="6" t="str">
        <x:v>Kurulu ürün/dağıtım, müşteri sözleşmesi ve işlev desteği Kapsam kaydında doğrulanır. Tüm hizmetlerde uygulanır; istisnasızdır.</x:v>
      </x:c>
      <x:c r="I14" s="6" t="str">
        <x:v>Kurum için onaylı periyot/eşik gerekir; metindeki uygulama örnekleri NIST’in zorunlu ürün parametresi değildir. Üretimde değişiklik veya kesinti testi yapılmaz.</x:v>
      </x:c>
      <x:c r="J14" s="6" t="str">
        <x:v>NIST-53: IA-5</x:v>
      </x:c>
      <x:c r="K14" s="6" t="str">
        <x:v>IA-5</x:v>
      </x:c>
      <x:c r="L14" s="6" t="str">
        <x:v>1 eski soru. Birleştirme İzini bu Kontrol ID ile süzün.</x:v>
      </x:c>
    </x:row>
    <x:row r="15" ht="70" customHeight="1">
      <x:c r="A15" s="6" t="str">
        <x:v>SPL-V04-01</x:v>
      </x:c>
      <x:c r="B15" s="6" t="str">
        <x:v>Ağ ve yönetim düzlemi güvenliği</x:v>
      </x:c>
      <x:c r="C15" s="6" t="str">
        <x:v>8089 yönetim portu, Splunk Web ve KV Store yalnız yönetim ağından, güvenli TLS ve sertifikayla erişilebilir mi?</x:v>
      </x:c>
      <x:c r="D15" s="6" t="str">
        <x:v>Tenant/kullanıcı ağından yönetim portuna erişim reddedilir.</x:v>
      </x:c>
      <x:c r="E15" s="6" t="str">
        <x:v>Yönetim düzlemi ve dağıtım altyapısı güvenliği yeterli değilse, yönetim arayüzlerinin gereksiz ağlardan erişilebilir olması yetkisiz erişim ve yanal hareket riskini artırır.</x:v>
      </x:c>
      <x:c r="F15" s="6" t="str">
        <x:v>Firewall, server/web config ve TLS taraması</x:v>
      </x:c>
      <x:c r="G15" s="6" t="str">
        <x:v>Salt okunur sistem çıktısını onaylı rol, kapsam ve yapılandırma kaydıyla karşılaştır; ölçütteki her koşul için kanıt konumu ve ayrı alt sonucu kaydet. Yalnız görüşme veya ekran görüntüsüyle fiili işleyiş sonucunu kapatma.</x:v>
      </x:c>
      <x:c r="H15" s="6" t="str">
        <x:v>Kurulu ürün/dağıtım, müşteri sözleşmesi ve işlev desteği Kapsam kaydında doğrulanır. Yalnız sağlayıcının ağ katmanına erişiminin bulunmadığı saf SaaS bileşenlerinde daraltılabilir.</x:v>
      </x:c>
      <x:c r="I15" s="6" t="str">
        <x:v>Kurum için onaylı periyot/eşik gerekir; metindeki uygulama örnekleri NIST’in zorunlu ürün parametresi değildir. Üretimde değişiklik veya kesinti testi yapılmaz.</x:v>
      </x:c>
      <x:c r="J15" s="6" t="str">
        <x:v>NIST-53: SC-7; AC-17</x:v>
      </x:c>
      <x:c r="K15" s="6" t="str">
        <x:v>SC-7; AC-17</x:v>
      </x:c>
      <x:c r="L15" s="6" t="str">
        <x:v>1 eski soru. Birleştirme İzini bu Kontrol ID ile süzün.</x:v>
      </x:c>
    </x:row>
    <x:row r="16" ht="85" customHeight="1">
      <x:c r="A16" s="6" t="str">
        <x:v>SPL-V04-02</x:v>
      </x:c>
      <x:c r="B16" s="6" t="str">
        <x:v>Ağ ve yönetim düzlemi güvenliği</x:v>
      </x:c>
      <x:c r="C16" s="6" t="str">
        <x:v>Deployment server, cluster manager, deployer ve SHC captain erişimleri görev ayrılığı ve yönetim ağıyla korunuyor mu?</x:v>
      </x:c>
      <x:c r="D16" s="6" t="str">
        <x:v>Tenant veya normal analyst bu dağıtım düzlemlerine erişemez.</x:v>
      </x:c>
      <x:c r="E16" s="6" t="str">
        <x:v>Risk senaryosu (atıflı kontrol amacından denetçi değerlendirmesi): Dağıtım ve küme yönetim yetkileri ayrılmazsa tek operatör çok sayıda bileşene kod veya yapılandırma yayabilir; yanlış değişiklik merkezi toplama ve aramayı birlikte etkileyebilir.</x:v>
      </x:c>
      <x:c r="F16" s="6" t="str">
        <x:v>Rol/ağ exportu ve audit log</x:v>
      </x:c>
      <x:c r="G16" s="6" t="str">
        <x:v>Salt okunur sistem çıktısını onaylı rol, kapsam ve yapılandırma kaydıyla karşılaştır; ölçütteki her koşul için kanıt konumu ve ayrı alt sonucu kaydet. Yalnız görüşme veya ekran görüntüsüyle fiili işleyiş sonucunu kapatma.</x:v>
      </x:c>
      <x:c r="H16" s="6" t="str">
        <x:v>Kurulu ürün/dağıtım, müşteri sözleşmesi ve işlev desteği Kapsam kaydında doğrulanır. Yalnız sağlayıcının ağ katmanına erişiminin bulunmadığı saf SaaS bileşenlerinde daraltılabilir.</x:v>
      </x:c>
      <x:c r="I16" s="6" t="str">
        <x:v>Kurum için onaylı periyot/eşik gerekir; metindeki uygulama örnekleri NIST’in zorunlu ürün parametresi değildir. Üretimde değişiklik veya kesinti testi yapılmaz.</x:v>
      </x:c>
      <x:c r="J16" s="6" t="str">
        <x:v>NIST-53: AC-5</x:v>
      </x:c>
      <x:c r="K16" s="6" t="str">
        <x:v>AC-5</x:v>
      </x:c>
      <x:c r="L16" s="6" t="str">
        <x:v>1 eski soru. Birleştirme İzini bu Kontrol ID ile süzün.</x:v>
      </x:c>
    </x:row>
    <x:row r="17" ht="70" customHeight="1">
      <x:c r="A17" s="6" t="str">
        <x:v>SPL-V05-03</x:v>
      </x:c>
      <x:c r="B17" s="6" t="str">
        <x:v>Olay zamanı ve veri kalitesi</x:v>
      </x:c>
      <x:c r="C17" s="6" t="str">
        <x:v>Indexer, search head, forwarder ve kaynak saatleri senkron; event time ile index time sapması izleniyor mu?</x:v>
      </x:c>
      <x:c r="D17" s="6" t="str">
        <x:v>Sapma alarmı ve düzeltme akışı vardır; korelasyon güvenilirliği korunur.</x:v>
      </x:c>
      <x:c r="E17" s="6" t="str">
        <x:v>Risk senaryosu (atıflı kontrol amacından denetçi değerlendirmesi): Kaynak zamanı ile alım zamanı farkı ayırt edilmezse geciken kayıt saat hatası sanılabilir veya olay sırası yanlış kurulabilir; zaman pencereli tespitler olayı kaçırabilir.</x:v>
      </x:c>
      <x:c r="F17" s="6" t="str">
        <x:v>NTP config ve time-skew dashboard</x:v>
      </x:c>
      <x:c r="G17" s="6" t="str">
        <x:v>Salt okunur sistem çıktısını onaylı rol, kapsam ve yapılandırma kaydıyla karşılaştır; ölçütteki her koşul için kanıt konumu ve ayrı alt sonucu kaydet. Yalnız görüşme veya ekran görüntüsüyle fiili işleyiş sonucunu kapatma.</x:v>
      </x:c>
      <x:c r="H17" s="6" t="str">
        <x:v>Kurulu ürün/dağıtım, müşteri sözleşmesi ve işlev desteği Kapsam kaydında doğrulanır. Tüm hizmetlerde uygulanır; SaaS bileşenlerinde envanter sağlayıcı raporlarıyla tamamlanır.</x:v>
      </x:c>
      <x:c r="I17" s="6" t="str">
        <x:v>Kurum için onaylı periyot/eşik gerekir; metindeki uygulama örnekleri NIST’in zorunlu ürün parametresi değildir. Üretimde değişiklik veya kesinti testi yapılmaz.</x:v>
      </x:c>
      <x:c r="J17" s="6" t="str">
        <x:v>NIST-53: AU-8; SC-45</x:v>
      </x:c>
      <x:c r="K17" s="6" t="str">
        <x:v>AU-8; SC-45</x:v>
      </x:c>
      <x:c r="L17" s="6" t="str">
        <x:v>1 eski soru. Birleştirme İzini bu Kontrol ID ile süzün.</x:v>
      </x:c>
    </x:row>
    <x:row r="18" ht="70" customHeight="1">
      <x:c r="A18" s="6" t="str">
        <x:v>SPL-V07-01</x:v>
      </x:c>
      <x:c r="B18" s="6" t="str">
        <x:v>Veri koruma ve gizlilik</x:v>
      </x:c>
      <x:c r="C18" s="6" t="str">
        <x:v>Hot/warm/cold/frozen/thawed saklama ve silme ayarları tenant/veri sınıfı/yasal süreyle uyumlu mu?</x:v>
      </x:c>
      <x:c r="D18" s="6" t="str">
        <x:v>maxTotalDataSizeMB/frozenTimePeriodInSecs vb. fiilî davranış gereksinimle tutarlıdır.</x:v>
      </x:c>
      <x:c r="E18" s="6" t="str">
        <x:v>Risk senaryosu (atıflı kontrol amacından denetçi değerlendirmesi): Index yaşam döngüsü müşteri ve veri gereksinimine uymuyorsa inceleme için gereken olay erken silinebilir; gereksiz eski hassas kayıtlar erişilebilir kalabilir.</x:v>
      </x:c>
      <x:c r="F18" s="6" t="str">
        <x:v>indexes.conf ve retention matrisi</x:v>
      </x:c>
      <x:c r="G18" s="6" t="str">
        <x:v>Salt okunur sistem çıktısını onaylı rol, kapsam ve yapılandırma kaydıyla karşılaştır; ölçütteki her koşul için kanıt konumu ve ayrı alt sonucu kaydet. Yalnız görüşme veya ekran görüntüsüyle fiili işleyiş sonucunu kapatma.</x:v>
      </x:c>
      <x:c r="H18" s="6" t="str">
        <x:v>Kurulu ürün/dağıtım, müşteri sözleşmesi ve işlev desteği Kapsam kaydında doğrulanır. Müşteri verisi işlenmeyen bileşenlerde gerekçeli olarak daraltılabilir.</x:v>
      </x:c>
      <x:c r="I18" s="6" t="str">
        <x:v>Kurum için onaylı periyot/eşik gerekir; metindeki uygulama örnekleri NIST’in zorunlu ürün parametresi değildir. Üretimde değişiklik veya kesinti testi yapılmaz.</x:v>
      </x:c>
      <x:c r="J18" s="6" t="str">
        <x:v>NIST-53: AU-11</x:v>
      </x:c>
      <x:c r="K18" s="6" t="str">
        <x:v>AU-11</x:v>
      </x:c>
      <x:c r="L18" s="6" t="str">
        <x:v>1 eski soru. Birleştirme İzini bu Kontrol ID ile süzün.</x:v>
      </x:c>
    </x:row>
    <x:row r="19" ht="70" customHeight="1">
      <x:c r="A19" s="6" t="str">
        <x:v>SPL-V09-01</x:v>
      </x:c>
      <x:c r="B19" s="6" t="str">
        <x:v>Kapasite ve hizmet izolasyonu</x:v>
      </x:c>
      <x:c r="C19" s="6" t="str">
        <x:v>Rol/tenant bazlı search quota, concurrency, workload pool ve schedule window noisy-neighbor etkisini sınırlar mı?</x:v>
      </x:c>
      <x:c r="D19" s="6" t="str">
        <x:v>Bir tenant araması ingest veya diğer tenant aramalarını SLA dışına çıkarmaz.</x:v>
      </x:c>
      <x:c r="E19" s="6" t="str">
        <x:v>Arama kaynakları, lisans, kapasite ve platform sağlığı yeterli değilse, bir müşterinin kaynak tüketimi veya bir hizmet engelleme saldırısı diğer müşterilerin hizmetini kesintiye uğratabilir.</x:v>
      </x:c>
      <x:c r="F19" s="6" t="str">
        <x:v>limits/authorize/workload config ve yük testi</x:v>
      </x:c>
      <x:c r="G19" s="6" t="str">
        <x:v>Salt okunur sistem çıktısını onaylı rol, kapsam ve yapılandırma kaydıyla karşılaştır; ölçütteki her koşul için kanıt konumu ve ayrı alt sonucu kaydet. Yalnız görüşme veya ekran görüntüsüyle fiili işleyiş sonucunu kapatma.</x:v>
      </x:c>
      <x:c r="H19" s="6" t="str">
        <x:v>Kurulu ürün/dağıtım, müşteri sözleşmesi ve işlev desteği Kapsam kaydında doğrulanır. Paylaşımlı kaynak kullanılmayan hizmetlerde gerekçeli olarak daraltılabilir.</x:v>
      </x:c>
      <x:c r="I19" s="6" t="str">
        <x:v>Kurum için onaylı periyot/eşik gerekir; metindeki uygulama örnekleri NIST’in zorunlu ürün parametresi değildir. Üretimde değişiklik veya kesinti testi yapılmaz.</x:v>
      </x:c>
      <x:c r="J19" s="6" t="str">
        <x:v>NIST-53: SC-6; SC-5</x:v>
      </x:c>
      <x:c r="K19" s="6" t="str">
        <x:v>SC-6; SC-5</x:v>
      </x:c>
      <x:c r="L19" s="6" t="str">
        <x:v>1 eski soru. Birleştirme İzini bu Kontrol ID ile süzün.</x:v>
      </x:c>
    </x:row>
    <x:row r="20" ht="70" customHeight="1">
      <x:c r="A20" s="6" t="str">
        <x:v>SPL-V10-01</x:v>
      </x:c>
      <x:c r="B20" s="6" t="str">
        <x:v>Kimlik ve erişim yönetimi</x:v>
      </x:c>
      <x:c r="C20" s="6" t="str">
        <x:v>Scheduled search owner hesapları aktif, servis amacı tanımlı ve rol/index yetkileri minimum mu?</x:v>
      </x:c>
      <x:c r="D20" s="6" t="str">
        <x:v>Ayrılmış/eski kullanıcı sahipli kritik arama yoktur; servis sahipliği kayıtlıdır.</x:v>
      </x:c>
      <x:c r="E20" s="6" t="str">
        <x:v>Risk senaryosu (atıflı kontrol amacından denetçi değerlendirmesi): Zamanlanmış aramanın sahibi kapanır veya yetkisi değişirse tespit çalışmayabilir; gereğinden geniş index yetkisi başka müşterinin verisini arama çıktısına taşıyabilir.</x:v>
      </x:c>
      <x:c r="F20" s="6" t="str">
        <x:v>Saved search owner ve account exportu</x:v>
      </x:c>
      <x:c r="G20" s="6" t="str">
        <x:v>Salt okunur sistem çıktısını onaylı rol, kapsam ve yapılandırma kaydıyla karşılaştır; ölçütteki her koşul için kanıt konumu ve ayrı alt sonucu kaydet. Yalnız görüşme veya ekran görüntüsüyle fiili işleyiş sonucunu kapatma.</x:v>
      </x:c>
      <x:c r="H20" s="6" t="str">
        <x:v>Kurulu ürün/dağıtım, müşteri sözleşmesi ve işlev desteği Kapsam kaydında doğrulanır. Tüm hizmetlerde uygulanır; izleme dış hizmetten alınıyorsa sözleşme ve SLA ölçüt alınır.</x:v>
      </x:c>
      <x:c r="I20" s="6" t="str">
        <x:v>Kurum için onaylı periyot/eşik gerekir; metindeki uygulama örnekleri NIST’in zorunlu ürün parametresi değildir. Üretimde değişiklik veya kesinti testi yapılmaz.</x:v>
      </x:c>
      <x:c r="J20" s="6" t="str">
        <x:v>NIST-53: AC-2; IA-5</x:v>
      </x:c>
      <x:c r="K20" s="6" t="str">
        <x:v>AC-2; IA-5</x:v>
      </x:c>
      <x:c r="L20" s="6" t="str">
        <x:v>1 eski soru. Birleştirme İzini bu Kontrol ID ile süzün.</x:v>
      </x:c>
    </x:row>
    <x:row r="21" ht="70" customHeight="1">
      <x:c r="A21" s="6" t="str">
        <x:v>SPL-V10-03</x:v>
      </x:c>
      <x:c r="B21" s="6" t="str">
        <x:v>Güvenlik izleme</x:v>
      </x:c>
      <x:c r="C21" s="6" t="str">
        <x:v>Whitelist, filter, suppression ve throttling istisnaları kapsam, gerekçe, bitiş tarihi ve etkisiyle yönetiliyor mu?</x:v>
      </x:c>
      <x:c r="D21" s="6" t="str">
        <x:v>Süresiz/geniş bastırma yoktur; test kapsam kaybını ölçer.</x:v>
      </x:c>
      <x:c r="E21" s="6" t="str">
        <x:v>Risk senaryosu (atıflı kontrol amacından denetçi değerlendirmesi): Geniş veya süresiz filtre ve throttling istisnası gerçek saldırı olaylarını bastırabilir; düşük alarm sayısı yanlışlıkla düşük risk olarak yorumlanabilir.</x:v>
      </x:c>
      <x:c r="F21" s="6" t="str">
        <x:v>Exception lookup/config ve onaylar</x:v>
      </x:c>
      <x:c r="G21" s="6" t="str">
        <x:v>Salt okunur sistem çıktısını onaylı rol, kapsam ve yapılandırma kaydıyla karşılaştır; ölçütteki her koşul için kanıt konumu ve ayrı alt sonucu kaydet. Yalnız görüşme veya ekran görüntüsüyle fiili işleyiş sonucunu kapatma.</x:v>
      </x:c>
      <x:c r="H21" s="6" t="str">
        <x:v>Kurulu ürün/dağıtım, müşteri sözleşmesi ve işlev desteği Kapsam kaydında doğrulanır. Tüm hizmetlerde uygulanır; izleme dış hizmetten alınıyorsa sözleşme ve SLA ölçüt alınır.</x:v>
      </x:c>
      <x:c r="I21" s="6" t="str">
        <x:v>Kurum için onaylı periyot/eşik gerekir; metindeki uygulama örnekleri NIST’in zorunlu ürün parametresi değildir. Üretimde değişiklik veya kesinti testi yapılmaz.</x:v>
      </x:c>
      <x:c r="J21" s="6" t="str">
        <x:v>NIST-53: SI-4; CM-7</x:v>
      </x:c>
      <x:c r="K21" s="6" t="str">
        <x:v>SI-4; CM-7</x:v>
      </x:c>
      <x:c r="L21" s="6" t="str">
        <x:v>1 eski soru. Birleştirme İzini bu Kontrol ID ile süzün.</x:v>
      </x:c>
    </x:row>
    <x:row r="22" ht="70" customHeight="1">
      <x:c r="A22" s="6" t="str">
        <x:v>SPL-V10-04</x:v>
      </x:c>
      <x:c r="B22" s="6" t="str">
        <x:v>Güvenlik izleme</x:v>
      </x:c>
      <x:c r="C22" s="6" t="str">
        <x:v>Risk object, score, aggregation window ve notable eşikleri tenant bağlamını karıştırmayacak şekilde tasarlanmış mı?</x:v>
      </x:c>
      <x:c r="D22" s="6" t="str">
        <x:v>Bir tenantın risk olayları başka tenant varlığına birleşmez veya görünmez.</x:v>
      </x:c>
      <x:c r="E22" s="6" t="str">
        <x:v>Risk senaryosu (atıflı kontrol amacından denetçi değerlendirmesi): Risk nesnesi ve toplama anahtarı müşteri bağlamını ayırmazsa farklı müşterilerin olayları birleşebilir; yanlış müşteriye alarm veya öncelik üretilebilir.</x:v>
      </x:c>
      <x:c r="F22" s="6" t="str">
        <x:v>Risk rule/config ve test verisi</x:v>
      </x:c>
      <x:c r="G22" s="6" t="str">
        <x:v>Salt okunur sistem çıktısını onaylı rol, kapsam ve yapılandırma kaydıyla karşılaştır; ölçütteki her koşul için kanıt konumu ve ayrı alt sonucu kaydet. Yalnız görüşme veya ekran görüntüsüyle fiili işleyiş sonucunu kapatma.</x:v>
      </x:c>
      <x:c r="H22" s="6" t="str">
        <x:v>Kurulu ürün/dağıtım, müşteri sözleşmesi ve işlev desteği Kapsam kaydında doğrulanır. Tüm hizmetlerde uygulanır; izleme dış hizmetten alınıyorsa sözleşme ve SLA ölçüt alınır.</x:v>
      </x:c>
      <x:c r="I22" s="6" t="str">
        <x:v>Kurum için onaylı periyot/eşik gerekir; metindeki uygulama örnekleri NIST’in zorunlu ürün parametresi değildir. Üretimde değişiklik veya kesinti testi yapılmaz.</x:v>
      </x:c>
      <x:c r="J22" s="6" t="str">
        <x:v>NIST-53: SI-4; AU-6</x:v>
      </x:c>
      <x:c r="K22" s="6" t="str">
        <x:v>SI-4; AU-6</x:v>
      </x:c>
      <x:c r="L22" s="6" t="str">
        <x:v>1 eski soru. Birleştirme İzini bu Kontrol ID ile süzün.</x:v>
      </x:c>
    </x:row>
    <x:row r="23" ht="70" customHeight="1">
      <x:c r="A23" s="6" t="str">
        <x:v>SPL-V11-01</x:v>
      </x:c>
      <x:c r="B23" s="6" t="str">
        <x:v>Eklenti ve tedarik zinciri</x:v>
      </x:c>
      <x:c r="C23" s="6" t="str">
        <x:v>Splunk app/add-on paketleri kaynak, imza/checksum, güvenlik inceleme, izin ve Python/JS bağımlılık kontrolünden geçiyor mu?</x:v>
      </x:c>
      <x:c r="D23" s="6" t="str">
        <x:v>Bilinmeyen/sahipsiz app, tehlikeli script veya açık sır bulunmaz.</x:v>
      </x:c>
      <x:c r="E23" s="6" t="str">
        <x:v>Risk senaryosu (atıflı kontrol amacından denetçi değerlendirmesi): Kaynağı ve bütünlüğü doğrulanmamış app/add-on, SIEM'in erişebildiği müşteri kayıtlarına veya çalıştığı sunucuya zararlı kod taşıyabilir.</x:v>
      </x:c>
      <x:c r="F23" s="6" t="str">
        <x:v>App envanteri, review ve deployment kayıtları</x:v>
      </x:c>
      <x:c r="G23" s="6" t="str">
        <x:v>Salt okunur sistem çıktısını onaylı rol, kapsam ve yapılandırma kaydıyla karşılaştır; ölçütteki her koşul için kanıt konumu ve ayrı alt sonucu kaydet. Yalnız görüşme veya ekran görüntüsüyle fiili işleyiş sonucunu kapatma.</x:v>
      </x:c>
      <x:c r="H23" s="6" t="str">
        <x:v>Kurulu ürün/dağıtım, müşteri sözleşmesi ve işlev desteği Kapsam kaydında doğrulanır. Özel kod, eklenti veya API yayını bulunmayan bileşenlerde gerekçeli olarak daraltılabilir.</x:v>
      </x:c>
      <x:c r="I23" s="6" t="str">
        <x:v>Kurum için onaylı periyot/eşik gerekir; metindeki uygulama örnekleri NIST’in zorunlu ürün parametresi değildir. Üretimde değişiklik veya kesinti testi yapılmaz.</x:v>
      </x:c>
      <x:c r="J23" s="6" t="str">
        <x:v>NIST-53: SR-3; SR-11</x:v>
      </x:c>
      <x:c r="K23" s="6" t="str">
        <x:v>SR-3; SR-11</x:v>
      </x:c>
      <x:c r="L23" s="6" t="str">
        <x:v>1 eski soru. Birleştirme İzini bu Kontrol ID ile süzün.</x:v>
      </x:c>
    </x:row>
    <x:row r="24" ht="70" customHeight="1">
      <x:c r="A24" s="6" t="str">
        <x:v>SPL-V11-02</x:v>
      </x:c>
      <x:c r="B24" s="6" t="str">
        <x:v>Özel kod güvenliği</x:v>
      </x:c>
      <x:c r="C24" s="6" t="str">
        <x:v>SPL custom command, scripted input, modular input ve alert action kodu güvenli geliştirme/test sürecinde mi?</x:v>
      </x:c>
      <x:c r="D24" s="6" t="str">
        <x:v>Komut yürütme, ağ çıkışı ve secret erişimi minimum ve kayıtlıdır.</x:v>
      </x:c>
      <x:c r="E24" s="6" t="str">
        <x:v>Risk senaryosu (atıflı kontrol amacından denetçi değerlendirmesi): Özel komut ve girdilerin kodu test edilmezse dış veri güvenilmeyen komuta veya hassas çıktıya dönüşebilir; merkezi izleme yetkileriyle hatalı işlem yapılabilir.</x:v>
      </x:c>
      <x:c r="F24" s="6" t="str">
        <x:v>Kod envanteri, review ve sandbox test</x:v>
      </x:c>
      <x:c r="G24" s="6" t="str">
        <x:v>Salt okunur sistem çıktısını onaylı rol, kapsam ve yapılandırma kaydıyla karşılaştır; ölçütteki her koşul için kanıt konumu ve ayrı alt sonucu kaydet. Yalnız görüşme veya ekran görüntüsüyle fiili işleyiş sonucunu kapatma.</x:v>
      </x:c>
      <x:c r="H24" s="6" t="str">
        <x:v>Kurulu ürün/dağıtım, müşteri sözleşmesi ve işlev desteği Kapsam kaydında doğrulanır. Özel kod, eklenti veya API yayını bulunmayan bileşenlerde gerekçeli olarak daraltılabilir.</x:v>
      </x:c>
      <x:c r="I24" s="6" t="str">
        <x:v>Kurum için onaylı periyot/eşik gerekir; metindeki uygulama örnekleri NIST’in zorunlu ürün parametresi değildir. Üretimde değişiklik veya kesinti testi yapılmaz.</x:v>
      </x:c>
      <x:c r="J24" s="6" t="str">
        <x:v>NIST-53: SA-11</x:v>
      </x:c>
      <x:c r="K24" s="6" t="str">
        <x:v>SA-11</x:v>
      </x:c>
      <x:c r="L24" s="6" t="str">
        <x:v>1 eski soru. Birleştirme İzini bu Kontrol ID ile süzün.</x:v>
      </x:c>
    </x:row>
    <x:row r="25" ht="70" customHeight="1">
      <x:c r="A25" s="6" t="str">
        <x:v>SPL-V13-01</x:v>
      </x:c>
      <x:c r="B25" s="6" t="str">
        <x:v>Yedekleme ve siber dayanıklılık</x:v>
      </x:c>
      <x:c r="C25" s="6" t="str">
        <x:v>Splunk config, app, KV Store, lookup, ES content ve cluster metadata yedek/restore planında mı?</x:v>
      </x:c>
      <x:c r="D25" s="6" t="str">
        <x:v>Yeni/izole ortamda kritik config ve ES işlevi RTO içinde geri getirilmiştir.</x:v>
      </x:c>
      <x:c r="E25" s="6" t="str">
        <x:v>Risk senaryosu (atıflı kontrol amacından denetçi değerlendirmesi): Yalnız ham loglar yedeklenip yapılandırma, lookup ve tespit içeriği dışarıda bırakılırsa geri dönüş sonrası veri bulunsa da arama ve tespit hizmeti çalışmayabilir.</x:v>
      </x:c>
      <x:c r="F25" s="6" t="str">
        <x:v>Backup kapsamı ve restore testi</x:v>
      </x:c>
      <x:c r="G25" s="6" t="str">
        <x:v>Salt okunur sistem çıktısını onaylı rol, kapsam ve yapılandırma kaydıyla karşılaştır; ölçütteki her koşul için kanıt konumu ve ayrı alt sonucu kaydet. Yalnız görüşme veya ekran görüntüsüyle fiili işleyiş sonucunu kapatma.</x:v>
      </x:c>
      <x:c r="H25" s="6" t="str">
        <x:v>Kurulu ürün/dağıtım, müşteri sözleşmesi ve işlev desteği Kapsam kaydında doğrulanır. Yedekleme sorumluluğu müşteride ise paylaşılan sorumluluk matrisiyle gerekçelendirilir.</x:v>
      </x:c>
      <x:c r="I25" s="6" t="str">
        <x:v>Kurum için onaylı periyot/eşik gerekir; metindeki uygulama örnekleri NIST’in zorunlu ürün parametresi değildir. Üretimde değişiklik veya kesinti testi yapılmaz.</x:v>
      </x:c>
      <x:c r="J25" s="6" t="str">
        <x:v>NIST-53: CP-9; CP-2</x:v>
      </x:c>
      <x:c r="K25" s="6" t="str">
        <x:v>CP-9; CP-2</x:v>
      </x:c>
      <x:c r="L25" s="6" t="str">
        <x:v>1 eski soru. Birleştirme İzini bu Kontrol ID ile süzün.</x:v>
      </x:c>
    </x:row>
  </x:sheetData>
  <x:pageMargins left="0.7" right="0.7" top="0.75" bottom="0.75" header="0.3" footer="0.3"/>
  <x:tableParts count="1">
    <x:tablePart xmlns:r="http://schemas.openxmlformats.org/officeDocument/2006/relationships" r:id="Rab29c4bd81ff4733"/>
  </x:tableParts>
</x:worksheet>
</file>

<file path=xl/worksheets/sheet1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IronPort Email Security</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ESA-007</x:v>
      </x:c>
      <x:c r="B6" s="6" t="str">
        <x:v>SMTP erişimi</x:v>
      </x:c>
      <x:c r="C6" s="6" t="str">
        <x:v>SMTP relay yalnız yetkili gönderen ağ ve alanlarla sınırlandırılmış mı?</x:v>
      </x:c>
      <x:c r="D6" s="6" t="str">
        <x:v>Relay yetkisi onaylı kaynaklarla sınırlı; yetkisiz dış relay reddedilmeli.</x:v>
      </x:c>
      <x:c r="E6" s="6" t="str">
        <x:v>Açık relay spam yayılımı, itibar kaybı ve müşteri adına kötüye kullanım doğurur.</x:v>
      </x:c>
      <x:c r="F6" s="6" t="str">
        <x:v>Listener, HAT/RAT, mail flow policy, test SMTP sonucu.</x:v>
      </x:c>
      <x:c r="G6" s="6" t="str">
        <x:v>Harici yetkisiz kaynaktan test alıcısına relay denemesinin reddini doğrula.</x:v>
      </x:c>
      <x:c r="H6" s="6" t="str">
        <x:v>ESA/AsyncOS sürümü, appliance/cloud modeli ve AMP/URL lisansları teyit edilmeli.</x:v>
      </x:c>
      <x:c r="I6" s="6" t="str">
        <x:v>Kurulu sürüm/dağıtımın özellik ve lisans desteği kanıtlanır. Test, salt okunur çıktı veya onaylı izole ortamla yürütülür.</x:v>
      </x:c>
      <x:c r="J6" s="6" t="str">
        <x:v>ESA-BP: listener/mail policies
NIST-53: AC-3; SC-7
BIGR: 3.1.4 | 3.1.4 — bölüm başlangıcı; basılı s.44 / PDF 48</x:v>
      </x:c>
      <x:c r="K6" s="6" t="str">
        <x:v>AC-3; SC-7</x:v>
      </x:c>
      <x:c r="L6" s="6" t="str">
        <x:v>2 eski soru. Birleştirme İzini bu Kontrol ID ile süzün.</x:v>
      </x:c>
    </x:row>
    <x:row r="7" ht="55" customHeight="1">
      <x:c r="A7" s="6" t="str">
        <x:v>ESA-008</x:v>
      </x:c>
      <x:c r="B7" s="6" t="str">
        <x:v>Alan doğrulama</x:v>
      </x:c>
      <x:c r="C7" s="6" t="str">
        <x:v>SPF, DKIM ve DMARC değerlendirmesi gelen posta politikalarında doğru kullanılıyor mu?</x:v>
      </x:c>
      <x:c r="D7" s="6" t="str">
        <x:v>Yetkili kaynaklar ve beklenen doğrulama başarısızlık eylemi tanımlı olmalı.</x:v>
      </x:c>
      <x:c r="E7" s="6" t="str">
        <x:v>Alan adı taklidiyle phishing mesajları güvenilir görünür.</x:v>
      </x:c>
      <x:c r="F7" s="6" t="str">
        <x:v>DNS kayıtları, doğrulama politikası, message tracking örnekleri.</x:v>
      </x:c>
      <x:c r="G7" s="6" t="str">
        <x:v>Kontrollü test alanından geçerli/geçersiz doğrulama mesajlarını karşılaştır.</x:v>
      </x:c>
      <x:c r="H7" s="6" t="str">
        <x:v>ESA/AsyncOS sürümü, appliance/cloud modeli ve AMP/URL lisansları teyit edilmeli.</x:v>
      </x:c>
      <x:c r="I7" s="6" t="str">
        <x:v>Kurulu sürüm/dağıtımın özellik ve lisans desteği kanıtlanır. Test, salt okunur çıktı veya onaylı izole ortamla yürütülür.</x:v>
      </x:c>
      <x:c r="J7" s="6" t="str">
        <x:v>ESA-AUTH: email authentication
NIST-53: SI-8; SI-3
BIGR: 3.1.4 | 3.1.4 — bölüm başlangıcı; basılı s.44 / PDF 48</x:v>
      </x:c>
      <x:c r="K7" s="6" t="str">
        <x:v>SI-8; SI-3</x:v>
      </x:c>
      <x:c r="L7" s="6" t="str">
        <x:v>2 eski soru. Birleştirme İzini bu Kontrol ID ile süzün.</x:v>
      </x:c>
    </x:row>
    <x:row r="8" ht="55" customHeight="1">
      <x:c r="A8" s="6" t="str">
        <x:v>ESA-009</x:v>
      </x:c>
      <x:c r="B8" s="6" t="str">
        <x:v>Giden posta</x:v>
      </x:c>
      <x:c r="C8" s="6" t="str">
        <x:v>Giden müşteri alanları doğru DKIM anahtarı ve yetkili gönderim akışıyla eşleşiyor mu?</x:v>
      </x:c>
      <x:c r="D8" s="6" t="str">
        <x:v>Alan bazlı signing profili ve DNS public key eşleşmeli.</x:v>
      </x:c>
      <x:c r="E8" s="6" t="str">
        <x:v>Yanlış tenant imzası veya kayıtlar sahtecilik ve teslim hatası yaratır.</x:v>
      </x:c>
      <x:c r="F8" s="6" t="str">
        <x:v>Signing profilleri, DNS selector kayıtları, test posta header'ı.</x:v>
      </x:c>
      <x:c r="G8" s="6" t="str">
        <x:v>Her temsilci alan için giden testin imza doğrulamasını kontrol et.</x:v>
      </x:c>
      <x:c r="H8" s="6" t="str">
        <x:v>ESA/AsyncOS sürümü, appliance/cloud modeli ve AMP/URL lisansları teyit edilmeli.</x:v>
      </x:c>
      <x:c r="I8" s="6" t="str">
        <x:v>Kurulu sürüm/dağıtımın özellik ve lisans desteği kanıtlanır. Test, salt okunur çıktı veya onaylı izole ortamla yürütülür.</x:v>
      </x:c>
      <x:c r="J8" s="6" t="str">
        <x:v>ESA-AUTH: DKIM signing
NIST-53: SI-8; SC-12
BIGR: 3.1.4 | 3.1.4 — bölüm başlangıcı; basılı s.44 / PDF 48</x:v>
      </x:c>
      <x:c r="K8" s="6" t="str">
        <x:v>SI-8; SC-12</x:v>
      </x:c>
      <x:c r="L8" s="6" t="str">
        <x:v>3 eski soru. Birleştirme İzini bu Kontrol ID ile süzün.</x:v>
      </x:c>
    </x:row>
    <x:row r="9" ht="55" customHeight="1">
      <x:c r="A9" s="6" t="str">
        <x:v>ESA-010</x:v>
      </x:c>
      <x:c r="B9" s="6" t="str">
        <x:v>İçerik koruma</x:v>
      </x:c>
      <x:c r="C9" s="6" t="str">
        <x:v>Gelen/giden içerik filtreleri beklenen akışa uygulanıyor mu?</x:v>
      </x:c>
      <x:c r="D9" s="6" t="str">
        <x:v>Filtre eylem/sırası, iş gereksinimi ve test sonucuyla tutarlı olmalı.</x:v>
      </x:c>
      <x:c r="E9" s="6" t="str">
        <x:v>Filtre sırası veya geniş allowlist zararlı eki veya veri çıkışını serbest bırakır.</x:v>
      </x:c>
      <x:c r="F9" s="6" t="str">
        <x:v>Content filter exportu, allowlist, test tracking sonuçları.</x:v>
      </x:c>
      <x:c r="G9" s="6" t="str">
        <x:v>Zararsız test ekiyle izin/verme koşullarını ve hangi kurala eşleştiğini doğrula.</x:v>
      </x:c>
      <x:c r="H9" s="6" t="str">
        <x:v>ESA/AsyncOS sürümü, appliance/cloud modeli ve AMP/URL lisansları teyit edilmeli.</x:v>
      </x:c>
      <x:c r="I9" s="6" t="str">
        <x:v>Kurulu sürüm/dağıtımın özellik ve lisans desteği kanıtlanır. Test, salt okunur çıktı veya onaylı izole ortamla yürütülür.</x:v>
      </x:c>
      <x:c r="J9" s="6" t="str">
        <x:v>ESA-POL: incoming/outgoing content filters
NIST-53: SI-3; SI-8
BIGR: 3.1.4 | 3.1.4 — bölüm başlangıcı; basılı s.44 / PDF 48</x:v>
      </x:c>
      <x:c r="K9" s="6" t="str">
        <x:v>SI-3; SI-8</x:v>
      </x:c>
      <x:c r="L9" s="6" t="str">
        <x:v>3 eski soru. Birleştirme İzini bu Kontrol ID ile süzün.</x:v>
      </x:c>
    </x:row>
    <x:row r="10" ht="55" customHeight="1">
      <x:c r="A10" s="6" t="str">
        <x:v>ESA-011</x:v>
      </x:c>
      <x:c r="B10" s="6" t="str">
        <x:v>Aktarım güvenliği</x:v>
      </x:c>
      <x:c r="C10" s="6" t="str">
        <x:v>TLS zorunlu olması gereken e-posta akışları sertifika hatasında güvenli davranıyor mu?</x:v>
      </x:c>
      <x:c r="D10" s="6" t="str">
        <x:v>Alan/hizmet bazlı TLS gereksinimi ve teslim başarısızlığı davranışı belirlenmiş olmalı.</x:v>
      </x:c>
      <x:c r="E10" s="6" t="str">
        <x:v>Fırsatçı TLS veya yanlış sertifika hassas postayı açık kanala düşürebilir.</x:v>
      </x:c>
      <x:c r="F10" s="6" t="str">
        <x:v>TLS policy, sertifika envanteri, teslim/negotiation logu.</x:v>
      </x:c>
      <x:c r="G10" s="6" t="str">
        <x:v>İzole alıcıyla TLS başarısı ve başarısızlığında beklenen sonucu doğrula.</x:v>
      </x:c>
      <x:c r="H10" s="6" t="str">
        <x:v>ESA/AsyncOS sürümü, appliance/cloud modeli ve AMP/URL lisansları teyit edilmeli.</x:v>
      </x:c>
      <x:c r="I10" s="6" t="str">
        <x:v>Kurulu sürüm/dağıtımın özellik ve lisans desteği kanıtlanır. Test, salt okunur çıktı veya onaylı izole ortamla yürütülür.</x:v>
      </x:c>
      <x:c r="J10" s="6" t="str">
        <x:v>ESA-BP: TLS; NIST-53: SC-8
NIST-53: SC-8; SC-17
BIGR: 3.1.4 | 3.1.4 — bölüm başlangıcı; basılı s.44 / PDF 48</x:v>
      </x:c>
      <x:c r="K10" s="6" t="str">
        <x:v>SC-8; SC-17</x:v>
      </x:c>
      <x:c r="L10" s="6" t="str">
        <x:v>2 eski soru. Birleştirme İzini bu Kontrol ID ile süzün.</x:v>
      </x:c>
    </x:row>
    <x:row r="11" ht="55" customHeight="1">
      <x:c r="A11" s="6" t="str">
        <x:v>ESA-012</x:v>
      </x:c>
      <x:c r="B11" s="6" t="str">
        <x:v>Karantina</x:v>
      </x:c>
      <x:c r="C11" s="6" t="str">
        <x:v>Karantina görüntüleme ve serbest bırakma yetkileri müşteri bazında ayrılmış mı?</x:v>
      </x:c>
      <x:c r="D11" s="6" t="str">
        <x:v>Erişim ve release işlemi göreve/tenant'a göre sınırlı ve kayıtlı olmalı.</x:v>
      </x:c>
      <x:c r="E11" s="6" t="str">
        <x:v>MSP veya tenant kullanıcısı başka müşterinin mesajını okur ya da zararlı mesajı bırakır.</x:v>
      </x:c>
      <x:c r="F11" s="6" t="str">
        <x:v>Karantina rolleri, release logları, iki test tenantı.</x:v>
      </x:c>
      <x:c r="G11" s="6" t="str">
        <x:v>Karşı tenant mesajına erişim reddini ve yetkili release kaydını doğrula.</x:v>
      </x:c>
      <x:c r="H11" s="6" t="str">
        <x:v>ESA/AsyncOS sürümü, appliance/cloud modeli ve AMP/URL lisansları teyit edilmeli.</x:v>
      </x:c>
      <x:c r="I11" s="6" t="str">
        <x:v>Kurulu sürüm/dağıtımın özellik ve lisans desteği kanıtlanır. Test, salt okunur çıktı veya onaylı izole ortamla yürütülür.</x:v>
      </x:c>
      <x:c r="J11" s="6" t="str">
        <x:v>NIST-53: AC-3
NIST-53: AC-3; AC-6; AU-12
BIGR: 4.3.1.4 | 4.3.1.4 — basılı s.164 / PDF 168</x:v>
      </x:c>
      <x:c r="K11" s="6" t="str">
        <x:v>AC-3; AC-6; AU-12</x:v>
      </x:c>
      <x:c r="L11" s="6" t="str">
        <x:v>3 eski soru. Birleştirme İzini bu Kontrol ID ile süzün.</x:v>
      </x:c>
    </x:row>
    <x:row r="12" ht="40" customHeight="1">
      <x:c r="A12" s="6" t="str">
        <x:v>ESA-013</x:v>
      </x:c>
      <x:c r="B12" s="6" t="str">
        <x:v>Bulut analizi</x:v>
      </x:c>
      <x:c r="C12" s="6" t="str">
        <x:v>Bulut sandbox veya dosya analizi aktarımları müşteri veri şartlarıyla uyumlu mu?</x:v>
      </x:c>
      <x:c r="D12" s="6" t="str">
        <x:v>Analiz için aktarılan veri, lokasyon ve istisnalar onaylı olmalı.</x:v>
      </x:c>
      <x:c r="E12" s="6" t="str">
        <x:v>Mesaj eki veya içerik izinsiz üçüncü tarafa/yurt dışına aktarılır.</x:v>
      </x:c>
      <x:c r="F12" s="6" t="str">
        <x:v>AMP/sandbox policy, sağlayıcı veri şartları, örnek dosya analizi kaydı.</x:v>
      </x:c>
      <x:c r="G12" s="6" t="str">
        <x:v>Bir dosya analiz isteğinin hangi veriyi nereye gönderdiğini akış üzerinden doğrula.</x:v>
      </x:c>
      <x:c r="H12" s="6" t="str">
        <x:v>İlgili bulut analizi özelliği etkinse.</x:v>
      </x:c>
      <x:c r="I12" s="6" t="str">
        <x:v>Kurulu sürüm/dağıtımın özellik ve lisans desteği kanıtlanır. Test, salt okunur çıktı veya onaylı izole ortamla yürütülür.</x:v>
      </x:c>
      <x:c r="J12" s="6" t="str">
        <x:v>NIST-53: SA-9; AC-4
BIGR: 4.3.1.1 | 4.3.1.1 — basılı s.164 / PDF 168</x:v>
      </x:c>
      <x:c r="K12" s="6" t="str">
        <x:v>SA-9; AC-4</x:v>
      </x:c>
      <x:c r="L12" s="6" t="str">
        <x:v>1 eski soru. Birleştirme İzini bu Kontrol ID ile süzün.</x:v>
      </x:c>
    </x:row>
    <x:row r="13" ht="70" customHeight="1">
      <x:c r="A13" s="6" t="str">
        <x:v>ESA-V01-02</x:v>
      </x:c>
      <x:c r="B13" s="6" t="str">
        <x:v>Ağ ve yönetim düzlemi güvenliği</x:v>
      </x:c>
      <x:c r="C13" s="6" t="str">
        <x:v>SMTP, yönetim, cluster ve log arayüzleri ayrı ağ/arayüz ve erişim listeleriyle sınırlandırılmış mı?</x:v>
      </x:c>
      <x:c r="D13" s="6" t="str">
        <x:v>Yönetim servisi internet veya müşteri mail ağından erişilemez.</x:v>
      </x:c>
      <x:c r="E13" s="6" t="str">
        <x:v>Risk senaryosu (atıflı kontrol amacından denetçi değerlendirmesi): SMTP ile yönetim, küme ve kayıt yolları uygun erişim sınırlarıyla ayrılmazsa posta trafiğine açık bir ağdan cihazın yönetim işlevlerine ulaşılabilir.</x:v>
      </x:c>
      <x:c r="F13" s="6" t="str">
        <x:v>Interface/listener/firewall config</x:v>
      </x:c>
      <x:c r="G13" s="6" t="str">
        <x:v>Salt okunur sistem çıktısını onaylı rol, kapsam ve yapılandırma kaydıyla karşılaştır; ölçütteki her koşul için kanıt konumu ve ayrı alt sonucu kaydet. Yalnız görüşme veya ekran görüntüsüyle fiili işleyiş sonucunu kapatma.</x:v>
      </x:c>
      <x:c r="H13" s="6" t="str">
        <x:v>Kurulu ürün/dağıtım, müşteri sözleşmesi ve işlev desteği Kapsam kaydında doğrulanır. Yalnız e-posta güvenlik hizmeti sunulan müşterilerde uygulanır.</x:v>
      </x:c>
      <x:c r="I13" s="6" t="str">
        <x:v>Kurum için onaylı periyot/eşik gerekir; metindeki uygulama örnekleri NIST’in zorunlu ürün parametresi değildir. Üretimde değişiklik veya kesinti testi yapılmaz.</x:v>
      </x:c>
      <x:c r="J13" s="6" t="str">
        <x:v>NIST-53: SC-7; AC-4</x:v>
      </x:c>
      <x:c r="K13" s="6" t="str">
        <x:v>SC-7; AC-4</x:v>
      </x:c>
      <x:c r="L13" s="6" t="str">
        <x:v>1 eski soru. Birleştirme İzini bu Kontrol ID ile süzün.</x:v>
      </x:c>
    </x:row>
    <x:row r="14" ht="70" customHeight="1">
      <x:c r="A14" s="6" t="str">
        <x:v>ESA-V01-03</x:v>
      </x:c>
      <x:c r="B14" s="6" t="str">
        <x:v>E-posta güvenliği</x:v>
      </x:c>
      <x:c r="C14" s="6" t="str">
        <x:v>SMTP routes, destination controls ve smarthost değişiklikleri yanlış yönlendirme/veri sızıntısını önleyecek onay ve testle yapılıyor mu?</x:v>
      </x:c>
      <x:c r="D14" s="6" t="str">
        <x:v>Domain doğru ve güvenli hedefe teslim edilir; fallback davranışı belgeli.</x:v>
      </x:c>
      <x:c r="E14" s="6" t="str">
        <x:v>Risk senaryosu (atıflı kontrol amacından denetçi değerlendirmesi): Yanlış route veya smarthost değişikliği müşteri postasını yetkisiz hedefe gönderebilir; teslim hatası ya da müşteri verisinin başka sisteme aktarılması oluşabilir.</x:v>
      </x:c>
      <x:c r="F14" s="6" t="str">
        <x:v>Routing config, change ve test mesajı</x:v>
      </x:c>
      <x:c r="G14" s="6" t="str">
        <x:v>Salt okunur sistem çıktısını onaylı rol, kapsam ve yapılandırma kaydıyla karşılaştır; ölçütteki her koşul için kanıt konumu ve ayrı alt sonucu kaydet. Yalnız görüşme veya ekran görüntüsüyle fiili işleyiş sonucunu kapatma.</x:v>
      </x:c>
      <x:c r="H14" s="6" t="str">
        <x:v>Kurulu ürün/dağıtım, müşteri sözleşmesi ve işlev desteği Kapsam kaydında doğrulanır. Yalnız e-posta güvenlik hizmeti sunulan müşterilerde uygulanır.</x:v>
      </x:c>
      <x:c r="I14" s="6" t="str">
        <x:v>Kurum için onaylı periyot/eşik gerekir; metindeki uygulama örnekleri NIST’in zorunlu ürün parametresi değildir. Üretimde değişiklik veya kesinti testi yapılmaz.</x:v>
      </x:c>
      <x:c r="J14" s="6" t="str">
        <x:v>NIST-53: SC-7; SI-8</x:v>
      </x:c>
      <x:c r="K14" s="6" t="str">
        <x:v>SC-7; SI-8</x:v>
      </x:c>
      <x:c r="L14" s="6" t="str">
        <x:v>1 eski soru. Birleştirme İzini bu Kontrol ID ile süzün.</x:v>
      </x:c>
    </x:row>
    <x:row r="15" ht="85" customHeight="1">
      <x:c r="A15" s="6" t="str">
        <x:v>ESA-V01-04</x:v>
      </x:c>
      <x:c r="B15" s="6" t="str">
        <x:v>E-posta güvenliği</x:v>
      </x:c>
      <x:c r="C15" s="6" t="str">
        <x:v>Bounce profile, recipient validation ve directory harvest koruması backscatter ve kullanıcı keşfini sınırlar mı?</x:v>
      </x:c>
      <x:c r="D15" s="6" t="str">
        <x:v>Geçersiz alıcı davranışı bilgi sızdırmaz ve geri yansıma üretmez.</x:v>
      </x:c>
      <x:c r="E15" s="6" t="str">
        <x:v>Risk senaryosu (atıflı kontrol amacından denetçi değerlendirmesi): Alıcı doğrulama ve bounce davranışı kontrol edilmezse adres keşfi kolaylaşabilir veya sahte göndericiye üretilen geri bildirimler kurumun istenmeyen posta kaynağı görünmesine yol açabilir.</x:v>
      </x:c>
      <x:c r="F15" s="6" t="str">
        <x:v>Bounce/LDAP acceptance/HAT config ve test</x:v>
      </x:c>
      <x:c r="G15" s="6" t="str">
        <x:v>Salt okunur sistem çıktısını onaylı rol, kapsam ve yapılandırma kaydıyla karşılaştır; ölçütteki her koşul için kanıt konumu ve ayrı alt sonucu kaydet. Yalnız görüşme veya ekran görüntüsüyle fiili işleyiş sonucunu kapatma.</x:v>
      </x:c>
      <x:c r="H15" s="6" t="str">
        <x:v>Kurulu ürün/dağıtım, müşteri sözleşmesi ve işlev desteği Kapsam kaydında doğrulanır. Yalnız e-posta güvenlik hizmeti sunulan müşterilerde uygulanır.</x:v>
      </x:c>
      <x:c r="I15" s="6" t="str">
        <x:v>Kurum için onaylı periyot/eşik gerekir; metindeki uygulama örnekleri NIST’in zorunlu ürün parametresi değildir. Üretimde değişiklik veya kesinti testi yapılmaz.</x:v>
      </x:c>
      <x:c r="J15" s="6" t="str">
        <x:v>NIST-53: SC-7; SI-8</x:v>
      </x:c>
      <x:c r="K15" s="6" t="str">
        <x:v>SC-7; SI-8</x:v>
      </x:c>
      <x:c r="L15" s="6" t="str">
        <x:v>1 eski soru. Birleştirme İzini bu Kontrol ID ile süzün.</x:v>
      </x:c>
    </x:row>
    <x:row r="16" ht="70" customHeight="1">
      <x:c r="A16" s="6" t="str">
        <x:v>ESA-V05-01</x:v>
      </x:c>
      <x:c r="B16" s="6" t="str">
        <x:v>E-posta güvenliği</x:v>
      </x:c>
      <x:c r="C16" s="6" t="str">
        <x:v>Anti-spam, antivirus, outbreak ve file reputation servisleri tüm gerekli listener/policy akışlarında aktif ve güncel mi?</x:v>
      </x:c>
      <x:c r="D16" s="6" t="str">
        <x:v>Korumasız akış yoktur; update/licence sorunu alarm üretir.</x:v>
      </x:c>
      <x:c r="E16" s="6" t="str">
        <x:v>Risk senaryosu (atıflı kontrol amacından denetçi değerlendirmesi): Gerekli posta akışında tarama servisi kapalı veya güncel değilse diğer akışlar korunuyor görünürken zararlı ek ve spam ilgili müşteri posta kutusuna ulaşabilir.</x:v>
      </x:c>
      <x:c r="F16" s="6" t="str">
        <x:v>Security service status ve policy mapping</x:v>
      </x:c>
      <x:c r="G16" s="6" t="str">
        <x:v>Salt okunur sistem çıktısını onaylı rol, kapsam ve yapılandırma kaydıyla karşılaştır; ölçütteki her koşul için kanıt konumu ve ayrı alt sonucu kaydet. Yalnız görüşme veya ekran görüntüsüyle fiili işleyiş sonucunu kapatma.</x:v>
      </x:c>
      <x:c r="H16" s="6" t="str">
        <x:v>Kurulu ürün/dağıtım, müşteri sözleşmesi ve işlev desteği Kapsam kaydında doğrulanır. Yalnız e-posta güvenlik hizmeti sunulan müşterilerde uygulanır.</x:v>
      </x:c>
      <x:c r="I16" s="6" t="str">
        <x:v>Kurum için onaylı periyot/eşik gerekir; metindeki uygulama örnekleri NIST’in zorunlu ürün parametresi değildir. Üretimde değişiklik veya kesinti testi yapılmaz.</x:v>
      </x:c>
      <x:c r="J16" s="6" t="str">
        <x:v>NIST-53: SI-3; SI-8</x:v>
      </x:c>
      <x:c r="K16" s="6" t="str">
        <x:v>SI-3; SI-8</x:v>
      </x:c>
      <x:c r="L16" s="6" t="str">
        <x:v>1 eski soru. Birleştirme İzini bu Kontrol ID ile süzün.</x:v>
      </x:c>
    </x:row>
    <x:row r="17" ht="70" customHeight="1">
      <x:c r="A17" s="6" t="str">
        <x:v>ESA-V05-03</x:v>
      </x:c>
      <x:c r="B17" s="6" t="str">
        <x:v>E-posta güvenliği</x:v>
      </x:c>
      <x:c r="C17" s="6" t="str">
        <x:v>Allowlist, safelist, bypass ve trusted sender istisnaları kapsam, sahip ve bitiş tarihiyle yönetiliyor mu?</x:v>
      </x:c>
      <x:c r="D17" s="6" t="str">
        <x:v>Geniş domain/IP veya güvenlik servislerini atlayan süresiz istisna yoktur.</x:v>
      </x:c>
      <x:c r="E17" s="6" t="str">
        <x:v>Risk senaryosu (atıflı kontrol amacından denetçi değerlendirmesi): Geniş güvenilir gönderici veya bypass istisnası gerekli taramayı atlatırsa ele geçirilmiş ya da taklit edilen izinli kaynaktan gelen zararlı içerik denetlenmeden geçebilir.</x:v>
      </x:c>
      <x:c r="F17" s="6" t="str">
        <x:v>Allow/block/bypass listesi ve onaylar</x:v>
      </x:c>
      <x:c r="G17" s="6" t="str">
        <x:v>Salt okunur sistem çıktısını onaylı rol, kapsam ve yapılandırma kaydıyla karşılaştır; ölçütteki her koşul için kanıt konumu ve ayrı alt sonucu kaydet. Yalnız görüşme veya ekran görüntüsüyle fiili işleyiş sonucunu kapatma.</x:v>
      </x:c>
      <x:c r="H17" s="6" t="str">
        <x:v>Kurulu ürün/dağıtım, müşteri sözleşmesi ve işlev desteği Kapsam kaydında doğrulanır. Yalnız e-posta güvenlik hizmeti sunulan müşterilerde uygulanır.</x:v>
      </x:c>
      <x:c r="I17" s="6" t="str">
        <x:v>Kurum için onaylı periyot/eşik gerekir; metindeki uygulama örnekleri NIST’in zorunlu ürün parametresi değildir. Üretimde değişiklik veya kesinti testi yapılmaz.</x:v>
      </x:c>
      <x:c r="J17" s="6" t="str">
        <x:v>NIST-53: SI-3; CM-7</x:v>
      </x:c>
      <x:c r="K17" s="6" t="str">
        <x:v>SI-3; CM-7</x:v>
      </x:c>
      <x:c r="L17" s="6" t="str">
        <x:v>1 eski soru. Birleştirme İzini bu Kontrol ID ile süzün.</x:v>
      </x:c>
    </x:row>
    <x:row r="18" ht="70" customHeight="1">
      <x:c r="A18" s="6" t="str">
        <x:v>ESA-V06-04</x:v>
      </x:c>
      <x:c r="B18" s="6" t="str">
        <x:v>Veri koruma ve gizlilik</x:v>
      </x:c>
      <x:c r="C18" s="6" t="str">
        <x:v>Header, message tracking ve loglarda hassas veri minimizasyonu ve erişim sınırı uygulanıyor mu?</x:v>
      </x:c>
      <x:c r="D18" s="6" t="str">
        <x:v>Gereksiz message body/credential/token loglanmaz; erişim görev bazlıdır.</x:v>
      </x:c>
      <x:c r="E18" s="6" t="str">
        <x:v>Veri sızıntısı, karantina ve müşteri verisi izolasyonu yeterli değilse, müşteri verisi yanlış yetkilendirme, kayıt, destek veya dışa aktarım süreçlerinde yetkisiz kişilere açılabilir.</x:v>
      </x:c>
      <x:c r="F18" s="6" t="str">
        <x:v>Log subscription, tracking role ve örnek kayıt</x:v>
      </x:c>
      <x:c r="G18" s="6" t="str">
        <x:v>Salt okunur sistem çıktısını onaylı rol, kapsam ve yapılandırma kaydıyla karşılaştır; ölçütteki her koşul için kanıt konumu ve ayrı alt sonucu kaydet. Yalnız görüşme veya ekran görüntüsüyle fiili işleyiş sonucunu kapatma.</x:v>
      </x:c>
      <x:c r="H18" s="6" t="str">
        <x:v>Kurulu ürün/dağıtım, müşteri sözleşmesi ve işlev desteği Kapsam kaydında doğrulanır. Müşteri verisi işlenmeyen bileşenlerde gerekçeli olarak daraltılabilir.</x:v>
      </x:c>
      <x:c r="I18" s="6" t="str">
        <x:v>Kurum için onaylı periyot/eşik gerekir; metindeki uygulama örnekleri NIST’in zorunlu ürün parametresi değildir. Üretimde değişiklik veya kesinti testi yapılmaz.</x:v>
      </x:c>
      <x:c r="J18" s="6" t="str">
        <x:v>NIST-53: SI-12; PT-3</x:v>
      </x:c>
      <x:c r="K18" s="6" t="str">
        <x:v>SI-12; PT-3</x:v>
      </x:c>
      <x:c r="L18" s="6" t="str">
        <x:v>1 eski soru. Birleştirme İzini bu Kontrol ID ile süzün.</x:v>
      </x:c>
    </x:row>
    <x:row r="19" ht="70" customHeight="1">
      <x:c r="A19" s="6" t="str">
        <x:v>ESA-V07-02</x:v>
      </x:c>
      <x:c r="B19" s="6" t="str">
        <x:v>Güvenlik ve hizmet izleme</x:v>
      </x:c>
      <x:c r="C19" s="6" t="str">
        <x:v>Queue, listener, update, certificate, disk, cluster ve log subscription sağlık sorunları alarm üretiyor mu?</x:v>
      </x:c>
      <x:c r="D19" s="6" t="str">
        <x:v>Kontrollü/geçmiş hata tanımlı SLA’da bildirilir.</x:v>
      </x:c>
      <x:c r="E19" s="6" t="str">
        <x:v>Risk senaryosu (atıflı kontrol amacından denetçi değerlendirmesi): Kuyruk, disk, lisanslı güncelleme veya küme arızası alarm üretmezse posta teslimi ya da güvenlik taraması bozulduğu halde müdahale başlamayabilir.</x:v>
      </x:c>
      <x:c r="F19" s="6" t="str">
        <x:v>Alert config ve olay kayıtları</x:v>
      </x:c>
      <x:c r="G19" s="6" t="str">
        <x:v>Salt okunur sistem çıktısını onaylı rol, kapsam ve yapılandırma kaydıyla karşılaştır; ölçütteki her koşul için kanıt konumu ve ayrı alt sonucu kaydet. Yalnız görüşme veya ekran görüntüsüyle fiili işleyiş sonucunu kapatma.</x:v>
      </x:c>
      <x:c r="H19" s="6" t="str">
        <x:v>Kurulu ürün/dağıtım, müşteri sözleşmesi ve işlev desteği Kapsam kaydında doğrulanır. Tüm hizmetlerde uygulanır; ürün alan bazlı kayıt üretemiyorsa telafi edici kontrol ve gerekçe aranır.</x:v>
      </x:c>
      <x:c r="I19" s="6" t="str">
        <x:v>Kurum için onaylı periyot/eşik gerekir; metindeki uygulama örnekleri NIST’in zorunlu ürün parametresi değildir. Üretimde değişiklik veya kesinti testi yapılmaz.</x:v>
      </x:c>
      <x:c r="J19" s="6" t="str">
        <x:v>NIST-53: SI-4; CA-7</x:v>
      </x:c>
      <x:c r="K19" s="6" t="str">
        <x:v>SI-4; CA-7</x:v>
      </x:c>
      <x:c r="L19" s="6" t="str">
        <x:v>1 eski soru. Birleştirme İzini bu Kontrol ID ile süzün.</x:v>
      </x:c>
    </x:row>
    <x:row r="20" ht="70" customHeight="1">
      <x:c r="A20" s="6" t="str">
        <x:v>ESA-V08-01</x:v>
      </x:c>
      <x:c r="B20" s="6" t="str">
        <x:v>Güvenli yapılandırma</x:v>
      </x:c>
      <x:c r="C20" s="6" t="str">
        <x:v>ESA cluster/machine/group ayarları tutarlı; müşteri politikası yanlış seviyede paylaşılıp başka tenantı etkilemiyor mu?</x:v>
      </x:c>
      <x:c r="D20" s="6" t="str">
        <x:v>Global/group/machine kapsamı belgeli; tenant etkisi test edilmiştir.</x:v>
      </x:c>
      <x:c r="E20" s="6" t="str">
        <x:v>Risk senaryosu (atıflı kontrol amacından denetçi değerlendirmesi): Yanlış cluster/group seviyesinde paylaşılan ayar başka müşterinin posta politikasını değiştirebilir; yerel istisna ise beklenen ortak güvenliği devre dışı bırakabilir.</x:v>
      </x:c>
      <x:c r="F20" s="6" t="str">
        <x:v>Cluster config ve policy inheritance incelemesi</x:v>
      </x:c>
      <x:c r="G20" s="6" t="str">
        <x:v>Salt okunur sistem çıktısını onaylı rol, kapsam ve yapılandırma kaydıyla karşılaştır; ölçütteki her koşul için kanıt konumu ve ayrı alt sonucu kaydet. Yalnız görüşme veya ekran görüntüsüyle fiili işleyiş sonucunu kapatma.</x:v>
      </x:c>
      <x:c r="H20" s="6" t="str">
        <x:v>Kurulu ürün/dağıtım, müşteri sözleşmesi ve işlev desteği Kapsam kaydında doğrulanır. Ürün ve sürüme uygun benchmark yoksa üretici kılavuzu ve kurum esası kullanılır; gerekçe yazılır.</x:v>
      </x:c>
      <x:c r="I20" s="6" t="str">
        <x:v>Kurum için onaylı periyot/eşik gerekir; metindeki uygulama örnekleri NIST’in zorunlu ürün parametresi değildir. Üretimde değişiklik veya kesinti testi yapılmaz.</x:v>
      </x:c>
      <x:c r="J20" s="6" t="str">
        <x:v>NIST-53: CM-2; CM-6</x:v>
      </x:c>
      <x:c r="K20" s="6" t="str">
        <x:v>CM-2; CM-6</x:v>
      </x:c>
      <x:c r="L20" s="6" t="str">
        <x:v>1 eski soru. Birleştirme İzini bu Kontrol ID ile süzün.</x:v>
      </x:c>
    </x:row>
    <x:row r="21" ht="85" customHeight="1">
      <x:c r="A21" s="6" t="str">
        <x:v>ESA-V08-03</x:v>
      </x:c>
      <x:c r="B21" s="6" t="str">
        <x:v>Yedekleme ve geri dönüş</x:v>
      </x:c>
      <x:c r="C21" s="6" t="str">
        <x:v>ESA/SMA yapılandırma, sertifika, key ve quarantine/trace bağımlılıkları şifreli yedek ve restore testinde mi?</x:v>
      </x:c>
      <x:c r="D21" s="6" t="str">
        <x:v>Cihaz kaybında mail güvenlik politikaları ve kritik anahtarlar güvenli geri gelir.</x:v>
      </x:c>
      <x:c r="E21" s="6" t="str">
        <x:v>Risk senaryosu (atıflı kontrol amacından denetçi değerlendirmesi): Sertifika, anahtar ve yapılandırma bağımlılıkları güvenli geri dönüş kapsamına alınmazsa cihaz yeniden kurulduğunda şifreli iletişim, yönlendirme veya karantina erişimi geri getirilemeyebilir.</x:v>
      </x:c>
      <x:c r="F21" s="6" t="str">
        <x:v>Config backup ve restore testi</x:v>
      </x:c>
      <x:c r="G21" s="6" t="str">
        <x:v>Salt okunur sistem çıktısını onaylı rol, kapsam ve yapılandırma kaydıyla karşılaştır; ölçütteki her koşul için kanıt konumu ve ayrı alt sonucu kaydet. Yalnız görüşme veya ekran görüntüsüyle fiili işleyiş sonucunu kapatma.</x:v>
      </x:c>
      <x:c r="H21" s="6" t="str">
        <x:v>Kurulu ürün/dağıtım, müşteri sözleşmesi ve işlev desteği Kapsam kaydında doğrulanır. Ürün ve sürüme uygun benchmark yoksa üretici kılavuzu ve kurum esası kullanılır; gerekçe yazılır.</x:v>
      </x:c>
      <x:c r="I21" s="6" t="str">
        <x:v>Kurum için onaylı periyot/eşik gerekir; metindeki uygulama örnekleri NIST’in zorunlu ürün parametresi değildir. Üretimde değişiklik veya kesinti testi yapılmaz.</x:v>
      </x:c>
      <x:c r="J21" s="6" t="str">
        <x:v>NIST-53: CP-4; CP-10</x:v>
      </x:c>
      <x:c r="K21" s="6" t="str">
        <x:v>CP-4; CP-10</x:v>
      </x:c>
      <x:c r="L21" s="6" t="str">
        <x:v>1 eski soru. Birleştirme İzini bu Kontrol ID ile süzün.</x:v>
      </x:c>
    </x:row>
    <x:row r="22" ht="70" customHeight="1">
      <x:c r="A22" s="6" t="str">
        <x:v>ESA-V09-01</x:v>
      </x:c>
      <x:c r="B22" s="6" t="str">
        <x:v>Kapasite ve hizmet izolasyonu</x:v>
      </x:c>
      <x:c r="C22" s="6" t="str">
        <x:v>Mail queue, disk, connection, throughput ve karantina kapasitesi tenant/SLA etkisiyle izleniyor mu?</x:v>
      </x:c>
      <x:c r="D22" s="6" t="str">
        <x:v>Bir domain/tenant dalgası diğer müşterilerin teslimini kontrolsüz etkilemez.</x:v>
      </x:c>
      <x:c r="E22" s="6" t="str">
        <x:v>Posta kuyruğu, kapasite ve hizmet sürekliliği yeterli değilse, bir müşterinin kaynak tüketimi veya bir hizmet engelleme saldırısı diğer müşterilerin hizmetini kesintiye uğratabilir.</x:v>
      </x:c>
      <x:c r="F22" s="6" t="str">
        <x:v>Capacity dashboard ve load/incident kayıtları</x:v>
      </x:c>
      <x:c r="G22" s="6" t="str">
        <x:v>Salt okunur sistem çıktısını onaylı rol, kapsam ve yapılandırma kaydıyla karşılaştır; ölçütteki her koşul için kanıt konumu ve ayrı alt sonucu kaydet. Yalnız görüşme veya ekran görüntüsüyle fiili işleyiş sonucunu kapatma.</x:v>
      </x:c>
      <x:c r="H22" s="6" t="str">
        <x:v>Kurulu ürün/dağıtım, müşteri sözleşmesi ve işlev desteği Kapsam kaydında doğrulanır. Paylaşımlı kaynak kullanılmayan hizmetlerde gerekçeli olarak daraltılabilir.</x:v>
      </x:c>
      <x:c r="I22" s="6" t="str">
        <x:v>Kurum için onaylı periyot/eşik gerekir; metindeki uygulama örnekleri NIST’in zorunlu ürün parametresi değildir. Üretimde değişiklik veya kesinti testi yapılmaz.</x:v>
      </x:c>
      <x:c r="J22" s="6" t="str">
        <x:v>NIST-53: SC-6; SC-5</x:v>
      </x:c>
      <x:c r="K22" s="6" t="str">
        <x:v>SC-6; SC-5</x:v>
      </x:c>
      <x:c r="L22" s="6" t="str">
        <x:v>1 eski soru. Birleştirme İzini bu Kontrol ID ile süzün.</x:v>
      </x:c>
    </x:row>
  </x:sheetData>
  <x:pageMargins left="0.7" right="0.7" top="0.75" bottom="0.75" header="0.3" footer="0.3"/>
  <x:tableParts count="1">
    <x:tablePart xmlns:r="http://schemas.openxmlformats.org/officeDocument/2006/relationships" r:id="R552f33efde3b4c23"/>
  </x:tableParts>
</x:worksheet>
</file>

<file path=xl/worksheets/sheet2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Kong API Gateway</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KNG-007</x:v>
      </x:c>
      <x:c r="B6" s="6" t="str">
        <x:v>Admin API</x:v>
      </x:c>
      <x:c r="C6" s="6" t="str">
        <x:v>Kong Admin API yalnız kontrollü yönetim ağından erişilebilir mi?</x:v>
      </x:c>
      <x:c r="D6" s="6" t="str">
        <x:v>admin_listen ve ağ erişimi sınırlı; yetkisiz yönetim isteği reddedilmeli.</x:v>
      </x:c>
      <x:c r="E6" s="6" t="str">
        <x:v>Admin API'ye erişen kişi tüm API yönlendirme ve kimlik ayarlarını değiştirebilir.</x:v>
      </x:c>
      <x:c r="F6" s="6" t="str">
        <x:v>Kong config, listener ve ağ kuralları, yetkisiz istek sonucu.</x:v>
      </x:c>
      <x:c r="G6" s="6" t="str">
        <x:v>Tenant/dış ağdan yönetim uçlarına erişimi test et; proxy listener ile karıştırma.</x:v>
      </x:c>
      <x:c r="H6" s="6" t="str">
        <x:v>OSS/Enterprise/Konnect, deployment modu ve plugin sürümleri teyit edilmeli.</x:v>
      </x:c>
      <x:c r="I6" s="6" t="str">
        <x:v>Kurulu sürüm/dağıtımın özellik ve lisans desteği kanıtlanır. Test, salt okunur çıktı veya onaylı izole ortamla yürütülür.</x:v>
      </x:c>
      <x:c r="J6" s="6" t="str">
        <x:v>KONG-ADMIN: network layer restriction
NIST-53: SC-7; AC-3
BIGR: 4.3.1.7 | 4.3.1.7 — basılı s.165 / PDF 169</x:v>
      </x:c>
      <x:c r="K6" s="6" t="str">
        <x:v>SC-7; AC-3</x:v>
      </x:c>
      <x:c r="L6" s="6" t="str">
        <x:v>3 eski soru. Birleştirme İzini bu Kontrol ID ile süzün.</x:v>
      </x:c>
    </x:row>
    <x:row r="7" ht="55" customHeight="1">
      <x:c r="A7" s="6" t="str">
        <x:v>KNG-008</x:v>
      </x:c>
      <x:c r="B7" s="6" t="str">
        <x:v>RBAC</x:v>
      </x:c>
      <x:c r="C7" s="6" t="str">
        <x:v>Kong Manager kimlik doğrulaması yanında RBAC yetkilendirmesi de etkin mi?</x:v>
      </x:c>
      <x:c r="D7" s="6" t="str">
        <x:v>Enterprise için RBAC etkin ve rol hakları dar kapsamlı olmalı.</x:v>
      </x:c>
      <x:c r="E7" s="6" t="str">
        <x:v>Oturum açabilen herkes yönetim API'sinde geniş işlem yapabilir.</x:v>
      </x:c>
      <x:c r="F7" s="6" t="str">
        <x:v>RBAC ayarı, admin/role/endpoint permissions, negatif test.</x:v>
      </x:c>
      <x:c r="G7" s="6" t="str">
        <x:v>Düşük yetkili rolle değişiklik isteğinin reddini doğrula.</x:v>
      </x:c>
      <x:c r="H7" s="6" t="str">
        <x:v>Enterprise RBAC varsa; OSS için dış yetkilendirme/eşdeğer kontrol değerlendirilir.</x:v>
      </x:c>
      <x:c r="I7" s="6" t="str">
        <x:v>Kurulu sürüm/dağıtımın özellik ve lisans desteği kanıtlanır. Test, salt okunur çıktı veya onaylı izole ortamla yürütülür.</x:v>
      </x:c>
      <x:c r="J7" s="6" t="str">
        <x:v>KONG-RBAC: Kong Manager authentication
NIST-53: AC-3; AC-6
BIGR: 3.2.3 | 3.2.3 — bölüm başlangıcı; basılı s.91 / PDF 95</x:v>
      </x:c>
      <x:c r="K7" s="6" t="str">
        <x:v>AC-3; AC-6</x:v>
      </x:c>
      <x:c r="L7" s="6" t="str">
        <x:v>2 eski soru. Birleştirme İzini bu Kontrol ID ile süzün.</x:v>
      </x:c>
    </x:row>
    <x:row r="8" ht="55" customHeight="1">
      <x:c r="A8" s="6" t="str">
        <x:v>KNG-009</x:v>
      </x:c>
      <x:c r="B8" s="6" t="str">
        <x:v>Workspace izolasyonu</x:v>
      </x:c>
      <x:c r="C8" s="6" t="str">
        <x:v>Default workspace ve wildcard roller başka tenantlara yetki yayıyor mu?</x:v>
      </x:c>
      <x:c r="D8" s="6" t="str">
        <x:v>Workspace ve global permission birleşimi beklenen tenant sınırını aşmamalı.</x:v>
      </x:c>
      <x:c r="E8" s="6" t="str">
        <x:v>Varsayılan/global haklar workspace sınırını aşar.</x:v>
      </x:c>
      <x:c r="F8" s="6" t="str">
        <x:v>Workspace listesi, default rol izinleri, wildcard endpoint yetkileri.</x:v>
      </x:c>
      <x:c r="G8" s="6" t="str">
        <x:v>İki workspace hesabıyla çapraz erişimi test et; default/global rol kalıtımını kontrol et.</x:v>
      </x:c>
      <x:c r="H8" s="6" t="str">
        <x:v>Gateway Enterprise Workspaces varsa. Workspace kontrol düzlemi ayrımı ayrıca veri düzleminde test edilir.</x:v>
      </x:c>
      <x:c r="I8" s="6" t="str">
        <x:v>Kurulu sürüm/dağıtımın özellik ve lisans desteği kanıtlanır. Test, salt okunur çıktı veya onaylı izole ortamla yürütülür.</x:v>
      </x:c>
      <x:c r="J8" s="6" t="str">
        <x:v>KONG-RBAC: default workspace roles; KONG-WS: multi-tenancy
NIST-53: AC-3; SC-4
BIGR: 4.3.1.4 | 4.3.1.4 — basılı s.164 / PDF 168</x:v>
      </x:c>
      <x:c r="K8" s="6" t="str">
        <x:v>AC-3; SC-4</x:v>
      </x:c>
      <x:c r="L8" s="6" t="str">
        <x:v>2 eski soru. Birleştirme İzini bu Kontrol ID ile süzün.</x:v>
      </x:c>
    </x:row>
    <x:row r="9" ht="55" customHeight="1">
      <x:c r="A9" s="6" t="str">
        <x:v>KNG-010</x:v>
      </x:c>
      <x:c r="B9" s="6" t="str">
        <x:v>API kimliği</x:v>
      </x:c>
      <x:c r="C9" s="6" t="str">
        <x:v>Korunan route'larda geçersiz veya eksik kimlik bilgisi reddediliyor mu?</x:v>
      </x:c>
      <x:c r="D9" s="6" t="str">
        <x:v>Korunması gereken her route için etkin auth ve izinli tüketici kapsamı doğrulanmalı.</x:v>
      </x:c>
      <x:c r="E9" s="6" t="str">
        <x:v>Plugin bağlanmamış rota kimlik doğrulamayı atlatır.</x:v>
      </x:c>
      <x:c r="F9" s="6" t="str">
        <x:v>Service/route/plugin exportu, API sözleşmesi, test sonuçları.</x:v>
      </x:c>
      <x:c r="G9" s="6" t="str">
        <x:v>Kimliksiz, süresi dolmuş ve yetkili test kimliğiyle aynı route'u karşılaştır.</x:v>
      </x:c>
      <x:c r="H9" s="6" t="str">
        <x:v>OSS/Enterprise/Konnect, deployment modu ve plugin sürümleri teyit edilmeli.</x:v>
      </x:c>
      <x:c r="I9" s="6" t="str">
        <x:v>Kurulu sürüm/dağıtımın özellik ve lisans desteği kanıtlanır. Test, salt okunur çıktı veya onaylı izole ortamla yürütülür.</x:v>
      </x:c>
      <x:c r="J9" s="6" t="str">
        <x:v>NIST-53: IA-9, AC-3
NIST-53: IA-9; AC-3
BIGR: 3.2.1 | 3.2.1 — bölüm başlangıcı; basılı s.84 / PDF 88</x:v>
      </x:c>
      <x:c r="K9" s="6" t="str">
        <x:v>IA-9; AC-3</x:v>
      </x:c>
      <x:c r="L9" s="6" t="str">
        <x:v>2 eski soru. Birleştirme İzini bu Kontrol ID ile süzün.</x:v>
      </x:c>
    </x:row>
    <x:row r="10" ht="55" customHeight="1">
      <x:c r="A10" s="6" t="str">
        <x:v>KNG-011</x:v>
      </x:c>
      <x:c r="B10" s="6" t="str">
        <x:v>Nesne yetkisi</x:v>
      </x:c>
      <x:c r="C10" s="6" t="str">
        <x:v>API arka ucu tenant ve nesne yetkisini ayrıca doğruluyor mu?</x:v>
      </x:c>
      <x:c r="D10" s="6" t="str">
        <x:v>Gateway kimliği, arka uç nesne/tenant yetkisiyle tamamlanmalı.</x:v>
      </x:c>
      <x:c r="E10" s="6" t="str">
        <x:v>Geçerli token sahibi başka müşterinin nesne kimliğini kullanabilir.</x:v>
      </x:c>
      <x:c r="F10" s="6" t="str">
        <x:v>API yetki tasarımı, test tenantları, istek/yanıt ve uygulama logu.</x:v>
      </x:c>
      <x:c r="G10" s="6" t="str">
        <x:v>Onaylı test nesnesine diğer tenant kimliğiyle erişimin reddini doğrula.</x:v>
      </x:c>
      <x:c r="H10" s="6" t="str">
        <x:v>OSS/Enterprise/Konnect, deployment modu ve plugin sürümleri teyit edilmeli.</x:v>
      </x:c>
      <x:c r="I10" s="6" t="str">
        <x:v>Kurulu sürüm/dağıtımın özellik ve lisans desteği kanıtlanır. Test, salt okunur çıktı veya onaylı izole ortamla yürütülür.</x:v>
      </x:c>
      <x:c r="J10" s="6" t="str">
        <x:v>NIST-53: AC-3
NIST-53: AC-3; AC-4
BIGR: 3.2.3 | 3.2.3 — bölüm başlangıcı; basılı s.91 / PDF 95</x:v>
      </x:c>
      <x:c r="K10" s="6" t="str">
        <x:v>AC-3; AC-4</x:v>
      </x:c>
      <x:c r="L10" s="6" t="str">
        <x:v>2 eski soru. Birleştirme İzini bu Kontrol ID ile süzün.</x:v>
      </x:c>
    </x:row>
    <x:row r="11" ht="55" customHeight="1">
      <x:c r="A11" s="6" t="str">
        <x:v>KNG-012</x:v>
      </x:c>
      <x:c r="B11" s="6" t="str">
        <x:v>Trafik sınırı</x:v>
      </x:c>
      <x:c r="C11" s="6" t="str">
        <x:v>Rate limit ve istek boyutu sınırları tüketici/tenant etkisini sınırlıyor mu?</x:v>
      </x:c>
      <x:c r="D11" s="6" t="str">
        <x:v>Limitler hizmet hedefleriyle tanımlı ve etkin plugin/arka uç davranışıyla doğrulanmış olmalı.</x:v>
      </x:c>
      <x:c r="E11" s="6" t="str">
        <x:v>Tek tüketici veri düzlemini veya arka uç kapasitesini tüketir.</x:v>
      </x:c>
      <x:c r="F11" s="6" t="str">
        <x:v>Rate limit ayarları, paylaşılmış sayaç bağımlılıkları, yük testi.</x:v>
      </x:c>
      <x:c r="G11" s="6" t="str">
        <x:v>Kontrollü limit aşımında bir tenantın sınırlandığını ve diğerinin devam ettiğini doğrula.</x:v>
      </x:c>
      <x:c r="H11" s="6" t="str">
        <x:v>OSS/Enterprise/Konnect, deployment modu ve plugin sürümleri teyit edilmeli.</x:v>
      </x:c>
      <x:c r="I11" s="6" t="str">
        <x:v>Kurulu sürüm/dağıtımın özellik ve lisans desteği kanıtlanır. Test, salt okunur çıktı veya onaylı izole ortamla yürütülür.</x:v>
      </x:c>
      <x:c r="J11" s="6" t="str">
        <x:v>NIST-53: SC-5
NIST-53: SC-5; SC-6
BIGR: 4.3.1.7 | 4.3.1.7 — basılı s.165 / PDF 169</x:v>
      </x:c>
      <x:c r="K11" s="6" t="str">
        <x:v>SC-5; SC-6</x:v>
      </x:c>
      <x:c r="L11" s="6" t="str">
        <x:v>2 eski soru. Birleştirme İzini bu Kontrol ID ile süzün.</x:v>
      </x:c>
    </x:row>
    <x:row r="12" ht="55" customHeight="1">
      <x:c r="A12" s="6" t="str">
        <x:v>KNG-013</x:v>
      </x:c>
      <x:c r="B12" s="6" t="str">
        <x:v>TLS ve sırlar</x:v>
      </x:c>
      <x:c r="C12" s="6" t="str">
        <x:v>İstemci-gateway ve gateway-arka uç kanalları ile API sırları korunuyor mu?</x:v>
      </x:c>
      <x:c r="D12" s="6" t="str">
        <x:v>Her hassas kanal şifreli ve karşı uç doğrulaması açık; sırlar düz metin exportlarda bulunmamalı.</x:v>
      </x:c>
      <x:c r="E12" s="6" t="str">
        <x:v>Yalnız dış TLS iç ağda token/veri sızıntısını engellemez.</x:v>
      </x:c>
      <x:c r="F12" s="6" t="str">
        <x:v>TLS/mTLS ayarları, sertifika, secret store erişimi, maskelenmiş config.</x:v>
      </x:c>
      <x:c r="G12" s="6" t="str">
        <x:v>Her iki bağlantı bacağında sertifika ve secret erişim yetkisini kontrol et.</x:v>
      </x:c>
      <x:c r="H12" s="6" t="str">
        <x:v>OSS/Enterprise/Konnect, deployment modu ve plugin sürümleri teyit edilmeli.</x:v>
      </x:c>
      <x:c r="I12" s="6" t="str">
        <x:v>Kurulu sürüm/dağıtımın özellik ve lisans desteği kanıtlanır. Test, salt okunur çıktı veya onaylı izole ortamla yürütülür.</x:v>
      </x:c>
      <x:c r="J12" s="6" t="str">
        <x:v>KONG-SEC: security; NIST-53: SC-8
NIST-53: SC-8; IA-5
BIGR: 3.2.9 | 3.2.9 — bölüm başlangıcı; basılı s.106 / PDF 110</x:v>
      </x:c>
      <x:c r="K12" s="6" t="str">
        <x:v>SC-8; IA-5</x:v>
      </x:c>
      <x:c r="L12" s="6" t="str">
        <x:v>2 eski soru. Birleştirme İzini bu Kontrol ID ile süzün.</x:v>
      </x:c>
    </x:row>
    <x:row r="13" ht="55" customHeight="1">
      <x:c r="A13" s="6" t="str">
        <x:v>KNG-014</x:v>
      </x:c>
      <x:c r="B13" s="6" t="str">
        <x:v>Dağıtım güvenliği</x:v>
      </x:c>
      <x:c r="C13" s="6" t="str">
        <x:v>Gateway konfigürasyonu ve plugin değişiklikleri doğrulanıp geri alınabiliyor mu?</x:v>
      </x:c>
      <x:c r="D13" s="6" t="str">
        <x:v>Versiyonlu config, onay, test ve rollback kanıtı olmalı.</x:v>
      </x:c>
      <x:c r="E13" s="6" t="str">
        <x:v>Yanlış route/plugin yayımı tüm API hizmetlerini bozar.</x:v>
      </x:c>
      <x:c r="F13" s="6" t="str">
        <x:v>Config repository/decK exportu, dağıtım kaydı, rollback testi.</x:v>
      </x:c>
      <x:c r="G13" s="6" t="str">
        <x:v>Bir route değişikliğini kaynak sürümden tüm veri düzlemi düğümlerine kadar izle.</x:v>
      </x:c>
      <x:c r="H13" s="6" t="str">
        <x:v>OSS/Enterprise/Konnect, deployment modu ve plugin sürümleri teyit edilmeli.</x:v>
      </x:c>
      <x:c r="I13" s="6" t="str">
        <x:v>Kurulu sürüm/dağıtımın özellik ve lisans desteği kanıtlanır. Test, salt okunur çıktı veya onaylı izole ortamla yürütülür.</x:v>
      </x:c>
      <x:c r="J13" s="6" t="str">
        <x:v>NIST-53: CM-3
NIST-53: CM-3; SI-7
BIGR: 3.2.5 | 3.2.5 — bölüm başlangıcı; basılı s.95 / PDF 99</x:v>
      </x:c>
      <x:c r="K13" s="6" t="str">
        <x:v>CM-3; SI-7</x:v>
      </x:c>
      <x:c r="L13" s="6" t="str">
        <x:v>2 eski soru. Birleştirme İzini bu Kontrol ID ile süzün.</x:v>
      </x:c>
    </x:row>
    <x:row r="14" ht="70" customHeight="1">
      <x:c r="A14" s="6" t="str">
        <x:v>KNG-V02-02</x:v>
      </x:c>
      <x:c r="B14" s="6" t="str">
        <x:v>Müşteri/tenant izolasyonu</x:v>
      </x:c>
      <x:c r="C14" s="6" t="str">
        <x:v>Upstream target ve service eşleşmeleri workspace/tenant karışıklığıyla başka müşteri backendine yönlendirmiyor mu?</x:v>
      </x:c>
      <x:c r="D14" s="6" t="str">
        <x:v>Host/path/SNI çakışmasıyla çapraz tenant yönlendirme gerçekleşmez.</x:v>
      </x:c>
      <x:c r="E14" s="6" t="str">
        <x:v>Çalışma alanı ve arka uç sistem izolasyonu yeterli değilse, bir müşteri diğerinin verisine, yönetim nesnesine veya hizmet kaynağına erişebilir.</x:v>
      </x:c>
      <x:c r="F14" s="6" t="str">
        <x:v>Route-service-upstream-target matrisi ve test</x:v>
      </x:c>
      <x:c r="G14" s="6" t="str">
        <x:v>Salt okunur sistem çıktısını onaylı rol, kapsam ve yapılandırma kaydıyla karşılaştır; ölçütteki her koşul için kanıt konumu ve ayrı alt sonucu kaydet. Yalnız görüşme veya ekran görüntüsüyle fiili işleyiş sonucunu kapatma.</x:v>
      </x:c>
      <x:c r="H14" s="6" t="str">
        <x:v>Kurulu ürün/dağıtım, müşteri sözleşmesi ve işlev desteği Kapsam kaydında doğrulanır. Yalnız tek müşteriye tahsis edilmiş (dedicated) hizmetlerde gerekçeli olarak daraltılabilir.</x:v>
      </x:c>
      <x:c r="I14" s="6" t="str">
        <x:v>Kurum için onaylı periyot/eşik gerekir; metindeki uygulama örnekleri NIST’in zorunlu ürün parametresi değildir. Üretimde değişiklik veya kesinti testi yapılmaz.</x:v>
      </x:c>
      <x:c r="J14" s="6" t="str">
        <x:v>NIST-53: SC-7; AC-4</x:v>
      </x:c>
      <x:c r="K14" s="6" t="str">
        <x:v>SC-7; AC-4</x:v>
      </x:c>
      <x:c r="L14" s="6" t="str">
        <x:v>1 eski soru. Birleştirme İzini bu Kontrol ID ile süzün.</x:v>
      </x:c>
    </x:row>
    <x:row r="15" ht="70" customHeight="1">
      <x:c r="A15" s="6" t="str">
        <x:v>KNG-V05-01</x:v>
      </x:c>
      <x:c r="B15" s="6" t="str">
        <x:v>Kriptografi ve sertifika</x:v>
      </x:c>
      <x:c r="C15" s="6" t="str">
        <x:v>Hybrid Control Plane–Data Plane iletişimi kimliği doğrulanmış TLS ile korunuyor mu?</x:v>
      </x:c>
      <x:c r="D15" s="6" t="str">
        <x:v>Yalnız hybrid dağıtım varsa CP/DP sertifika güveni ve yenileme süreci doğrulanmalı; bu soru DB-less/traditional modelde aynı bağlantıyı varsaymaz.</x:v>
      </x:c>
      <x:c r="E15" s="6" t="str">
        <x:v>Risk senaryosu (atıflı kontrol amacından denetçi değerlendirmesi): Control Plane ile Data Plane birbirini doğrulamadan iletişim kurarsa yetkisiz uç nokta yapılandırma dağıtımına katılabilir veya aktarılan yapılandırma açığa çıkabilir.</x:v>
      </x:c>
      <x:c r="F15" s="6" t="str">
        <x:v>Cluster mTLS config ve certificate inventory</x:v>
      </x:c>
      <x:c r="G15" s="6" t="str">
        <x:v>Salt okunur sistem çıktısını onaylı rol, kapsam ve yapılandırma kaydıyla karşılaştır; ölçütteki her koşul için kanıt konumu ve ayrı alt sonucu kaydet. Yalnız görüşme veya ekran görüntüsüyle fiili işleyiş sonucunu kapatma.</x:v>
      </x:c>
      <x:c r="H15" s="6" t="str">
        <x:v>Kurulu ürün/dağıtım, müşteri sözleşmesi ve işlev desteği Kapsam kaydında doğrulanır. Tüm hizmetlerde uygulanır; ürün donanım anahtar modülü desteklemiyorsa gerekçe ve telafi kontrolü aranır.</x:v>
      </x:c>
      <x:c r="I15" s="6" t="str">
        <x:v>Kurum için onaylı periyot/eşik gerekir; metindeki uygulama örnekleri NIST’in zorunlu ürün parametresi değildir. Üretimde değişiklik veya kesinti testi yapılmaz.</x:v>
      </x:c>
      <x:c r="J15" s="6" t="str">
        <x:v>NIST-53: SC-8; IA-3</x:v>
      </x:c>
      <x:c r="K15" s="6" t="str">
        <x:v>SC-8; IA-3</x:v>
      </x:c>
      <x:c r="L15" s="6" t="str">
        <x:v>1 eski soru. Birleştirme İzini bu Kontrol ID ile süzün.</x:v>
      </x:c>
    </x:row>
    <x:row r="16" ht="70" customHeight="1">
      <x:c r="A16" s="6" t="str">
        <x:v>KNG-V05-03</x:v>
      </x:c>
      <x:c r="B16" s="6" t="str">
        <x:v>Kriptografi ve sertifika</x:v>
      </x:c>
      <x:c r="C16" s="6" t="str">
        <x:v>İstemci mTLS gereken API’lerde sertifika yetkisi doğru uygulanıyor mu?</x:v>
      </x:c>
      <x:c r="D16" s="6" t="str">
        <x:v>İş gereksinimi ve kurulu plugin desteği varsa istemci sertifikası consumer/tenant kapsamıyla eşleştirilmeli; yetkisiz sertifika reddedilmeli.</x:v>
      </x:c>
      <x:c r="E16" s="6" t="str">
        <x:v>Risk senaryosu (atıflı kontrol amacından denetçi değerlendirmesi): mTLS istemci sertifikası API erişim yetkisiyle doğru ilişkilendirilmezse güvenilen bir sertifikası olan fakat ilgili hizmete yetkisi olmayan istemci kabul edilebilir.</x:v>
      </x:c>
      <x:c r="F16" s="6" t="str">
        <x:v>mTLS auth config, CA/CRL ve test çağrıları</x:v>
      </x:c>
      <x:c r="G16" s="6" t="str">
        <x:v>Salt okunur sistem çıktısını onaylı rol, kapsam ve yapılandırma kaydıyla karşılaştır; ölçütteki her koşul için kanıt konumu ve ayrı alt sonucu kaydet. Yalnız görüşme veya ekran görüntüsüyle fiili işleyiş sonucunu kapatma.</x:v>
      </x:c>
      <x:c r="H16" s="6" t="str">
        <x:v>Kurulu ürün/dağıtım, müşteri sözleşmesi ve işlev desteği Kapsam kaydında doğrulanır. Tüm hizmetlerde uygulanır; ürün donanım anahtar modülü desteklemiyorsa gerekçe ve telafi kontrolü aranır.</x:v>
      </x:c>
      <x:c r="I16" s="6" t="str">
        <x:v>Kurum için onaylı periyot/eşik gerekir; metindeki uygulama örnekleri NIST’in zorunlu ürün parametresi değildir. Üretimde değişiklik veya kesinti testi yapılmaz.</x:v>
      </x:c>
      <x:c r="J16" s="6" t="str">
        <x:v>NIST-53: IA-9; AC-3</x:v>
      </x:c>
      <x:c r="K16" s="6" t="str">
        <x:v>IA-9; AC-3</x:v>
      </x:c>
      <x:c r="L16" s="6" t="str">
        <x:v>1 eski soru. Birleştirme İzini bu Kontrol ID ile süzün.</x:v>
      </x:c>
    </x:row>
    <x:row r="17" ht="85" customHeight="1">
      <x:c r="A17" s="6" t="str">
        <x:v>KNG-V06-01</x:v>
      </x:c>
      <x:c r="B17" s="6" t="str">
        <x:v>Kimlik ve erişim yönetimi</x:v>
      </x:c>
      <x:c r="C17" s="6" t="str">
        <x:v>Kullanılan token türünün gerekli doğrulamaları uygulanıyor mu?</x:v>
      </x:c>
      <x:c r="D17" s="6" t="str">
        <x:v>Seçilen kimlik protokolü/plugin için imza, izinli algoritma, issuer/audience ve süre doğrulaması gereksinimi tanımlanıp negatif test edilmeli. Nonce/jti her JWT için zorunlu veya her Kong plugininde yerleşik kabul edilmez; replay gereksinimi protokole göre kanıtlanır.</x:v>
      </x:c>
      <x:c r="E17" s="6" t="str">
        <x:v>Risk senaryosu (atıflı kontrol amacından denetçi değerlendirmesi): Kullanılan tokenın gereken imza, hedef, düzenleyen veya geçerlilik koşulları doğrulanmazsa değiştirilmiş, yanlış API için üretilmiş veya süresi geçmiş kimlik bilgisi kabul edilebilir.</x:v>
      </x:c>
      <x:c r="F17" s="6" t="str">
        <x:v>Auth plugin config ve negatif testler</x:v>
      </x:c>
      <x:c r="G17" s="6" t="str">
        <x:v>Salt okunur sistem çıktısını onaylı rol, kapsam ve yapılandırma kaydıyla karşılaştır; ölçütteki her koşul için kanıt konumu ve ayrı alt sonucu kaydet. Yalnız görüşme veya ekran görüntüsüyle fiili işleyiş sonucunu kapatma.</x:v>
      </x:c>
      <x:c r="H17" s="6" t="str">
        <x:v>Kurulu ürün/dağıtım, müşteri sözleşmesi ve işlev desteği Kapsam kaydında doğrulanır. Tüm hizmetlerde uygulanır; ürün merkezi kimliği desteklemiyorsa telafi edici kontrol aranır.</x:v>
      </x:c>
      <x:c r="I17" s="6" t="str">
        <x:v>Kurum için onaylı periyot/eşik gerekir; metindeki uygulama örnekleri NIST’in zorunlu ürün parametresi değildir. Üretimde değişiklik veya kesinti testi yapılmaz.</x:v>
      </x:c>
      <x:c r="J17" s="6" t="str">
        <x:v>NIST-53: IA-9; AC-3</x:v>
      </x:c>
      <x:c r="K17" s="6" t="str">
        <x:v>IA-9; AC-3</x:v>
      </x:c>
      <x:c r="L17" s="6" t="str">
        <x:v>1 eski soru. Birleştirme İzini bu Kontrol ID ile süzün.</x:v>
      </x:c>
    </x:row>
    <x:row r="18" ht="70" customHeight="1">
      <x:c r="A18" s="6" t="str">
        <x:v>KNG-V07-02</x:v>
      </x:c>
      <x:c r="B18" s="6" t="str">
        <x:v>Kapasite ve hizmet izolasyonu</x:v>
      </x:c>
      <x:c r="C18" s="6" t="str">
        <x:v>Dağıtık deploymentta rate-limit sayaç deposu tenant izolasyonunu ve tutarlı enforcementı koruyor mu?</x:v>
      </x:c>
      <x:c r="D18" s="6" t="str">
        <x:v>Node atlama veya anahtar çakışmasıyla limit bypass edilemez.</x:v>
      </x:c>
      <x:c r="E18" s="6" t="str">
        <x:v>Müşteri bazlı kota ve hız sınırlama yeterli değilse, bir müşterinin kaynak tüketimi veya bir hizmet engelleme saldırısı diğer müşterilerin hizmetini kesintiye uğratabilir.</x:v>
      </x:c>
      <x:c r="F18" s="6" t="str">
        <x:v>Plugin strategy/store config ve çok node testi</x:v>
      </x:c>
      <x:c r="G18" s="6" t="str">
        <x:v>Salt okunur sistem çıktısını onaylı rol, kapsam ve yapılandırma kaydıyla karşılaştır; ölçütteki her koşul için kanıt konumu ve ayrı alt sonucu kaydet. Yalnız görüşme veya ekran görüntüsüyle fiili işleyiş sonucunu kapatma.</x:v>
      </x:c>
      <x:c r="H18" s="6" t="str">
        <x:v>Kurulu ürün/dağıtım, müşteri sözleşmesi ve işlev desteği Kapsam kaydında doğrulanır. Paylaşımlı kaynak kullanılmayan hizmetlerde gerekçeli olarak daraltılabilir.</x:v>
      </x:c>
      <x:c r="I18" s="6" t="str">
        <x:v>Kurum için onaylı periyot/eşik gerekir; metindeki uygulama örnekleri NIST’in zorunlu ürün parametresi değildir. Üretimde değişiklik veya kesinti testi yapılmaz.</x:v>
      </x:c>
      <x:c r="J18" s="6" t="str">
        <x:v>NIST-53: SC-5</x:v>
      </x:c>
      <x:c r="K18" s="6" t="str">
        <x:v>SC-5</x:v>
      </x:c>
      <x:c r="L18" s="6" t="str">
        <x:v>1 eski soru. Birleştirme İzini bu Kontrol ID ile süzün.</x:v>
      </x:c>
    </x:row>
    <x:row r="19" ht="85" customHeight="1">
      <x:c r="A19" s="6" t="str">
        <x:v>KNG-V08-01</x:v>
      </x:c>
      <x:c r="B19" s="6" t="str">
        <x:v>Güvenli geliştirme ve API</x:v>
      </x:c>
      <x:c r="C19" s="6" t="str">
        <x:v>İstek schema, content-type, method, boyut ve gerekli alan doğrulamaları API sözleşmesine göre uygulanıyor mu?</x:v>
      </x:c>
      <x:c r="D19" s="6" t="str">
        <x:v>Bozuk/aşırı büyük/beklenmeyen istek upstream’e ulaşmadan reddedilir.</x:v>
      </x:c>
      <x:c r="E19" s="6" t="str">
        <x:v>Risk senaryosu (atıflı kontrol amacından denetçi değerlendirmesi): API sözleşmesi dışındaki tür, yöntem, boyut veya alanlar kabul edilirse beklenmeyen girdi arka uçta hataya, kaynak tüketimine veya güvenlik kontrolünü aşan işleme neden olabilir.</x:v>
      </x:c>
      <x:c r="F19" s="6" t="str">
        <x:v>OpenAPI/schema validation plugin ve negatif test</x:v>
      </x:c>
      <x:c r="G19" s="6" t="str">
        <x:v>Salt okunur sistem çıktısını onaylı rol, kapsam ve yapılandırma kaydıyla karşılaştır; ölçütteki her koşul için kanıt konumu ve ayrı alt sonucu kaydet. Yalnız görüşme veya ekran görüntüsüyle fiili işleyiş sonucunu kapatma.</x:v>
      </x:c>
      <x:c r="H19" s="6" t="str">
        <x:v>Kurulu ürün/dağıtım, müşteri sözleşmesi ve işlev desteği Kapsam kaydında doğrulanır. Özel kod, eklenti veya API yayını bulunmayan bileşenlerde gerekçeli olarak daraltılabilir.</x:v>
      </x:c>
      <x:c r="I19" s="6" t="str">
        <x:v>Kurum için onaylı periyot/eşik gerekir; metindeki uygulama örnekleri NIST’in zorunlu ürün parametresi değildir. Üretimde değişiklik veya kesinti testi yapılmaz.</x:v>
      </x:c>
      <x:c r="J19" s="6" t="str">
        <x:v>NIST-53: SI-10; SC-7</x:v>
      </x:c>
      <x:c r="K19" s="6" t="str">
        <x:v>SI-10; SC-7</x:v>
      </x:c>
      <x:c r="L19" s="6" t="str">
        <x:v>1 eski soru. Birleştirme İzini bu Kontrol ID ile süzün.</x:v>
      </x:c>
    </x:row>
    <x:row r="20" ht="70" customHeight="1">
      <x:c r="A20" s="6" t="str">
        <x:v>KNG-V08-02</x:v>
      </x:c>
      <x:c r="B20" s="6" t="str">
        <x:v>Güvenli geliştirme ve API</x:v>
      </x:c>
      <x:c r="C20" s="6" t="str">
        <x:v>Yanıt header/body dönüşümleri hata, stack trace, internal host ve hassas alan sızıntısını önlüyor mu?</x:v>
      </x:c>
      <x:c r="D20" s="6" t="str">
        <x:v>Hata ve normal yanıtta gizli/internal bilgi açığa çıkmaz.</x:v>
      </x:c>
      <x:c r="E20" s="6" t="str">
        <x:v>Risk senaryosu (atıflı kontrol amacından denetçi değerlendirmesi): Hata ve yanıt çıktısı sınırlandırılmazsa iç host adları, uygulama ayrıntıları veya müşteriye gösterilmemesi gereken alanlar istemciye sızabilir.</x:v>
      </x:c>
      <x:c r="F20" s="6" t="str">
        <x:v>Response transform/config ve testler</x:v>
      </x:c>
      <x:c r="G20" s="6" t="str">
        <x:v>Salt okunur sistem çıktısını onaylı rol, kapsam ve yapılandırma kaydıyla karşılaştır; ölçütteki her koşul için kanıt konumu ve ayrı alt sonucu kaydet. Yalnız görüşme veya ekran görüntüsüyle fiili işleyiş sonucunu kapatma.</x:v>
      </x:c>
      <x:c r="H20" s="6" t="str">
        <x:v>Kurulu ürün/dağıtım, müşteri sözleşmesi ve işlev desteği Kapsam kaydında doğrulanır. Özel kod, eklenti veya API yayını bulunmayan bileşenlerde gerekçeli olarak daraltılabilir.</x:v>
      </x:c>
      <x:c r="I20" s="6" t="str">
        <x:v>Kurum için onaylı periyot/eşik gerekir; metindeki uygulama örnekleri NIST’in zorunlu ürün parametresi değildir. Üretimde değişiklik veya kesinti testi yapılmaz.</x:v>
      </x:c>
      <x:c r="J20" s="6" t="str">
        <x:v>NIST-53: SI-11; SC-7</x:v>
      </x:c>
      <x:c r="K20" s="6" t="str">
        <x:v>SI-11; SC-7</x:v>
      </x:c>
      <x:c r="L20" s="6" t="str">
        <x:v>1 eski soru. Birleştirme İzini bu Kontrol ID ile süzün.</x:v>
      </x:c>
    </x:row>
    <x:row r="21" ht="85" customHeight="1">
      <x:c r="A21" s="6" t="str">
        <x:v>KNG-V08-03</x:v>
      </x:c>
      <x:c r="B21" s="6" t="str">
        <x:v>Güvenli geliştirme ve API</x:v>
      </x:c>
      <x:c r="C21" s="6" t="str">
        <x:v>API CORS politikası onaylı tarayıcı kökenleriyle sınırlı mı?</x:v>
      </x:c>
      <x:c r="D21" s="6" t="str">
        <x:v>Credential kullanılan tarayıcı çağrılarında izinli origin/method/header politikası test edilmeli. CORS sunucudan sunucuya yetkilendirme veya genel ağ erişim kontrolü değildir.</x:v>
      </x:c>
      <x:c r="E21" s="6" t="str">
        <x:v>Risk senaryosu (atıflı kontrol amacından denetçi değerlendirmesi): Tarayıcı köken izinleri gereğinden genişse tarayıcının kimlik bilgisi ve CORS davranışına bağlı olarak yetkisiz bir web kökeni hassas API yanıtını okuyabilir. CORS tek başına API kimlik doğrulaması değildir.</x:v>
      </x:c>
      <x:c r="F21" s="6" t="str">
        <x:v>CORS plugin config ve browser/preflight testi</x:v>
      </x:c>
      <x:c r="G21" s="6" t="str">
        <x:v>Salt okunur sistem çıktısını onaylı rol, kapsam ve yapılandırma kaydıyla karşılaştır; ölçütteki her koşul için kanıt konumu ve ayrı alt sonucu kaydet. Yalnız görüşme veya ekran görüntüsüyle fiili işleyiş sonucunu kapatma.</x:v>
      </x:c>
      <x:c r="H21" s="6" t="str">
        <x:v>Kurulu ürün/dağıtım, müşteri sözleşmesi ve işlev desteği Kapsam kaydında doğrulanır. Özel kod, eklenti veya API yayını bulunmayan bileşenlerde gerekçeli olarak daraltılabilir.</x:v>
      </x:c>
      <x:c r="I21" s="6" t="str">
        <x:v>Kurum için onaylı periyot/eşik gerekir; metindeki uygulama örnekleri NIST’in zorunlu ürün parametresi değildir. Üretimde değişiklik veya kesinti testi yapılmaz.</x:v>
      </x:c>
      <x:c r="J21" s="6" t="str">
        <x:v>NIST-53: AC-4</x:v>
      </x:c>
      <x:c r="K21" s="6" t="str">
        <x:v>AC-4</x:v>
      </x:c>
      <x:c r="L21" s="6" t="str">
        <x:v>1 eski soru. Birleştirme İzini bu Kontrol ID ile süzün.</x:v>
      </x:c>
    </x:row>
    <x:row r="22" ht="70" customHeight="1">
      <x:c r="A22" s="6" t="str">
        <x:v>KNG-V09-01</x:v>
      </x:c>
      <x:c r="B22" s="6" t="str">
        <x:v>Ağ ve yönetim düzlemi güvenliği</x:v>
      </x:c>
      <x:c r="C22" s="6" t="str">
        <x:v>Yönetim, partner ve özel API erişimleri gerekli kaynak ağlarla IP restriction/firewall üzerinden sınırlandırılmış mı?</x:v>
      </x:c>
      <x:c r="D22" s="6" t="str">
        <x:v>Onaysız kaynak reddedilir; X-Forwarded-For güven sınırı doğrulanır.</x:v>
      </x:c>
      <x:c r="E22" s="6" t="str">
        <x:v>Kaynak ağ, güvenilir vekil ve arka uç bağlantı güvenliği yeterli değilse, yönetim arayüzlerinin gereksiz ağlardan erişilebilir olması yetkisiz erişim ve yanal hareket riskini artırır.</x:v>
      </x:c>
      <x:c r="F22" s="6" t="str">
        <x:v>IP restriction/ingress config ve test</x:v>
      </x:c>
      <x:c r="G22" s="6" t="str">
        <x:v>Salt okunur sistem çıktısını onaylı rol, kapsam ve yapılandırma kaydıyla karşılaştır; ölçütteki her koşul için kanıt konumu ve ayrı alt sonucu kaydet. Yalnız görüşme veya ekran görüntüsüyle fiili işleyiş sonucunu kapatma.</x:v>
      </x:c>
      <x:c r="H22" s="6" t="str">
        <x:v>Kurulu ürün/dağıtım, müşteri sözleşmesi ve işlev desteği Kapsam kaydında doğrulanır. Yalnız sağlayıcının ağ katmanına erişiminin bulunmadığı saf SaaS bileşenlerinde daraltılabilir.</x:v>
      </x:c>
      <x:c r="I22" s="6" t="str">
        <x:v>Kurum için onaylı periyot/eşik gerekir; metindeki uygulama örnekleri NIST’in zorunlu ürün parametresi değildir. Üretimde değişiklik veya kesinti testi yapılmaz.</x:v>
      </x:c>
      <x:c r="J22" s="6" t="str">
        <x:v>NIST-53: SC-7; AC-17</x:v>
      </x:c>
      <x:c r="K22" s="6" t="str">
        <x:v>SC-7; AC-17</x:v>
      </x:c>
      <x:c r="L22" s="6" t="str">
        <x:v>1 eski soru. Birleştirme İzini bu Kontrol ID ile süzün.</x:v>
      </x:c>
    </x:row>
    <x:row r="23" ht="70" customHeight="1">
      <x:c r="A23" s="6" t="str">
        <x:v>KNG-V09-02</x:v>
      </x:c>
      <x:c r="B23" s="6" t="str">
        <x:v>Ağ ve yönetim düzlemi güvenliği</x:v>
      </x:c>
      <x:c r="C23" s="6" t="str">
        <x:v>Real client IP belirlemede trusted proxy zinciri yalnız bilinen proxy/LB kaynaklarını kabul ediyor mu?</x:v>
      </x:c>
      <x:c r="D23" s="6" t="str">
        <x:v>İstemci header spoof ile IP tabanlı kontrol veya log atfını aşamaz.</x:v>
      </x:c>
      <x:c r="E23" s="6" t="str">
        <x:v>Risk senaryosu (atıflı kontrol amacından denetçi değerlendirmesi): Güvenilmeyen istemcinin ilettiği proxy başlığı gerçek IP kabul edilirse adres temelli erişim, kota ve olay kayıtları sahte müşteri kaynağıyla değerlendirilebilir.</x:v>
      </x:c>
      <x:c r="F23" s="6" t="str">
        <x:v>Nginx/Kong trusted IP config ve spoof testi</x:v>
      </x:c>
      <x:c r="G23" s="6" t="str">
        <x:v>Salt okunur sistem çıktısını onaylı rol, kapsam ve yapılandırma kaydıyla karşılaştır; ölçütteki her koşul için kanıt konumu ve ayrı alt sonucu kaydet. Yalnız görüşme veya ekran görüntüsüyle fiili işleyiş sonucunu kapatma.</x:v>
      </x:c>
      <x:c r="H23" s="6" t="str">
        <x:v>Kurulu ürün/dağıtım, müşteri sözleşmesi ve işlev desteği Kapsam kaydında doğrulanır. Yalnız sağlayıcının ağ katmanına erişiminin bulunmadığı saf SaaS bileşenlerinde daraltılabilir.</x:v>
      </x:c>
      <x:c r="I23" s="6" t="str">
        <x:v>Kurum için onaylı periyot/eşik gerekir; metindeki uygulama örnekleri NIST’in zorunlu ürün parametresi değildir. Üretimde değişiklik veya kesinti testi yapılmaz.</x:v>
      </x:c>
      <x:c r="J23" s="6" t="str">
        <x:v>NIST-53: SC-7; AC-4</x:v>
      </x:c>
      <x:c r="K23" s="6" t="str">
        <x:v>SC-7; AC-4</x:v>
      </x:c>
      <x:c r="L23" s="6" t="str">
        <x:v>1 eski soru. Birleştirme İzini bu Kontrol ID ile süzün.</x:v>
      </x:c>
    </x:row>
    <x:row r="24" ht="70" customHeight="1">
      <x:c r="A24" s="6" t="str">
        <x:v>KNG-V09-03</x:v>
      </x:c>
      <x:c r="B24" s="6" t="str">
        <x:v>Arka uç hizmet sürekliliği</x:v>
      </x:c>
      <x:c r="C24" s="6" t="str">
        <x:v>Upstream sağlık, DNS ve yeniden deneme davranışı sınırlı mı?</x:v>
      </x:c>
      <x:c r="D24" s="6" t="str">
        <x:v>Gerçek target, timeout, retry ve health-check ayarları hizmet hedefiyle uyumlu; arızalı uç istek fırtınası veya yanlış hedefe gönderim üretmemeli. Desteklenmeyen circuit-breaker özelliği varsayılmaz.</x:v>
      </x:c>
      <x:c r="E24" s="6" t="str">
        <x:v>Risk senaryosu (atıflı kontrol amacından denetçi değerlendirmesi): Sağlık, DNS ve yeniden deneme davranışı kontrolsüzse trafik erişilemeyen veya yanlış hedefe gidebilir; tekrarlar arka uç yükünü artırarak arızayı büyütebilir.</x:v>
      </x:c>
      <x:c r="F24" s="6" t="str">
        <x:v>Upstream/service config ve failure test</x:v>
      </x:c>
      <x:c r="G24" s="6" t="str">
        <x:v>Salt okunur sistem çıktısını onaylı rol, kapsam ve yapılandırma kaydıyla karşılaştır; ölçütteki her koşul için kanıt konumu ve ayrı alt sonucu kaydet. Yalnız görüşme veya ekran görüntüsüyle fiili işleyiş sonucunu kapatma.</x:v>
      </x:c>
      <x:c r="H24" s="6" t="str">
        <x:v>Kurulu ürün/dağıtım, müşteri sözleşmesi ve işlev desteği Kapsam kaydında doğrulanır. Yalnız sağlayıcının ağ katmanına erişiminin bulunmadığı saf SaaS bileşenlerinde daraltılabilir.</x:v>
      </x:c>
      <x:c r="I24" s="6" t="str">
        <x:v>Kurum için onaylı periyot/eşik gerekir; metindeki uygulama örnekleri NIST’in zorunlu ürün parametresi değildir. Üretimde değişiklik veya kesinti testi yapılmaz.</x:v>
      </x:c>
      <x:c r="J24" s="6" t="str">
        <x:v>NIST-53: SC-6; SC-24</x:v>
      </x:c>
      <x:c r="K24" s="6" t="str">
        <x:v>SC-6; SC-24</x:v>
      </x:c>
      <x:c r="L24" s="6" t="str">
        <x:v>1 eski soru. Birleştirme İzini bu Kontrol ID ile süzün.</x:v>
      </x:c>
    </x:row>
    <x:row r="25" ht="70" customHeight="1">
      <x:c r="A25" s="6" t="str">
        <x:v>KNG-V10-01</x:v>
      </x:c>
      <x:c r="B25" s="6" t="str">
        <x:v>Güvenli yapılandırma</x:v>
      </x:c>
      <x:c r="C25" s="6" t="str">
        <x:v>Etkin pluginler allowlist/baseline ile sınırlı; gereksiz veya riskli pluginler devre dışı mı?</x:v>
      </x:c>
      <x:c r="D25" s="6" t="str">
        <x:v>Bilinmeyen/deneysel/sahipsiz plugin üretimde etkin değildir.</x:v>
      </x:c>
      <x:c r="E25" s="6" t="str">
        <x:v>Risk senaryosu (atıflı kontrol amacından denetçi değerlendirmesi): İş ihtiyacı olmayan eklenti etkin bırakılırsa gereksiz kod ve izinler istek işleme yoluna eklenebilir; beklenmeyen dönüşüm veya saldırı yüzeyi oluşabilir.</x:v>
      </x:c>
      <x:c r="F25" s="6" t="str">
        <x:v>Plugin inventory ve enabled_plugins config</x:v>
      </x:c>
      <x:c r="G25" s="6" t="str">
        <x:v>Salt okunur sistem çıktısını onaylı rol, kapsam ve yapılandırma kaydıyla karşılaştır; ölçütteki her koşul için kanıt konumu ve ayrı alt sonucu kaydet. Yalnız görüşme veya ekran görüntüsüyle fiili işleyiş sonucunu kapatma.</x:v>
      </x:c>
      <x:c r="H25" s="6" t="str">
        <x:v>Kurulu ürün/dağıtım, müşteri sözleşmesi ve işlev desteği Kapsam kaydında doğrulanır. Ürün ve sürüme uygun benchmark yoksa üretici kılavuzu ve kurum esası kullanılır; gerekçe yazılır.</x:v>
      </x:c>
      <x:c r="I25" s="6" t="str">
        <x:v>Kurum için onaylı periyot/eşik gerekir; metindeki uygulama örnekleri NIST’in zorunlu ürün parametresi değildir. Üretimde değişiklik veya kesinti testi yapılmaz.</x:v>
      </x:c>
      <x:c r="J25" s="6" t="str">
        <x:v>NIST-53: CM-2; CM-6</x:v>
      </x:c>
      <x:c r="K25" s="6" t="str">
        <x:v>CM-2; CM-6</x:v>
      </x:c>
      <x:c r="L25" s="6" t="str">
        <x:v>1 eski soru. Birleştirme İzini bu Kontrol ID ile süzün.</x:v>
      </x:c>
    </x:row>
    <x:row r="26" ht="70" customHeight="1">
      <x:c r="A26" s="6" t="str">
        <x:v>KNG-V10-02</x:v>
      </x:c>
      <x:c r="B26" s="6" t="str">
        <x:v>Özel kod ve tedarik zinciri</x:v>
      </x:c>
      <x:c r="C26" s="6" t="str">
        <x:v>Özel pluginler kod inceleme, bağımlılık/SBOM, secret tarama, test ve imzalı paket sürecinden geçiyor mu?</x:v>
      </x:c>
      <x:c r="D26" s="6" t="str">
        <x:v>Canlı plugin sürümü onaylı artifact ile eşleşir; kritik bulgu açık değildir.</x:v>
      </x:c>
      <x:c r="E26" s="6" t="str">
        <x:v>Risk senaryosu (atıflı kontrol amacından denetçi değerlendirmesi): Özel plugin ve bağımlılıkları incelenmezse istek işleme yetkisiyle sır sızıntısı, güvenilmeyen kod çalışması veya tüm bağlı API'leri etkileyen hata dağıtılabilir.</x:v>
      </x:c>
      <x:c r="F26" s="6" t="str">
        <x:v>Repo, CI güvenlik sonuçları ve artifact provenance</x:v>
      </x:c>
      <x:c r="G26" s="6" t="str">
        <x:v>Salt okunur sistem çıktısını onaylı rol, kapsam ve yapılandırma kaydıyla karşılaştır; ölçütteki her koşul için kanıt konumu ve ayrı alt sonucu kaydet. Yalnız görüşme veya ekran görüntüsüyle fiili işleyiş sonucunu kapatma.</x:v>
      </x:c>
      <x:c r="H26" s="6" t="str">
        <x:v>Kurulu ürün/dağıtım, müşteri sözleşmesi ve işlev desteği Kapsam kaydında doğrulanır. Ürün ve sürüme uygun benchmark yoksa üretici kılavuzu ve kurum esası kullanılır; gerekçe yazılır.</x:v>
      </x:c>
      <x:c r="I26" s="6" t="str">
        <x:v>Kurum için onaylı periyot/eşik gerekir; metindeki uygulama örnekleri NIST’in zorunlu ürün parametresi değildir. Üretimde değişiklik veya kesinti testi yapılmaz.</x:v>
      </x:c>
      <x:c r="J26" s="6" t="str">
        <x:v>NIST-53: SA-11</x:v>
      </x:c>
      <x:c r="K26" s="6" t="str">
        <x:v>SA-11</x:v>
      </x:c>
      <x:c r="L26" s="6" t="str">
        <x:v>1 eski soru. Birleştirme İzini bu Kontrol ID ile süzün.</x:v>
      </x:c>
    </x:row>
    <x:row r="27" ht="70" customHeight="1">
      <x:c r="A27" s="6" t="str">
        <x:v>KNG-V12-02</x:v>
      </x:c>
      <x:c r="B27" s="6" t="str">
        <x:v>Kayıt ve hesap verebilirlik</x:v>
      </x:c>
      <x:c r="C27" s="6" t="str">
        <x:v>Request loglarında tenant, consumer, route, status, latency ve correlation ID bulunurken secret/token/body minimizasyonu uygulanıyor mu?</x:v>
      </x:c>
      <x:c r="D27" s="6" t="str">
        <x:v>Kimlik bilgileri ve hassas payload loglanmaz; olay korelasyonu için gerekli bağlam vardır.</x:v>
      </x:c>
      <x:c r="E27" s="6" t="str">
        <x:v>Risk senaryosu (atıflı kontrol amacından denetçi değerlendirmesi): Kayıtta müşteri ve ilişkilendirme bilgisi yoksa olay doğru API akışına bağlanamaz; token veya gereksiz gövde kaydı ise log okuyucularına ek hassas veri açabilir.</x:v>
      </x:c>
      <x:c r="F27" s="6" t="str">
        <x:v>Logging plugin formatı ve örnek log</x:v>
      </x:c>
      <x:c r="G27" s="6" t="str">
        <x:v>Salt okunur sistem çıktısını onaylı rol, kapsam ve yapılandırma kaydıyla karşılaştır; ölçütteki her koşul için kanıt konumu ve ayrı alt sonucu kaydet. Yalnız görüşme veya ekran görüntüsüyle fiili işleyiş sonucunu kapatma.</x:v>
      </x:c>
      <x:c r="H27" s="6" t="str">
        <x:v>Kurulu ürün/dağıtım, müşteri sözleşmesi ve işlev desteği Kapsam kaydında doğrulanır. Tüm hizmetlerde uygulanır; ürün alan bazlı kayıt üretemiyorsa telafi edici kontrol ve gerekçe aranır.</x:v>
      </x:c>
      <x:c r="I27" s="6" t="str">
        <x:v>Kurum için onaylı periyot/eşik gerekir; metindeki uygulama örnekleri NIST’in zorunlu ürün parametresi değildir. Üretimde değişiklik veya kesinti testi yapılmaz.</x:v>
      </x:c>
      <x:c r="J27" s="6" t="str">
        <x:v>NIST-53: SI-12; PT-3</x:v>
      </x:c>
      <x:c r="K27" s="6" t="str">
        <x:v>SI-12; PT-3</x:v>
      </x:c>
      <x:c r="L27" s="6" t="str">
        <x:v>1 eski soru. Birleştirme İzini bu Kontrol ID ile süzün.</x:v>
      </x:c>
    </x:row>
    <x:row r="28" ht="70" customHeight="1">
      <x:c r="A28" s="6" t="str">
        <x:v>KNG-V12-03</x:v>
      </x:c>
      <x:c r="B28" s="6" t="str">
        <x:v>Kayıt ve hesap verebilirlik</x:v>
      </x:c>
      <x:c r="C28" s="6" t="str">
        <x:v>Audit ve trafik logu iletimi şifreli, kayıp/backpressure durumunda alarm ve tanımlı davranışa sahip mi?</x:v>
      </x:c>
      <x:c r="D28" s="6" t="str">
        <x:v>Log hedefi kesintisi sessiz veri kaybı veya kontrolsüz gateway kesintisi oluşturmaz.</x:v>
      </x:c>
      <x:c r="E28" s="6" t="str">
        <x:v>Risk senaryosu (atıflı kontrol amacından denetçi değerlendirmesi): Log iletimi korunmaz veya alıcı tıkanması sessiz kalırsa kayıtlar aktarımda açığa çıkabilir ya da kaybolabilir; denetim izi eksikliği fark edilmeyebilir.</x:v>
      </x:c>
      <x:c r="F28" s="6" t="str">
        <x:v>Log plugin/queue config ve kesinti testi</x:v>
      </x:c>
      <x:c r="G28" s="6" t="str">
        <x:v>Salt okunur sistem çıktısını onaylı rol, kapsam ve yapılandırma kaydıyla karşılaştır; ölçütteki her koşul için kanıt konumu ve ayrı alt sonucu kaydet. Yalnız görüşme veya ekran görüntüsüyle fiili işleyiş sonucunu kapatma.</x:v>
      </x:c>
      <x:c r="H28" s="6" t="str">
        <x:v>Kurulu ürün/dağıtım, müşteri sözleşmesi ve işlev desteği Kapsam kaydında doğrulanır. Tüm hizmetlerde uygulanır; ürün alan bazlı kayıt üretemiyorsa telafi edici kontrol ve gerekçe aranır.</x:v>
      </x:c>
      <x:c r="I28" s="6" t="str">
        <x:v>Kurum için onaylı periyot/eşik gerekir; metindeki uygulama örnekleri NIST’in zorunlu ürün parametresi değildir. Üretimde değişiklik veya kesinti testi yapılmaz.</x:v>
      </x:c>
      <x:c r="J28" s="6" t="str">
        <x:v>NIST-53: AU-5; SI-4</x:v>
      </x:c>
      <x:c r="K28" s="6" t="str">
        <x:v>AU-5; SI-4</x:v>
      </x:c>
      <x:c r="L28" s="6" t="str">
        <x:v>1 eski soru. Birleştirme İzini bu Kontrol ID ile süzün.</x:v>
      </x:c>
    </x:row>
    <x:row r="29" ht="70" customHeight="1">
      <x:c r="A29" s="6" t="str">
        <x:v>KNG-V14-01</x:v>
      </x:c>
      <x:c r="B29" s="6" t="str">
        <x:v>Yedekleme ve siber dayanıklılık</x:v>
      </x:c>
      <x:c r="C29" s="6" t="str">
        <x:v>Kong database, declarative config, RBAC, workspace, cert ve vault referansları yedek ve restore testinde mi?</x:v>
      </x:c>
      <x:c r="D29" s="6" t="str">
        <x:v>Yeni ortamda güvenli config RTO içinde geri gelir; secretlar güvenli kaynaktan çözülür.</x:v>
      </x:c>
      <x:c r="E29" s="6" t="str">
        <x:v>Risk senaryosu (atıflı kontrol amacından denetçi değerlendirmesi): Dağıtım modelinin yapılandırma, kimlik ve sır bağımlılıkları geri dönüşte doğrulanmazsa API nesneleri geri yüklense bile yetkilendirme veya upstream bağlantısı çalışmayabilir.</x:v>
      </x:c>
      <x:c r="F29" s="6" t="str">
        <x:v>Backup kapsamı ve DR testi</x:v>
      </x:c>
      <x:c r="G29" s="6" t="str">
        <x:v>Salt okunur sistem çıktısını onaylı rol, kapsam ve yapılandırma kaydıyla karşılaştır; ölçütteki her koşul için kanıt konumu ve ayrı alt sonucu kaydet. Yalnız görüşme veya ekran görüntüsüyle fiili işleyiş sonucunu kapatma.</x:v>
      </x:c>
      <x:c r="H29" s="6" t="str">
        <x:v>Kurulu ürün/dağıtım, müşteri sözleşmesi ve işlev desteği Kapsam kaydında doğrulanır. Yedekleme sorumluluğu müşteride ise paylaşılan sorumluluk matrisiyle gerekçelendirilir.</x:v>
      </x:c>
      <x:c r="I29" s="6" t="str">
        <x:v>Kurum için onaylı periyot/eşik gerekir; metindeki uygulama örnekleri NIST’in zorunlu ürün parametresi değildir. Üretimde değişiklik veya kesinti testi yapılmaz.</x:v>
      </x:c>
      <x:c r="J29" s="6" t="str">
        <x:v>NIST-53: CP-4; CP-10</x:v>
      </x:c>
      <x:c r="K29" s="6" t="str">
        <x:v>CP-4; CP-10</x:v>
      </x:c>
      <x:c r="L29" s="6" t="str">
        <x:v>1 eski soru. Birleştirme İzini bu Kontrol ID ile süzün.</x:v>
      </x:c>
    </x:row>
    <x:row r="30" ht="85" customHeight="1">
      <x:c r="A30" s="6" t="str">
        <x:v>KNG-V14-02</x:v>
      </x:c>
      <x:c r="B30" s="6" t="str">
        <x:v>Yüksek erişilebilirlik ve kapasite</x:v>
      </x:c>
      <x:c r="C30" s="6" t="str">
        <x:v>CP/DP, database ve load balancer kapasitesi, node kaybı ve burst senaryosuyla test ediliyor mu?</x:v>
      </x:c>
      <x:c r="D30" s="6" t="str">
        <x:v>Node/zone kaybında tenant izolasyonu ve güvenlik pluginleri çalışmaya devam eder.</x:v>
      </x:c>
      <x:c r="E30" s="6" t="str">
        <x:v>Risk senaryosu (atıflı kontrol amacından denetçi değerlendirmesi): Node kaybı ve ani yük altında kalan bileşen kapasitesi sınanmazsa yüksek erişilebilir görünen kurulumda darboğaz hizmeti kesebilir veya gecikmeyi müşteriler arasında yayabilir.</x:v>
      </x:c>
      <x:c r="F30" s="6" t="str">
        <x:v>Architecture, SLO ve load/failover test</x:v>
      </x:c>
      <x:c r="G30" s="6" t="str">
        <x:v>Salt okunur sistem çıktısını onaylı rol, kapsam ve yapılandırma kaydıyla karşılaştır; ölçütteki her koşul için kanıt konumu ve ayrı alt sonucu kaydet. Yalnız görüşme veya ekran görüntüsüyle fiili işleyiş sonucunu kapatma.</x:v>
      </x:c>
      <x:c r="H30" s="6" t="str">
        <x:v>Kurulu ürün/dağıtım, müşteri sözleşmesi ve işlev desteği Kapsam kaydında doğrulanır. Yedekleme sorumluluğu müşteride ise paylaşılan sorumluluk matrisiyle gerekçelendirilir.</x:v>
      </x:c>
      <x:c r="I30" s="6" t="str">
        <x:v>Kurum için onaylı periyot/eşik gerekir; metindeki uygulama örnekleri NIST’in zorunlu ürün parametresi değildir. Üretimde değişiklik veya kesinti testi yapılmaz.</x:v>
      </x:c>
      <x:c r="J30" s="6" t="str">
        <x:v>NIST-53: CP-2; SC-5</x:v>
      </x:c>
      <x:c r="K30" s="6" t="str">
        <x:v>CP-2; SC-5</x:v>
      </x:c>
      <x:c r="L30" s="6" t="str">
        <x:v>1 eski soru. Birleştirme İzini bu Kontrol ID ile süzün.</x:v>
      </x:c>
    </x:row>
    <x:row r="31" ht="70" customHeight="1">
      <x:c r="A31" s="6" t="str">
        <x:v>KNG-V15-01</x:v>
      </x:c>
      <x:c r="B31" s="6" t="str">
        <x:v>Güvenli geliştirme ve API</x:v>
      </x:c>
      <x:c r="C31" s="6" t="str">
        <x:v>Developer portal ve OpenAPI belgeleri yalnız yetkili API/versiyonları yayımlıyor; internal endpoint veya secret örneği içermiyor mu?</x:v>
      </x:c>
      <x:c r="D31" s="6" t="str">
        <x:v>Yetkisiz kullanıcı özel API dokümanını göremez; örneklerde aktif secret yoktur.</x:v>
      </x:c>
      <x:c r="E31" s="6" t="str">
        <x:v>Risk senaryosu (atıflı kontrol amacından denetçi değerlendirmesi): Portal yetki ve sürüm kapsamı denetlenmezse iç uç noktalar, kullanımdan kalkmış API'ler veya örneklerdeki sırlar yetkisiz geliştiriciye yayımlanabilir.</x:v>
      </x:c>
      <x:c r="F31" s="6" t="str">
        <x:v>Portal/spec exportu ve erişim testi</x:v>
      </x:c>
      <x:c r="G31" s="6" t="str">
        <x:v>Salt okunur sistem çıktısını onaylı rol, kapsam ve yapılandırma kaydıyla karşılaştır; ölçütteki her koşul için kanıt konumu ve ayrı alt sonucu kaydet. Yalnız görüşme veya ekran görüntüsüyle fiili işleyiş sonucunu kapatma.</x:v>
      </x:c>
      <x:c r="H31" s="6" t="str">
        <x:v>Kurulu ürün/dağıtım, müşteri sözleşmesi ve işlev desteği Kapsam kaydında doğrulanır. Özel kod, eklenti veya API yayını bulunmayan bileşenlerde gerekçeli olarak daraltılabilir.</x:v>
      </x:c>
      <x:c r="I31" s="6" t="str">
        <x:v>Kurum için onaylı periyot/eşik gerekir; metindeki uygulama örnekleri NIST’in zorunlu ürün parametresi değildir. Üretimde değişiklik veya kesinti testi yapılmaz.</x:v>
      </x:c>
      <x:c r="J31" s="6" t="str">
        <x:v>NIST-53: SA-5; SC-7</x:v>
      </x:c>
      <x:c r="K31" s="6" t="str">
        <x:v>SA-5; SC-7</x:v>
      </x:c>
      <x:c r="L31" s="6" t="str">
        <x:v>1 eski soru. Birleştirme İzini bu Kontrol ID ile süzün.</x:v>
      </x:c>
    </x:row>
  </x:sheetData>
  <x:pageMargins left="0.7" right="0.7" top="0.75" bottom="0.75" header="0.3" footer="0.3"/>
  <x:tableParts count="1">
    <x:tablePart xmlns:r="http://schemas.openxmlformats.org/officeDocument/2006/relationships" r:id="R33d5d42345a947cc"/>
  </x:tableParts>
</x:worksheet>
</file>

<file path=xl/worksheets/sheet2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CyberArk PAM</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PAM-007</x:v>
      </x:c>
      <x:c r="B6" s="6" t="str">
        <x:v>Safe ayrımı</x:v>
      </x:c>
      <x:c r="C6" s="6" t="str">
        <x:v>Safe üyelikleri ve parola görme/kullanma izinleri tenant bazında ayrılmış mı?</x:v>
      </x:c>
      <x:c r="D6" s="6" t="str">
        <x:v>Her Safe için gerekli üye/izin sınırı; gereksiz global üyelik olmamalı.</x:v>
      </x:c>
      <x:c r="E6" s="6" t="str">
        <x:v>Bir operatör başka müşterinin ayrıcalıklı kimliğini ele geçirir.</x:v>
      </x:c>
      <x:c r="F6" s="6" t="str">
        <x:v>Safe üyeleri/izinleri, tenant-hesap eşlemesi, rol onayı.</x:v>
      </x:c>
      <x:c r="G6" s="6" t="str">
        <x:v>İki test tenantı arasında hesap listeleme ve retrieve/use reddini doğrula.</x:v>
      </x:c>
      <x:c r="H6" s="6" t="str">
        <x:v>PAM Self-Hosted/Privilege Cloud ayrımı; Vault, PVWA, CPM, PSM kapsamı teyit edilmeli.</x:v>
      </x:c>
      <x:c r="I6" s="6" t="str">
        <x:v>Kurulu sürüm/dağıtımın özellik ve lisans desteği kanıtlanır. Test, salt okunur çıktı veya onaylı izole ortamla yürütülür.</x:v>
      </x:c>
      <x:c r="J6" s="6" t="str">
        <x:v>NIST-53: AC-3
NIST-53: AC-3; AC-6
BIGR: 4.3.1.4 | 4.3.1.4 — basılı s.164 / PDF 168</x:v>
      </x:c>
      <x:c r="K6" s="6" t="str">
        <x:v>AC-3; AC-6</x:v>
      </x:c>
      <x:c r="L6" s="6" t="str">
        <x:v>1 eski soru. Birleştirme İzini bu Kontrol ID ile süzün.</x:v>
      </x:c>
    </x:row>
    <x:row r="7" ht="55" customHeight="1">
      <x:c r="A7" s="6" t="str">
        <x:v>PAM-008</x:v>
      </x:c>
      <x:c r="B7" s="6" t="str">
        <x:v>Kapsam</x:v>
      </x:c>
      <x:c r="C7" s="6" t="str">
        <x:v>Kritik altyapı ayrıcalıklı hesaplarının tamamı PAM kapsamına alınmış mı?</x:v>
      </x:c>
      <x:c r="D7" s="6" t="str">
        <x:v>Hesap envanteri ile yönetilen hesaplar mutabık; dışarıdakiler risk planında olmalı.</x:v>
      </x:c>
      <x:c r="E7" s="6" t="str">
        <x:v>PAM dışında kalan yerel veya servis hesabı saldırgana alternatif giriş sağlar.</x:v>
      </x:c>
      <x:c r="F7" s="6" t="str">
        <x:v>Platform hesapları, PAM discovered/managed listesi, istisna kayıtları.</x:v>
      </x:c>
      <x:c r="G7" s="6" t="str">
        <x:v>ESXi, firewall, backup ve güvenlik konsolu hesaplarını PAM ile eşleştir.</x:v>
      </x:c>
      <x:c r="H7" s="6" t="str">
        <x:v>PAM Self-Hosted/Privilege Cloud ayrımı; Vault, PVWA, CPM, PSM kapsamı teyit edilmeli.</x:v>
      </x:c>
      <x:c r="I7" s="6" t="str">
        <x:v>Kurulu sürüm/dağıtımın özellik ve lisans desteği kanıtlanır. Test, salt okunur çıktı veya onaylı izole ortamla yürütülür.</x:v>
      </x:c>
      <x:c r="J7" s="6" t="str">
        <x:v>NIST-53: AC-2
NIST-53: AC-2; IA-5
BIGR: 3.1.12.11 | 3.1.12.11 — basılı s.70 / PDF 74</x:v>
      </x:c>
      <x:c r="K7" s="6" t="str">
        <x:v>AC-2; IA-5</x:v>
      </x:c>
      <x:c r="L7" s="6" t="str">
        <x:v>1 eski soru. Birleştirme İzini bu Kontrol ID ile süzün.</x:v>
      </x:c>
    </x:row>
    <x:row r="8" ht="55" customHeight="1">
      <x:c r="A8" s="6" t="str">
        <x:v>PAM-009</x:v>
      </x:c>
      <x:c r="B8" s="6" t="str">
        <x:v>Parola yönetimi</x:v>
      </x:c>
      <x:c r="C8" s="6" t="str">
        <x:v>Parola değiştirme/doğrulama hataları izlenip gideriliyor mu?</x:v>
      </x:c>
      <x:c r="D8" s="6" t="str">
        <x:v>Platform policy ve rotasyon sonucu tutarlı; başarısız işler aksiyona bağlanmış olmalı.</x:v>
      </x:c>
      <x:c r="E8" s="6" t="str">
        <x:v>Eski veya başarısız yönetilen sır uzun süre kullanılabilir veya hizmeti kilitler.</x:v>
      </x:c>
      <x:c r="F8" s="6" t="str">
        <x:v>CPM policy, verify/change/reconcile kayıtları, hata biletleri.</x:v>
      </x:c>
      <x:c r="G8" s="6" t="str">
        <x:v>Bir başarılı ve bir başarısız rotasyonu hedef sistem sonucu üzerinden doğrula.</x:v>
      </x:c>
      <x:c r="H8" s="6" t="str">
        <x:v>PAM Self-Hosted/Privilege Cloud ayrımı; Vault, PVWA, CPM, PSM kapsamı teyit edilmeli.</x:v>
      </x:c>
      <x:c r="I8" s="6" t="str">
        <x:v>Kurulu sürüm/dağıtımın özellik ve lisans desteği kanıtlanır. Test, salt okunur çıktı veya onaylı izole ortamla yürütülür.</x:v>
      </x:c>
      <x:c r="J8" s="6" t="str">
        <x:v>NIST-53: IA-5
NIST-53: IA-5
BIGR: 3.1.12 | 3.1.12 — bölüm başlangıcı; basılı s.68 / PDF 72</x:v>
      </x:c>
      <x:c r="K8" s="6" t="str">
        <x:v>IA-5</x:v>
      </x:c>
      <x:c r="L8" s="6" t="str">
        <x:v>1 eski soru. Birleştirme İzini bu Kontrol ID ile süzün.</x:v>
      </x:c>
    </x:row>
    <x:row r="9" ht="55" customHeight="1">
      <x:c r="A9" s="6" t="str">
        <x:v>PAM-010</x:v>
      </x:c>
      <x:c r="B9" s="6" t="str">
        <x:v>Oturum denetimi</x:v>
      </x:c>
      <x:c r="C9" s="6" t="str">
        <x:v>Kritik oturumlar kontrollü geçit üzerinden kaydedilip olayla eşleştiriliyor mu?</x:v>
      </x:c>
      <x:c r="D9" s="6" t="str">
        <x:v>Gerekli oturumlar PSM/eşdeğer yol üzerinden; doğrudan bypass sınırlı olmalı.</x:v>
      </x:c>
      <x:c r="E9" s="6" t="str">
        <x:v>Parola kasada olsa bile doğrudan oturum kayıt denetimini atlatır.</x:v>
      </x:c>
      <x:c r="F9" s="6" t="str">
        <x:v>PSM connection ayarları, firewall yolları, oturum ve iş emri.</x:v>
      </x:c>
      <x:c r="G9" s="6" t="str">
        <x:v>Bir yönetim oturumunu kullanıcı, hedef, zaman ve kayıt dosyasıyla eşleştir; doğrudan yolu kontrol et.</x:v>
      </x:c>
      <x:c r="H9" s="6" t="str">
        <x:v>PSM veya eşdeğer kayıtlı geçit kullanılıyorsa.</x:v>
      </x:c>
      <x:c r="I9" s="6" t="str">
        <x:v>Kurulu sürüm/dağıtımın özellik ve lisans desteği kanıtlanır. Test, salt okunur çıktı veya onaylı izole ortamla yürütülür.</x:v>
      </x:c>
      <x:c r="J9" s="6" t="str">
        <x:v>NIST-53: AC-17
NIST-53: AC-17; AU-12
BIGR: 3.1.12.9 | 3.1.12.9 — basılı s.68 / PDF 72</x:v>
      </x:c>
      <x:c r="K9" s="6" t="str">
        <x:v>AC-17; AU-12</x:v>
      </x:c>
      <x:c r="L9" s="6" t="str">
        <x:v>1 eski soru. Birleştirme İzini bu Kontrol ID ile süzün.</x:v>
      </x:c>
    </x:row>
    <x:row r="10" ht="55" customHeight="1">
      <x:c r="A10" s="6" t="str">
        <x:v>PAM-011</x:v>
      </x:c>
      <x:c r="B10" s="6" t="str">
        <x:v>Görev ayrılığı</x:v>
      </x:c>
      <x:c r="C10" s="6" t="str">
        <x:v>Kritik parola/oturum erişimleri risk bazlı onay ve süre sınırına tabi mi?</x:v>
      </x:c>
      <x:c r="D10" s="6" t="str">
        <x:v>Gerekli onay ve süre kuralları gerçek erişimde uygulanmalı.</x:v>
      </x:c>
      <x:c r="E10" s="6" t="str">
        <x:v>Yetkili kullanıcı müşteri onayı olmadan kritik sistemi kullanabilir.</x:v>
      </x:c>
      <x:c r="F10" s="6" t="str">
        <x:v>Erişim iş akışı, request/approval logu, acil erişim istisnası.</x:v>
      </x:c>
      <x:c r="G10" s="6" t="str">
        <x:v>Onaysız test talebinin reddini; onay süresi sonrası erişimin kesilmesini doğrula.</x:v>
      </x:c>
      <x:c r="H10" s="6" t="str">
        <x:v>PAM Self-Hosted/Privilege Cloud ayrımı; Vault, PVWA, CPM, PSM kapsamı teyit edilmeli.</x:v>
      </x:c>
      <x:c r="I10" s="6" t="str">
        <x:v>Kurulu sürüm/dağıtımın özellik ve lisans desteği kanıtlanır. Test, salt okunur çıktı veya onaylı izole ortamla yürütülür.</x:v>
      </x:c>
      <x:c r="J10" s="6" t="str">
        <x:v>NIST-53: AC-5
NIST-53: AC-5; AC-6
BIGR: 3.1.12.9 | 3.1.12.9 — basılı s.68 / PDF 72</x:v>
      </x:c>
      <x:c r="K10" s="6" t="str">
        <x:v>AC-5; AC-6</x:v>
      </x:c>
      <x:c r="L10" s="6" t="str">
        <x:v>1 eski soru. Birleştirme İzini bu Kontrol ID ile süzün.</x:v>
      </x:c>
    </x:row>
    <x:row r="11" ht="40" customHeight="1">
      <x:c r="A11" s="6" t="str">
        <x:v>PAM-012</x:v>
      </x:c>
      <x:c r="B11" s="6" t="str">
        <x:v>Bileşen sıkılaştırma</x:v>
      </x:c>
      <x:c r="C11" s="6" t="str">
        <x:v>Vault, PVWA, CPM ve PSM için üretici sıkılaştırması doğrulanmış mı?</x:v>
      </x:c>
      <x:c r="D11" s="6" t="str">
        <x:v>Kurulu sürüme ait üretici prosedürü uygulanmış; sonradan sapmalar değerlendirilmiş olmalı.</x:v>
      </x:c>
      <x:c r="E11" s="6" t="str">
        <x:v>PAM sunucusunun zayıflığı tüm müşteri sırlarını tehlikeye atar.</x:v>
      </x:c>
      <x:c r="F11" s="6" t="str">
        <x:v>Hardening logları, baz ayarlar, bileşen/OS exportu, doğrulama raporu.</x:v>
      </x:c>
      <x:c r="G11" s="6" t="str">
        <x:v>Üretici kontrol aracı sonucunu gerçek ayar ve kurulum loguyla karşılaştır.</x:v>
      </x:c>
      <x:c r="H11" s="6" t="str">
        <x:v>Self-Hosted bileşenler varsa.</x:v>
      </x:c>
      <x:c r="I11" s="6" t="str">
        <x:v>Kurulu sürüm/dağıtımın özellik ve lisans desteği kanıtlanır. Test, salt okunur çıktı veya onaylı izole ortamla yürütülür.</x:v>
      </x:c>
      <x:c r="J11" s="6" t="str">
        <x:v>PAM-HARD; PAM-CHECK: component hardening
NIST-53: CM-6; CM-7</x:v>
      </x:c>
      <x:c r="K11" s="6" t="str">
        <x:v>CM-6; CM-7</x:v>
      </x:c>
      <x:c r="L11" s="6" t="str">
        <x:v>1 eski soru. Birleştirme İzini bu Kontrol ID ile süzün.</x:v>
      </x:c>
    </x:row>
    <x:row r="12" ht="55" customHeight="1">
      <x:c r="A12" s="6" t="str">
        <x:v>PAM-013</x:v>
      </x:c>
      <x:c r="B12" s="6" t="str">
        <x:v>Sır kurtarma</x:v>
      </x:c>
      <x:c r="C12" s="6" t="str">
        <x:v>Vault ve gerekli kurtarma anahtarları bağımsız ve test edilmiş korumaya sahip mi?</x:v>
      </x:c>
      <x:c r="D12" s="6" t="str">
        <x:v>Yedek/DR ile kurtarma materyali ayrı erişim kontrolünde; restore testi başarılı olmalı.</x:v>
      </x:c>
      <x:c r="E12" s="6" t="str">
        <x:v>Kasa kaybı tüm yönetim kimliklerine erişimi durdurur.</x:v>
      </x:c>
      <x:c r="F12" s="6" t="str">
        <x:v>Vault backup/DR planı, kurtarma anahtarı saklama yetkileri, test raporu.</x:v>
      </x:c>
      <x:c r="G12" s="6" t="str">
        <x:v>Gizli anahtarı almadan erişim sorumluları ve izole kurtarma kanıtını incele.</x:v>
      </x:c>
      <x:c r="H12" s="6" t="str">
        <x:v>PAM Self-Hosted/Privilege Cloud ayrımı; Vault, PVWA, CPM, PSM kapsamı teyit edilmeli.</x:v>
      </x:c>
      <x:c r="I12" s="6" t="str">
        <x:v>Kurulu sürüm/dağıtımın özellik ve lisans desteği kanıtlanır. Test, salt okunur çıktı veya onaylı izole ortamla yürütülür.</x:v>
      </x:c>
      <x:c r="J12" s="6" t="str">
        <x:v>NIST-53: CP-9, SC-12
NIST-53: CP-9; CP-10; SC-12
BIGR: 3.1.13 | 3.1.13 — bölüm başlangıcı; basılı s.74 / PDF 78</x:v>
      </x:c>
      <x:c r="K12" s="6" t="str">
        <x:v>CP-9; CP-10; SC-12</x:v>
      </x:c>
      <x:c r="L12" s="6" t="str">
        <x:v>1 eski soru. Birleştirme İzini bu Kontrol ID ile süzün.</x:v>
      </x:c>
    </x:row>
    <x:row r="13" ht="55" customHeight="1">
      <x:c r="A13" s="6" t="str">
        <x:v>PAM-014</x:v>
      </x:c>
      <x:c r="B13" s="6" t="str">
        <x:v>Entegrasyon kimlikleri</x:v>
      </x:c>
      <x:c r="C13" s="6" t="str">
        <x:v>PAM API/uygulama kimlikleri sadece gerekli Safeleri ve sırları okuyabiliyor mu?</x:v>
      </x:c>
      <x:c r="D13" s="6" t="str">
        <x:v>Uygulama kimliği ve hedef sır kapsamı minimum; kullanım kayıtlı olmalı.</x:v>
      </x:c>
      <x:c r="E13" s="6" t="str">
        <x:v>Ele geçirilen otomasyon kimliği tüm kasaya yayılır.</x:v>
      </x:c>
      <x:c r="F13" s="6" t="str">
        <x:v>Uygulama kimlikleri, Safe izinleri, secret retrieval audit logları.</x:v>
      </x:c>
      <x:c r="G13" s="6" t="str">
        <x:v>Test uygulama kimliğiyle kapsam dışı sır erişiminin reddini doğrula.</x:v>
      </x:c>
      <x:c r="H13" s="6" t="str">
        <x:v>PAM Self-Hosted/Privilege Cloud ayrımı; Vault, PVWA, CPM, PSM kapsamı teyit edilmeli.</x:v>
      </x:c>
      <x:c r="I13" s="6" t="str">
        <x:v>Kurulu sürüm/dağıtımın özellik ve lisans desteği kanıtlanır. Test, salt okunur çıktı veya onaylı izole ortamla yürütülür.</x:v>
      </x:c>
      <x:c r="J13" s="6" t="str">
        <x:v>NIST-53: AC-3
NIST-53: AC-3; IA-5
BIGR: 3.1.12 | 3.1.12 — bölüm başlangıcı; basılı s.68 / PDF 72</x:v>
      </x:c>
      <x:c r="K13" s="6" t="str">
        <x:v>AC-3; IA-5</x:v>
      </x:c>
      <x:c r="L13" s="6" t="str">
        <x:v>1 eski soru. Birleştirme İzini bu Kontrol ID ile süzün.</x:v>
      </x:c>
    </x:row>
  </x:sheetData>
  <x:pageMargins left="0.7" right="0.7" top="0.75" bottom="0.75" header="0.3" footer="0.3"/>
  <x:tableParts count="1">
    <x:tablePart xmlns:r="http://schemas.openxmlformats.org/officeDocument/2006/relationships" r:id="Rca1d8737547e4141"/>
  </x:tableParts>
</x:worksheet>
</file>

<file path=xl/worksheets/sheet2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Forcepoint DLP</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DLP-007</x:v>
      </x:c>
      <x:c r="B6" s="6" t="str">
        <x:v>Sınıflandırma</x:v>
      </x:c>
      <x:c r="C6" s="6" t="str">
        <x:v>DLP sınıflandırıcıları korunan gerçek veri tipleriyle doğrulanmış mı?</x:v>
      </x:c>
      <x:c r="D6" s="6" t="str">
        <x:v>Her kritik veri sınıfı için pozitif ve negatif test seti bulunmalı.</x:v>
      </x:c>
      <x:c r="E6" s="6" t="str">
        <x:v>Yanlış sınıflandırıcı veri sızıntısını kaçırır veya iş akışını gereksiz durdurur.</x:v>
      </x:c>
      <x:c r="F6" s="6" t="str">
        <x:v>Veri sınıflandırma matrisi, classifier/fingerprint ayarı, sentetik test seti.</x:v>
      </x:c>
      <x:c r="G6" s="6" t="str">
        <x:v>Sentetik hassas ve benzer zararsız veride tespit sonuçlarını karşılaştır.</x:v>
      </x:c>
      <x:c r="H6" s="6" t="str">
        <x:v>Network/Endpoint/Discover modülleri, sürüm ve lisans teyit edilmeli.</x:v>
      </x:c>
      <x:c r="I6" s="6" t="str">
        <x:v>Kurulu sürüm/dağıtımın özellik ve lisans desteği kanıtlanır. Test, salt okunur çıktı veya onaylı izole ortamla yürütülür.</x:v>
      </x:c>
      <x:c r="J6" s="6" t="str">
        <x:v>NIST-53: AC-4
NIST-53: AC-4; SI-4
BIGR: 3.1.7 | 3.1.7 — bölüm başlangıcı; basılı s.57 / PDF 61</x:v>
      </x:c>
      <x:c r="K6" s="6" t="str">
        <x:v>AC-4; SI-4</x:v>
      </x:c>
      <x:c r="L6" s="6" t="str">
        <x:v>1 eski soru. Birleştirme İzini bu Kontrol ID ile süzün.</x:v>
      </x:c>
    </x:row>
    <x:row r="7" ht="55" customHeight="1">
      <x:c r="A7" s="6" t="str">
        <x:v>DLP-008</x:v>
      </x:c>
      <x:c r="B7" s="6" t="str">
        <x:v>Dağıtım</x:v>
      </x:c>
      <x:c r="C7" s="6" t="str">
        <x:v>Kaydedilen DLP politikaları ilgili tüm enforcement noktalarına deploy edilmiş mi?</x:v>
      </x:c>
      <x:c r="D7" s="6" t="str">
        <x:v>Son Deploy sonucu ve bileşen policy sürümü beklenen konfigürasyonla aynı olmalı.</x:v>
      </x:c>
      <x:c r="E7" s="6" t="str">
        <x:v>Konsolda görünen politika uçta etkin değildir.</x:v>
      </x:c>
      <x:c r="F7" s="6" t="str">
        <x:v>Deploy status, policy sürümü, endpoint/gateway listesi.</x:v>
      </x:c>
      <x:c r="G7" s="6" t="str">
        <x:v>Son policy değişikliğini seç; ilgili uçtaki sürüm ve test olayını karşılaştır.</x:v>
      </x:c>
      <x:c r="H7" s="6" t="str">
        <x:v>Network/Endpoint/Discover modülleri, sürüm ve lisans teyit edilmeli.</x:v>
      </x:c>
      <x:c r="I7" s="6" t="str">
        <x:v>Kurulu sürüm/dağıtımın özellik ve lisans desteği kanıtlanır. Test, salt okunur çıktı veya onaylı izole ortamla yürütülür.</x:v>
      </x:c>
      <x:c r="J7" s="6" t="str">
        <x:v>DLP-GUIDE: Navigating the System, Deploy button
NIST-53: CM-3; CM-6
BIGR: 3.1.7 | 3.1.7 — bölüm başlangıcı; basılı s.57 / PDF 61</x:v>
      </x:c>
      <x:c r="K7" s="6" t="str">
        <x:v>CM-3; CM-6</x:v>
      </x:c>
      <x:c r="L7" s="6" t="str">
        <x:v>1 eski soru. Birleştirme İzini bu Kontrol ID ile süzün.</x:v>
      </x:c>
    </x:row>
    <x:row r="8" ht="55" customHeight="1">
      <x:c r="A8" s="6" t="str">
        <x:v>DLP-009</x:v>
      </x:c>
      <x:c r="B8" s="6" t="str">
        <x:v>Kanal kapsamı</x:v>
      </x:c>
      <x:c r="C8" s="6" t="str">
        <x:v>Web, e-posta, USB ve diğer sözleşme kapsamındaki kanallar fiilen denetleniyor mu?</x:v>
      </x:c>
      <x:c r="D8" s="6" t="str">
        <x:v>Lisans/OS desteğiyle gerçek kanal kapsamı mutabık; boşluklar kayıtlı olmalı.</x:v>
      </x:c>
      <x:c r="E8" s="6" t="str">
        <x:v>Denetlenmeyen kanal veri çıkarma yolu olur.</x:v>
      </x:c>
      <x:c r="F8" s="6" t="str">
        <x:v>Kanal-kapsam matrisi, policy/action ayarları, uç testleri.</x:v>
      </x:c>
      <x:c r="G8" s="6" t="str">
        <x:v>Her etkin kanal türünde sentetik veriyle beklenen blok/izin sonucunu doğrula.</x:v>
      </x:c>
      <x:c r="H8" s="6" t="str">
        <x:v>Yalnız satın alınmış/kurulu modüller; olmayan kabiliyet var sayılmaz.</x:v>
      </x:c>
      <x:c r="I8" s="6" t="str">
        <x:v>Kurulu sürüm/dağıtımın özellik ve lisans desteği kanıtlanır. Test, salt okunur çıktı veya onaylı izole ortamla yürütülür.</x:v>
      </x:c>
      <x:c r="J8" s="6" t="str">
        <x:v>NIST-53: AC-4
NIST-53: AC-4; SI-4
BIGR: 3.1.7 | 3.1.7 — bölüm başlangıcı; basılı s.57 / PDF 61</x:v>
      </x:c>
      <x:c r="K8" s="6" t="str">
        <x:v>AC-4; SI-4</x:v>
      </x:c>
      <x:c r="L8" s="6" t="str">
        <x:v>1 eski soru. Birleştirme İzini bu Kontrol ID ile süzün.</x:v>
      </x:c>
    </x:row>
    <x:row r="9" ht="55" customHeight="1">
      <x:c r="A9" s="6" t="str">
        <x:v>DLP-010</x:v>
      </x:c>
      <x:c r="B9" s="6" t="str">
        <x:v>Yetki ve mahremiyet</x:v>
      </x:c>
      <x:c r="C9" s="6" t="str">
        <x:v>Olay içeriğini gören roller tenant ve görev sınırına uygun mu?</x:v>
      </x:c>
      <x:c r="D9" s="6" t="str">
        <x:v>Policy Manager/Incident Manager/Auditor ve global haklar görevle uyumlu olmalı.</x:v>
      </x:c>
      <x:c r="E9" s="6" t="str">
        <x:v>DLP olay delilleri hassas verinin ikinci bir sızıntı noktası olur.</x:v>
      </x:c>
      <x:c r="F9" s="6" t="str">
        <x:v>Administrator/role listesi, incident kapsamı ve audit logu.</x:v>
      </x:c>
      <x:c r="G9" s="6" t="str">
        <x:v>Bir denetçi ve müşteri rolünün olay içeriğini okuma/değiştirme yetkisini doğrula.</x:v>
      </x:c>
      <x:c r="H9" s="6" t="str">
        <x:v>Network/Endpoint/Discover modülleri, sürüm ve lisans teyit edilmeli.</x:v>
      </x:c>
      <x:c r="I9" s="6" t="str">
        <x:v>Kurulu sürüm/dağıtımın özellik ve lisans desteği kanıtlanır. Test, salt okunur çıktı veya onaylı izole ortamla yürütülür.</x:v>
      </x:c>
      <x:c r="J9" s="6" t="str">
        <x:v>DLP-ROLE: Working with roles
NIST-53: AC-3; AC-6
BIGR: 3.1.7 | 3.1.7 — bölüm başlangıcı; basılı s.57 / PDF 61</x:v>
      </x:c>
      <x:c r="K9" s="6" t="str">
        <x:v>AC-3; AC-6</x:v>
      </x:c>
      <x:c r="L9" s="6" t="str">
        <x:v>1 eski soru. Birleştirme İzini bu Kontrol ID ile süzün.</x:v>
      </x:c>
    </x:row>
    <x:row r="10" ht="55" customHeight="1">
      <x:c r="A10" s="6" t="str">
        <x:v>DLP-011</x:v>
      </x:c>
      <x:c r="B10" s="6" t="str">
        <x:v>Tenant ayrımı</x:v>
      </x:c>
      <x:c r="C10" s="6" t="str">
        <x:v>Olaylar, fingerprint kaynakları ve endpoint profilleri müşteriler arasında karışıyor mu?</x:v>
      </x:c>
      <x:c r="D10" s="6" t="str">
        <x:v>Müşteri kapsamı her veri kaynağı, olay erişimi ve profile üzerinde doğrulanmalı.</x:v>
      </x:c>
      <x:c r="E10" s="6" t="str">
        <x:v>Yanlış politika başka müşterinin verisini toplar veya engeller.</x:v>
      </x:c>
      <x:c r="F10" s="6" t="str">
        <x:v>Policy scope, incident erişimi, endpoint profilleri, dizin grupları.</x:v>
      </x:c>
      <x:c r="G10" s="6" t="str">
        <x:v>İki tenant sentetik verisini ayrı test et; sadece yetkili analistin gördüğünü doğrula.</x:v>
      </x:c>
      <x:c r="H10" s="6" t="str">
        <x:v>Network/Endpoint/Discover modülleri, sürüm ve lisans teyit edilmeli.</x:v>
      </x:c>
      <x:c r="I10" s="6" t="str">
        <x:v>Kurulu sürüm/dağıtımın özellik ve lisans desteği kanıtlanır. Test, salt okunur çıktı veya onaylı izole ortamla yürütülür.</x:v>
      </x:c>
      <x:c r="J10" s="6" t="str">
        <x:v>NIST-53: SC-4
NIST-53: AC-3; SC-4
BIGR: 4.3.1.4 | 4.3.1.4 — basılı s.164 / PDF 168</x:v>
      </x:c>
      <x:c r="K10" s="6" t="str">
        <x:v>AC-3; SC-4</x:v>
      </x:c>
      <x:c r="L10" s="6" t="str">
        <x:v>1 eski soru. Birleştirme İzini bu Kontrol ID ile süzün.</x:v>
      </x:c>
    </x:row>
    <x:row r="11" ht="55" customHeight="1">
      <x:c r="A11" s="6" t="str">
        <x:v>DLP-012</x:v>
      </x:c>
      <x:c r="B11" s="6" t="str">
        <x:v>İstisnalar</x:v>
      </x:c>
      <x:c r="C11" s="6" t="str">
        <x:v>DLP bypass ve istisnaları kaynak/hedef/veri tipiyle daraltılmış mı?</x:v>
      </x:c>
      <x:c r="D11" s="6" t="str">
        <x:v>İstisna sahibi, gerekçesi ve yeniden inceleme tarihi kayıtlı; testle sınırlı olduğu görülmeli.</x:v>
      </x:c>
      <x:c r="E11" s="6" t="str">
        <x:v>Geniş istisna gerçek veri çıkışını görünmez kılar.</x:v>
      </x:c>
      <x:c r="F11" s="6" t="str">
        <x:v>İstisna listesi, risk kabulü, blok/izin test kayıtları.</x:v>
      </x:c>
      <x:c r="G11" s="6" t="str">
        <x:v>İstisna sınırındaki ve dışındaki sentetik veri aktarımını karşılaştır.</x:v>
      </x:c>
      <x:c r="H11" s="6" t="str">
        <x:v>Network/Endpoint/Discover modülleri, sürüm ve lisans teyit edilmeli.</x:v>
      </x:c>
      <x:c r="I11" s="6" t="str">
        <x:v>Kurulu sürüm/dağıtımın özellik ve lisans desteği kanıtlanır. Test, salt okunur çıktı veya onaylı izole ortamla yürütülür.</x:v>
      </x:c>
      <x:c r="J11" s="6" t="str">
        <x:v>NIST-53: CM-6
NIST-53: CM-6; RA-7
BIGR: 3.1.7 | 3.1.7 — bölüm başlangıcı; basılı s.57 / PDF 61</x:v>
      </x:c>
      <x:c r="K11" s="6" t="str">
        <x:v>CM-6; RA-7</x:v>
      </x:c>
      <x:c r="L11" s="6" t="str">
        <x:v>1 eski soru. Birleştirme İzini bu Kontrol ID ile süzün.</x:v>
      </x:c>
    </x:row>
    <x:row r="12" ht="55" customHeight="1">
      <x:c r="A12" s="6" t="str">
        <x:v>DLP-013</x:v>
      </x:c>
      <x:c r="B12" s="6" t="str">
        <x:v>Uç nokta sürekliliği</x:v>
      </x:c>
      <x:c r="C12" s="6" t="str">
        <x:v>DLP ajanı çevrimdışı veya müdahaleye uğradığında güvenlik gereksinimi korunuyor mu?</x:v>
      </x:c>
      <x:c r="D12" s="6" t="str">
        <x:v>OS/modülün desteklediği çevrimdışı ve tamper davranışı belgeli; boşluk için telafi kontrolü olmalı.</x:v>
      </x:c>
      <x:c r="E12" s="6" t="str">
        <x:v>Ağ dışındaki kullanıcı korumayı atlatır.</x:v>
      </x:c>
      <x:c r="F12" s="6" t="str">
        <x:v>Endpoint profile, son bağlantı ve politika bilgisi, lab testi.</x:v>
      </x:c>
      <x:c r="G12" s="6" t="str">
        <x:v>Kontrollü çevrimdışı uçta sentetik kanal testi ve yeniden bağlantı olayı doğrula.</x:v>
      </x:c>
      <x:c r="H12" s="6" t="str">
        <x:v>Network/Endpoint/Discover modülleri, sürüm ve lisans teyit edilmeli.</x:v>
      </x:c>
      <x:c r="I12" s="6" t="str">
        <x:v>Kurulu sürüm/dağıtımın özellik ve lisans desteği kanıtlanır. Test, salt okunur çıktı veya onaylı izole ortamla yürütülür.</x:v>
      </x:c>
      <x:c r="J12" s="6" t="str">
        <x:v>NIST-53: SI-4
NIST-53: SI-4; CM-5
BIGR: 3.1.7 | 3.1.7 — bölüm başlangıcı; basılı s.57 / PDF 61</x:v>
      </x:c>
      <x:c r="K12" s="6" t="str">
        <x:v>SI-4; CM-5</x:v>
      </x:c>
      <x:c r="L12" s="6" t="str">
        <x:v>1 eski soru. Birleştirme İzini bu Kontrol ID ile süzün.</x:v>
      </x:c>
    </x:row>
    <x:row r="13" ht="55" customHeight="1">
      <x:c r="A13" s="6" t="str">
        <x:v>DLP-014</x:v>
      </x:c>
      <x:c r="B13" s="6" t="str">
        <x:v>Olay yaşam döngüsü</x:v>
      </x:c>
      <x:c r="C13" s="6" t="str">
        <x:v>DLP olaylarının inceleme, delil saklama ve silme süreci kontrollü mü?</x:v>
      </x:c>
      <x:c r="D13" s="6" t="str">
        <x:v>Yetki, saklama ve olay kapanış gerekçesi veri sınıfıyla uyumlu olmalı.</x:v>
      </x:c>
      <x:c r="E13" s="6" t="str">
        <x:v>Deliller gereğinden uzun kalır veya olay incelenmeden kaybolur.</x:v>
      </x:c>
      <x:c r="F13" s="6" t="str">
        <x:v>Incident workflow, archive/saklama ayarı, örnek kapanış kaydı.</x:v>
      </x:c>
      <x:c r="G13" s="6" t="str">
        <x:v>Bir olayın oluşturulmasından kapanış ve saklama sınırına kadar izini takip et.</x:v>
      </x:c>
      <x:c r="H13" s="6" t="str">
        <x:v>Network/Endpoint/Discover modülleri, sürüm ve lisans teyit edilmeli.</x:v>
      </x:c>
      <x:c r="I13" s="6" t="str">
        <x:v>Kurulu sürüm/dağıtımın özellik ve lisans desteği kanıtlanır. Test, salt okunur çıktı veya onaylı izole ortamla yürütülür.</x:v>
      </x:c>
      <x:c r="J13" s="6" t="str">
        <x:v>DLP-GUIDE: incidents, archive partitions
NIST-53: IR-4; SI-12; AU-9
BIGR: 3.1.7 | 3.1.7 — bölüm başlangıcı; basılı s.57 / PDF 61</x:v>
      </x:c>
      <x:c r="K13" s="6" t="str">
        <x:v>IR-4; SI-12; AU-9</x:v>
      </x:c>
      <x:c r="L13" s="6" t="str">
        <x:v>1 eski soru. Birleştirme İzini bu Kontrol ID ile süzün.</x:v>
      </x:c>
    </x:row>
  </x:sheetData>
  <x:pageMargins left="0.7" right="0.7" top="0.75" bottom="0.75" header="0.3" footer="0.3"/>
  <x:tableParts count="1">
    <x:tablePart xmlns:r="http://schemas.openxmlformats.org/officeDocument/2006/relationships" r:id="R4355693e26364fc1"/>
  </x:tableParts>
</x:worksheet>
</file>

<file path=xl/worksheets/sheet2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Zabbix</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ZBX-007</x:v>
      </x:c>
      <x:c r="B6" s="6" t="str">
        <x:v>Yetki sınırı</x:v>
      </x:c>
      <x:c r="C6" s="6" t="str">
        <x:v>Zabbix servisleri ve kullanıcıları minimum yetkiyle çalışıyor mu?</x:v>
      </x:c>
      <x:c r="D6" s="6" t="str">
        <x:v>Frontend, DB, server/proxy/agent hesapları yalnız gerekli yetkileri taşımalı.</x:v>
      </x:c>
      <x:c r="E6" s="6" t="str">
        <x:v>İzleme hesabı veya script altyapısı tüm müşterilerde komut çalıştırma kapısına dönüşür.</x:v>
      </x:c>
      <x:c r="F6" s="6" t="str">
        <x:v>Servis hesapları, OS/DB izinleri, Zabbix roller.</x:v>
      </x:c>
      <x:c r="G6" s="6" t="str">
        <x:v>Servis ve admin yetkilerini görevle karşılaştır; gereksiz OS/DB yetkilerini tespit et.</x:v>
      </x:c>
      <x:c r="H6" s="6" t="str">
        <x:v>Sürüm ve agent/agent2/proxy topolojisi teyit edilmeli.</x:v>
      </x:c>
      <x:c r="I6" s="6" t="str">
        <x:v>Kurulu sürüm/dağıtımın özellik ve lisans desteği kanıtlanır. Test, salt okunur çıktı veya onaylı izole ortamla yürütülür.</x:v>
      </x:c>
      <x:c r="J6" s="6" t="str">
        <x:v>ZAB-ACCESS: principle of least privilege
NIST-53: AC-6
BIGR: 3.1.12 | 3.1.12 — bölüm başlangıcı; basılı s.68 / PDF 72</x:v>
      </x:c>
      <x:c r="K6" s="6" t="str">
        <x:v>AC-6</x:v>
      </x:c>
      <x:c r="L6" s="6" t="str">
        <x:v>1 eski soru. Birleştirme İzini bu Kontrol ID ile süzün.</x:v>
      </x:c>
    </x:row>
    <x:row r="7" ht="55" customHeight="1">
      <x:c r="A7" s="6" t="str">
        <x:v>ZBX-008</x:v>
      </x:c>
      <x:c r="B7" s="6" t="str">
        <x:v>Tenant verisi</x:v>
      </x:c>
      <x:c r="C7" s="6" t="str">
        <x:v>Host group ve kullanıcı yetkileri müşteri verilerini ayırıyor mu?</x:v>
      </x:c>
      <x:c r="D7" s="6" t="str">
        <x:v>Tenant host/metrik erişimi rol/host group ile sınırlandırılmış olmalı.</x:v>
      </x:c>
      <x:c r="E7" s="6" t="str">
        <x:v>Metrik, envanter veya secret makroları başka müşteriye görünür.</x:v>
      </x:c>
      <x:c r="F7" s="6" t="str">
        <x:v>User group/host group permissions, API token scope.</x:v>
      </x:c>
      <x:c r="G7" s="6" t="str">
        <x:v>İki kullanıcı ile çapraz host ve API erişiminin reddini doğrula.</x:v>
      </x:c>
      <x:c r="H7" s="6" t="str">
        <x:v>Sürüm ve agent/agent2/proxy topolojisi teyit edilmeli.</x:v>
      </x:c>
      <x:c r="I7" s="6" t="str">
        <x:v>Kurulu sürüm/dağıtımın özellik ve lisans desteği kanıtlanır. Test, salt okunur çıktı veya onaylı izole ortamla yürütülür.</x:v>
      </x:c>
      <x:c r="J7" s="6" t="str">
        <x:v>NIST-53: AC-3
NIST-53: AC-3; SC-4
BIGR: 4.3.1.4 | 4.3.1.4 — basılı s.164 / PDF 168</x:v>
      </x:c>
      <x:c r="K7" s="6" t="str">
        <x:v>AC-3; SC-4</x:v>
      </x:c>
      <x:c r="L7" s="6" t="str">
        <x:v>1 eski soru. Birleştirme İzini bu Kontrol ID ile süzün.</x:v>
      </x:c>
    </x:row>
    <x:row r="8" ht="55" customHeight="1">
      <x:c r="A8" s="6" t="str">
        <x:v>ZBX-009</x:v>
      </x:c>
      <x:c r="B8" s="6" t="str">
        <x:v>TLS</x:v>
      </x:c>
      <x:c r="C8" s="6" t="str">
        <x:v>Server-proxy-agent iletişimi desteklenen PSK veya sertifikayla korunuyor mu?</x:v>
      </x:c>
      <x:c r="D8" s="6" t="str">
        <x:v>Gerekli bağlantılar şifreli ve kimlik doğrulamalı; ortak/tekrar kullanılan sırlar kontrol edilmeli.</x:v>
      </x:c>
      <x:c r="E8" s="6" t="str">
        <x:v>Sahte ajan/proxy metrik veya komut kanalını taklit edebilir.</x:v>
      </x:c>
      <x:c r="F8" s="6" t="str">
        <x:v>TLSConnect/TLSAccept ve host encryption ayarları, maskelenmiş PSK kimlik listesi.</x:v>
      </x:c>
      <x:c r="G8" s="6" t="str">
        <x:v>İki uç ayarını ve yetkisiz bağlantı reddini test/log ile karşılaştır.</x:v>
      </x:c>
      <x:c r="H8" s="6" t="str">
        <x:v>Sürüm ve agent/agent2/proxy topolojisi teyit edilmeli.</x:v>
      </x:c>
      <x:c r="I8" s="6" t="str">
        <x:v>Kurulu sürüm/dağıtımın özellik ve lisans desteği kanıtlanır. Test, salt okunur çıktı veya onaylı izole ortamla yürütülür.</x:v>
      </x:c>
      <x:c r="J8" s="6" t="str">
        <x:v>ZAB-TLS: Encryption
NIST-53: SC-8; IA-9
BIGR: 3.2.9 | 3.2.9 — bölüm başlangıcı; basılı s.106 / PDF 110</x:v>
      </x:c>
      <x:c r="K8" s="6" t="str">
        <x:v>SC-8; IA-9</x:v>
      </x:c>
      <x:c r="L8" s="6" t="str">
        <x:v>1 eski soru. Birleştirme İzini bu Kontrol ID ile süzün.</x:v>
      </x:c>
    </x:row>
    <x:row r="9" ht="55" customHeight="1">
      <x:c r="A9" s="6" t="str">
        <x:v>ZBX-010</x:v>
      </x:c>
      <x:c r="B9" s="6" t="str">
        <x:v>Uzaktan komut</x:v>
      </x:c>
      <x:c r="C9" s="6" t="str">
        <x:v>Global script, action ve remote command yetkileri sınırlı mı?</x:v>
      </x:c>
      <x:c r="D9" s="6" t="str">
        <x:v>Gereksiz komut yetkisi kapalı; script izinleri dar ve içerik sır içermemeli.</x:v>
      </x:c>
      <x:c r="E9" s="6" t="str">
        <x:v>Düşük yetkili kullanıcı izleme sistemi üzerinden müşteri sunucusunda komut çalıştırır.</x:v>
      </x:c>
      <x:c r="F9" s="6" t="str">
        <x:v>Script/action listesi, roller, ajan izin/deny ayarları.</x:v>
      </x:c>
      <x:c r="G9" s="6" t="str">
        <x:v>Yalnız zararsız test komutunu yetkili/yetkisiz rollerle karşılaştır.</x:v>
      </x:c>
      <x:c r="H9" s="6" t="str">
        <x:v>Sürüm ve agent/agent2/proxy topolojisi teyit edilmeli.</x:v>
      </x:c>
      <x:c r="I9" s="6" t="str">
        <x:v>Kurulu sürüm/dağıtımın özellik ve lisans desteği kanıtlanır. Test, salt okunur çıktı veya onaylı izole ortamla yürütülür.</x:v>
      </x:c>
      <x:c r="J9" s="6" t="str">
        <x:v>ZAB-SEC: macros in user-defined global scripts; ZAB-ACCESS
NIST-53: AC-6; CM-7
BIGR: 3.1.12.12 | 3.1.12.12 — basılı s.68 / PDF 72</x:v>
      </x:c>
      <x:c r="K9" s="6" t="str">
        <x:v>AC-6; CM-7</x:v>
      </x:c>
      <x:c r="L9" s="6" t="str">
        <x:v>1 eski soru. Birleştirme İzini bu Kontrol ID ile süzün.</x:v>
      </x:c>
    </x:row>
    <x:row r="10" ht="55" customHeight="1">
      <x:c r="A10" s="6" t="str">
        <x:v>ZBX-011</x:v>
      </x:c>
      <x:c r="B10" s="6" t="str">
        <x:v>Kimlik bilgileri</x:v>
      </x:c>
      <x:c r="C10" s="6" t="str">
        <x:v>Makro, script ve konfigürasyonlardaki sırlar erişim kontrolüyle korunuyor mu?</x:v>
      </x:c>
      <x:c r="D10" s="6" t="str">
        <x:v>Sırların UI/API/OS erişimi sınırlı ve gerekli yerde güvenli secret yöntemi uygulanmış olmalı.</x:v>
      </x:c>
      <x:c r="E10" s="6" t="str">
        <x:v>İzleme için kullanılan SNMP/DB/API sırları diğer sistemlere erişim sağlar.</x:v>
      </x:c>
      <x:c r="F10" s="6" t="str">
        <x:v>Maskelenmiş makro/konfigürasyon, dosya izinleri, token yetkileri.</x:v>
      </x:c>
      <x:c r="G10" s="6" t="str">
        <x:v>Düşük yetkili kullanıcıyla sırların görünürlüğünü ve script API içeriğini incele.</x:v>
      </x:c>
      <x:c r="H10" s="6" t="str">
        <x:v>Sürüm ve agent/agent2/proxy topolojisi teyit edilmeli.</x:v>
      </x:c>
      <x:c r="I10" s="6" t="str">
        <x:v>Kurulu sürüm/dağıtımın özellik ve lisans desteği kanıtlanır. Test, salt okunur çıktı veya onaylı izole ortamla yürütülür.</x:v>
      </x:c>
      <x:c r="J10" s="6" t="str">
        <x:v>ZAB-ACCESS: sensitive information in scripts
NIST-53: IA-5; AC-6
BIGR: 3.1.12 | 3.1.12 — bölüm başlangıcı; basılı s.68 / PDF 72</x:v>
      </x:c>
      <x:c r="K10" s="6" t="str">
        <x:v>IA-5; AC-6</x:v>
      </x:c>
      <x:c r="L10" s="6" t="str">
        <x:v>1 eski soru. Birleştirme İzini bu Kontrol ID ile süzün.</x:v>
      </x:c>
    </x:row>
    <x:row r="11" ht="55" customHeight="1">
      <x:c r="A11" s="6" t="str">
        <x:v>ZBX-012</x:v>
      </x:c>
      <x:c r="B11" s="6" t="str">
        <x:v>Alarm güvenilirliği</x:v>
      </x:c>
      <x:c r="C11" s="6" t="str">
        <x:v>Trigger, maintenance ve action zinciri kritik arızayı doğru ekibe bildiriyor mu?</x:v>
      </x:c>
      <x:c r="D11" s="6" t="str">
        <x:v>Müşteri alarm koşulu, alıcısı ve baskılama süresi onaylı olmalı.</x:v>
      </x:c>
      <x:c r="E11" s="6" t="str">
        <x:v>Yanlış maintenance veya disabled action gerçek kesintiyi gizler.</x:v>
      </x:c>
      <x:c r="F11" s="6" t="str">
        <x:v>Trigger/action/maintenance exportu, test alarmı, bilet.</x:v>
      </x:c>
      <x:c r="G11" s="6" t="str">
        <x:v>Zararsız eşik testini olaydan bildirime takip et; maintenance sonrası alarm dönüşünü kontrol et.</x:v>
      </x:c>
      <x:c r="H11" s="6" t="str">
        <x:v>Sürüm ve agent/agent2/proxy topolojisi teyit edilmeli.</x:v>
      </x:c>
      <x:c r="I11" s="6" t="str">
        <x:v>Kurulu sürüm/dağıtımın özellik ve lisans desteği kanıtlanır. Test, salt okunur çıktı veya onaylı izole ortamla yürütülür.</x:v>
      </x:c>
      <x:c r="J11" s="6" t="str">
        <x:v>NIST-53: SI-4
NIST-53: SI-4; AU-5
BIGR: 3.1.8.6 | 3.1.8.6 — basılı s.59 / PDF 63</x:v>
      </x:c>
      <x:c r="K11" s="6" t="str">
        <x:v>SI-4; AU-5</x:v>
      </x:c>
      <x:c r="L11" s="6" t="str">
        <x:v>1 eski soru. Birleştirme İzini bu Kontrol ID ile süzün.</x:v>
      </x:c>
    </x:row>
    <x:row r="12" ht="55" customHeight="1">
      <x:c r="A12" s="6" t="str">
        <x:v>ZBX-013</x:v>
      </x:c>
      <x:c r="B12" s="6" t="str">
        <x:v>Kurtarma</x:v>
      </x:c>
      <x:c r="C12" s="6" t="str">
        <x:v>Zabbix veri tabanı ve gerekli konfigürasyonlar geri yüklenebiliyor mu?</x:v>
      </x:c>
      <x:c r="D12" s="6" t="str">
        <x:v>DB, konfigürasyon ve gerekli anahtarlar yedeklenmiş; restore test edilmiş olmalı.</x:v>
      </x:c>
      <x:c r="E12" s="6" t="str">
        <x:v>İzleme sistemi kaybı tüm hizmetlerin görünürlüğünü keser.</x:v>
      </x:c>
      <x:c r="F12" s="6" t="str">
        <x:v>Backup planı, restore raporu, proxy bağımlılık listesi.</x:v>
      </x:c>
      <x:c r="G12" s="6" t="str">
        <x:v>İzole geri dönüşte host, trigger ve bildirim işlevinin çalıştığını doğrula.</x:v>
      </x:c>
      <x:c r="H12" s="6" t="str">
        <x:v>Sürüm ve agent/agent2/proxy topolojisi teyit edilmeli.</x:v>
      </x:c>
      <x:c r="I12" s="6" t="str">
        <x:v>Kurulu sürüm/dağıtımın özellik ve lisans desteği kanıtlanır. Test, salt okunur çıktı veya onaylı izole ortamla yürütülür.</x:v>
      </x:c>
      <x:c r="J12" s="6" t="str">
        <x:v>NIST-53: CP-10
NIST-53: CP-9; CP-10
BIGR: 3.1.13.4 | 3.1.13.4 — basılı s.74 / PDF 78</x:v>
      </x:c>
      <x:c r="K12" s="6" t="str">
        <x:v>CP-9; CP-10</x:v>
      </x:c>
      <x:c r="L12" s="6" t="str">
        <x:v>1 eski soru. Birleştirme İzini bu Kontrol ID ile süzün.</x:v>
      </x:c>
    </x:row>
  </x:sheetData>
  <x:pageMargins left="0.7" right="0.7" top="0.75" bottom="0.75" header="0.3" footer="0.3"/>
  <x:tableParts count="1">
    <x:tablePart xmlns:r="http://schemas.openxmlformats.org/officeDocument/2006/relationships" r:id="R2f2760ab199b45f6"/>
  </x:tableParts>
</x:worksheet>
</file>

<file path=xl/worksheets/sheet2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Grafana</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GRA-007</x:v>
      </x:c>
      <x:c r="B6" s="6" t="str">
        <x:v>Tenant verisi</x:v>
      </x:c>
      <x:c r="C6" s="6" t="str">
        <x:v>Organizasyon, dashboard ve veri kaynağı yetkileri müşteri sınırını gerçekten koruyor mu?</x:v>
      </x:c>
      <x:c r="D6" s="6" t="str">
        <x:v>Tenant ayrımı veri kaynağı/arka uçta da uygulanmalı; UI görünürlüğü tek kanıt olmamalı.</x:v>
      </x:c>
      <x:c r="E6" s="6" t="str">
        <x:v>Dashboard gizlense bile veri kaynağı sorgusuyla başka tenant verisi okunabilir.</x:v>
      </x:c>
      <x:c r="F6" s="6" t="str">
        <x:v>Organization/team/folder izinleri, datasource kimliği ve arka uç rolü.</x:v>
      </x:c>
      <x:c r="G6" s="6" t="str">
        <x:v>Düşük yetkili test kullanıcıyla doğrudan veri kaynağı sorgusunun kapsamını doğrula.</x:v>
      </x:c>
      <x:c r="H6" s="6" t="str">
        <x:v>OSS/Enterprise/Cloud sürümü ve lisansı teyit edilmeli; data source izinleri ve audit özellikleri modele bağlı.</x:v>
      </x:c>
      <x:c r="I6" s="6" t="str">
        <x:v>Kurulu sürüm/dağıtımın özellik ve lisans desteği kanıtlanır. Test, salt okunur çıktı veya onaylı izole ortamla yürütülür.</x:v>
      </x:c>
      <x:c r="J6" s="6" t="str">
        <x:v>NIST-53: AC-3
NIST-53: AC-3; SC-4
BIGR: 4.3.1.4 | 4.3.1.4 — basılı s.164 / PDF 168</x:v>
      </x:c>
      <x:c r="K6" s="6" t="str">
        <x:v>AC-3; SC-4</x:v>
      </x:c>
      <x:c r="L6" s="6" t="str">
        <x:v>1 eski soru. Birleştirme İzini bu Kontrol ID ile süzün.</x:v>
      </x:c>
    </x:row>
    <x:row r="7" ht="55" customHeight="1">
      <x:c r="A7" s="6" t="str">
        <x:v>GRA-008</x:v>
      </x:c>
      <x:c r="B7" s="6" t="str">
        <x:v>Anonim paylaşım</x:v>
      </x:c>
      <x:c r="C7" s="6" t="str">
        <x:v>Anonim erişim, public dashboard ve snapshot paylaşımları onaylı mı?</x:v>
      </x:c>
      <x:c r="D7" s="6" t="str">
        <x:v>Yalnız yayımlanması onaylı veri açık; bağlantılar ve sahipleri izlenmeli.</x:v>
      </x:c>
      <x:c r="E7" s="6" t="str">
        <x:v>Herkese açık bağlantı iç sistem ve müşteri metriklerini ifşa eder.</x:v>
      </x:c>
      <x:c r="F7" s="6" t="str">
        <x:v>Anonim/public/snapshot ayarları, paylaşım listesi.</x:v>
      </x:c>
      <x:c r="G7" s="6" t="str">
        <x:v>Kimliksiz erişimle yayımlı içeriği kontrol et; müşteri onayıyla eşleştir.</x:v>
      </x:c>
      <x:c r="H7" s="6" t="str">
        <x:v>OSS/Enterprise/Cloud sürümü ve lisansı teyit edilmeli; data source izinleri ve audit özellikleri modele bağlı.</x:v>
      </x:c>
      <x:c r="I7" s="6" t="str">
        <x:v>Kurulu sürüm/dağıtımın özellik ve lisans desteği kanıtlanır. Test, salt okunur çıktı veya onaylı izole ortamla yürütülür.</x:v>
      </x:c>
      <x:c r="J7" s="6" t="str">
        <x:v>NIST-53: AC-22
NIST-53: AC-3; AC-22
BIGR: 3.2.3 | 3.2.3 — bölüm başlangıcı; basılı s.91 / PDF 95</x:v>
      </x:c>
      <x:c r="K7" s="6" t="str">
        <x:v>AC-3; AC-22</x:v>
      </x:c>
      <x:c r="L7" s="6" t="str">
        <x:v>1 eski soru. Birleştirme İzini bu Kontrol ID ile süzün.</x:v>
      </x:c>
    </x:row>
    <x:row r="8" ht="55" customHeight="1">
      <x:c r="A8" s="6" t="str">
        <x:v>GRA-009</x:v>
      </x:c>
      <x:c r="B8" s="6" t="str">
        <x:v>Sunucu istekleri</x:v>
      </x:c>
      <x:c r="C8" s="6" t="str">
        <x:v>Grafana veri kaynağı proxy'si iç ağdaki yetkisiz hedeflere erişebiliyor mu?</x:v>
      </x:c>
      <x:c r="D8" s="6" t="str">
        <x:v>Gerekli hedeflere ağ kısıtı ve uygun sunucu istek kontrolü olmalı.</x:v>
      </x:c>
      <x:c r="E8" s="6" t="str">
        <x:v>SSRF benzeri istekler yönetim veya metadata uçlarını açığa çıkarır.</x:v>
      </x:c>
      <x:c r="F8" s="6" t="str">
        <x:v>Egress ACL, datasource URL listesi, request security ayarı varsa export.</x:v>
      </x:c>
      <x:c r="G8" s="6" t="str">
        <x:v>Onaylı test hedefinde izinli/yasaklı sunucu erişimini karşılaştır.</x:v>
      </x:c>
      <x:c r="H8" s="6" t="str">
        <x:v>OSS/Enterprise/Cloud sürümü ve lisansı teyit edilmeli; data source izinleri ve audit özellikleri modele bağlı.</x:v>
      </x:c>
      <x:c r="I8" s="6" t="str">
        <x:v>Kurulu sürüm/dağıtımın özellik ve lisans desteği kanıtlanır. Test, salt okunur çıktı veya onaylı izole ortamla yürütülür.</x:v>
      </x:c>
      <x:c r="J8" s="6" t="str">
        <x:v>GRA-SEC: data source proxy exploitation
NIST-53: SC-7; AC-4
BIGR: 3.1.6 | 3.1.6 — bölüm başlangıcı; basılı s.49 / PDF 53</x:v>
      </x:c>
      <x:c r="K8" s="6" t="str">
        <x:v>SC-7; AC-4</x:v>
      </x:c>
      <x:c r="L8" s="6" t="str">
        <x:v>1 eski soru. Birleştirme İzini bu Kontrol ID ile süzün.</x:v>
      </x:c>
    </x:row>
    <x:row r="9" ht="55" customHeight="1">
      <x:c r="A9" s="6" t="str">
        <x:v>GRA-010</x:v>
      </x:c>
      <x:c r="B9" s="6" t="str">
        <x:v>Web sıkılaştırma</x:v>
      </x:c>
      <x:c r="C9" s="6" t="str">
        <x:v>Güvenli cookie ve uygun tarayıcı güvenlik başlıkları uygulanmış mı?</x:v>
      </x:c>
      <x:c r="D9" s="6" t="str">
        <x:v>HTTPS ortamında secure cookie; SameSite ve CSP/HSTS gibi ayarlar mimariye uygun olmalı.</x:v>
      </x:c>
      <x:c r="E9" s="6" t="str">
        <x:v>Oturum çalınması veya içerik enjeksiyonu kullanıcı yetkisini ele geçirir.</x:v>
      </x:c>
      <x:c r="F9" s="6" t="str">
        <x:v>Grafana security config ve HTTP response headers.</x:v>
      </x:c>
      <x:c r="G9" s="6" t="str">
        <x:v>Gerçek erişim URL'sinde cookie/header çıktısını onaylı bazla karşılaştır.</x:v>
      </x:c>
      <x:c r="H9" s="6" t="str">
        <x:v>OSS/Enterprise/Cloud sürümü ve lisansı teyit edilmeli; data source izinleri ve audit özellikleri modele bağlı.</x:v>
      </x:c>
      <x:c r="I9" s="6" t="str">
        <x:v>Kurulu sürüm/dağıtımın özellik ve lisans desteği kanıtlanır. Test, salt okunur çıktı veya onaylı izole ortamla yürütülür.</x:v>
      </x:c>
      <x:c r="J9" s="6" t="str">
        <x:v>GRA-HARD: security hardening
NIST-53: SC-23; CM-6
BIGR: 3.2.2 | 3.2.2 — bölüm başlangıcı; basılı s.89 / PDF 93</x:v>
      </x:c>
      <x:c r="K9" s="6" t="str">
        <x:v>SC-23; CM-6</x:v>
      </x:c>
      <x:c r="L9" s="6" t="str">
        <x:v>1 eski soru. Birleştirme İzini bu Kontrol ID ile süzün.</x:v>
      </x:c>
    </x:row>
    <x:row r="10" ht="55" customHeight="1">
      <x:c r="A10" s="6" t="str">
        <x:v>GRA-011</x:v>
      </x:c>
      <x:c r="B10" s="6" t="str">
        <x:v>Servis kimliği</x:v>
      </x:c>
      <x:c r="C10" s="6" t="str">
        <x:v>Service account tokenları ve datasource kimlikleri minimum yetkiyle yönetiliyor mu?</x:v>
      </x:c>
      <x:c r="D10" s="6" t="str">
        <x:v>Görev/tenant kapsamı sınırlı, sahibi ve iptal süreci tanımlı olmalı.</x:v>
      </x:c>
      <x:c r="E10" s="6" t="str">
        <x:v>Bir token ortak veri havuzunun tamamına erişebilir.</x:v>
      </x:c>
      <x:c r="F10" s="6" t="str">
        <x:v>Service account/token metadata, datasource backend rolleri.</x:v>
      </x:c>
      <x:c r="G10" s="6" t="str">
        <x:v>Örnek tokenla kapsam dışı erişimin reddini ve iptal sonrası kullanılamadığını doğrula.</x:v>
      </x:c>
      <x:c r="H10" s="6" t="str">
        <x:v>OSS/Enterprise/Cloud sürümü ve lisansı teyit edilmeli; data source izinleri ve audit özellikleri modele bağlı.</x:v>
      </x:c>
      <x:c r="I10" s="6" t="str">
        <x:v>Kurulu sürüm/dağıtımın özellik ve lisans desteği kanıtlanır. Test, salt okunur çıktı veya onaylı izole ortamla yürütülür.</x:v>
      </x:c>
      <x:c r="J10" s="6" t="str">
        <x:v>NIST-53: IA-5
NIST-53: AC-6; IA-5
BIGR: 3.1.12 | 3.1.12 — bölüm başlangıcı; basılı s.68 / PDF 72</x:v>
      </x:c>
      <x:c r="K10" s="6" t="str">
        <x:v>AC-6; IA-5</x:v>
      </x:c>
      <x:c r="L10" s="6" t="str">
        <x:v>1 eski soru. Birleştirme İzini bu Kontrol ID ile süzün.</x:v>
      </x:c>
    </x:row>
    <x:row r="11" ht="55" customHeight="1">
      <x:c r="A11" s="6" t="str">
        <x:v>GRA-012</x:v>
      </x:c>
      <x:c r="B11" s="6" t="str">
        <x:v>Bildirim mahremiyeti</x:v>
      </x:c>
      <x:c r="C11" s="6" t="str">
        <x:v>Alarm contact point ve rapor alıcıları doğru tenant ve veri kapsamına bağlı mı?</x:v>
      </x:c>
      <x:c r="D11" s="6" t="str">
        <x:v>Alıcı/route/mesaj içeriği müşteri kapsamıyla eşleşmeli.</x:v>
      </x:c>
      <x:c r="E11" s="6" t="str">
        <x:v>Metrik veya olay detayları yanlış müşteriye gönderilir.</x:v>
      </x:c>
      <x:c r="F11" s="6" t="str">
        <x:v>Alert routing, contact points, test bildirimleri.</x:v>
      </x:c>
      <x:c r="G11" s="6" t="str">
        <x:v>Sentetik tenant alarmını tetikleyip yalnız doğru alıcıya ulaştığını doğrula.</x:v>
      </x:c>
      <x:c r="H11" s="6" t="str">
        <x:v>OSS/Enterprise/Cloud sürümü ve lisansı teyit edilmeli; data source izinleri ve audit özellikleri modele bağlı.</x:v>
      </x:c>
      <x:c r="I11" s="6" t="str">
        <x:v>Kurulu sürüm/dağıtımın özellik ve lisans desteği kanıtlanır. Test, salt okunur çıktı veya onaylı izole ortamla yürütülür.</x:v>
      </x:c>
      <x:c r="J11" s="6" t="str">
        <x:v>NIST-53: AC-4
NIST-53: AC-4; SI-4
BIGR: 4.3.1.4 | 4.3.1.4 — basılı s.164 / PDF 168</x:v>
      </x:c>
      <x:c r="K11" s="6" t="str">
        <x:v>AC-4; SI-4</x:v>
      </x:c>
      <x:c r="L11" s="6" t="str">
        <x:v>1 eski soru. Birleştirme İzini bu Kontrol ID ile süzün.</x:v>
      </x:c>
    </x:row>
    <x:row r="12" ht="55" customHeight="1">
      <x:c r="A12" s="6" t="str">
        <x:v>GRA-013</x:v>
      </x:c>
      <x:c r="B12" s="6" t="str">
        <x:v>Audit kapsamı</x:v>
      </x:c>
      <x:c r="C12" s="6" t="str">
        <x:v>Grafana dağıtımının yönetim kayıtlarında kalan boşluklar tamamlanmış mı?</x:v>
      </x:c>
      <x:c r="D12" s="6" t="str">
        <x:v>Yerleşik audit mevcutsa etkin; yoksa proxy/IdP/OS kayıtları ve kapsam boşluğu açıkça belgeli olmalı.</x:v>
      </x:c>
      <x:c r="E12" s="6" t="str">
        <x:v>Lisans/ürün farkı nedeniyle yönetim işlemleri izlenmeden kalır.</x:v>
      </x:c>
      <x:c r="F12" s="6" t="str">
        <x:v>Lisans, audit/proxy/IdP log ayarları ve test değişiklik kaydı.</x:v>
      </x:c>
      <x:c r="G12" s="6" t="str">
        <x:v>Giriş ve yetki/değişiklik örneklerini hangi kaydın kapsadığını ayrı doğrula.</x:v>
      </x:c>
      <x:c r="H12" s="6" t="str">
        <x:v>Grafana OSS/Enterprise/Cloud farkı doğrulanır; audit özelliği var sayılmaz.</x:v>
      </x:c>
      <x:c r="I12" s="6" t="str">
        <x:v>Kurulu sürüm/dağıtımın özellik ve lisans desteği kanıtlanır. Test, salt okunur çıktı veya onaylı izole ortamla yürütülür.</x:v>
      </x:c>
      <x:c r="J12" s="6" t="str">
        <x:v>NIST-53: AU-12
NIST-53: AU-3; AU-12
BIGR: 3.1.8 | 3.1.8 — bölüm başlangıcı; basılı s.59 / PDF 63</x:v>
      </x:c>
      <x:c r="K12" s="6" t="str">
        <x:v>AU-3; AU-12</x:v>
      </x:c>
      <x:c r="L12" s="6" t="str">
        <x:v>1 eski soru. Birleştirme İzini bu Kontrol ID ile süzün.</x:v>
      </x:c>
    </x:row>
  </x:sheetData>
  <x:pageMargins left="0.7" right="0.7" top="0.75" bottom="0.75" header="0.3" footer="0.3"/>
  <x:tableParts count="1">
    <x:tablePart xmlns:r="http://schemas.openxmlformats.org/officeDocument/2006/relationships" r:id="R06994b2e7e374bec"/>
  </x:tableParts>
</x:worksheet>
</file>

<file path=xl/worksheets/sheet2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ManageEngine Endpoint Central</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MEC-007</x:v>
      </x:c>
      <x:c r="B6" s="6" t="str">
        <x:v>Kimlik</x:v>
      </x:c>
      <x:c r="C6" s="6" t="str">
        <x:v>Varsayılan admin hesabı ve eski teknisyen hesapları kaldırılmış mı?</x:v>
      </x:c>
      <x:c r="D6" s="6" t="str">
        <x:v>Varsayılan admin ilk giriş sonrası kaldırılmış; gereksiz teknisyen/OS/DB hesapları yok olmalı.</x:v>
      </x:c>
      <x:c r="E6" s="6" t="str">
        <x:v>Bilinen veya sahipsiz hesap toplu yönetim yetkisi sağlar.</x:v>
      </x:c>
      <x:c r="F6" s="6" t="str">
        <x:v>Console/OS/DB kullanıcı listesi ve iptal kayıtları.</x:v>
      </x:c>
      <x:c r="G6" s="6" t="str">
        <x:v>Üretici önerisini güncel hesap listesi ve son girişlerle karşılaştır.</x:v>
      </x:c>
      <x:c r="H6" s="6" t="str">
        <x:v>On-prem/cloud/MSP edition ve build teyit edilmeli.</x:v>
      </x:c>
      <x:c r="I6" s="6" t="str">
        <x:v>Kurulu sürüm/dağıtımın özellik ve lisans desteği kanıtlanır. Test, salt okunur çıktı veya onaylı izole ortamla yürütülür.</x:v>
      </x:c>
      <x:c r="J6" s="6" t="str">
        <x:v>MEC-SEC: remove default admin account
NIST-53: AC-2; IA-5
BIGR: 3.1.12.4 | 3.1.12.4 — basılı s.68 / PDF 72</x:v>
      </x:c>
      <x:c r="K6" s="6" t="str">
        <x:v>AC-2; IA-5</x:v>
      </x:c>
      <x:c r="L6" s="6" t="str">
        <x:v>1 eski soru. Birleştirme İzini bu Kontrol ID ile süzün.</x:v>
      </x:c>
    </x:row>
    <x:row r="7" ht="70" customHeight="1">
      <x:c r="A7" s="6" t="str">
        <x:v>MEC-008</x:v>
      </x:c>
      <x:c r="B7" s="6" t="str">
        <x:v>Güvenli iletişim</x:v>
      </x:c>
      <x:c r="C7" s="6" t="str">
        <x:v>Sunucu ve LAN/WAN ajanları HTTPS ve doğrulanmış kimlikle iletişim kuruyor mu?</x:v>
      </x:c>
      <x:c r="D7" s="6" t="str">
        <x:v>Güvenli taşıma ve desteklenen trusted/client certificate kimliği etkin olmalı.</x:v>
      </x:c>
      <x:c r="E7" s="6" t="str">
        <x:v>Sahte sunucu/ajan yazılım dağıtım kanalını ele geçirir.</x:v>
      </x:c>
      <x:c r="F7" s="6" t="str">
        <x:v>Server/agent security ayarları, sertifika zinciri, bağlantı logu.</x:v>
      </x:c>
      <x:c r="G7" s="6" t="str">
        <x:v>Eski/güvensiz kanalın kullanılmadığını ve sertifika hatalı test bağlantısının reddini doğrula.</x:v>
      </x:c>
      <x:c r="H7" s="6" t="str">
        <x:v>On-prem/cloud/MSP edition ve build teyit edilmeli.</x:v>
      </x:c>
      <x:c r="I7" s="6" t="str">
        <x:v>Kurulu sürüm/dağıtımın özellik ve lisans desteği kanıtlanır. Test, salt okunur çıktı veya onaylı izole ortamla yürütülür.</x:v>
      </x:c>
      <x:c r="J7" s="6" t="str">
        <x:v>MEC-SEC: HTTPS, trusted communication, certificate-based authentication
NIST-53: SC-8; IA-9
BIGR: 3.2.9 | 3.2.9 — bölüm başlangıcı; basılı s.106 / PDF 110</x:v>
      </x:c>
      <x:c r="K7" s="6" t="str">
        <x:v>SC-8; IA-9</x:v>
      </x:c>
      <x:c r="L7" s="6" t="str">
        <x:v>1 eski soru. Birleştirme İzini bu Kontrol ID ile süzün.</x:v>
      </x:c>
    </x:row>
    <x:row r="8" ht="55" customHeight="1">
      <x:c r="A8" s="6" t="str">
        <x:v>MEC-009</x:v>
      </x:c>
      <x:c r="B8" s="6" t="str">
        <x:v>Dış erişim</x:v>
      </x:c>
      <x:c r="C8" s="6" t="str">
        <x:v>Roaming ajanlar için merkezi sunucu doğrudan internete açılmadan güvenli erişim sağlanmış mı?</x:v>
      </x:c>
      <x:c r="D8" s="6" t="str">
        <x:v>On-prem merkezi sunucu korunan ağda; gerekli durumda Secure Gateway Server/eşdeğer kontrollü mimari olmalı.</x:v>
      </x:c>
      <x:c r="E8" s="6" t="str">
        <x:v>İnternet saldırısı toplu uç nokta yönetim sunucusunu hedef alır.</x:v>
      </x:c>
      <x:c r="F8" s="6" t="str">
        <x:v>SGS/network diyagramı, yayınlanan servisler, firewall kuralları.</x:v>
      </x:c>
      <x:c r="G8" s="6" t="str">
        <x:v>Dış yüzey ile yönetim sunucusu erişimini ayırarak test et.</x:v>
      </x:c>
      <x:c r="H8" s="6" t="str">
        <x:v>On-prem roaming/WAN ajanları varsa.</x:v>
      </x:c>
      <x:c r="I8" s="6" t="str">
        <x:v>Kurulu sürüm/dağıtımın özellik ve lisans desteği kanıtlanır. Test, salt okunur çıktı veya onaylı izole ortamla yürütülür.</x:v>
      </x:c>
      <x:c r="J8" s="6" t="str">
        <x:v>MEC-SEC: Use Secure Gateway Server
NIST-53: SC-7
BIGR: 3.1.6 | 3.1.6 — bölüm başlangıcı; basılı s.49 / PDF 53</x:v>
      </x:c>
      <x:c r="K8" s="6" t="str">
        <x:v>SC-7</x:v>
      </x:c>
      <x:c r="L8" s="6" t="str">
        <x:v>1 eski soru. Birleştirme İzini bu Kontrol ID ile süzün.</x:v>
      </x:c>
    </x:row>
    <x:row r="9" ht="55" customHeight="1">
      <x:c r="A9" s="6" t="str">
        <x:v>MEC-010</x:v>
      </x:c>
      <x:c r="B9" s="6" t="str">
        <x:v>Ajan koruması</x:v>
      </x:c>
      <x:c r="C9" s="6" t="str">
        <x:v>Kullanıcıların ajanı durdurması/kaldırması engelleniyor mu?</x:v>
      </x:c>
      <x:c r="D9" s="6" t="str">
        <x:v>İlgili kısıtlar etkin; yetkili bakım istisnası kayıtlı olmalı.</x:v>
      </x:c>
      <x:c r="E9" s="6" t="str">
        <x:v>Uç nokta yönetim ve yama kapsamından çıkar.</x:v>
      </x:c>
      <x:c r="F9" s="6" t="str">
        <x:v>Agent settings, test uç çıktısı, bakım kaydı.</x:v>
      </x:c>
      <x:c r="G9" s="6" t="str">
        <x:v>Düşük yetkili test kullanıcıyla durdurma/kaldırma denemesinin sonucunu doğrula.</x:v>
      </x:c>
      <x:c r="H9" s="6" t="str">
        <x:v>On-prem/cloud/MSP edition ve build teyit edilmeli.</x:v>
      </x:c>
      <x:c r="I9" s="6" t="str">
        <x:v>Kurulu sürüm/dağıtımın özellik ve lisans desteği kanıtlanır. Test, salt okunur çıktı veya onaylı izole ortamla yürütülür.</x:v>
      </x:c>
      <x:c r="J9" s="6" t="str">
        <x:v>MEC-SEC: restrict uninstall/stopping agent
NIST-53: CM-5; SI-4
BIGR: 3.1.5 | 3.1.5 — bölüm başlangıcı; basılı s.47 / PDF 51</x:v>
      </x:c>
      <x:c r="K9" s="6" t="str">
        <x:v>CM-5; SI-4</x:v>
      </x:c>
      <x:c r="L9" s="6" t="str">
        <x:v>1 eski soru. Birleştirme İzini bu Kontrol ID ile süzün.</x:v>
      </x:c>
    </x:row>
    <x:row r="10" ht="55" customHeight="1">
      <x:c r="A10" s="6" t="str">
        <x:v>MEC-011</x:v>
      </x:c>
      <x:c r="B10" s="6" t="str">
        <x:v>Yazılım dağıtımı</x:v>
      </x:c>
      <x:c r="C10" s="6" t="str">
        <x:v>Paket ve script depoları yetkisiz değişikliğe karşı korunuyor mu?</x:v>
      </x:c>
      <x:c r="D10" s="6" t="str">
        <x:v>Depoya yazma yetkisi sınırlı; yüklenen paket/script kontrolü ve onayı mevcut olmalı.</x:v>
      </x:c>
      <x:c r="E10" s="6" t="str">
        <x:v>Tek bir zararlı paket tüm müşterilere yönetici yetkisiyle dağıtılır.</x:v>
      </x:c>
      <x:c r="F10" s="6" t="str">
        <x:v>Repository ACL, paket hash/kaynak, script onayı, dağıtım logu.</x:v>
      </x:c>
      <x:c r="G10" s="6" t="str">
        <x:v>Bir paketi kaynaktan hedef cihazlara izleyip yetkisiz değişiklik riskini incele.</x:v>
      </x:c>
      <x:c r="H10" s="6" t="str">
        <x:v>On-prem/cloud/MSP edition ve build teyit edilmeli.</x:v>
      </x:c>
      <x:c r="I10" s="6" t="str">
        <x:v>Kurulu sürüm/dağıtımın özellik ve lisans desteği kanıtlanır. Test, salt okunur çıktı veya onaylı izole ortamla yürütülür.</x:v>
      </x:c>
      <x:c r="J10" s="6" t="str">
        <x:v>MEC-SEC: secure software repository, scan scripts
NIST-53: SI-7; CM-5
BIGR: 3.2.5 | 3.2.5 — bölüm başlangıcı; basılı s.95 / PDF 99</x:v>
      </x:c>
      <x:c r="K10" s="6" t="str">
        <x:v>SI-7; CM-5</x:v>
      </x:c>
      <x:c r="L10" s="6" t="str">
        <x:v>1 eski soru. Birleştirme İzini bu Kontrol ID ile süzün.</x:v>
      </x:c>
    </x:row>
    <x:row r="11" ht="55" customHeight="1">
      <x:c r="A11" s="6" t="str">
        <x:v>MEC-012</x:v>
      </x:c>
      <x:c r="B11" s="6" t="str">
        <x:v>Tenant hedefleme</x:v>
      </x:c>
      <x:c r="C11" s="6" t="str">
        <x:v>Teknisyen kapsamı ve dağıtım hedefleri müşteri sınırını aşıyor mu?</x:v>
      </x:c>
      <x:c r="D11" s="6" t="str">
        <x:v>Teknisyen scope ve hedef gruplar yalnız yetkili müşteriyi kapsamalı.</x:v>
      </x:c>
      <x:c r="E11" s="6" t="str">
        <x:v>Yanlış koleksiyon başka müşteride toplu işlem veya reboot başlatır.</x:v>
      </x:c>
      <x:c r="F11" s="6" t="str">
        <x:v>Teknisyen scope, customer/group eşlemesi, job hedef listeleri.</x:v>
      </x:c>
      <x:c r="G11" s="6" t="str">
        <x:v>İki test tenantında listeleme ve zararsız dağıtım yetki sınırını doğrula.</x:v>
      </x:c>
      <x:c r="H11" s="6" t="str">
        <x:v>On-prem/cloud/MSP edition ve build teyit edilmeli.</x:v>
      </x:c>
      <x:c r="I11" s="6" t="str">
        <x:v>Kurulu sürüm/dağıtımın özellik ve lisans desteği kanıtlanır. Test, salt okunur çıktı veya onaylı izole ortamla yürütülür.</x:v>
      </x:c>
      <x:c r="J11" s="6" t="str">
        <x:v>NIST-53: AC-3
NIST-53: AC-3; AC-6
BIGR: 4.3.1.4 | 4.3.1.4 — basılı s.164 / PDF 168</x:v>
      </x:c>
      <x:c r="K11" s="6" t="str">
        <x:v>AC-3; AC-6</x:v>
      </x:c>
      <x:c r="L11" s="6" t="str">
        <x:v>1 eski soru. Birleştirme İzini bu Kontrol ID ile süzün.</x:v>
      </x:c>
    </x:row>
    <x:row r="12" ht="55" customHeight="1">
      <x:c r="A12" s="6" t="str">
        <x:v>MEC-013</x:v>
      </x:c>
      <x:c r="B12" s="6" t="str">
        <x:v>Uzaktan kontrol</x:v>
      </x:c>
      <x:c r="C12" s="6" t="str">
        <x:v>Uzaktan ekran/dosya/komut erişimi onay ve oturum zaman aşımıyla sınırlandırılmış mı?</x:v>
      </x:c>
      <x:c r="D12" s="6" t="str">
        <x:v>Gerekli kullanıcı onayı, yetki ve idle timeout uygulanmalı.</x:v>
      </x:c>
      <x:c r="E12" s="6" t="str">
        <x:v>Destek kanalı kullanıcı verisine gereksiz ve izsiz erişim verir.</x:v>
      </x:c>
      <x:c r="F12" s="6" t="str">
        <x:v>Remote control/tools settings, oturum ve onay kayıtları.</x:v>
      </x:c>
      <x:c r="G12" s="6" t="str">
        <x:v>Test oturumunda onay ve boşta kapanmayı doğrula.</x:v>
      </x:c>
      <x:c r="H12" s="6" t="str">
        <x:v>On-prem/cloud/MSP edition ve build teyit edilmeli.</x:v>
      </x:c>
      <x:c r="I12" s="6" t="str">
        <x:v>Kurulu sürüm/dağıtımın özellik ve lisans desteği kanıtlanır. Test, salt okunur çıktı veya onaylı izole ortamla yürütülür.</x:v>
      </x:c>
      <x:c r="J12" s="6" t="str">
        <x:v>MEC-SEC: Tools, User Confirmation, Idle Session Settings
NIST-53: AC-17; AC-12
BIGR: 3.1.12.9 | 3.1.12.9 — basılı s.68 / PDF 72</x:v>
      </x:c>
      <x:c r="K12" s="6" t="str">
        <x:v>AC-17; AC-12</x:v>
      </x:c>
      <x:c r="L12" s="6" t="str">
        <x:v>1 eski soru. Birleştirme İzini bu Kontrol ID ile süzün.</x:v>
      </x:c>
    </x:row>
    <x:row r="13" ht="55" customHeight="1">
      <x:c r="A13" s="6" t="str">
        <x:v>MEC-014</x:v>
      </x:c>
      <x:c r="B13" s="6" t="str">
        <x:v>Yama işletimi</x:v>
      </x:c>
      <x:c r="C13" s="6" t="str">
        <x:v>Yama ve reboot dağıtımı pilot test, bakım penceresi ve başarısızlık takibi içeriyor mu?</x:v>
      </x:c>
      <x:c r="D13" s="6" t="str">
        <x:v>Pilot ve sonuç doğrulaması; başarısız/reboot bekleyen uçlar takipte olmalı.</x:v>
      </x:c>
      <x:c r="E13" s="6" t="str">
        <x:v>Güvenlik güncellemesi ortak hizmetleri bozabilir veya başarısız uçlar yamalı sanılır.</x:v>
      </x:c>
      <x:c r="F13" s="6" t="str">
        <x:v>Patch job, pilot grup, bakım penceresi, endpoint tarama sonucu.</x:v>
      </x:c>
      <x:c r="G13" s="6" t="str">
        <x:v>Bir kritik yamanın hedef/başarılı/başarısız sayılarını envanterle mutabıklaştır.</x:v>
      </x:c>
      <x:c r="H13" s="6" t="str">
        <x:v>On-prem/cloud/MSP edition ve build teyit edilmeli.</x:v>
      </x:c>
      <x:c r="I13" s="6" t="str">
        <x:v>Kurulu sürüm/dağıtımın özellik ve lisans desteği kanıtlanır. Test, salt okunur çıktı veya onaylı izole ortamla yürütülür.</x:v>
      </x:c>
      <x:c r="J13" s="6" t="str">
        <x:v>NIST-53: SI-2
NIST-53: SI-2; CM-3
BIGR: 3.1.3 | 3.1.3 — bölüm başlangıcı; basılı s.40 / PDF 44</x:v>
      </x:c>
      <x:c r="K13" s="6" t="str">
        <x:v>SI-2; CM-3</x:v>
      </x:c>
      <x:c r="L13" s="6" t="str">
        <x:v>1 eski soru. Birleştirme İzini bu Kontrol ID ile süzün.</x:v>
      </x:c>
    </x:row>
    <x:row r="14" ht="55" customHeight="1">
      <x:c r="A14" s="6" t="str">
        <x:v>MEC-015</x:v>
      </x:c>
      <x:c r="B14" s="6" t="str">
        <x:v>Veri tabanı yedeği</x:v>
      </x:c>
      <x:c r="C14" s="6" t="str">
        <x:v>Endpoint Central veri tabanı yedekleri şifreli ve geri dönüşü test edilmiş mi?</x:v>
      </x:c>
      <x:c r="D14" s="6" t="str">
        <x:v>Parolayla korunan yedek, güvenli erişim ve restore kanıtı olmalı.</x:v>
      </x:c>
      <x:c r="E14" s="6" t="str">
        <x:v>Yedekteki kimlik/veri sızar veya toplu yönetim konfigürasyonu kaybedilir.</x:v>
      </x:c>
      <x:c r="F14" s="6" t="str">
        <x:v>Backup schedule/şifreleme durumu, dosya ACL, test raporu.</x:v>
      </x:c>
      <x:c r="G14" s="6" t="str">
        <x:v>Son yedeğin bağımsız hedefte olduğunu ve izole restore sonucunu kontrol et.</x:v>
      </x:c>
      <x:c r="H14" s="6" t="str">
        <x:v>On-prem/cloud/MSP edition ve build teyit edilmeli.</x:v>
      </x:c>
      <x:c r="I14" s="6" t="str">
        <x:v>Kurulu sürüm/dağıtımın özellik ve lisans desteği kanıtlanır. Test, salt okunur çıktı veya onaylı izole ortamla yürütülür.</x:v>
      </x:c>
      <x:c r="J14" s="6" t="str">
        <x:v>MEC-SEC: secure your database backup
NIST-53: CP-9; SC-28
BIGR: 3.1.13.4 | 3.1.13.4 — basılı s.74 / PDF 78</x:v>
      </x:c>
      <x:c r="K14" s="6" t="str">
        <x:v>CP-9; SC-28</x:v>
      </x:c>
      <x:c r="L14" s="6" t="str">
        <x:v>1 eski soru. Birleştirme İzini bu Kontrol ID ile süzün.</x:v>
      </x:c>
    </x:row>
  </x:sheetData>
  <x:pageMargins left="0.7" right="0.7" top="0.75" bottom="0.75" header="0.3" footer="0.3"/>
  <x:tableParts count="1">
    <x:tablePart xmlns:r="http://schemas.openxmlformats.org/officeDocument/2006/relationships" r:id="Re005f0c265c243c6"/>
  </x:tableParts>
</x:worksheet>
</file>

<file path=xl/worksheets/sheet2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Trellix Endpoint Security</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ENS-007</x:v>
      </x:c>
      <x:c r="B6" s="6" t="str">
        <x:v>Koruma kapsamı</x:v>
      </x:c>
      <x:c r="C6" s="6" t="str">
        <x:v>ENS kurulu sürüm ve etkin modülleri müşteri uç envanteriyle mutabık mı?</x:v>
      </x:c>
      <x:c r="D6" s="6" t="str">
        <x:v>Her kapsamdaki uçta gereken modüller çalışır ve raporlanan sürüm fiili sürümle aynı olmalı.</x:v>
      </x:c>
      <x:c r="E6" s="6" t="str">
        <x:v>Eksik modül veya eski motor koruma boşluğu oluşturur.</x:v>
      </x:c>
      <x:c r="F6" s="6" t="str">
        <x:v>ENS/agent inventory, yerel About/modül ekranı, son bağlantı listesi.</x:v>
      </x:c>
      <x:c r="G6" s="6" t="str">
        <x:v>Farklı OS/rol gruplarından uç seçip konsol ile yerel sürümü karşılaştır.</x:v>
      </x:c>
      <x:c r="H6" s="6" t="str">
        <x:v>Kullanıcı teyidi: Endpoint Security. İşletim sistemi, ENS sürümü ve Threat Prevention/Firewall/Web Control/ATP modülleri teyit edilmeli.</x:v>
      </x:c>
      <x:c r="I6" s="6" t="str">
        <x:v>Kurulu sürüm/dağıtımın özellik ve lisans desteği kanıtlanır. Test, salt okunur çıktı veya onaylı izole ortamla yürütülür.</x:v>
      </x:c>
      <x:c r="J6" s="6" t="str">
        <x:v>ENS-TEST: ENS version validation
NIST-53: CM-8; SI-3
BIGR: 3.1.5 | 3.1.5 — bölüm başlangıcı; basılı s.47 / PDF 51</x:v>
      </x:c>
      <x:c r="K6" s="6" t="str">
        <x:v>CM-8; SI-3</x:v>
      </x:c>
      <x:c r="L6" s="6" t="str">
        <x:v>1 eski soru. Birleştirme İzini bu Kontrol ID ile süzün.</x:v>
      </x:c>
    </x:row>
    <x:row r="7" ht="55" customHeight="1">
      <x:c r="A7" s="6" t="str">
        <x:v>ENS-008</x:v>
      </x:c>
      <x:c r="B7" s="6" t="str">
        <x:v>Öz koruma</x:v>
      </x:c>
      <x:c r="C7" s="6" t="str">
        <x:v>ENS self-protection yetkisiz servis durdurmayı engelliyor mu?</x:v>
      </x:c>
      <x:c r="D7" s="6" t="str">
        <x:v>Desteklenen self-protection etkin; bakım istisnaları onaylı olmalı.</x:v>
      </x:c>
      <x:c r="E7" s="6" t="str">
        <x:v>Yerel saldırgan korumayı kapatıp zararlı yazılım çalıştırır.</x:v>
      </x:c>
      <x:c r="F7" s="6" t="str">
        <x:v>Self-protection policy, yerel test sonucu ve olay kaydı.</x:v>
      </x:c>
      <x:c r="G7" s="6" t="str">
        <x:v>İzole test uçta servis durdurma denemesinin engellendiğini doğrula.</x:v>
      </x:c>
      <x:c r="H7" s="6" t="str">
        <x:v>Kullanıcı teyidi: Endpoint Security. İşletim sistemi, ENS sürümü ve Threat Prevention/Firewall/Web Control/ATP modülleri teyit edilmeli.</x:v>
      </x:c>
      <x:c r="I7" s="6" t="str">
        <x:v>Kurulu sürüm/dağıtımın özellik ve lisans desteği kanıtlanır. Test, salt okunur çıktı veya onaylı izole ortamla yürütülür.</x:v>
      </x:c>
      <x:c r="J7" s="6" t="str">
        <x:v>ENS-TEST: ENS-020; ENS-PROT: self-protection
NIST-53: SI-3; CM-5
BIGR: 3.1.5 | 3.1.5 — bölüm başlangıcı; basılı s.47 / PDF 51</x:v>
      </x:c>
      <x:c r="K7" s="6" t="str">
        <x:v>SI-3; CM-5</x:v>
      </x:c>
      <x:c r="L7" s="6" t="str">
        <x:v>1 eski soru. Birleştirme İzini bu Kontrol ID ile süzün.</x:v>
      </x:c>
    </x:row>
    <x:row r="8" ht="55" customHeight="1">
      <x:c r="A8" s="6" t="str">
        <x:v>ENS-009</x:v>
      </x:c>
      <x:c r="B8" s="6" t="str">
        <x:v>Politika uygulama</x:v>
      </x:c>
      <x:c r="C8" s="6" t="str">
        <x:v>Konsoldaki ENS politikası hedef uçta gerçekten uygulanmış mı?</x:v>
      </x:c>
      <x:c r="D8" s="6" t="str">
        <x:v>Policy assignment ve yerel etkin ayar eşleşmeli.</x:v>
      </x:c>
      <x:c r="E8" s="6" t="str">
        <x:v>Oluşturulmuş fakat atanmamış politika koruma sağlamaz.</x:v>
      </x:c>
      <x:c r="F8" s="6" t="str">
        <x:v>Policy catalog/assignment, agent enforcement logu, yerel ayar.</x:v>
      </x:c>
      <x:c r="G8" s="6" t="str">
        <x:v>Bir policy değişikliğini hedef uçtaki etkin ayarla karşılaştır.</x:v>
      </x:c>
      <x:c r="H8" s="6" t="str">
        <x:v>ePO kullanımı varsa Policy Catalog ve System Tree kanıtları alınır; diğer yönetim modelinde eşdeğeri.</x:v>
      </x:c>
      <x:c r="I8" s="6" t="str">
        <x:v>Kurulu sürüm/dağıtımın özellik ve lisans desteği kanıtlanır. Test, salt okunur çıktı veya onaylı izole ortamla yürütülür.</x:v>
      </x:c>
      <x:c r="J8" s="6" t="str">
        <x:v>ENS-TEST: ENS-021; EPO-POL: configure policies
NIST-53: CM-6; SI-3
BIGR: 3.1.5 | 3.1.5 — bölüm başlangıcı; basılı s.47 / PDF 51</x:v>
      </x:c>
      <x:c r="K8" s="6" t="str">
        <x:v>CM-6; SI-3</x:v>
      </x:c>
      <x:c r="L8" s="6" t="str">
        <x:v>1 eski soru. Birleştirme İzini bu Kontrol ID ile süzün.</x:v>
      </x:c>
    </x:row>
    <x:row r="9" ht="55" customHeight="1">
      <x:c r="A9" s="6" t="str">
        <x:v>ENS-010</x:v>
      </x:c>
      <x:c r="B9" s="6" t="str">
        <x:v>Zararlı yazılım testi</x:v>
      </x:c>
      <x:c r="C9" s="6" t="str">
        <x:v>ENS tespit/engelleme işlevi güvenli test dosyasıyla doğrulanmış mı?</x:v>
      </x:c>
      <x:c r="D9" s="6" t="str">
        <x:v>Kontrollü testte beklenen yerel eylem ve merkezi olay görülmeli.</x:v>
      </x:c>
      <x:c r="E9" s="6" t="str">
        <x:v>Yeşil konsol durumu koruma motorunun çalıştığını tek başına göstermez.</x:v>
      </x:c>
      <x:c r="F9" s="6" t="str">
        <x:v>Güvenli test planı, yerel threat logu, merkezi olay ID.</x:v>
      </x:c>
      <x:c r="G9" s="6" t="str">
        <x:v>Üretim dışı uçta kurumun onayladığı zararsız AV testini çalıştırıp olay zincirini kontrol et.</x:v>
      </x:c>
      <x:c r="H9" s="6" t="str">
        <x:v>Kullanıcı teyidi: Endpoint Security. İşletim sistemi, ENS sürümü ve Threat Prevention/Firewall/Web Control/ATP modülleri teyit edilmeli.</x:v>
      </x:c>
      <x:c r="I9" s="6" t="str">
        <x:v>Kurulu sürüm/dağıtımın özellik ve lisans desteği kanıtlanır. Test, salt okunur çıktı veya onaylı izole ortamla yürütülür.</x:v>
      </x:c>
      <x:c r="J9" s="6" t="str">
        <x:v>ENS-TEST: ENS test cases; NIST-53: SI-3
NIST-53: SI-3; SI-4
BIGR: 3.1.5 | 3.1.5 — bölüm başlangıcı; basılı s.47 / PDF 51</x:v>
      </x:c>
      <x:c r="K9" s="6" t="str">
        <x:v>SI-3; SI-4</x:v>
      </x:c>
      <x:c r="L9" s="6" t="str">
        <x:v>1 eski soru. Birleştirme İzini bu Kontrol ID ile süzün.</x:v>
      </x:c>
    </x:row>
    <x:row r="10" ht="55" customHeight="1">
      <x:c r="A10" s="6" t="str">
        <x:v>ENS-011</x:v>
      </x:c>
      <x:c r="B10" s="6" t="str">
        <x:v>İstisnalar</x:v>
      </x:c>
      <x:c r="C10" s="6" t="str">
        <x:v>ENS tarama ve exploit istisnaları sadece belgeli uygulama ihtiyacına mı dayanıyor?</x:v>
      </x:c>
      <x:c r="D10" s="6" t="str">
        <x:v>İstisna dar kapsamlı, sahibi ve yeniden inceleme tarihi tanımlı olmalı.</x:v>
      </x:c>
      <x:c r="E10" s="6" t="str">
        <x:v>Geniş path/process istisnası saldırganın saklanacağı alan oluşturur.</x:v>
      </x:c>
      <x:c r="F10" s="6" t="str">
        <x:v>OAS/ODS/Exploit/Access Protection exclusions, uygulama gereksinimi.</x:v>
      </x:c>
      <x:c r="G10" s="6" t="str">
        <x:v>Geniş klasör/süreç istisnalarını risk bazında seçerek pozitif/negatif test sonuçlarını incele.</x:v>
      </x:c>
      <x:c r="H10" s="6" t="str">
        <x:v>Kullanıcı teyidi: Endpoint Security. İşletim sistemi, ENS sürümü ve Threat Prevention/Firewall/Web Control/ATP modülleri teyit edilmeli.</x:v>
      </x:c>
      <x:c r="I10" s="6" t="str">
        <x:v>Kurulu sürüm/dağıtımın özellik ve lisans desteği kanıtlanır. Test, salt okunur çıktı veya onaylı izole ortamla yürütülür.</x:v>
      </x:c>
      <x:c r="J10" s="6" t="str">
        <x:v>NIST-53: SI-3
NIST-53: CM-6; SI-3
BIGR: 3.1.5 | 3.1.5 — bölüm başlangıcı; basılı s.47 / PDF 51</x:v>
      </x:c>
      <x:c r="K10" s="6" t="str">
        <x:v>CM-6; SI-3</x:v>
      </x:c>
      <x:c r="L10" s="6" t="str">
        <x:v>1 eski soru. Birleştirme İzini bu Kontrol ID ile süzün.</x:v>
      </x:c>
    </x:row>
    <x:row r="11" ht="55" customHeight="1">
      <x:c r="A11" s="6" t="str">
        <x:v>ENS-012</x:v>
      </x:c>
      <x:c r="B11" s="6" t="str">
        <x:v>Exploit önleme</x:v>
      </x:c>
      <x:c r="C11" s="6" t="str">
        <x:v>ENS Access Protection ve Exploit Prevention kuralları gereken korumayı sağlıyor mu?</x:v>
      </x:c>
      <x:c r="D11" s="6" t="str">
        <x:v>Kurulu modülün risk bazlı kuralları uygulanmış ve uygulama uyumu test edilmiş olmalı.</x:v>
      </x:c>
      <x:c r="E11" s="6" t="str">
        <x:v>Yalnız imza taraması davranışsal ayrıcalık yükseltme riskini karşılamayabilir.</x:v>
      </x:c>
      <x:c r="F11" s="6" t="str">
        <x:v>Kural/action policy, test olayı, istisna ve uyum raporu.</x:v>
      </x:c>
      <x:c r="G11" s="6" t="str">
        <x:v>Mevcut modülün kurallarını onaylı bazla karşılaştır; zararsız üretim dışı doğrulama kanıtını incele.</x:v>
      </x:c>
      <x:c r="H11" s="6" t="str">
        <x:v>İlgili ENS modülü/OS tarafından destekleniyorsa.</x:v>
      </x:c>
      <x:c r="I11" s="6" t="str">
        <x:v>Kurulu sürüm/dağıtımın özellik ve lisans desteği kanıtlanır. Test, salt okunur çıktı veya onaylı izole ortamla yürütülür.</x:v>
      </x:c>
      <x:c r="J11" s="6" t="str">
        <x:v>ENS-PROT: Access Protection, Exploit Prevention
NIST-53: SI-3; SI-4
BIGR: 3.1.5 | 3.1.5 — bölüm başlangıcı; basılı s.47 / PDF 51</x:v>
      </x:c>
      <x:c r="K11" s="6" t="str">
        <x:v>SI-3; SI-4</x:v>
      </x:c>
      <x:c r="L11" s="6" t="str">
        <x:v>1 eski soru. Birleştirme İzini bu Kontrol ID ile süzün.</x:v>
      </x:c>
    </x:row>
    <x:row r="12" ht="55" customHeight="1">
      <x:c r="A12" s="6" t="str">
        <x:v>ENS-013</x:v>
      </x:c>
      <x:c r="B12" s="6" t="str">
        <x:v>Güncelleme güvenilirliği</x:v>
      </x:c>
      <x:c r="C12" s="6" t="str">
        <x:v>ENS içerik ve ürün güncellemeleri pilot grupta işlev/performance testinden geçiyor mu?</x:v>
      </x:c>
      <x:c r="D12" s="6" t="str">
        <x:v>Pilot test, kritik uygulama kontrolü ve geri dönüş yöntemi tanımlı olmalı.</x:v>
      </x:c>
      <x:c r="E12" s="6" t="str">
        <x:v>Hatalı güvenlik güncellemesi kurumsal uçlarda eşzamanlı kesinti yaratır.</x:v>
      </x:c>
      <x:c r="F12" s="6" t="str">
        <x:v>Canary/pilot listesi, içerik/sürüm dağıtımı, ön/son ölçümler.</x:v>
      </x:c>
      <x:c r="G12" s="6" t="str">
        <x:v>Son güncellemede koruma, politika ve kritik uygulama testlerini doğrula.</x:v>
      </x:c>
      <x:c r="H12" s="6" t="str">
        <x:v>Kullanıcı teyidi: Endpoint Security. İşletim sistemi, ENS sürümü ve Threat Prevention/Firewall/Web Control/ATP modülleri teyit edilmeli.</x:v>
      </x:c>
      <x:c r="I12" s="6" t="str">
        <x:v>Kurulu sürüm/dağıtımın özellik ve lisans desteği kanıtlanır. Test, salt okunur çıktı veya onaylı izole ortamla yürütülür.</x:v>
      </x:c>
      <x:c r="J12" s="6" t="str">
        <x:v>ENS-TEST: product version updates
NIST-53: SI-2; CM-3
BIGR: 3.1.3 | 3.1.3 — bölüm başlangıcı; basılı s.40 / PDF 44</x:v>
      </x:c>
      <x:c r="K12" s="6" t="str">
        <x:v>SI-2; CM-3</x:v>
      </x:c>
      <x:c r="L12" s="6" t="str">
        <x:v>1 eski soru. Birleştirme İzini bu Kontrol ID ile süzün.</x:v>
      </x:c>
    </x:row>
    <x:row r="13" ht="55" customHeight="1">
      <x:c r="A13" s="6" t="str">
        <x:v>ENS-014</x:v>
      </x:c>
      <x:c r="B13" s="6" t="str">
        <x:v>Birlikte çalışma</x:v>
      </x:c>
      <x:c r="C13" s="6" t="str">
        <x:v>ENS ile Carbon Black ve diğer ajanların birlikte çalışma istisnaları değerlendirilmiş mi?</x:v>
      </x:c>
      <x:c r="D13" s="6" t="str">
        <x:v>OS/ajan kombinasyonu testli; gerekli istisnalar dar ve onaylı olmalı.</x:v>
      </x:c>
      <x:c r="E13" s="6" t="str">
        <x:v>Karşılıklı geniş istisnalar korumayı kaldırır; çakışma performansı ve tespiti bozar.</x:v>
      </x:c>
      <x:c r="F13" s="6" t="str">
        <x:v>Uyumluluk değerlendirmesi, ajan sürümleri, yük/tespit testleri.</x:v>
      </x:c>
      <x:c r="G13" s="6" t="str">
        <x:v>Temsilci uçta performans ve iki ürünün olay üretimini kontrollü test sonucu üzerinden karşılaştır.</x:v>
      </x:c>
      <x:c r="H13" s="6" t="str">
        <x:v>Kullanıcı teyidi: Endpoint Security. İşletim sistemi, ENS sürümü ve Threat Prevention/Firewall/Web Control/ATP modülleri teyit edilmeli.</x:v>
      </x:c>
      <x:c r="I13" s="6" t="str">
        <x:v>Kurulu sürüm/dağıtımın özellik ve lisans desteği kanıtlanır. Test, salt okunur çıktı veya onaylı izole ortamla yürütülür.</x:v>
      </x:c>
      <x:c r="J13" s="6" t="str">
        <x:v>NIST-53: CM-4; ENS-TEST: application baselines
NIST-53: CM-4; SI-3
BIGR: 3.1.5 | 3.1.5 — bölüm başlangıcı; basılı s.47 / PDF 51</x:v>
      </x:c>
      <x:c r="K13" s="6" t="str">
        <x:v>CM-4; SI-3</x:v>
      </x:c>
      <x:c r="L13" s="6" t="str">
        <x:v>1 eski soru. Birleştirme İzini bu Kontrol ID ile süzün.</x:v>
      </x:c>
    </x:row>
    <x:row r="14" ht="55" customHeight="1">
      <x:c r="A14" s="6" t="str">
        <x:v>ENS-015</x:v>
      </x:c>
      <x:c r="B14" s="6" t="str">
        <x:v>Tenant yönetimi</x:v>
      </x:c>
      <x:c r="C14" s="6" t="str">
        <x:v>ENS yönetim rolleri yalnız kendi müşteri uç ve politikalarına erişiyor mu?</x:v>
      </x:c>
      <x:c r="D14" s="6" t="str">
        <x:v>Rol/scope ve policy assignment tenant sınırında olmalı.</x:v>
      </x:c>
      <x:c r="E14" s="6" t="str">
        <x:v>Bir teknisyen tüm müşterilerin korumasını kapatabilir.</x:v>
      </x:c>
      <x:c r="F14" s="6" t="str">
        <x:v>ePO permission set/System Tree veya eşdeğer scope, iki test hesabı.</x:v>
      </x:c>
      <x:c r="G14" s="6" t="str">
        <x:v>Çapraz tenant policy değiştirme ve uç detay okuma reddini doğrula.</x:v>
      </x:c>
      <x:c r="H14" s="6" t="str">
        <x:v>ePO kullanılıyorsa ePO yetki kapsamı; yönetim modeli aksi ise eşdeğer kanıt. </x:v>
      </x:c>
      <x:c r="I14" s="6" t="str">
        <x:v>Kurulu sürüm/dağıtımın özellik ve lisans desteği kanıtlanır. Test, salt okunur çıktı veya onaylı izole ortamla yürütülür.</x:v>
      </x:c>
      <x:c r="J14" s="6" t="str">
        <x:v>NIST-53: AC-3
NIST-53: AC-3; AC-6
BIGR: 4.3.1.4 | 4.3.1.4 — basılı s.164 / PDF 168</x:v>
      </x:c>
      <x:c r="K14" s="6" t="str">
        <x:v>AC-3; AC-6</x:v>
      </x:c>
      <x:c r="L14" s="6" t="str">
        <x:v>1 eski soru. Birleştirme İzini bu Kontrol ID ile süzün.</x:v>
      </x:c>
    </x:row>
  </x:sheetData>
  <x:pageMargins left="0.7" right="0.7" top="0.75" bottom="0.75" header="0.3" footer="0.3"/>
  <x:tableParts count="1">
    <x:tablePart xmlns:r="http://schemas.openxmlformats.org/officeDocument/2006/relationships" r:id="R49d6b48615c34133"/>
  </x:tableParts>
</x:worksheet>
</file>

<file path=xl/worksheets/sheet2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Citrix NetScaler ADC</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ADC-007</x:v>
      </x:c>
      <x:c r="B6" s="6" t="str">
        <x:v>Yönetim izolasyonu</x:v>
      </x:c>
      <x:c r="C6" s="6" t="str">
        <x:v>NSIP/SDX yönetim arayüzleri internet ve tenant ağlarından korunuyor mu?</x:v>
      </x:c>
      <x:c r="D6" s="6" t="str">
        <x:v>Yönetim uçlarına yalnız yetkili yönetim ağı üzerinden erişilmeli.</x:v>
      </x:c>
      <x:c r="E6" s="6" t="str">
        <x:v>Ortak ADC yönetiminin ele geçirilmesi tüm uygulama trafiğini etkiler.</x:v>
      </x:c>
      <x:c r="F6" s="6" t="str">
        <x:v>NSIP/management IP, ACL, routing ve listener ayarları.</x:v>
      </x:c>
      <x:c r="G6" s="6" t="str">
        <x:v>Tenant ve dış test ağından yönetim uçlarına erişim reddini doğrula.</x:v>
      </x:c>
      <x:c r="H6" s="6" t="str">
        <x:v>MPX/VPX/SDX modeli, ADC sürümü ve Gateway/WAF lisansı teyit edilmeli.</x:v>
      </x:c>
      <x:c r="I6" s="6" t="str">
        <x:v>Kurulu sürüm/dağıtımın özellik ve lisans desteği kanıtlanır. Test, salt okunur çıktı veya onaylı izole ortamla yürütülür.</x:v>
      </x:c>
      <x:c r="J6" s="6" t="str">
        <x:v>ADC-NET: secure cluster deployment, NSIP exposure
NIST-53: SC-7; AC-17
BIGR: 4.3.1.7 | 4.3.1.7 — basılı s.165 / PDF 169</x:v>
      </x:c>
      <x:c r="K6" s="6" t="str">
        <x:v>SC-7; AC-17</x:v>
      </x:c>
      <x:c r="L6" s="6" t="str">
        <x:v>1 eski soru. Birleştirme İzini bu Kontrol ID ile süzün.</x:v>
      </x:c>
    </x:row>
    <x:row r="7" ht="55" customHeight="1">
      <x:c r="A7" s="6" t="str">
        <x:v>ADC-008</x:v>
      </x:c>
      <x:c r="B7" s="6" t="str">
        <x:v>Tenant ayrımı</x:v>
      </x:c>
      <x:c r="C7" s="6" t="str">
        <x:v>Paylaşımlı ADC partition/instance ve yönetici kapsamı müşteri sınırlarını koruyor mu?</x:v>
      </x:c>
      <x:c r="D7" s="6" t="str">
        <x:v>Kullanılan modelin izolasyon sınırı belgeli ve UI/API/veri düzleminde testli olmalı.</x:v>
      </x:c>
      <x:c r="E7" s="6" t="str">
        <x:v>Bir müşteri diğerinin sanal sunucusunu, sertifikasını veya trafiğini değiştirir.</x:v>
      </x:c>
      <x:c r="F7" s="6" t="str">
        <x:v>SDX instance/admin partition veya eşdeğer tasarım, yetkiler ve IP/VLAN eşlemesi.</x:v>
      </x:c>
      <x:c r="G7" s="6" t="str">
        <x:v>İki tenant arasında yönetim nesnesi ve veri akışı erişimini test et.</x:v>
      </x:c>
      <x:c r="H7" s="6" t="str">
        <x:v>Partition/instance desteği modele/lisansa bağlı; var olduğu varsayılmaz.</x:v>
      </x:c>
      <x:c r="I7" s="6" t="str">
        <x:v>Kurulu sürüm/dağıtımın özellik ve lisans desteği kanıtlanır. Test, salt okunur çıktı veya onaylı izole ortamla yürütülür.</x:v>
      </x:c>
      <x:c r="J7" s="6" t="str">
        <x:v>ADC-SEC: MPX/VPX/SDX deployment; NIST-53: AC-3
NIST-53: AC-3; SC-4
BIGR: 4.3.1.4 | 4.3.1.4 — basılı s.164 / PDF 168</x:v>
      </x:c>
      <x:c r="K7" s="6" t="str">
        <x:v>AC-3; SC-4</x:v>
      </x:c>
      <x:c r="L7" s="6" t="str">
        <x:v>1 eski soru. Birleştirme İzini bu Kontrol ID ile süzün.</x:v>
      </x:c>
    </x:row>
    <x:row r="8" ht="55" customHeight="1">
      <x:c r="A8" s="6" t="str">
        <x:v>ADC-009</x:v>
      </x:c>
      <x:c r="B8" s="6" t="str">
        <x:v>TLS</x:v>
      </x:c>
      <x:c r="C8" s="6" t="str">
        <x:v>İstemci ve arka uç TLS bağlantıları güvenli profil ve doğrulama ile korunuyor mu?</x:v>
      </x:c>
      <x:c r="D8" s="6" t="str">
        <x:v>Hassas her iki bacakta güvenli TLS ve sertifika doğrulaması; şifre çözümleme mimarisi belgeli olmalı.</x:v>
      </x:c>
      <x:c r="E8" s="6" t="str">
        <x:v>Ön taraftaki HTTPS arka uçtaki açık veya sahte bağlantıyı gizleyebilir.</x:v>
      </x:c>
      <x:c r="F8" s="6" t="str">
        <x:v>SSL profiles, certKey/bindings, service/backend encryption ayarları.</x:v>
      </x:c>
      <x:c r="G8" s="6" t="str">
        <x:v>Bir virtual server'ın iki bağlantı bacağını test raporu ve sertifikayla eşleştir.</x:v>
      </x:c>
      <x:c r="H8" s="6" t="str">
        <x:v>MPX/VPX/SDX modeli, ADC sürümü ve Gateway/WAF lisansı teyit edilmeli.</x:v>
      </x:c>
      <x:c r="I8" s="6" t="str">
        <x:v>Kurulu sürüm/dağıtımın özellik ve lisans desteği kanıtlanır. Test, salt okunur çıktı veya onaylı izole ortamla yürütülür.</x:v>
      </x:c>
      <x:c r="J8" s="6" t="str">
        <x:v>ADC-NET: TLS recommendations
NIST-53: SC-8; SC-17
BIGR: 3.2.9 | 3.2.9 — bölüm başlangıcı; basılı s.106 / PDF 110</x:v>
      </x:c>
      <x:c r="K8" s="6" t="str">
        <x:v>SC-8; SC-17</x:v>
      </x:c>
      <x:c r="L8" s="6" t="str">
        <x:v>1 eski soru. Birleştirme İzini bu Kontrol ID ile süzün.</x:v>
      </x:c>
    </x:row>
    <x:row r="9" ht="55" customHeight="1">
      <x:c r="A9" s="6" t="str">
        <x:v>ADC-010</x:v>
      </x:c>
      <x:c r="B9" s="6" t="str">
        <x:v>Yayın yüzeyi</x:v>
      </x:c>
      <x:c r="C9" s="6" t="str">
        <x:v>Virtual server, service ve content switching kuralları yalnız onaylı uygulamaları yayımlıyor mu?</x:v>
      </x:c>
      <x:c r="D9" s="6" t="str">
        <x:v>VIP-host-service eşleşmesi uygulama envanteriyle aynı; gereksiz servis kapalı olmalı.</x:v>
      </x:c>
      <x:c r="E9" s="6" t="str">
        <x:v>Unutulmuş VIP veya geniş kural iç servisi internete açar.</x:v>
      </x:c>
      <x:c r="F9" s="6" t="str">
        <x:v>VIP, content switching, service group ve uygulama listesi.</x:v>
      </x:c>
      <x:c r="G9" s="6" t="str">
        <x:v>Dış yüzeydeki her VIP'yi sahibi ve backend hedefiyle mutabıklaştır.</x:v>
      </x:c>
      <x:c r="H9" s="6" t="str">
        <x:v>MPX/VPX/SDX modeli, ADC sürümü ve Gateway/WAF lisansı teyit edilmeli.</x:v>
      </x:c>
      <x:c r="I9" s="6" t="str">
        <x:v>Kurulu sürüm/dağıtımın özellik ve lisans desteği kanıtlanır. Test, salt okunur çıktı veya onaylı izole ortamla yürütülür.</x:v>
      </x:c>
      <x:c r="J9" s="6" t="str">
        <x:v>NIST-53: CM-7
NIST-53: CM-7; SC-7
BIGR: 3.1.6 | 3.1.6 — bölüm başlangıcı; basılı s.49 / PDF 53</x:v>
      </x:c>
      <x:c r="K9" s="6" t="str">
        <x:v>CM-7; SC-7</x:v>
      </x:c>
      <x:c r="L9" s="6" t="str">
        <x:v>1 eski soru. Birleştirme İzini bu Kontrol ID ile süzün.</x:v>
      </x:c>
    </x:row>
    <x:row r="10" ht="55" customHeight="1">
      <x:c r="A10" s="6" t="str">
        <x:v>ADC-011</x:v>
      </x:c>
      <x:c r="B10" s="6" t="str">
        <x:v>Yüksek erişilebilirlik</x:v>
      </x:c>
      <x:c r="C10" s="6" t="str">
        <x:v>ADC HA/cluster geçişinde sertifika, politika ve müşteri bağlantıları korunuyor mu?</x:v>
      </x:c>
      <x:c r="D10" s="6" t="str">
        <x:v>Konfigürasyon/sır senkronizasyonu ve failover testi hizmet hedeflerine uygun olmalı.</x:v>
      </x:c>
      <x:c r="E10" s="6" t="str">
        <x:v>Yedek düğüm yanlış konfigürasyonla trafik geçirir veya TLS bozulur.</x:v>
      </x:c>
      <x:c r="F10" s="6" t="str">
        <x:v>HA status, sync sonuçları, failover test raporu.</x:v>
      </x:c>
      <x:c r="G10" s="6" t="str">
        <x:v>Son testte TLS, uygulama ve erişim reddi davranışının korunduğunu doğrula.</x:v>
      </x:c>
      <x:c r="H10" s="6" t="str">
        <x:v>MPX/VPX/SDX modeli, ADC sürümü ve Gateway/WAF lisansı teyit edilmeli.</x:v>
      </x:c>
      <x:c r="I10" s="6" t="str">
        <x:v>Kurulu sürüm/dağıtımın özellik ve lisans desteği kanıtlanır. Test, salt okunur çıktı veya onaylı izole ortamla yürütülür.</x:v>
      </x:c>
      <x:c r="J10" s="6" t="str">
        <x:v>NIST-53: CP-4
NIST-53: CP-4; CP-10
BIGR: 3.1.13 | 3.1.13 — bölüm başlangıcı; basılı s.74 / PDF 78</x:v>
      </x:c>
      <x:c r="K10" s="6" t="str">
        <x:v>CP-4; CP-10</x:v>
      </x:c>
      <x:c r="L10" s="6" t="str">
        <x:v>1 eski soru. Birleştirme İzini bu Kontrol ID ile süzün.</x:v>
      </x:c>
    </x:row>
    <x:row r="11" ht="55" customHeight="1">
      <x:c r="A11" s="6" t="str">
        <x:v>ADC-012</x:v>
      </x:c>
      <x:c r="B11" s="6" t="str">
        <x:v>Sertifika ve yedek</x:v>
      </x:c>
      <x:c r="C11" s="6" t="str">
        <x:v>ADC konfigürasyonu ve özel anahtarları güvenli biçimde yedeklenip kurtarılabiliyor mu?</x:v>
      </x:c>
      <x:c r="D11" s="6" t="str">
        <x:v>Yedek ve key erişimi minimum; güvenli restore testi mevcut olmalı.</x:v>
      </x:c>
      <x:c r="E11" s="6" t="str">
        <x:v>Konfigürasyon yedeğinden anahtar çalınır veya kayıpta servis geri kurulamaz.</x:v>
      </x:c>
      <x:c r="F11" s="6" t="str">
        <x:v>Backup dosya kapsamı, ACL/şifreleme, anahtar sahibi, restore raporu.</x:v>
      </x:c>
      <x:c r="G11" s="6" t="str">
        <x:v>Anahtar içeriğini almadan yedek korumasını ve izole geri dönüşü doğrula.</x:v>
      </x:c>
      <x:c r="H11" s="6" t="str">
        <x:v>MPX/VPX/SDX modeli, ADC sürümü ve Gateway/WAF lisansı teyit edilmeli.</x:v>
      </x:c>
      <x:c r="I11" s="6" t="str">
        <x:v>Kurulu sürüm/dağıtımın özellik ve lisans desteği kanıtlanır. Test, salt okunur çıktı veya onaylı izole ortamla yürütülür.</x:v>
      </x:c>
      <x:c r="J11" s="6" t="str">
        <x:v>NIST-53: SC-12, CP-9
NIST-53: SC-12; CP-9; SC-28
BIGR: 4.4.2 | 4.4.2 — bölüm başlangıcı; basılı s.170 / PDF 174</x:v>
      </x:c>
      <x:c r="K11" s="6" t="str">
        <x:v>SC-12; CP-9; SC-28</x:v>
      </x:c>
      <x:c r="L11" s="6" t="str">
        <x:v>1 eski soru. Birleştirme İzini bu Kontrol ID ile süzün.</x:v>
      </x:c>
    </x:row>
  </x:sheetData>
  <x:pageMargins left="0.7" right="0.7" top="0.75" bottom="0.75" header="0.3" footer="0.3"/>
  <x:tableParts count="1">
    <x:tablePart xmlns:r="http://schemas.openxmlformats.org/officeDocument/2006/relationships" r:id="Rdbe057386a324e66"/>
  </x:tableParts>
</x:worksheet>
</file>

<file path=xl/worksheets/sheet2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Citrix NetScaler WAF</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55" customHeight="1">
      <x:c r="A6" s="6" t="str">
        <x:v>WAF-007</x:v>
      </x:c>
      <x:c r="B6" s="6" t="str">
        <x:v>Koruma yolu</x:v>
      </x:c>
      <x:c r="C6" s="6" t="str">
        <x:v>Uygulamaya erişim WAF'ı atlayan doğrudan backend yolu içeriyor mu?</x:v>
      </x:c>
      <x:c r="D6" s="6" t="str">
        <x:v>Korunacak uygulama trafiği WAF üzerinden geçmeli; backend doğrudan erişimi sınırlandırılmış olmalı.</x:v>
      </x:c>
      <x:c r="E6" s="6" t="str">
        <x:v>Saldırgan filtreyi aşarak uygulamaya doğrudan erişir.</x:v>
      </x:c>
      <x:c r="F6" s="6" t="str">
        <x:v>Trafik diyagramı, backend ACL ve DNS/VIP listesi.</x:v>
      </x:c>
      <x:c r="G6" s="6" t="str">
        <x:v>Onaylı dış/tenant test noktasından backend'e doğrudan erişim reddini doğrula.</x:v>
      </x:c>
      <x:c r="H6" s="6" t="str">
        <x:v>ADC üzerindeki Web App Firewall modülü; uygulama profili, sürüm ve lisans teyit edilmeli.</x:v>
      </x:c>
      <x:c r="I6" s="6" t="str">
        <x:v>Kurulu sürüm/dağıtımın özellik ve lisans desteği kanıtlanır. Test, salt okunur çıktı veya onaylı izole ortamla yürütülür.</x:v>
      </x:c>
      <x:c r="J6" s="6" t="str">
        <x:v>WAF-SEC: two-arm deployment
NIST-53: SC-7; AC-4
BIGR: 3.1.6 | 3.1.6 — bölüm başlangıcı; basılı s.49 / PDF 53</x:v>
      </x:c>
      <x:c r="K6" s="6" t="str">
        <x:v>SC-7; AC-4</x:v>
      </x:c>
      <x:c r="L6" s="6" t="str">
        <x:v>1 eski soru. Birleştirme İzini bu Kontrol ID ile süzün.</x:v>
      </x:c>
    </x:row>
    <x:row r="7" ht="55" customHeight="1">
      <x:c r="A7" s="6" t="str">
        <x:v>WAF-008</x:v>
      </x:c>
      <x:c r="B7" s="6" t="str">
        <x:v>Politika bağlama</x:v>
      </x:c>
      <x:c r="C7" s="6" t="str">
        <x:v>WAF profilleri doğru virtual server/host/path trafiğine bağlanmış mı?</x:v>
      </x:c>
      <x:c r="D7" s="6" t="str">
        <x:v>Policy expression, binding ve öncelik gerçek uygulama kapsamıyla tutarlı olmalı.</x:v>
      </x:c>
      <x:c r="E7" s="6" t="str">
        <x:v>Profil oluşturulmuş olsa da uygulama isteklerini korumaz.</x:v>
      </x:c>
      <x:c r="F7" s="6" t="str">
        <x:v>WAF policy/profile/binding exportu, virtual server listesi.</x:v>
      </x:c>
      <x:c r="G7" s="6" t="str">
        <x:v>Her kritik uygulamada zararsız test isteğinin doğru profile eşleştiğini doğrula.</x:v>
      </x:c>
      <x:c r="H7" s="6" t="str">
        <x:v>ADC üzerindeki Web App Firewall modülü; uygulama profili, sürüm ve lisans teyit edilmeli.</x:v>
      </x:c>
      <x:c r="I7" s="6" t="str">
        <x:v>Kurulu sürüm/dağıtımın özellik ve lisans desteği kanıtlanır. Test, salt okunur çıktı veya onaylı izole ortamla yürütülür.</x:v>
      </x:c>
      <x:c r="J7" s="6" t="str">
        <x:v>WAF-SEC: traffic policy activation
NIST-53: CM-6; SI-4
BIGR: 3.2.10 | 3.2.10 — bölüm başlangıcı; basılı s.107 / PDF 111</x:v>
      </x:c>
      <x:c r="K7" s="6" t="str">
        <x:v>CM-6; SI-4</x:v>
      </x:c>
      <x:c r="L7" s="6" t="str">
        <x:v>1 eski soru. Birleştirme İzini bu Kontrol ID ile süzün.</x:v>
      </x:c>
    </x:row>
    <x:row r="8" ht="55" customHeight="1">
      <x:c r="A8" s="6" t="str">
        <x:v>WAF-009</x:v>
      </x:c>
      <x:c r="B8" s="6" t="str">
        <x:v>Önleme modu</x:v>
      </x:c>
      <x:c r="C8" s="6" t="str">
        <x:v>Koruma beklenen WAF kontrolleri yalnız log/learn yerine engelleme yapıyor mu?</x:v>
      </x:c>
      <x:c r="D8" s="6" t="str">
        <x:v>Risk ve uygulama uyumu testine göre gereken bloklar aktif; geçici öğrenme süresi kontrollü olmalı.</x:v>
      </x:c>
      <x:c r="E8" s="6" t="str">
        <x:v>Ürün saldırıyı görür ama durdurmaz.</x:v>
      </x:c>
      <x:c r="F8" s="6" t="str">
        <x:v>Profile action ayarı, deployment planı, test sonucu.</x:v>
      </x:c>
      <x:c r="G8" s="6" t="str">
        <x:v>Sentetik testte izin ve blok yanıtını logla eşleştir.</x:v>
      </x:c>
      <x:c r="H8" s="6" t="str">
        <x:v>ADC üzerindeki Web App Firewall modülü; uygulama profili, sürüm ve lisans teyit edilmeli.</x:v>
      </x:c>
      <x:c r="I8" s="6" t="str">
        <x:v>Kurulu sürüm/dağıtımın özellik ve lisans desteği kanıtlanır. Test, salt okunur çıktı veya onaylı izole ortamla yürütülür.</x:v>
      </x:c>
      <x:c r="J8" s="6" t="str">
        <x:v>WAF-DEP: deployment workflow
NIST-53: SI-4; SC-7
BIGR: 3.2.10 | 3.2.10 — bölüm başlangıcı; basılı s.107 / PDF 111</x:v>
      </x:c>
      <x:c r="K8" s="6" t="str">
        <x:v>SI-4; SC-7</x:v>
      </x:c>
      <x:c r="L8" s="6" t="str">
        <x:v>1 eski soru. Birleştirme İzini bu Kontrol ID ile süzün.</x:v>
      </x:c>
    </x:row>
    <x:row r="9" ht="55" customHeight="1">
      <x:c r="A9" s="6" t="str">
        <x:v>WAF-010</x:v>
      </x:c>
      <x:c r="B9" s="6" t="str">
        <x:v>İmza ve pozitif model</x:v>
      </x:c>
      <x:c r="C9" s="6" t="str">
        <x:v>İmza güncelliği ve uygulamaya özgü pozitif güvenlik kuralları birlikte değerlendirilmiş mi?</x:v>
      </x:c>
      <x:c r="D9" s="6" t="str">
        <x:v>Bilinen tehdit imzaları ve gerekli uygulama davranış kuralları kontrollü devreye alınmalı.</x:v>
      </x:c>
      <x:c r="E9" s="6" t="str">
        <x:v>Sadece varsayılan imza uygulamaya özel ihlalleri kaçırır.</x:v>
      </x:c>
      <x:c r="F9" s="6" t="str">
        <x:v>Signature sürümü, profil güvenlik kontrolleri, uygulama gereksinimi.</x:v>
      </x:c>
      <x:c r="G9" s="6" t="str">
        <x:v>Uygulama ihtiyacıyla etkin kontrolleri karşılaştır; geçerli işlem testiyle uyumu incele.</x:v>
      </x:c>
      <x:c r="H9" s="6" t="str">
        <x:v>ADC üzerindeki Web App Firewall modülü; uygulama profili, sürüm ve lisans teyit edilmeli.</x:v>
      </x:c>
      <x:c r="I9" s="6" t="str">
        <x:v>Kurulu sürüm/dağıtımın özellik ve lisans desteği kanıtlanır. Test, salt okunur çıktı veya onaylı izole ortamla yürütülür.</x:v>
      </x:c>
      <x:c r="J9" s="6" t="str">
        <x:v>WAF-SEC: multiple tiers; WAF-DEP: positive model
NIST-53: SI-4; CM-6
BIGR: 3.2.10 | 3.2.10 — bölüm başlangıcı; basılı s.107 / PDF 111</x:v>
      </x:c>
      <x:c r="K9" s="6" t="str">
        <x:v>SI-4; CM-6</x:v>
      </x:c>
      <x:c r="L9" s="6" t="str">
        <x:v>1 eski soru. Birleştirme İzini bu Kontrol ID ile süzün.</x:v>
      </x:c>
    </x:row>
    <x:row r="10" ht="55" customHeight="1">
      <x:c r="A10" s="6" t="str">
        <x:v>WAF-011</x:v>
      </x:c>
      <x:c r="B10" s="6" t="str">
        <x:v>Öğrenme güvenliği</x:v>
      </x:c>
      <x:c r="C10" s="6" t="str">
        <x:v>Öğrenilmiş WAF kuralları üretime alınmadan gözden geçiriliyor mu?</x:v>
      </x:c>
      <x:c r="D10" s="6" t="str">
        <x:v>Öğrenme verisi ve gevşetmeler bağımsız inceleme/onaydan geçmeli.</x:v>
      </x:c>
      <x:c r="E10" s="6" t="str">
        <x:v>Saldırgan veya hatalı trafik güvenilir uygulama davranışı olarak öğrenilir.</x:v>
      </x:c>
      <x:c r="F10" s="6" t="str">
        <x:v>Learning kayıtları, relaxation değişiklikleri, onay ve testler.</x:v>
      </x:c>
      <x:c r="G10" s="6" t="str">
        <x:v>Bir öğrenilmiş kuralı veri kaynağı ve yayım öncesi testine geri izle.</x:v>
      </x:c>
      <x:c r="H10" s="6" t="str">
        <x:v>ADC üzerindeki Web App Firewall modülü; uygulama profili, sürüm ve lisans teyit edilmeli.</x:v>
      </x:c>
      <x:c r="I10" s="6" t="str">
        <x:v>Kurulu sürüm/dağıtımın özellik ve lisans desteği kanıtlanır. Test, salt okunur çıktı veya onaylı izole ortamla yürütülür.</x:v>
      </x:c>
      <x:c r="J10" s="6" t="str">
        <x:v>WAF-SEC: validate learning data before go-live
NIST-53: CM-3; CM-6
BIGR: 3.2.5 | 3.2.5 — bölüm başlangıcı; basılı s.95 / PDF 99</x:v>
      </x:c>
      <x:c r="K10" s="6" t="str">
        <x:v>CM-3; CM-6</x:v>
      </x:c>
      <x:c r="L10" s="6" t="str">
        <x:v>1 eski soru. Birleştirme İzini bu Kontrol ID ile süzün.</x:v>
      </x:c>
    </x:row>
    <x:row r="11" ht="55" customHeight="1">
      <x:c r="A11" s="6" t="str">
        <x:v>WAF-012</x:v>
      </x:c>
      <x:c r="B11" s="6" t="str">
        <x:v>Uygulama testleri</x:v>
      </x:c>
      <x:c r="C11" s="6" t="str">
        <x:v>SQLi, XSS ve form/session kontrolleri uygulamaya uygun güvenli testlerle doğrulanıyor mu?</x:v>
      </x:c>
      <x:c r="D11" s="6" t="str">
        <x:v>İlgili saldırı sınıfları için sentetik test ve meşru işlem sonucu belgeli olmalı.</x:v>
      </x:c>
      <x:c r="E11" s="6" t="str">
        <x:v>Yanlış normalizasyon veya kapsam koruma iddiasını geçersiz kılar.</x:v>
      </x:c>
      <x:c r="F11" s="6" t="str">
        <x:v>Test kapsamı, WAF olayları, uygulama hata/başarı kayıtları.</x:v>
      </x:c>
      <x:c r="G11" s="6" t="str">
        <x:v>Üretim dışı ortamda uygulanabilir kontrol sınıflarını kontrollü doğrula.</x:v>
      </x:c>
      <x:c r="H11" s="6" t="str">
        <x:v>Aktif testler yalnız yetkili test ortamında ve onaylı kapsamda yapılır.</x:v>
      </x:c>
      <x:c r="I11" s="6" t="str">
        <x:v>Kurulu sürüm/dağıtımın özellik ve lisans desteği kanıtlanır. Test, salt okunur çıktı veya onaylı izole ortamla yürütülür.</x:v>
      </x:c>
      <x:c r="J11" s="6" t="str">
        <x:v>WAF-DEP: protected attack classes
NIST-53: SI-10; SI-4
BIGR: 3.2.10 | 3.2.10 — bölüm başlangıcı; basılı s.107 / PDF 111</x:v>
      </x:c>
      <x:c r="K11" s="6" t="str">
        <x:v>SI-10; SI-4</x:v>
      </x:c>
      <x:c r="L11" s="6" t="str">
        <x:v>1 eski soru. Birleştirme İzini bu Kontrol ID ile süzün.</x:v>
      </x:c>
    </x:row>
    <x:row r="12" ht="55" customHeight="1">
      <x:c r="A12" s="6" t="str">
        <x:v>WAF-013</x:v>
      </x:c>
      <x:c r="B12" s="6" t="str">
        <x:v>İstisnalar</x:v>
      </x:c>
      <x:c r="C12" s="6" t="str">
        <x:v>WAF gevşetmeleri belirli URL/parametre ve gerekçeyle sınırlı mı?</x:v>
      </x:c>
      <x:c r="D12" s="6" t="str">
        <x:v>Dar istisna, sahibi ve tekrar inceleme tarihi; sınır testi olmalı.</x:v>
      </x:c>
      <x:c r="E12" s="6" t="str">
        <x:v>Global bypass başka saldırıları da serbest bırakır.</x:v>
      </x:c>
      <x:c r="F12" s="6" t="str">
        <x:v>Relaxation/exception exportu, uygulama onayı, sınır testi.</x:v>
      </x:c>
      <x:c r="G12" s="6" t="str">
        <x:v>İstisna içi ve dışı isteklerde beklenen farklı sonucu doğrula.</x:v>
      </x:c>
      <x:c r="H12" s="6" t="str">
        <x:v>ADC üzerindeki Web App Firewall modülü; uygulama profili, sürüm ve lisans teyit edilmeli.</x:v>
      </x:c>
      <x:c r="I12" s="6" t="str">
        <x:v>Kurulu sürüm/dağıtımın özellik ve lisans desteği kanıtlanır. Test, salt okunur çıktı veya onaylı izole ortamla yürütülür.</x:v>
      </x:c>
      <x:c r="J12" s="6" t="str">
        <x:v>NIST-53: CM-6
NIST-53: CM-6; RA-7
BIGR: 3.2.10 | 3.2.10 — bölüm başlangıcı; basılı s.107 / PDF 111</x:v>
      </x:c>
      <x:c r="K12" s="6" t="str">
        <x:v>CM-6; RA-7</x:v>
      </x:c>
      <x:c r="L12" s="6" t="str">
        <x:v>1 eski soru. Birleştirme İzini bu Kontrol ID ile süzün.</x:v>
      </x:c>
    </x:row>
    <x:row r="13" ht="70" customHeight="1">
      <x:c r="A13" s="6" t="str">
        <x:v>WAF-014</x:v>
      </x:c>
      <x:c r="B13" s="6" t="str">
        <x:v>Log mahremiyeti</x:v>
      </x:c>
      <x:c r="C13" s="6" t="str">
        <x:v>WAF kayıtları müşteri kimliğini korurken hassas istek içeriğini sınırlıyor mu?</x:v>
      </x:c>
      <x:c r="D13" s="6" t="str">
        <x:v>Uygulama/tenant, kural ve sonuç izlenebilir; sır/veri erişimi sınırlı olmalı.</x:v>
      </x:c>
      <x:c r="E13" s="6" t="str">
        <x:v>Form/token verisi SIEM'e gereksiz aktarılır veya olay yanlış müşteriye gider.</x:v>
      </x:c>
      <x:c r="F13" s="6" t="str">
        <x:v>WAF log ayarı, maskelenmiş örnek olay, SIEM rolü.</x:v>
      </x:c>
      <x:c r="G13" s="6" t="str">
        <x:v>Bir test olayını doğru tenant ve kural ile eşleştir; secret içerik kaydını kontrol et.</x:v>
      </x:c>
      <x:c r="H13" s="6" t="str">
        <x:v>ADC üzerindeki Web App Firewall modülü; uygulama profili, sürüm ve lisans teyit edilmeli.</x:v>
      </x:c>
      <x:c r="I13" s="6" t="str">
        <x:v>Kurulu sürüm/dağıtımın özellik ve lisans desteği kanıtlanır. Test, salt okunur çıktı veya onaylı izole ortamla yürütülür.</x:v>
      </x:c>
      <x:c r="J13" s="6" t="str">
        <x:v>NIST-53: AU-3, SI-12
NIST-53: AU-3; AC-6; SI-12
BIGR: 3.1.8; 3.1.7 | 3.1.8 — bölüm başlangıcı; basılı s.59 / PDF 63
3.1.7 — bölüm başlangıcı; basılı s.57 / PDF 61</x:v>
      </x:c>
      <x:c r="K13" s="6" t="str">
        <x:v>AU-3; AC-6; SI-12</x:v>
      </x:c>
      <x:c r="L13" s="6" t="str">
        <x:v>1 eski soru. Birleştirme İzini bu Kontrol ID ile süzün.</x:v>
      </x:c>
    </x:row>
  </x:sheetData>
  <x:pageMargins left="0.7" right="0.7" top="0.75" bottom="0.75" header="0.3" footer="0.3"/>
  <x:tableParts count="1">
    <x:tablePart xmlns:r="http://schemas.openxmlformats.org/officeDocument/2006/relationships" r:id="R6e407726eb2f4abd"/>
  </x:tableParts>
</x:worksheet>
</file>

<file path=xl/worksheets/sheet2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Exchange 2019</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40" customHeight="1">
      <x:c r="A6" s="6" t="str">
        <x:v>EXC-001</x:v>
      </x:c>
      <x:c r="B6" s="6" t="str">
        <x:v>Edge gönderici sahteciliği ve filtreleme</x:v>
      </x:c>
      <x:c r="C6" s="6" t="str">
        <x:v>Edge gönderici sahteciliği ve filtreleme kontrolü, aşağıdaki sürüm ve kapsam koşullarında doğrulanıyor mu?</x:v>
      </x:c>
      <x:c r="D6" s="6" t="str">
        <x:v>Sender ID ve Sender Filter etkin; SpoofedDomainAction=Reject olmalı.</x:v>
      </x:c>
      <x:c r="E6" s="6" t="str">
        <x:v>Sahte gönderenli mesaj kimlik avını ve müşteri adına yanıltıcı iletişimi kolaylaştırabilir.</x:v>
      </x:c>
      <x:c r="F6" s="6" t="str">
        <x:v>SenderID/SenderFilter config ve Edge agent durumu; kontrollü mesaj sonucu.</x:v>
      </x:c>
      <x:c r="G6" s="6" t="str">
        <x:v>Etkin agentı ve politika aksiyonunu mesaj başlığı/işlem kaydıyla karşılaştır.</x:v>
      </x:c>
      <x:c r="H6" s="6" t="str">
        <x:v>Exchange 2019 Edge antispam ajanları.</x:v>
      </x:c>
      <x:c r="I6" s="6" t="str">
        <x:v>Meşru yönlendirilmiş postada yanlış pozitif izlenir.</x:v>
      </x:c>
      <x:c r="J6" s="6" t="str">
        <x:v>CIS-EXC:1.1
CIS-EXC:1.2</x:v>
      </x:c>
      <x:c r="K6" s="6" t="str">
        <x:v>SI-8</x:v>
      </x:c>
      <x:c r="L6" s="6" t="str">
        <x:v>1 eski soru. Birleştirme İzini bu Kontrol ID ile süzün.</x:v>
      </x:c>
    </x:row>
    <x:row r="7" ht="40" customHeight="1">
      <x:c r="A7" s="6" t="str">
        <x:v>EXC-002</x:v>
      </x:c>
      <x:c r="B7" s="6" t="str">
        <x:v>Edge gönderici itibarı</x:v>
      </x:c>
      <x:c r="C7" s="6" t="str">
        <x:v>Edge gönderici itibarı kontrolü, aşağıdaki sürüm ve kapsam koşullarında doğrulanıyor mu?</x:v>
      </x:c>
      <x:c r="D7" s="6" t="str">
        <x:v>SenderBlockingEnabled ve OpenProxyDetectionEnabled true; SrlBlockThreshold=6 olmalı.</x:v>
      </x:c>
      <x:c r="E7" s="6" t="str">
        <x:v>Bilinen kötü itibar ve açık proxy kaynakları filtrelenmeden mesaj iletebilir.</x:v>
      </x:c>
      <x:c r="F7" s="6" t="str">
        <x:v>SenderReputationConfig, proxy tespit bağlantı tasarımı ve antispam logu.</x:v>
      </x:c>
      <x:c r="G7" s="6" t="str">
        <x:v>Ayarları ve tespit için gerekli onaylı çıkış yolunu incele; üretimde proxy taraması başlatma.</x:v>
      </x:c>
      <x:c r="H7" s="6" t="str">
        <x:v>Exchange 2019 Edge.</x:v>
      </x:c>
      <x:c r="I7" s="6" t="str">
        <x:v>Kaynağın belirttiği proxy test portları ağ güvenlik değerlendirmesi olmadan açılmaz.</x:v>
      </x:c>
      <x:c r="J7" s="6" t="str">
        <x:v>CIS-EXC:1.3</x:v>
      </x:c>
      <x:c r="K7" s="6" t="str">
        <x:v>SI-8</x:v>
      </x:c>
      <x:c r="L7" s="6" t="str">
        <x:v>1 eski soru. Birleştirme İzini bu Kontrol ID ile süzün.</x:v>
      </x:c>
    </x:row>
    <x:row r="8" ht="40" customHeight="1">
      <x:c r="A8" s="6" t="str">
        <x:v>EXC-003</x:v>
      </x:c>
      <x:c r="B8" s="6" t="str">
        <x:v>Spam karantina hedefi ve eşik</x:v>
      </x:c>
      <x:c r="C8" s="6" t="str">
        <x:v>Spam karantina hedefi ve eşik kontrolü, aşağıdaki sürüm ve kapsam koşullarında doğrulanıyor mu?</x:v>
      </x:c>
      <x:c r="D8" s="6" t="str">
        <x:v>QuarantineMailbox boş değil, geçerli/erişilebilir onaylı posta kutusu; SCLQuarantineEnabled=true ve SCLQuarantineThreshold≤6 olmalı.</x:v>
      </x:c>
      <x:c r="E8" s="6" t="str">
        <x:v>Çalışmayan karantina hedefi mesaj kaybına veya şüpheli içeriğin kontrolsüz erişimine yol açabilir.</x:v>
      </x:c>
      <x:c r="F8" s="6" t="str">
        <x:v>ContentFilterConfig, karantina kutusu yetkisi ve güvenli test mesajı.</x:v>
      </x:c>
      <x:c r="G8" s="6" t="str">
        <x:v>Karantina teslimi ve inceleyen kişinin yetkisini doğrula; 1.5 başlığındaki boş hedef ifadesini Audit ile karıştırma.</x:v>
      </x:c>
      <x:c r="H8" s="6" t="str">
        <x:v>Exchange 2019 Edge content filtering.</x:v>
      </x:c>
      <x:c r="I8" s="6" t="str">
        <x:v>Karantina içeriği müşteri verisi taşır; erişim sınırlı olmalı.</x:v>
      </x:c>
      <x:c r="J8" s="6" t="str">
        <x:v>CIS-EXC:1.5
CIS-EXC:1.6</x:v>
      </x:c>
      <x:c r="K8" s="6" t="str">
        <x:v>SI-8; AC-6</x:v>
      </x:c>
      <x:c r="L8" s="6" t="str">
        <x:v>2 eski soru. Birleştirme İzini bu Kontrol ID ile süzün.</x:v>
      </x:c>
    </x:row>
    <x:row r="9" ht="40" customHeight="1">
      <x:c r="A9" s="6" t="str">
        <x:v>EXC-004</x:v>
      </x:c>
      <x:c r="B9" s="6" t="str">
        <x:v>Edge alıcı doğrulama</x:v>
      </x:c>
      <x:c r="C9" s="6" t="str">
        <x:v>Edge alıcı doğrulama kontrolü, aşağıdaki sürüm ve kapsam koşullarında doğrulanıyor mu?</x:v>
      </x:c>
      <x:c r="D9" s="6" t="str">
        <x:v>Recipient Filter etkin ve RecipientValidationEnabled=true olmalı.</x:v>
      </x:c>
      <x:c r="E9" s="6" t="str">
        <x:v>Geçersiz alıcılara trafik kaynak tüketimini artırır ve istenmeyen geri bildirim üretir.</x:v>
      </x:c>
      <x:c r="F9" s="6" t="str">
        <x:v>RecipientFilterConfig ve Edge rolü; adres kitabı eşitleme/örnek mesaj sonucu.</x:v>
      </x:c>
      <x:c r="G9" s="6" t="str">
        <x:v>Rolü ve etkin agentı doğrula; bilinen geçerli/geçersiz sentetik alıcıları kontrollü testle karşılaştır.</x:v>
      </x:c>
      <x:c r="H9" s="6" t="str">
        <x:v>Exchange 2019 Edge; Mailbox rolüne koşulsuz uygulanmaz.</x:v>
      </x:c>
      <x:c r="I9" s="6" t="str">
        <x:v>Mailbox rolünde karma geçerli/geçersiz alıcılı mesajın bütünü reddedilebilir.</x:v>
      </x:c>
      <x:c r="J9" s="6" t="str">
        <x:v>CIS-EXC:1.7
CIS-EXC:1.11</x:v>
      </x:c>
      <x:c r="K9" s="6" t="str">
        <x:v>SI-8</x:v>
      </x:c>
      <x:c r="L9" s="6" t="str">
        <x:v>2 eski soru. Birleştirme İzini bu Kontrol ID ile süzün.</x:v>
      </x:c>
    </x:row>
    <x:row r="10" ht="40" customHeight="1">
      <x:c r="A10" s="6" t="str">
        <x:v>EXC-005</x:v>
      </x:c>
      <x:c r="B10" s="6" t="str">
        <x:v>Edge ek filtreleme</x:v>
      </x:c>
      <x:c r="C10" s="6" t="str">
        <x:v>Edge ek filtreleme kontrolü, aşağıdaki sürüm ve kapsam koşullarında doğrulanıyor mu?</x:v>
      </x:c>
      <x:c r="D10" s="6" t="str">
        <x:v>Attachment Filtering Agent etkin; uzantı listesi CIS kaynak listesine karşı değerlendirilmiş; iş gereği sapmalar ayrı kaydedilmiş olmalı.</x:v>
      </x:c>
      <x:c r="E10" s="6" t="str">
        <x:v>Zararlı ekin kullanıcıya teslimi uç nokta ihlaline; aşırı engelleme meşru mesaj kaybına neden olabilir.</x:v>
      </x:c>
      <x:c r="F10" s="6" t="str">
        <x:v>Transport agent ve attachment filter entry listesi; iş formatları ve test mesajı.</x:v>
      </x:c>
      <x:c r="G10" s="6" t="str">
        <x:v>Kaynağın uzantı listesini fiili listeyle karşılaştır; yalnız agent varlığıyla kapatma.</x:v>
      </x:c>
      <x:c r="H10" s="6" t="str">
        <x:v>Exchange 2019 Edge.</x:v>
      </x:c>
      <x:c r="I10" s="6" t="str">
        <x:v>Kaynak doc/xls/html dahil iş formatları içerir; uyarlanmış liste otomatik tam CIS uygunluğu değildir.</x:v>
      </x:c>
      <x:c r="J10" s="6" t="str">
        <x:v>CIS-EXC:1.8</x:v>
      </x:c>
      <x:c r="K10" s="6" t="str">
        <x:v>SI-3; SI-8</x:v>
      </x:c>
      <x:c r="L10" s="6" t="str">
        <x:v>1 eski soru. Birleştirme İzini bu Kontrol ID ile süzün.</x:v>
      </x:c>
    </x:row>
    <x:row r="11" ht="85" customHeight="1">
      <x:c r="A11" s="6" t="str">
        <x:v>EXC-006</x:v>
      </x:c>
      <x:c r="B11" s="6" t="str">
        <x:v>SMTP mesaj boyutu sınırları</x:v>
      </x:c>
      <x:c r="C11" s="6" t="str">
        <x:v>SMTP mesaj boyutu sınırları kontrolü, aşağıdaki sürüm ve kapsam koşullarında doğrulanıyor mu?</x:v>
      </x:c>
      <x:c r="D11" s="6" t="str">
        <x:v>Receive/Send connector ve organizasyon MaxReceiveSize/MaxSendSize için kaynak baz değeri 25 MB; ilgili tüm uçlarda ayrı doğrulanmalı.</x:v>
      </x:c>
      <x:c r="E11" s="6" t="str">
        <x:v>Tutarsız sınırlar büyük mesajı zincirin ortasında reddederek kuyruk/kaynak tüketimi ve teslim sorununa neden olabilir.</x:v>
      </x:c>
      <x:c r="F11" s="6" t="str">
        <x:v>TransportConfig ve tüm ilgili connector boyut değerleri, uçtan uca sınır test kaydı.</x:v>
      </x:c>
      <x:c r="G11" s="6" t="str">
        <x:v>MB birimini koru; Edge/organizasyon/connector ayarlarını ve ara ESA sınırını ayrı karşılaştır.</x:v>
      </x:c>
      <x:c r="H11" s="6" t="str">
        <x:v>Exchange Server 2019; ilgili Edge/Mailbox rolü ve etkin özellik bazında.</x:v>
      </x:c>
      <x:c r="I11" s="6" t="str">
        <x:v>İş eki gereksinimi nedeniyle sapma varsa CIS bazından ayrılığı açıkça kaydet.</x:v>
      </x:c>
      <x:c r="J11" s="6" t="str">
        <x:v>CIS-EXC:1.9
CIS-EXC:2.2.2
CIS-EXC:2.2.3
CIS-EXC:2.2.4
CIS-EXC:2.2.5</x:v>
      </x:c>
      <x:c r="K11" s="6" t="str">
        <x:v>SC-5; SC-6</x:v>
      </x:c>
      <x:c r="L11" s="6" t="str">
        <x:v>1 eski soru. Birleştirme İzini bu Kontrol ID ile süzün.</x:v>
      </x:c>
    </x:row>
    <x:row r="12" ht="40" customHeight="1">
      <x:c r="A12" s="6" t="str">
        <x:v>EXC-007</x:v>
      </x:c>
      <x:c r="B12" s="6" t="str">
        <x:v>Pickup dizini</x:v>
      </x:c>
      <x:c r="C12" s="6" t="str">
        <x:v>Pickup dizini kontrolü, aşağıdaki sürüm ve kapsam koşullarında doğrulanıyor mu?</x:v>
      </x:c>
      <x:c r="D12" s="6" t="str">
        <x:v>Gerekmeyen PickupDirectoryPath null olmalı; gerekiyorsa kullanım ve erişim sınırı belgeli sapma olarak ele alınır.</x:v>
      </x:c>
      <x:c r="E12" s="6" t="str">
        <x:v>Yerel dizine yazabilen süreç yetkisiz mesaj üretimi için SMTP kimlik kontrolünü aşabilir.</x:v>
      </x:c>
      <x:c r="F12" s="6" t="str">
        <x:v>TransportService pickup yolu ve NTFS erişimleri; uygulama bağımlılığı.</x:v>
      </x:c>
      <x:c r="G12" s="6" t="str">
        <x:v>Tüm ilgili Edge/Mailbox hizmetlerini ve dizini kullanan süreçleri kontrol et.</x:v>
      </x:c>
      <x:c r="H12" s="6" t="str">
        <x:v>Exchange Server 2019; ilgili Edge/Mailbox rolü ve etkin özellik bazında.</x:v>
      </x:c>
      <x:c r="I12" s="6" t="str">
        <x:v>Pickup kullanan uygulamanın mesaj göndermesi durabilir.</x:v>
      </x:c>
      <x:c r="J12" s="6" t="str">
        <x:v>CIS-EXC:1.10
CIS-EXC:2.2.1</x:v>
      </x:c>
      <x:c r="K12" s="6" t="str">
        <x:v>CM-7; AC-6</x:v>
      </x:c>
      <x:c r="L12" s="6" t="str">
        <x:v>1 eski soru. Birleştirme İzini bu Kontrol ID ile süzün.</x:v>
      </x:c>
    </x:row>
    <x:row r="13" ht="55" customHeight="1">
      <x:c r="A13" s="6" t="str">
        <x:v>EXC-008</x:v>
      </x:c>
      <x:c r="B13" s="6" t="str">
        <x:v>Posta kutusu kota sıralaması</x:v>
      </x:c>
      <x:c r="C13" s="6" t="str">
        <x:v>Posta kutusu kota sıralaması kontrolü, aşağıdaki sürüm ve kapsam koşullarında doğrulanıyor mu?</x:v>
      </x:c>
      <x:c r="D13" s="6" t="str">
        <x:v>IssueWarningQuota, ProhibitSendQuota ve ProhibitSendReceiveQuota kurumun onaylı kapasite/hizmet politikasına göre tanımlı; fiili mailbox override değerleri değerlendirilmiş olmalı.</x:v>
      </x:c>
      <x:c r="E13" s="6" t="str">
        <x:v>Sınırsız veya tutarsız kotalar ortak veritabanını doldurabilir; aşırı düşük kota müşterinin posta akışını kesebilir.</x:v>
      </x:c>
      <x:c r="F13" s="6" t="str">
        <x:v>MailboxDatabase ve mailbox override kota exportu; kapasite politikası.</x:v>
      </x:c>
      <x:c r="G13" s="6" t="str">
        <x:v>Kaynak sabit kota sayısı vermiyor; onaylı değeri ve kullanıcıya etkin olan database/override seçimini karşılaştır.</x:v>
      </x:c>
      <x:c r="H13" s="6" t="str">
        <x:v>Exchange 2019 Mailbox.</x:v>
      </x:c>
      <x:c r="I13" s="6" t="str">
        <x:v>Ayar değişikliği uygulanmaz; salt okunur PowerShell/etkin yapılandırma ve mevcut test kanıtı incelenir.</x:v>
      </x:c>
      <x:c r="J13" s="6" t="str">
        <x:v>CIS-EXC:2.1.1
CIS-EXC:2.1.3
CIS-EXC:2.1.4</x:v>
      </x:c>
      <x:c r="K13" s="6" t="str">
        <x:v>SC-6</x:v>
      </x:c>
      <x:c r="L13" s="6" t="str">
        <x:v>1 eski soru. Birleştirme İzini bu Kontrol ID ile süzün.</x:v>
      </x:c>
    </x:row>
    <x:row r="14" ht="55" customHeight="1">
      <x:c r="A14" s="6" t="str">
        <x:v>EXC-009</x:v>
      </x:c>
      <x:c r="B14" s="6" t="str">
        <x:v>Silinmiş öğe ve posta kutusu saklama</x:v>
      </x:c>
      <x:c r="C14" s="6" t="str">
        <x:v>Silinmiş öğe ve posta kutusu saklama kontrolü, aşağıdaki sürüm ve kapsam koşullarında doğrulanıyor mu?</x:v>
      </x:c>
      <x:c r="D14" s="6" t="str">
        <x:v>DeletedItemRetention=14 gün; MailboxRetention=30 gün CIS bazıdır. Bunlar tüm posta için hukuki saklama süresi değildir.</x:v>
      </x:c>
      <x:c r="E14" s="6" t="str">
        <x:v>Kısa kurtarma penceresi yanlış silmenin geri alınmasını engelleyebilir; uzun süre kapasite ve veri saklama yükünü artırır.</x:v>
      </x:c>
      <x:c r="F14" s="6" t="str">
        <x:v>MailboxDatabase retention değerleri, kurtarma politikası ve test kaydı.</x:v>
      </x:c>
      <x:c r="G14" s="6" t="str">
        <x:v>İki farklı nesne türünü ve gün birimini ayır; hukuki saklama kararı için ayrı onaylı gereksinimi kullan.</x:v>
      </x:c>
      <x:c r="H14" s="6" t="str">
        <x:v>Exchange 2019 Mailbox.</x:v>
      </x:c>
      <x:c r="I14" s="6" t="str">
        <x:v>Ayar değişikliği uygulanmaz; salt okunur PowerShell/etkin yapılandırma ve mevcut test kanıtı incelenir.</x:v>
      </x:c>
      <x:c r="J14" s="6" t="str">
        <x:v>CIS-EXC:2.1.2
CIS-EXC:2.1.5</x:v>
      </x:c>
      <x:c r="K14" s="6" t="str">
        <x:v>CP-9; SI-12</x:v>
      </x:c>
      <x:c r="L14" s="6" t="str">
        <x:v>2 eski soru. Birleştirme İzini bu Kontrol ID ile süzün.</x:v>
      </x:c>
    </x:row>
    <x:row r="15" ht="40" customHeight="1">
      <x:c r="A15" s="6" t="str">
        <x:v>EXC-010</x:v>
      </x:c>
      <x:c r="B15" s="6" t="str">
        <x:v>Yedek öncesi silinen öğe korunması</x:v>
      </x:c>
      <x:c r="C15" s="6" t="str">
        <x:v>Yedek öncesi silinen öğe korunması kontrolü, aşağıdaki sürüm ve kapsam koşullarında doğrulanıyor mu?</x:v>
      </x:c>
      <x:c r="D15" s="6" t="str">
        <x:v>RetainDeletedItemsUntilBackup=true; yedek yazılımının başarılı backup bilgisini Exchange’e gerçekten yansıttığı kanıtlanmalı.</x:v>
      </x:c>
      <x:c r="E15" s="6" t="str">
        <x:v>Backup damgası ilerlemezse silinen veri birikerek veritabanı kapasitesini tüketebilir; erken silme kurtarmayı engeller.</x:v>
      </x:c>
      <x:c r="F15" s="6" t="str">
        <x:v>Database ayarı, son backup timestamp ve kullanılan yedek entegrasyonu; kapasite trendi.</x:v>
      </x:c>
      <x:c r="G15" s="6" t="str">
        <x:v>Ayarı backup bayrağının fiili ilerlemesiyle birlikte incele.</x:v>
      </x:c>
      <x:c r="H15" s="6" t="str">
        <x:v>Exchange 2019 Mailbox; yedek entegrasyonu bu durumu destekliyorsa.</x:v>
      </x:c>
      <x:c r="I15" s="6" t="str">
        <x:v>Üçüncü taraf yedekleme bayrağı güncellemiyorsa koşulsuz etkinleştirme önerilmez.</x:v>
      </x:c>
      <x:c r="J15" s="6" t="str">
        <x:v>CIS-EXC:2.1.6</x:v>
      </x:c>
      <x:c r="K15" s="6" t="str">
        <x:v>CP-9</x:v>
      </x:c>
      <x:c r="L15" s="6" t="str">
        <x:v>Yeni CIS teknik maddesi. CIS Dizinine bakın.</x:v>
      </x:c>
    </x:row>
    <x:row r="16" ht="40" customHeight="1">
      <x:c r="A16" s="6" t="str">
        <x:v>EXC-011</x:v>
      </x:c>
      <x:c r="B16" s="6" t="str">
        <x:v>SMTP bağlantı süreleri</x:v>
      </x:c>
      <x:c r="C16" s="6" t="str">
        <x:v>SMTP bağlantı süreleri kontrolü, aşağıdaki sürüm ve kapsam koşullarında doğrulanıyor mu?</x:v>
      </x:c>
      <x:c r="D16" s="6" t="str">
        <x:v>SendConnectionInactivityTimeOut=00:10:00; Receive ConnectionTimeout=00:05:00 kaynak bazıdır.</x:v>
      </x:c>
      <x:c r="E16" s="6" t="str">
        <x:v>Açık kalan bağlantılar ortak transport kaynaklarını tüketebilir; aşırı kısa süre büyük/yavaş mesajı kesebilir.</x:v>
      </x:c>
      <x:c r="F16" s="6" t="str">
        <x:v>Send/Receive connector etkin timeout değerleri ve kuyruk/bağlantı kayıtları.</x:v>
      </x:c>
      <x:c r="G16" s="6" t="str">
        <x:v>Gönderim boşta süresini alım bağlantı süresiyle karıştırma; TimeSpan birimini doğrula.</x:v>
      </x:c>
      <x:c r="H16" s="6" t="str">
        <x:v>Exchange Server 2019; ilgili Edge/Mailbox rolü ve etkin özellik bazında.</x:v>
      </x:c>
      <x:c r="I16" s="6" t="str">
        <x:v>Ayar değişikliği uygulanmaz; salt okunur PowerShell/etkin yapılandırma ve mevcut test kanıtı incelenir.</x:v>
      </x:c>
      <x:c r="J16" s="6" t="str">
        <x:v>CIS-EXC:2.2.6
CIS-EXC:2.2.7</x:v>
      </x:c>
      <x:c r="K16" s="6" t="str">
        <x:v>SC-5; SC-6</x:v>
      </x:c>
      <x:c r="L16" s="6" t="str">
        <x:v>1 eski soru. Birleştirme İzini bu Kontrol ID ile süzün.</x:v>
      </x:c>
    </x:row>
    <x:row r="17" ht="55" customHeight="1">
      <x:c r="A17" s="6" t="str">
        <x:v>EXC-012</x:v>
      </x:c>
      <x:c r="B17" s="6" t="str">
        <x:v>Send connector DNS veya smart host yönlendirmesi</x:v>
      </x:c>
      <x:c r="C17" s="6" t="str">
        <x:v>Send connector DNS veya smart host yönlendirmesi kontrolü, aşağıdaki sürüm ve kapsam koşullarında doğrulanıyor mu?</x:v>
      </x:c>
      <x:c r="D17" s="6" t="str">
        <x:v>Doğrudan DNS yönlendirmesinde DNSRoutingEnabled=true; SmartHosts kullanılan connector için false beklenir.</x:v>
      </x:c>
      <x:c r="E17" s="6" t="str">
        <x:v>Yanlış yönlendirme güvenlik gatewayini atlatabilir veya e-posta teslimini kesebilir.</x:v>
      </x:c>
      <x:c r="F17" s="6" t="str">
        <x:v>SendConnector DNSRoutingEnabled/SmartHosts/address-space ve mimari akış.</x:v>
      </x:c>
      <x:c r="G17" s="6" t="str">
        <x:v>IronPort/başka smart host varlığını envanterden belirle; tüm connectorlarda true zorlaması yapma.</x:v>
      </x:c>
      <x:c r="H17" s="6" t="str">
        <x:v>Exchange Server 2019; ilgili Edge/Mailbox rolü ve etkin özellik bazında.</x:v>
      </x:c>
      <x:c r="I17" s="6" t="str">
        <x:v>Ayar değişikliği uygulanmaz; salt okunur PowerShell/etkin yapılandırma ve mevcut test kanıtı incelenir.</x:v>
      </x:c>
      <x:c r="J17" s="6" t="str">
        <x:v>CIS-EXC:2.2.8</x:v>
      </x:c>
      <x:c r="K17" s="6" t="str">
        <x:v>AC-4; SC-7</x:v>
      </x:c>
      <x:c r="L17" s="6" t="str">
        <x:v>1 eski soru. Birleştirme İzini bu Kontrol ID ile süzün.</x:v>
      </x:c>
    </x:row>
    <x:row r="18" ht="70" customHeight="1">
      <x:c r="A18" s="6" t="str">
        <x:v>EXC-013</x:v>
      </x:c>
      <x:c r="B18" s="6" t="str">
        <x:v>Uzak domain otomatik cevap ve yönlendirme</x:v>
      </x:c>
      <x:c r="C18" s="6" t="str">
        <x:v>Uzak domain otomatik cevap ve yönlendirme kontrolü, aşağıdaki sürüm ve kapsam koşullarında doğrulanıyor mu?</x:v>
      </x:c>
      <x:c r="D18" s="6" t="str">
        <x:v>Kapsamdaki remote domainlerde L2 NDREnabled=false ve AllowedOOFType=None; AutoReplyEnabled=false, AutoForwardEnabled=false.</x:v>
      </x:c>
      <x:c r="E18" s="6" t="str">
        <x:v>Otomatik dış cevap altyapı/kişi bilgisi sızdırabilir; yönlendirme posta kutusu verisini dışarı çıkarabilir.</x:v>
      </x:c>
      <x:c r="F18" s="6" t="str">
        <x:v>RemoteDomain etkin değerleri, partner istisnaları ve kontrollü mesaj akışı.</x:v>
      </x:c>
      <x:c r="G18" s="6" t="str">
        <x:v>Wildcard ve partner domain kayıtlarını ayrı kontrol et; kaynak NDR rol istisnasını doğrula.</x:v>
      </x:c>
      <x:c r="H18" s="6" t="str">
        <x:v>Exchange Server 2019; ilgili Edge/Mailbox rolü ve etkin özellik bazında.</x:v>
      </x:c>
      <x:c r="I18" s="6" t="str">
        <x:v>NDR bastırma teslim hatasını gönderen için görünmez kılar; iş etkisi değerlendirilir.</x:v>
      </x:c>
      <x:c r="J18" s="6" t="str">
        <x:v>CIS-EXC:2.3.1
CIS-EXC:2.3.2
CIS-EXC:2.3.3
CIS-EXC:2.3.4</x:v>
      </x:c>
      <x:c r="K18" s="6" t="str">
        <x:v>AC-4; SI-8</x:v>
      </x:c>
      <x:c r="L18" s="6" t="str">
        <x:v>3 eski soru. Birleştirme İzini bu Kontrol ID ile süzün.</x:v>
      </x:c>
    </x:row>
    <x:row r="19" ht="40" customHeight="1">
      <x:c r="A19" s="6" t="str">
        <x:v>EXC-014</x:v>
      </x:c>
      <x:c r="B19" s="6" t="str">
        <x:v>Outlook Anywhere RPC şifreleme</x:v>
      </x:c>
      <x:c r="C19" s="6" t="str">
        <x:v>Outlook Anywhere RPC şifreleme kontrolü, aşağıdaki sürüm ve kapsam koşullarında doğrulanıyor mu?</x:v>
      </x:c>
      <x:c r="D19" s="6" t="str">
        <x:v>RpcClientAccess EncryptionRequired=true; yalnız Outlook Anywhere/RPC üzerinden HTTP kapsamını kanıtlar.</x:v>
      </x:c>
      <x:c r="E19" s="6" t="str">
        <x:v>İlgili RPC yolunda şifreleme olmaması istemci-postakutusu iletişimini açığa çıkarabilir.</x:v>
      </x:c>
      <x:c r="F19" s="6" t="str">
        <x:v>Get-RpcClientAccess çıktısı ve kullanılan istemci/protokol envanteri.</x:v>
      </x:c>
      <x:c r="G19" s="6" t="str">
        <x:v>MAPI/HTTP veya bütün Outlook bağlantılarının şifreli olduğu sonucunu bu parametreden çıkarma; EXC-RPC kaynağına göre rolü belirle.</x:v>
      </x:c>
      <x:c r="H19" s="6" t="str">
        <x:v>Exchange 2019; Outlook Anywhere/RPC istemcileri varsa.</x:v>
      </x:c>
      <x:c r="I19" s="6" t="str">
        <x:v>Ayar değişikliği uygulanmaz; salt okunur PowerShell/etkin yapılandırma ve mevcut test kanıtı incelenir.</x:v>
      </x:c>
      <x:c r="J19" s="6" t="str">
        <x:v>CIS-EXC:2.3.6
EXC-RPC</x:v>
      </x:c>
      <x:c r="K19" s="6" t="str">
        <x:v>SC-8</x:v>
      </x:c>
      <x:c r="L19" s="6" t="str">
        <x:v>1 eski soru. Birleştirme İzini bu Kontrol ID ile süzün.</x:v>
      </x:c>
    </x:row>
    <x:row r="20" ht="40" customHeight="1">
      <x:c r="A20" s="6" t="str">
        <x:v>EXC-015</x:v>
      </x:c>
      <x:c r="B20" s="6" t="str">
        <x:v>Gereksiz POP3 ve IMAP4 hizmetleri</x:v>
      </x:c>
      <x:c r="C20" s="6" t="str">
        <x:v>Gereksiz POP3 ve IMAP4 hizmetleri kontrolü, aşağıdaki sürüm ve kapsam koşullarında doğrulanıyor mu?</x:v>
      </x:c>
      <x:c r="D20" s="6" t="str">
        <x:v>Kullanılmayan POP3/IMAP4 ön ve arka uç hizmetleri Disabled olmalı; gerekli kullanım açık sapma olarak tanımlanmalı.</x:v>
      </x:c>
      <x:c r="E20" s="6" t="str">
        <x:v>Ek protokol yüzeyi eski istemci/kimlik akışlarıyla posta verisine alternatif erişim yaratır.</x:v>
      </x:c>
      <x:c r="F20" s="6" t="str">
        <x:v>Dört ilgili servis başlangıç/çalışma durumu, mailbox protokol ve istemci envanteri.</x:v>
      </x:c>
      <x:c r="G20" s="6" t="str">
        <x:v>Ön uç ve arka uç servislerini ayrı incele; çalışan servisi yalnız başlangıç değeriyle kapatma.</x:v>
      </x:c>
      <x:c r="H20" s="6" t="str">
        <x:v>Exchange Server 2019; ilgili Edge/Mailbox rolü ve etkin özellik bazında.</x:v>
      </x:c>
      <x:c r="I20" s="6" t="str">
        <x:v>Bağımlı uygulama veya istemcinin posta erişimi kesilebilir.</x:v>
      </x:c>
      <x:c r="J20" s="6" t="str">
        <x:v>CIS-EXC:2.4.1
CIS-EXC:2.4.2</x:v>
      </x:c>
      <x:c r="K20" s="6" t="str">
        <x:v>CM-7</x:v>
      </x:c>
      <x:c r="L20" s="6" t="str">
        <x:v>1 eski soru. Birleştirme İzini bu Kontrol ID ile süzün.</x:v>
      </x:c>
    </x:row>
    <x:row r="21" ht="40" customHeight="1">
      <x:c r="A21" s="6" t="str">
        <x:v>EXC-016</x:v>
      </x:c>
      <x:c r="B21" s="6" t="str">
        <x:v>Müşteri deneyimi veri paylaşımı</x:v>
      </x:c>
      <x:c r="C21" s="6" t="str">
        <x:v>Müşteri deneyimi veri paylaşımı kontrolü, aşağıdaki sürüm ve kapsam koşullarında doğrulanıyor mu?</x:v>
      </x:c>
      <x:c r="D21" s="6" t="str">
        <x:v>CustomerFeedbackEnabled=false olmalı.</x:v>
      </x:c>
      <x:c r="E21" s="6" t="str">
        <x:v>Onaysız telemetri aktarımı kurumun veri paylaşım sınırını aşabilir.</x:v>
      </x:c>
      <x:c r="F21" s="6" t="str">
        <x:v>ExchangeServer CustomerFeedbackEnabled ve veri aktarım kararı.</x:v>
      </x:c>
      <x:c r="G21" s="6" t="str">
        <x:v>Tüm ilgili sunuculardaki ayarı karşılaştır.</x:v>
      </x:c>
      <x:c r="H21" s="6" t="str">
        <x:v>Exchange 2019 L2.</x:v>
      </x:c>
      <x:c r="I21" s="6" t="str">
        <x:v>Ayar değişikliği uygulanmaz; salt okunur PowerShell/etkin yapılandırma ve mevcut test kanıtı incelenir.</x:v>
      </x:c>
      <x:c r="J21" s="6" t="str">
        <x:v>CIS-EXC:2.4.4</x:v>
      </x:c>
      <x:c r="K21" s="6" t="str">
        <x:v>AC-4</x:v>
      </x:c>
      <x:c r="L21" s="6" t="str">
        <x:v>1 eski soru. Birleştirme İzini bu Kontrol ID ile süzün.</x:v>
      </x:c>
    </x:row>
    <x:row r="22" ht="40" customHeight="1">
      <x:c r="A22" s="6" t="str">
        <x:v>EXC-017</x:v>
      </x:c>
      <x:c r="B22" s="6" t="str">
        <x:v>SMTP karşılama bilgisi</x:v>
      </x:c>
      <x:c r="C22" s="6" t="str">
        <x:v>SMTP karşılama bilgisi kontrolü, aşağıdaki sürüm ve kapsam koşullarında doğrulanıyor mu?</x:v>
      </x:c>
      <x:c r="D22" s="6" t="str">
        <x:v>Receive connector Banner=220 SMTP Server Ready kaynak bazıdır; ürün/host ayrıntısı açığa çıkmamalı.</x:v>
      </x:c>
      <x:c r="E22" s="6" t="str">
        <x:v>Açılış bannerı altyapı keşfini kolaylaştırabilir.</x:v>
      </x:c>
      <x:c r="F22" s="6" t="str">
        <x:v>ReceiveConnector Banner ve izinli uçta SMTP karşılama kaydı.</x:v>
      </x:c>
      <x:c r="G22" s="6" t="str">
        <x:v>Yapılandırma ile fiili bannerı aynı connector üzerinde eşleştir.</x:v>
      </x:c>
      <x:c r="H22" s="6" t="str">
        <x:v>Exchange Server 2019; ilgili Edge/Mailbox rolü ve etkin özellik bazında.</x:v>
      </x:c>
      <x:c r="I22" s="6" t="str">
        <x:v>Ayar değişikliği uygulanmaz; salt okunur PowerShell/etkin yapılandırma ve mevcut test kanıtı incelenir.</x:v>
      </x:c>
      <x:c r="J22" s="6" t="str">
        <x:v>CIS-EXC:2.4.5</x:v>
      </x:c>
      <x:c r="K22" s="6" t="str">
        <x:v>CM-6</x:v>
      </x:c>
      <x:c r="L22" s="6" t="str">
        <x:v>1 eski soru. Birleştirme İzini bu Kontrol ID ile süzün.</x:v>
      </x:c>
    </x:row>
    <x:row r="23" ht="115" customHeight="1">
      <x:c r="A23" s="6" t="str">
        <x:v>EXC-018</x:v>
      </x:c>
      <x:c r="B23" s="6" t="str">
        <x:v>Mobil politika parola ve kilit</x:v>
      </x:c>
      <x:c r="C23" s="6" t="str">
        <x:v>Mobil politika parola ve kilit kontrolü, aşağıdaki sürüm ve kapsam koşullarında doğrulanıyor mu?</x:v>
      </x:c>
      <x:c r="D23" s="6" t="str">
        <x:v>AllowSimplePassword=false; PasswordEnabled=true; PasswordHistory≥4; MinPasswordLength≥4; PasswordExpiration≤365 gün; MaxInactivityTimeLock≤00:15:00.</x:v>
      </x:c>
      <x:c r="E23" s="6" t="str">
        <x:v>Kayıp veya gözetimsiz mobil cihaz posta verisini yetkisiz kişiye açabilir.</x:v>
      </x:c>
      <x:c r="F23" s="6" t="str">
        <x:v>Get-MobileDeviceMailboxPolicy ve mailbox atamaları, istemci destek/uygulama kanıtı.</x:v>
      </x:c>
      <x:c r="G23" s="6" t="str">
        <x:v>Kaynak prose içindeki eski DevicePassword adlarını değil gerçek cmdlet özelliklerini incele; politika tanımını cihazda uygulanmış sayma.</x:v>
      </x:c>
      <x:c r="H23" s="6" t="str">
        <x:v>Exchange 2019 ActiveSync; gerçek istemci/işletim sistemi ilgili ayarı destekliyorsa. EXC-MOBILE ek kaynağı.</x:v>
      </x:c>
      <x:c r="I23" s="6" t="str">
        <x:v>Dört karakter CIS 2023 asgari ölçütüdür; kurumsal ideal güç seviyesi veya güncel kimlik standardı olarak sunulmaz.</x:v>
      </x:c>
      <x:c r="J23" s="6" t="str">
        <x:v>CIS-EXC:3.1
CIS-EXC:3.3
CIS-EXC:3.4
CIS-EXC:3.6
CIS-EXC:3.10
CIS-EXC:3.11
EXC-MOBILE</x:v>
      </x:c>
      <x:c r="K23" s="6" t="str">
        <x:v>IA-5; AC-11</x:v>
      </x:c>
      <x:c r="L23" s="6" t="str">
        <x:v>2 eski soru. Birleştirme İzini bu Kontrol ID ile süzün.</x:v>
      </x:c>
    </x:row>
    <x:row r="24" ht="55" customHeight="1">
      <x:c r="A24" s="6" t="str">
        <x:v>EXC-019</x:v>
      </x:c>
      <x:c r="B24" s="6" t="str">
        <x:v>Mobil uyumluluk ve şifreleme</x:v>
      </x:c>
      <x:c r="C24" s="6" t="str">
        <x:v>Mobil uyumluluk ve şifreleme kontrolü, aşağıdaki sürüm ve kapsam koşullarında doğrulanıyor mu?</x:v>
      </x:c>
      <x:c r="D24" s="6" t="str">
        <x:v>AllowNonProvisionableDevices=false; RequireDeviceEncryption=true; atanmış politika ve cihazın gerçek uygulaması doğrulanmalı.</x:v>
      </x:c>
      <x:c r="E24" s="6" t="str">
        <x:v>Politikayı uygulayamayan cihaz kurumsal veriyi korumasız depolayabilir.</x:v>
      </x:c>
      <x:c r="F24" s="6" t="str">
        <x:v>Mobil politika, mailbox-device eşleşmesi ve uyumluluk/şifreleme kanıtı.</x:v>
      </x:c>
      <x:c r="G24" s="6" t="str">
        <x:v>Cihaz türü ve istemci desteğini doğrula; sadece sunucu bayrağıyla cihaz şifrelemesini kanıtlanmış sayma.</x:v>
      </x:c>
      <x:c r="H24" s="6" t="str">
        <x:v>Exchange 2019 ActiveSync; EXC-MOBILE ve EXC-CLIENT kapsam sınırlamaları.</x:v>
      </x:c>
      <x:c r="I24" s="6" t="str">
        <x:v>Uyumsuz eski cihaz erişimi reddedilebilir.</x:v>
      </x:c>
      <x:c r="J24" s="6" t="str">
        <x:v>CIS-EXC:3.2
CIS-EXC:3.9
EXC-MOBILE; EXC-CLIENT</x:v>
      </x:c>
      <x:c r="K24" s="6" t="str">
        <x:v>AC-19; SC-28</x:v>
      </x:c>
      <x:c r="L24" s="6" t="str">
        <x:v>2 eski soru. Birleştirme İzini bu Kontrol ID ile süzün.</x:v>
      </x:c>
    </x:row>
    <x:row r="25" ht="55" customHeight="1">
      <x:c r="A25" s="6" t="str">
        <x:v>EXC-020</x:v>
      </x:c>
      <x:c r="B25" s="6" t="str">
        <x:v>Mobil başarısız parola ve veri silme etkisi</x:v>
      </x:c>
      <x:c r="C25" s="6" t="str">
        <x:v>Mobil başarısız parola ve veri silme etkisi kontrolü, aşağıdaki sürüm ve kapsam koşullarında doğrulanıyor mu?</x:v>
      </x:c>
      <x:c r="D25" s="6" t="str">
        <x:v>MaxPasswordFailedAttempts kaynağa göre en çok 10; cmdlet destek aralığı 4–16 içinde olmalı. Cihaz/istemcinin silme davranışı ayrıca belgelenmeli.</x:v>
      </x:c>
      <x:c r="E25" s="6" t="str">
        <x:v>Sınırsız deneme çevrimdışı erişim riskini artırır; hatalı test veya politika kişisel veriyi de silebilir.</x:v>
      </x:c>
      <x:c r="F25" s="6" t="str">
        <x:v>Mobil politika etkin değeri, cihaz destek belgesi ve onaylı test cihazı değerlendirmesi.</x:v>
      </x:c>
      <x:c r="G25" s="6" t="str">
        <x:v>Üretim/BYOD cihazında hatalı parola döngüsü çalıştırma; yapılandırmayı ve üreticinin cihaz davranışını incele.</x:v>
      </x:c>
      <x:c r="H25" s="6" t="str">
        <x:v>Exchange 2019 ActiveSync; EXC-MOBILE ve EXC-CLIENT.</x:v>
      </x:c>
      <x:c r="I25" s="6" t="str">
        <x:v>Bunu yalnız hesap kilidi diye açıklama; destekleyen cihazlarda wipe riski vardır.</x:v>
      </x:c>
      <x:c r="J25" s="6" t="str">
        <x:v>CIS-EXC:3.5
EXC-MOBILE; EXC-CLIENT</x:v>
      </x:c>
      <x:c r="K25" s="6" t="str">
        <x:v>AC-7; AC-19</x:v>
      </x:c>
      <x:c r="L25" s="6" t="str">
        <x:v>1 eski soru. Birleştirme İzini bu Kontrol ID ile süzün.</x:v>
      </x:c>
    </x:row>
    <x:row r="26" ht="40" customHeight="1">
      <x:c r="A26" s="6" t="str">
        <x:v>EXC-021</x:v>
      </x:c>
      <x:c r="B26" s="6" t="str">
        <x:v>Mobil politika yenileme</x:v>
      </x:c>
      <x:c r="C26" s="6" t="str">
        <x:v>Mobil politika yenileme kontrolü, aşağıdaki sürüm ve kapsam koşullarında doğrulanıyor mu?</x:v>
      </x:c>
      <x:c r="D26" s="6" t="str">
        <x:v>DevicePolicyRefreshInterval=01:00:00 kaynak bazıdır.</x:v>
      </x:c>
      <x:c r="E26" s="6" t="str">
        <x:v>Eski politika cihazda uzun süre kalırsa kaldırılmış erişim veya zayıf ayar devam edebilir.</x:v>
      </x:c>
      <x:c r="F26" s="6" t="str">
        <x:v>Mobil politika refresh değeri ve destekleyen cihaz eşitleme izi.</x:v>
      </x:c>
      <x:c r="G26" s="6" t="str">
        <x:v>TimeSpan birimi ve fiili istemci uyumunu doğrula.</x:v>
      </x:c>
      <x:c r="H26" s="6" t="str">
        <x:v>Exchange 2019; ilgili politika yenilemesini destekleyen mobil istemciler.</x:v>
      </x:c>
      <x:c r="I26" s="6" t="str">
        <x:v>Ayar değişikliği uygulanmaz; salt okunur PowerShell/etkin yapılandırma ve mevcut test kanıtı incelenir.</x:v>
      </x:c>
      <x:c r="J26" s="6" t="str">
        <x:v>CIS-EXC:3.7
EXC-MOBILE</x:v>
      </x:c>
      <x:c r="K26" s="6" t="str">
        <x:v>CM-6</x:v>
      </x:c>
      <x:c r="L26" s="6" t="str">
        <x:v>Yeni CIS teknik maddesi. CIS Dizinine bakın.</x:v>
      </x:c>
    </x:row>
    <x:row r="27" ht="70" customHeight="1">
      <x:c r="A27" s="6" t="str">
        <x:v>EXC-022</x:v>
      </x:c>
      <x:c r="B27" s="6" t="str">
        <x:v>SMTP protokol, bağlantı ve mesaj izleme</x:v>
      </x:c>
      <x:c r="C27" s="6" t="str">
        <x:v>SMTP protokol, bağlantı ve mesaj izleme kontrolü, aşağıdaki sürüm ve kapsam koşullarında doğrulanıyor mu?</x:v>
      </x:c>
      <x:c r="D27" s="6" t="str">
        <x:v>İlgili Receive/Send connector ProtocolLoggingLevel=Verbose; TransportService ConnectivityLogEnabled ve MessageTrackingLogEnabled=true.</x:v>
      </x:c>
      <x:c r="E27" s="6" t="str">
        <x:v>Mesajın gatewayden kullanıcıya izlenememesi ihlal kapsamını ve teslim hatasını belirlemeyi güçleştirir.</x:v>
      </x:c>
      <x:c r="F27" s="6" t="str">
        <x:v>Connector/TransportService log ayarları, sentetik mesaj ID’sinin uçtan uca log zinciri.</x:v>
      </x:c>
      <x:c r="G27" s="6" t="str">
        <x:v>Dört log amacını ayrı kontrol et; mesaj içeriği ile metadata ayrımını ve merkezi korumayı doğrula.</x:v>
      </x:c>
      <x:c r="H27" s="6" t="str">
        <x:v>Exchange Server 2019; ilgili Edge/Mailbox rolü ve etkin özellik bazında.</x:v>
      </x:c>
      <x:c r="I27" s="6" t="str">
        <x:v>Log kapasitesi ve erişim sınırı izlenir; EdgeSync ile yönetilen ayarlar doğru yönetim katmanından okunur.</x:v>
      </x:c>
      <x:c r="J27" s="6" t="str">
        <x:v>CIS-EXC:4.1
CIS-EXC:4.3
CIS-EXC:4.4
CIS-EXC:4.5</x:v>
      </x:c>
      <x:c r="K27" s="6" t="str">
        <x:v>AU-12; AU-9</x:v>
      </x:c>
      <x:c r="L27" s="6" t="str">
        <x:v>2 eski soru. Birleştirme İzini bu Kontrol ID ile süzün.</x:v>
      </x:c>
    </x:row>
    <x:row r="28" ht="40" customHeight="1">
      <x:c r="A28" s="6" t="str">
        <x:v>EXC-023</x:v>
      </x:c>
      <x:c r="B28" s="6" t="str">
        <x:v>Exchange yönetici audit ayrıntısı</x:v>
      </x:c>
      <x:c r="C28" s="6" t="str">
        <x:v>Exchange yönetici audit ayrıntısı kontrolü, aşağıdaki sürüm ve kapsam koşullarında doğrulanıyor mu?</x:v>
      </x:c>
      <x:c r="D28" s="6" t="str">
        <x:v>AdminAuditLogEnabled=true; Cmdlets ve Parameters=*; ExcludedCmdlets boş; AgeLimit=90 gün; LogLevel=Verbose kaynak bazıdır.</x:v>
      </x:c>
      <x:c r="E28" s="6" t="str">
        <x:v>Eksik yönetim kaydı posta/rol/politika değişikliğinin kime ait olduğunu göstermeyebilir.</x:v>
      </x:c>
      <x:c r="F28" s="6" t="str">
        <x:v>Get-AdminAuditLogConfig ve mevcut örnek yönetim işleminin audit kaydı.</x:v>
      </x:c>
      <x:c r="G28" s="6" t="str">
        <x:v>Tüm alanları ve saklama birimini ayrı doğrula; 90 günü genel hukuki saklama süresi olarak kullanma.</x:v>
      </x:c>
      <x:c r="H28" s="6" t="str">
        <x:v>Exchange Server 2019; ilgili Edge/Mailbox rolü ve etkin özellik bazında.</x:v>
      </x:c>
      <x:c r="I28" s="6" t="str">
        <x:v>Ayar değişikliği uygulanmaz; salt okunur PowerShell/etkin yapılandırma ve mevcut test kanıtı incelenir.</x:v>
      </x:c>
      <x:c r="J28" s="6" t="str">
        <x:v>CIS-EXC:4.2</x:v>
      </x:c>
      <x:c r="K28" s="6" t="str">
        <x:v>AU-2; AU-12; AU-11</x:v>
      </x:c>
      <x:c r="L28" s="6" t="str">
        <x:v>1 eski soru. Birleştirme İzini bu Kontrol ID ile süzün.</x:v>
      </x:c>
    </x:row>
  </x:sheetData>
  <x:pageMargins left="0.7" right="0.7" top="0.75" bottom="0.75" header="0.3" footer="0.3"/>
  <x:tableParts count="1">
    <x:tablePart xmlns:r="http://schemas.openxmlformats.org/officeDocument/2006/relationships" r:id="R9284541c31b34074"/>
  </x:tableParts>
</x:worksheet>
</file>

<file path=xl/worksheets/sheet3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2" hidden="0" customWidth="1"/>
    <x:col min="3" max="3" width="64" hidden="0" customWidth="1"/>
    <x:col min="4" max="4" width="78" hidden="0" customWidth="1"/>
    <x:col min="5" max="5" width="69" hidden="0" customWidth="1"/>
    <x:col min="6" max="6" width="72" hidden="0" customWidth="1"/>
    <x:col min="7" max="7" width="76" hidden="0" customWidth="1"/>
    <x:col min="8" max="8" width="74" hidden="0" customWidth="1"/>
    <x:col min="9" max="9" width="74" hidden="0" customWidth="1"/>
    <x:col min="10" max="10" width="77" hidden="0" customWidth="1"/>
    <x:col min="11" max="11" width="28" hidden="0" customWidth="1"/>
    <x:col min="12" max="12" width="44" hidden="0" customWidth="1"/>
  </x:cols>
  <x:sheetData>
    <x:row r="1">
      <x:c r="A1" s="1"/>
      <x:c r="B1" s="1"/>
      <x:c r="C1" s="1"/>
      <x:c r="D1" s="1"/>
      <x:c r="E1" s="1"/>
      <x:c r="F1" s="1"/>
      <x:c r="G1" s="1"/>
      <x:c r="H1" s="1"/>
      <x:c r="I1" s="1"/>
      <x:c r="J1" s="1"/>
      <x:c r="K1" s="1"/>
      <x:c r="L1" s="1"/>
    </x:row>
    <x:row r="2" ht="29" customHeight="1">
      <x:c r="A2" s="2" t="str">
        <x:v>Active Directory GPO</x:v>
      </x:c>
      <x:c r="B2" s="2"/>
      <x:c r="C2" s="2"/>
      <x:c r="D2" s="2"/>
      <x:c r="E2" s="2"/>
      <x:c r="F2" s="2"/>
      <x:c r="G2" s="2"/>
      <x:c r="H2" s="2"/>
      <x:c r="I2" s="2"/>
      <x:c r="J2" s="2"/>
      <x:c r="K2" s="2"/>
      <x:c r="L2" s="2"/>
    </x:row>
    <x:row r="3" ht="8" customHeight="1">
      <x:c r="A3" s="3"/>
      <x:c r="B3" s="3"/>
      <x:c r="C3" s="3"/>
      <x:c r="D3" s="3"/>
      <x:c r="E3" s="3"/>
      <x:c r="F3" s="3"/>
      <x:c r="G3" s="3"/>
      <x:c r="H3" s="3"/>
      <x:c r="I3" s="3"/>
      <x:c r="J3" s="3"/>
      <x:c r="K3" s="3"/>
      <x:c r="L3" s="3"/>
    </x:row>
    <x:row r="4" ht="24" customHeight="1">
      <x:c r="A4" s="4" t="str">
        <x:v>Ortak süreç kontrolleri MSP Genel sayfasında. Her hedef / tenant / kaynak profili için Uygulama kaydı açılır.</x:v>
      </x:c>
      <x:c r="B4" s="4"/>
      <x:c r="C4" s="4"/>
      <x:c r="D4" s="4"/>
      <x:c r="E4" s="4"/>
      <x:c r="F4" s="4"/>
      <x:c r="G4" s="4"/>
      <x:c r="H4" s="4"/>
      <x:c r="I4" s="4"/>
      <x:c r="J4" s="4"/>
      <x:c r="K4" s="4"/>
      <x:c r="L4" s="4"/>
    </x:row>
    <x:row r="5" ht="36" customHeight="1">
      <x:c r="A5" s="10" t="str">
        <x:v>Kontrol ID</x:v>
      </x:c>
      <x:c r="B5" s="10" t="str">
        <x:v>Kontrol grubu</x:v>
      </x:c>
      <x:c r="C5" s="10" t="str">
        <x:v>Denetim sorusu</x:v>
      </x:c>
      <x:c r="D5" s="10" t="str">
        <x:v>Kabul ölçütü</x:v>
      </x:c>
      <x:c r="E5" s="10" t="str">
        <x:v>Mantık ve risk senaryosu</x:v>
      </x:c>
      <x:c r="F5" s="10" t="str">
        <x:v>Kanıt talebi</x:v>
      </x:c>
      <x:c r="G5" s="10" t="str">
        <x:v>Doğrulama adımları</x:v>
      </x:c>
      <x:c r="H5" s="10" t="str">
        <x:v>Kapsam / sürüm koşulu</x:v>
      </x:c>
      <x:c r="I5" s="10" t="str">
        <x:v>İş etkisi / sınır</x:v>
      </x:c>
      <x:c r="J5" s="10" t="str">
        <x:v>Kaynak ve madde</x:v>
      </x:c>
      <x:c r="K5" s="10" t="str">
        <x:v>NIST kontrol amacı</x:v>
      </x:c>
      <x:c r="L5" s="10" t="str">
        <x:v>Köken izleme</x:v>
      </x:c>
    </x:row>
    <x:row r="6" ht="70" customHeight="1">
      <x:c r="A6" s="6" t="str">
        <x:v>ADS-V01-01</x:v>
      </x:c>
      <x:c r="B6" s="6" t="str">
        <x:v>Varlık ve kapsam yönetimi</x:v>
      </x:c>
      <x:c r="C6" s="6" t="str">
        <x:v>Orman, alan, site ve güven ilişkileri güncel bir tasarım dokümanında gösteriliyor mu?</x:v>
      </x:c>
      <x:c r="D6" s="6" t="str">
        <x:v>Doküman güncel; her güven ilişkisi gerekçeli ve yönü/kapsamı yazılı</x:v>
      </x:c>
      <x:c r="E6" s="6" t="str">
        <x:v>Risk senaryosu (atıflı kontrol amacından denetçi değerlendirmesi): Orman, alan ve güven ilişkileri belgelenmezse bir alandaki ihlalin hangi güven sınırlarına yayılabileceği değerlendirilemez; artık gerekmeyen güven ilişkisi açık kalabilir.</x:v>
      </x:c>
      <x:c r="F6" s="6" t="str">
        <x:v>Dizin topolojisi dokümanı; güven ilişkisi listesi ve son güncelleme tarihi</x:v>
      </x:c>
      <x:c r="G6" s="6" t="str">
        <x:v>Salt okunur sistem çıktısını onaylı rol, kapsam ve yapılandırma kaydıyla karşılaştır; ölçütteki her koşul için kanıt konumu ve ayrı alt sonucu kaydet. Yalnız görüşme veya ekran görüntüsüyle fiili işleyiş sonucunu kapatma.</x:v>
      </x:c>
      <x:c r="H6" s="6" t="str">
        <x:v>Kurulu ürün/dağıtım, müşteri sözleşmesi ve işlev desteği Kapsam kaydında doğrulanır. Tüm hizmetlerde uygulanır; SaaS bileşenlerinde envanter sağlayıcı raporlarıyla tamamlanır.</x:v>
      </x:c>
      <x:c r="I6" s="6" t="str">
        <x:v>Kurum için onaylı periyot/eşik gerekir; metindeki uygulama örnekleri NIST’in zorunlu ürün parametresi değildir. Üretimde değişiklik veya kesinti testi yapılmaz.</x:v>
      </x:c>
      <x:c r="J6" s="6" t="str">
        <x:v>NIST-53: PL-2; CA-3; SA-8
AD-SEC</x:v>
      </x:c>
      <x:c r="K6" s="6" t="str">
        <x:v>PL-2; CA-3; SA-8</x:v>
      </x:c>
      <x:c r="L6" s="6" t="str">
        <x:v>1 eski soru. Birleştirme İzini bu Kontrol ID ile süzün.</x:v>
      </x:c>
    </x:row>
    <x:row r="7" ht="70" customHeight="1">
      <x:c r="A7" s="6" t="str">
        <x:v>ADS-V01-02</x:v>
      </x:c>
      <x:c r="B7" s="6" t="str">
        <x:v>Varlık ve kapsam yönetimi</x:v>
      </x:c>
      <x:c r="C7" s="6" t="str">
        <x:v>Orman ve alan düzeyindeki FSMO rollerinin sahipleri, yerleşimi ve devir prosedürü belgeli mi?</x:v>
      </x:c>
      <x:c r="D7" s="6" t="str">
        <x:v>Beş rolün sahibi kayıtlı ve tasarıma uygun; planlı devir ve acil devir prosedürleri ayrı ayrı yazılı</x:v>
      </x:c>
      <x:c r="E7" s="6" t="str">
        <x:v>Risk senaryosu (atıflı kontrol amacından denetçi değerlendirmesi): FSMO sahipliği ve desteklenen devir süreci bilinmiyorsa rol sahibinin kaybında ilgili dizin işlemleri aksayabilir; kontrolsüz rol müdahalesi kurtarmayı karmaşıklaştırabilir.</x:v>
      </x:c>
      <x:c r="F7" s="6" t="str">
        <x:v>FSMO rol sahipliği çıktısı; rol devir ve acil durum (seize) prosedürü</x:v>
      </x:c>
      <x:c r="G7" s="6" t="str">
        <x:v>Salt okunur sistem çıktısını onaylı rol, kapsam ve yapılandırma kaydıyla karşılaştır; ölçütteki her koşul için kanıt konumu ve ayrı alt sonucu kaydet. Yalnız görüşme veya ekran görüntüsüyle fiili işleyiş sonucunu kapatma.</x:v>
      </x:c>
      <x:c r="H7" s="6" t="str">
        <x:v>Kurulu ürün/dağıtım, müşteri sözleşmesi ve işlev desteği Kapsam kaydında doğrulanır. Tüm hizmetlerde uygulanır; SaaS bileşenlerinde envanter sağlayıcı raporlarıyla tamamlanır.</x:v>
      </x:c>
      <x:c r="I7" s="6" t="str">
        <x:v>Kurum için onaylı periyot/eşik gerekir; metindeki uygulama örnekleri NIST’in zorunlu ürün parametresi değildir. Üretimde değişiklik veya kesinti testi yapılmaz.</x:v>
      </x:c>
      <x:c r="J7" s="6" t="str">
        <x:v>NIST-53: CM-8; PM-5
AD-FSMO</x:v>
      </x:c>
      <x:c r="K7" s="6" t="str">
        <x:v>CM-8; PM-5</x:v>
      </x:c>
      <x:c r="L7" s="6" t="str">
        <x:v>1 eski soru. Birleştirme İzini bu Kontrol ID ile süzün.</x:v>
      </x:c>
    </x:row>
    <x:row r="8" ht="85" customHeight="1">
      <x:c r="A8" s="6" t="str">
        <x:v>ADS-V01-03</x:v>
      </x:c>
      <x:c r="B8" s="6" t="str">
        <x:v>Varlık ve kapsam yönetimi</x:v>
      </x:c>
      <x:c r="C8" s="6" t="str">
        <x:v>Alan denetleyicisi envanteri, çoğaltma sağlığı ve salt okunur denetleyici (RODC) kullanımı izleniyor mu?</x:v>
      </x:c>
      <x:c r="D8" s="6" t="str">
        <x:v>Envanter güncel; çoğaltma hatası açık kalmamış; RODC kullanılıyorsa parola çoğaltma politikası kısıtlı ve gözden geçirilmiş</x:v>
      </x:c>
      <x:c r="E8" s="6" t="str">
        <x:v>Risk senaryosu (atıflı kontrol amacından denetçi değerlendirmesi): Denetleyici ve çoğaltma sağlığı izlenmezse dizin değişiklikleri hedeflere zamanında ulaşmayabilir; hesap veya politika durumunun denetleyiciler arasında farklılaşması fark edilmeyebilir.</x:v>
      </x:c>
      <x:c r="F8" s="6" t="str">
        <x:v>DC envanteri; çoğaltma sağlık raporu; RODC parola çoğaltma politikası</x:v>
      </x:c>
      <x:c r="G8" s="6" t="str">
        <x:v>Salt okunur sistem çıktısını onaylı rol, kapsam ve yapılandırma kaydıyla karşılaştır; ölçütteki her koşul için kanıt konumu ve ayrı alt sonucu kaydet. Yalnız görüşme veya ekran görüntüsüyle fiili işleyiş sonucunu kapatma.</x:v>
      </x:c>
      <x:c r="H8" s="6" t="str">
        <x:v>Kurulu ürün/dağıtım, müşteri sözleşmesi ve işlev desteği Kapsam kaydında doğrulanır. Tüm hizmetlerde uygulanır; SaaS bileşenlerinde envanter sağlayıcı raporlarıyla tamamlanır.</x:v>
      </x:c>
      <x:c r="I8" s="6" t="str">
        <x:v>Kurum için onaylı periyot/eşik gerekir; metindeki uygulama örnekleri NIST’in zorunlu ürün parametresi değildir. Üretimde değişiklik veya kesinti testi yapılmaz.</x:v>
      </x:c>
      <x:c r="J8" s="6" t="str">
        <x:v>NIST-53: SI-4; CA-7
AD-SEC</x:v>
      </x:c>
      <x:c r="K8" s="6" t="str">
        <x:v>SI-4; CA-7</x:v>
      </x:c>
      <x:c r="L8" s="6" t="str">
        <x:v>1 eski soru. Birleştirme İzini bu Kontrol ID ile süzün.</x:v>
      </x:c>
    </x:row>
    <x:row r="9" ht="70" customHeight="1">
      <x:c r="A9" s="6" t="str">
        <x:v>ADS-V02-01</x:v>
      </x:c>
      <x:c r="B9" s="6" t="str">
        <x:v>Kimlik ve erişim yönetimi</x:v>
      </x:c>
      <x:c r="C9" s="6" t="str">
        <x:v>Organizasyon birimi yapısı politika uygulaması ve yetki devrini destekleyecek şekilde tasarlanmış mı?</x:v>
      </x:c>
      <x:c r="D9" s="6" t="str">
        <x:v>OU yapısı belgeli ve adlandırma standardına uygun; yeni nesneler politika uygulanan OU'lara yönlendiriliyor</x:v>
      </x:c>
      <x:c r="E9" s="6" t="str">
        <x:v>Risk senaryosu (atıflı kontrol amacından denetçi değerlendirmesi): OU yapısı politika ve yetki devriyle uyuşmazsa bir yönetici gereğinden geniş nesne grubunu yönetebilir veya gerekli güvenlik ilkesi hedef sistemlere uygulanmayabilir.</x:v>
      </x:c>
      <x:c r="F9" s="6" t="str">
        <x:v>OU ağacı çıktısı; adlandırma standardı; kullanıcı/bilgisayar nesnelerinin varsayılan konteynerde kalmadığının kanıtı</x:v>
      </x:c>
      <x:c r="G9" s="6" t="str">
        <x:v>Salt okunur sistem çıktısını onaylı rol, kapsam ve yapılandırma kaydıyla karşılaştır; ölçütteki her koşul için kanıt konumu ve ayrı alt sonucu kaydet. Yalnız görüşme veya ekran görüntüsüyle fiili işleyiş sonucunu kapatma.</x:v>
      </x:c>
      <x:c r="H9" s="6" t="str">
        <x:v>Kurulu ürün/dağıtım, müşteri sözleşmesi ve işlev desteği Kapsam kaydında doğrulanır. Tüm hizmetlerde uygulanır; ürün merkezi kimliği desteklemiyorsa telafi edici kontrol aranır.</x:v>
      </x:c>
      <x:c r="I9" s="6" t="str">
        <x:v>Kurum için onaylı periyot/eşik gerekir; metindeki uygulama örnekleri NIST’in zorunlu ürün parametresi değildir. Üretimde değişiklik veya kesinti testi yapılmaz.</x:v>
      </x:c>
      <x:c r="J9" s="6" t="str">
        <x:v>NIST-53: PL-2; CA-3; SA-8
AD-GPO</x:v>
      </x:c>
      <x:c r="K9" s="6" t="str">
        <x:v>PL-2; CA-3; SA-8</x:v>
      </x:c>
      <x:c r="L9" s="6" t="str">
        <x:v>1 eski soru. Birleştirme İzini bu Kontrol ID ile süzün.</x:v>
      </x:c>
    </x:row>
    <x:row r="10" ht="70" customHeight="1">
      <x:c r="A10" s="6" t="str">
        <x:v>ADS-V02-02</x:v>
      </x:c>
      <x:c r="B10" s="6" t="str">
        <x:v>Kimlik ve erişim yönetimi</x:v>
      </x:c>
      <x:c r="C10" s="6" t="str">
        <x:v>Domain Admins, Enterprise Admins ve Schema Admins üyelikleri asgari ve izleniyor mu?</x:v>
      </x:c>
      <x:c r="D10" s="6" t="str">
        <x:v>Üyelikler asgari sayıda ve sahipli; her üyelik değişikliği alarm üretiyor ve incelenmiş</x:v>
      </x:c>
      <x:c r="E10" s="6" t="str">
        <x:v>Risk senaryosu (atıflı kontrol amacından denetçi değerlendirmesi): Üst düzey dizin gruplarında gereksiz üyelik bulunursa tek hesabın ele geçirilmesi alanı veya ormanı etkileyen değişiklik yetkisi sağlayabilir.</x:v>
      </x:c>
      <x:c r="F10" s="6" t="str">
        <x:v>Ayrıcalıklı grup üyelik çıktısı; üyelik değişikliği alarm kaydı</x:v>
      </x:c>
      <x:c r="G10" s="6" t="str">
        <x:v>Salt okunur sistem çıktısını onaylı rol, kapsam ve yapılandırma kaydıyla karşılaştır; ölçütteki her koşul için kanıt konumu ve ayrı alt sonucu kaydet. Yalnız görüşme veya ekran görüntüsüyle fiili işleyiş sonucunu kapatma.</x:v>
      </x:c>
      <x:c r="H10" s="6" t="str">
        <x:v>Kurulu ürün/dağıtım, müşteri sözleşmesi ve işlev desteği Kapsam kaydında doğrulanır. Tüm hizmetlerde uygulanır; ürün merkezi kimliği desteklemiyorsa telafi edici kontrol aranır.</x:v>
      </x:c>
      <x:c r="I10" s="6" t="str">
        <x:v>Kurum için onaylı periyot/eşik gerekir; metindeki uygulama örnekleri NIST’in zorunlu ürün parametresi değildir. Üretimde değişiklik veya kesinti testi yapılmaz.</x:v>
      </x:c>
      <x:c r="J10" s="6" t="str">
        <x:v>NIST-53: AC-6; AC-2(7)
AD-PRIV</x:v>
      </x:c>
      <x:c r="K10" s="6" t="str">
        <x:v>AC-6; AC-2(7)</x:v>
      </x:c>
      <x:c r="L10" s="6" t="str">
        <x:v>1 eski soru. Birleştirme İzini bu Kontrol ID ile süzün.</x:v>
      </x:c>
    </x:row>
    <x:row r="11" ht="70" customHeight="1">
      <x:c r="A11" s="6" t="str">
        <x:v>ADS-V02-03</x:v>
      </x:c>
      <x:c r="B11" s="6" t="str">
        <x:v>Kimlik ve erişim yönetimi</x:v>
      </x:c>
      <x:c r="C11" s="6" t="str">
        <x:v>OU ve nesne düzeyindeki yetki devirleri (delegation) belgeli ve düzenli gözden geçiriliyor mu?</x:v>
      </x:c>
      <x:c r="D11" s="6" t="str">
        <x:v>Devredilen yetkiler kayıtlı, sahibi belli ve tanımlı periyotta yeniden onaylanmış</x:v>
      </x:c>
      <x:c r="E11" s="6" t="str">
        <x:v>Risk senaryosu (atıflı kontrol amacından denetçi değerlendirmesi): Nesne ve OU üzerindeki devredilmiş yetkiler gözden geçirilmezse üst düzey gruba üye olmayan bir hesap da parola, nesne veya izin değişikliğiyle ayrıcalığını genişletebilir.</x:v>
      </x:c>
      <x:c r="F11" s="6" t="str">
        <x:v>Delegation raporu; son gözden geçirme kaydı</x:v>
      </x:c>
      <x:c r="G11" s="6" t="str">
        <x:v>Salt okunur sistem çıktısını onaylı rol, kapsam ve yapılandırma kaydıyla karşılaştır; ölçütteki her koşul için kanıt konumu ve ayrı alt sonucu kaydet. Yalnız görüşme veya ekran görüntüsüyle fiili işleyiş sonucunu kapatma.</x:v>
      </x:c>
      <x:c r="H11" s="6" t="str">
        <x:v>Kurulu ürün/dağıtım, müşteri sözleşmesi ve işlev desteği Kapsam kaydında doğrulanır. Tüm hizmetlerde uygulanır; ürün merkezi kimliği desteklemiyorsa telafi edici kontrol aranır.</x:v>
      </x:c>
      <x:c r="I11" s="6" t="str">
        <x:v>Kurum için onaylı periyot/eşik gerekir; metindeki uygulama örnekleri NIST’in zorunlu ürün parametresi değildir. Üretimde değişiklik veya kesinti testi yapılmaz.</x:v>
      </x:c>
      <x:c r="J11" s="6" t="str">
        <x:v>NIST-53: AC-2; AC-6
AD-PRIV</x:v>
      </x:c>
      <x:c r="K11" s="6" t="str">
        <x:v>AC-2; AC-6</x:v>
      </x:c>
      <x:c r="L11" s="6" t="str">
        <x:v>1 eski soru. Birleştirme İzini bu Kontrol ID ile süzün.</x:v>
      </x:c>
    </x:row>
    <x:row r="12" ht="70" customHeight="1">
      <x:c r="A12" s="6" t="str">
        <x:v>ADS-V03-01</x:v>
      </x:c>
      <x:c r="B12" s="6" t="str">
        <x:v>Değişiklik yönetimi</x:v>
      </x:c>
      <x:c r="C12" s="6" t="str">
        <x:v>GPO oluşturma, düzenleme ve bağlama işlemleri onay ve kayıt sürecine tabi mi?</x:v>
      </x:c>
      <x:c r="D12" s="6" t="str">
        <x:v>Üretimdeki GPO değişikliklerinin tamamı onay kaydına bağlanabiliyor; onaysız değişiklik tespit edilmemiş</x:v>
      </x:c>
      <x:c r="E12" s="6" t="str">
        <x:v>Risk senaryosu (atıflı kontrol amacından denetçi değerlendirmesi): GPO düzenleme ve bağlama işlemi onay ve iz kaydı dışında yapılırsa tek değişiklik çok sayıda sistemin güvenlik ayarını veya çalışma davranışını bozabilir.</x:v>
      </x:c>
      <x:c r="F12" s="6" t="str">
        <x:v>GPO değişiklik talep ve onay kayıtları; GPO sürüm/değişiklik raporu</x:v>
      </x:c>
      <x:c r="G12" s="6" t="str">
        <x:v>Salt okunur sistem çıktısını onaylı rol, kapsam ve yapılandırma kaydıyla karşılaştır; ölçütteki her koşul için kanıt konumu ve ayrı alt sonucu kaydet. Yalnız görüşme veya ekran görüntüsüyle fiili işleyiş sonucunu kapatma.</x:v>
      </x:c>
      <x:c r="H12" s="6" t="str">
        <x:v>Kurulu ürün/dağıtım, müşteri sözleşmesi ve işlev desteği Kapsam kaydında doğrulanır. Tüm hizmetlerde uygulanır; yönetilen SaaS bileşenlerinde sağlayıcı değişiklik bildirimi ölçüt alınır.</x:v>
      </x:c>
      <x:c r="I12" s="6" t="str">
        <x:v>Kurum için onaylı periyot/eşik gerekir; metindeki uygulama örnekleri NIST’in zorunlu ürün parametresi değildir. Üretimde değişiklik veya kesinti testi yapılmaz.</x:v>
      </x:c>
      <x:c r="J12" s="6" t="str">
        <x:v>NIST-53: CM-3; CM-4
AD-GPO</x:v>
      </x:c>
      <x:c r="K12" s="6" t="str">
        <x:v>CM-3; CM-4</x:v>
      </x:c>
      <x:c r="L12" s="6" t="str">
        <x:v>1 eski soru. Birleştirme İzini bu Kontrol ID ile süzün.</x:v>
      </x:c>
    </x:row>
    <x:row r="13" ht="70" customHeight="1">
      <x:c r="A13" s="6" t="str">
        <x:v>ADS-V03-02</x:v>
      </x:c>
      <x:c r="B13" s="6" t="str">
        <x:v>Politika yedeği ve geri dönüş</x:v>
      </x:c>
      <x:c r="C13" s="6" t="str">
        <x:v>GPO yedeği ve etkin politika geri dönüşü doğrulanıyor mu?</x:v>
      </x:c>
      <x:c r="D13" s="6" t="str">
        <x:v>GPO yedeği korunan konumda; ayrı test ortamında restore sonrası bağlantı/filtre kapsamı ve hedefte etkin politika sonucu doğrulanmış olmalı. Yalnız dosya varlığı kurtarma kanıtı değildir.</x:v>
      </x:c>
      <x:c r="E13" s="6" t="str">
        <x:v>Risk senaryosu (atıflı kontrol amacından denetçi değerlendirmesi): GPO yedeğinin geri yüklenebilirliği ve sonuçta oluşan etkin politika doğrulanmazsa hatalı değişiklik sonrası önceki koruma düzeyi geri getirilemeyebilir.</x:v>
      </x:c>
      <x:c r="F13" s="6" t="str">
        <x:v>GPO yedekleme iş kaydı; yedek konumu ve erişim yetkileri</x:v>
      </x:c>
      <x:c r="G13" s="6" t="str">
        <x:v>Salt okunur sistem çıktısını onaylı rol, kapsam ve yapılandırma kaydıyla karşılaştır; ölçütteki her koşul için kanıt konumu ve ayrı alt sonucu kaydet. Yalnız görüşme veya ekran görüntüsüyle fiili işleyiş sonucunu kapatma.</x:v>
      </x:c>
      <x:c r="H13" s="6" t="str">
        <x:v>Kurulu ürün/dağıtım, müşteri sözleşmesi ve işlev desteği Kapsam kaydında doğrulanır. Tüm hizmetlerde uygulanır; yönetilen SaaS bileşenlerinde sağlayıcı değişiklik bildirimi ölçüt alınır.</x:v>
      </x:c>
      <x:c r="I13" s="6" t="str">
        <x:v>Kurum için onaylı periyot/eşik gerekir; metindeki uygulama örnekleri NIST’in zorunlu ürün parametresi değildir. Üretimde değişiklik veya kesinti testi yapılmaz.</x:v>
      </x:c>
      <x:c r="J13" s="6" t="str">
        <x:v>NIST-53: CP-9; CP-10
AD-BACKUP</x:v>
      </x:c>
      <x:c r="K13" s="6" t="str">
        <x:v>CP-9; CP-10</x:v>
      </x:c>
      <x:c r="L13" s="6" t="str">
        <x:v>2 eski soru. Birleştirme İzini bu Kontrol ID ile süzün.</x:v>
      </x:c>
    </x:row>
    <x:row r="14" ht="85" customHeight="1">
      <x:c r="A14" s="6" t="str">
        <x:v>ADS-V04-01</x:v>
      </x:c>
      <x:c r="B14" s="6" t="str">
        <x:v>Güvenli yapılandırma</x:v>
      </x:c>
      <x:c r="C14" s="6" t="str">
        <x:v>GPO önceliği, kalıtım ve filtreler beklenen etkin politikayı üretiyor mu?</x:v>
      </x:c>
      <x:c r="D14" s="6" t="str">
        <x:v>Link order, enforced, block inheritance, security ve WMI filtreleri belgeli; gpresult/RSOP çıktısı hedef OU/cihaz/kullanıcı için beklenen ayarı doğrulamalı.</x:v>
      </x:c>
      <x:c r="E14" s="6" t="str">
        <x:v>Risk senaryosu (atıflı kontrol amacından denetçi değerlendirmesi): Öncelik, kalıtım veya filtre yanlışsa GPO içinde doğru ayar bulunsa bile hedefe farklı politika uygulanabilir; yalnız GPO içeriğini görmek yanlış uygunluk sonucuna yol açabilir.</x:v>
      </x:c>
      <x:c r="F14" s="6" t="str">
        <x:v>GPO bağlantı ve öncelik raporu; enforced/blocked bağlantı listesi ve gerekçeleri</x:v>
      </x:c>
      <x:c r="G14" s="6" t="str">
        <x:v>Salt okunur sistem çıktısını onaylı rol, kapsam ve yapılandırma kaydıyla karşılaştır; ölçütteki her koşul için kanıt konumu ve ayrı alt sonucu kaydet. Yalnız görüşme veya ekran görüntüsüyle fiili işleyiş sonucunu kapatma.</x:v>
      </x:c>
      <x:c r="H14" s="6" t="str">
        <x:v>Kurulu ürün/dağıtım, müşteri sözleşmesi ve işlev desteği Kapsam kaydında doğrulanır. Ürün ve sürüme uygun benchmark yoksa üretici kılavuzu ve kurum esası kullanılır; gerekçe yazılır.</x:v>
      </x:c>
      <x:c r="I14" s="6" t="str">
        <x:v>Kurum için onaylı periyot/eşik gerekir; metindeki uygulama örnekleri NIST’in zorunlu ürün parametresi değildir. Üretimde değişiklik veya kesinti testi yapılmaz.</x:v>
      </x:c>
      <x:c r="J14" s="6" t="str">
        <x:v>NIST-53: CM-6; AC-3
AD-GPO</x:v>
      </x:c>
      <x:c r="K14" s="6" t="str">
        <x:v>CM-6; AC-3</x:v>
      </x:c>
      <x:c r="L14" s="6" t="str">
        <x:v>2 eski soru. Birleştirme İzini bu Kontrol ID ile süzün.</x:v>
      </x:c>
    </x:row>
    <x:row r="15" ht="85" customHeight="1">
      <x:c r="A15" s="6" t="str">
        <x:v>ADS-V04-03</x:v>
      </x:c>
      <x:c r="B15" s="6" t="str">
        <x:v>Güvenli yapılandırma</x:v>
      </x:c>
      <x:c r="C15" s="6" t="str">
        <x:v>ADMX/ADML yönetim şablonları ve politika sahipliği kontrol ediliyor mu?</x:v>
      </x:c>
      <x:c r="D15" s="6" t="str">
        <x:v>Central Store kullanılıyorsa sürüm/erişim ve yedekleme yönetilmeli; varsayılan GPO kapsamı ve değişiklikleri onaylı mimariyle eşleşmeli. Her kuruluma koşulsuz Central Store zorunluluğu getirilmez.</x:v>
      </x:c>
      <x:c r="E15" s="6" t="str">
        <x:v>Risk senaryosu (atıflı kontrol amacından denetçi değerlendirmesi): ADMX/ADML sürümü ve değişiklik yetkisi yönetilmezse yöneticiler ayarları tutarsız veya eksik görebilir; şablon görünümünün doğru olması etkin politikanın doğru olduğu sanılabilir.</x:v>
      </x:c>
      <x:c r="F15" s="6" t="str">
        <x:v>Varsayılan iki GPO'nun ayar raporu; merkezi şablon deposu (central store) içerik listesi</x:v>
      </x:c>
      <x:c r="G15" s="6" t="str">
        <x:v>Salt okunur sistem çıktısını onaylı rol, kapsam ve yapılandırma kaydıyla karşılaştır; ölçütteki her koşul için kanıt konumu ve ayrı alt sonucu kaydet. Yalnız görüşme veya ekran görüntüsüyle fiili işleyiş sonucunu kapatma.</x:v>
      </x:c>
      <x:c r="H15" s="6" t="str">
        <x:v>Kurulu ürün/dağıtım, müşteri sözleşmesi ve işlev desteği Kapsam kaydında doğrulanır. Ürün ve sürüme uygun benchmark yoksa üretici kılavuzu ve kurum esası kullanılır; gerekçe yazılır.</x:v>
      </x:c>
      <x:c r="I15" s="6" t="str">
        <x:v>Kurum için onaylı periyot/eşik gerekir; metindeki uygulama örnekleri NIST’in zorunlu ürün parametresi değildir. Üretimde değişiklik veya kesinti testi yapılmaz.</x:v>
      </x:c>
      <x:c r="J15" s="6" t="str">
        <x:v>NIST-53: CM-3; CM-5
AD-STORE</x:v>
      </x:c>
      <x:c r="K15" s="6" t="str">
        <x:v>CM-3; CM-5</x:v>
      </x:c>
      <x:c r="L15" s="6" t="str">
        <x:v>1 eski soru. Birleştirme İzini bu Kontrol ID ile süzün.</x:v>
      </x:c>
    </x:row>
  </x:sheetData>
  <x:pageMargins left="0.7" right="0.7" top="0.75" bottom="0.75" header="0.3" footer="0.3"/>
  <x:tableParts count="1">
    <x:tablePart xmlns:r="http://schemas.openxmlformats.org/officeDocument/2006/relationships" r:id="Rdddb4d04c9eb45da"/>
  </x:tableParts>
</x:worksheet>
</file>

<file path=xl/worksheets/sheet31.xml><?xml version="1.0" encoding="utf-8"?>
<worksheet xmlns="http://schemas.openxmlformats.org/spreadsheetml/2006/main" xmlns:r="http://schemas.openxmlformats.org/officeDocument/2006/relationships">
  <sheetPr>
    <tabColor rgb="FF6B6257"/>
  </sheetPr>
  <sheetViews>
    <sheetView showGridLines="0" workbookViewId="0">
      <pane xSplit="2" ySplit="5" topLeftCell="C6" activePane="bottomRight" state="frozen"/>
    </sheetView>
  </sheetViews>
  <sheetFormatPr defaultRowHeight="15"/>
  <cols>
    <col min="1" max="1" width="22" hidden="0" customWidth="1"/>
    <col min="2" max="2" width="69" hidden="0" customWidth="1"/>
    <col min="3" max="3" width="46" hidden="0" customWidth="1"/>
    <col min="4" max="4" width="54" hidden="0" customWidth="1"/>
    <col min="5" max="5" width="106" hidden="0" customWidth="1"/>
    <col min="6" max="6" width="96" hidden="0" customWidth="1"/>
    <col min="7" max="7" width="27" hidden="0" customWidth="1"/>
    <col min="8" max="8" width="78" hidden="0" customWidth="1"/>
  </cols>
  <sheetData>
    <row r="1">
      <c r="A1" s="1"/>
      <c r="B1" s="1"/>
      <c r="C1" s="1"/>
      <c r="D1" s="1"/>
      <c r="E1" s="1"/>
      <c r="F1" s="1"/>
      <c r="G1" s="1"/>
      <c r="H1" s="1"/>
    </row>
    <row r="2" ht="29" customHeight="1">
      <c r="A2" s="2" t="str">
        <v>Kaynaklar</v>
      </c>
      <c r="B2" s="2"/>
      <c r="C2" s="2"/>
      <c r="D2" s="2"/>
      <c r="E2" s="2"/>
      <c r="F2" s="2"/>
      <c r="G2" s="2"/>
      <c r="H2" s="2"/>
    </row>
    <row r="3" ht="8" customHeight="1">
      <c r="A3" s="3"/>
      <c r="B3" s="3"/>
      <c r="C3" s="3"/>
      <c r="D3" s="3"/>
      <c r="E3" s="3"/>
      <c r="F3" s="3"/>
      <c r="G3" s="3"/>
      <c r="H3" s="3"/>
    </row>
    <row r="4" ht="24" customHeight="1">
      <c r="A4" s="4" t="str">
        <v>PDF sayfaları sağlanan dosyaya göre numaralanır. Yerel dosya yolu ve SHA-256 nüshayı tanımlar.</v>
      </c>
      <c r="B4" s="4"/>
      <c r="C4" s="4"/>
      <c r="D4" s="4"/>
      <c r="E4" s="4"/>
      <c r="F4" s="4"/>
      <c r="G4" s="4"/>
      <c r="H4" s="4"/>
    </row>
    <row r="5" ht="36" customHeight="1">
      <c r="A5" s="10" t="str">
        <v>KaynakID</v>
      </c>
      <c r="B5" s="10" t="str">
        <v>Belge / başlık</v>
      </c>
      <c r="C5" s="10" t="str">
        <v>Yayımlayan / köken</v>
      </c>
      <c r="D5" s="10" t="str">
        <v>Sürüm</v>
      </c>
      <c r="E5" s="10" t="str">
        <v>URL / dosya</v>
      </c>
      <c r="F5" s="10" t="str">
        <v>Kullanım ve doğrulama sınırı</v>
      </c>
      <c r="G5" s="10" t="str">
        <v>Erişim / inceleme tarihi</v>
      </c>
      <c r="H5" s="10" t="str">
        <v>SHA-256</v>
      </c>
    </row>
    <row r="6" ht="40" customHeight="1">
      <c r="A6" s="6" t="str">
        <v>NIST-53</v>
      </c>
      <c r="B6" s="6" t="str">
        <v>Security and Privacy Controls for Information Systems and Organizations</v>
      </c>
      <c r="C6" s="6" t="str">
        <v>NIST</v>
      </c>
      <c r="D6" s="6" t="str">
        <v>SP 800-53 Rev.5; OSCAL 5.2.0</v>
      </c>
      <c r="E6" s="6" t="str">
        <v>https://csrc.nist.gov/pubs/sp/800/53/r5/upd1/final</v>
      </c>
      <c r="F6" s="6" t="str">
        <v>Resmî OSCAL kataloğu indirildi. Kontrol kimlikleri ve amaçları katalogdan doğrulandı.</v>
      </c>
      <c r="G6" s="6" t="str">
        <v>2026-09-08</v>
      </c>
      <c r="H6" s="6" t="str"/>
    </row>
    <row r="7" ht="40" customHeight="1">
      <c r="A7" s="6" t="str">
        <v>NIST-OSCAL</v>
      </c>
      <c r="B7" s="6" t="str">
        <v>NIST SP 800-53 Rev.5.2.0 controls and assessment procedures</v>
      </c>
      <c r="C7" s="6" t="str">
        <v>NIST</v>
      </c>
      <c r="D7" s="6" t="str">
        <v>5.2.0; metadata 2026-05-11</v>
      </c>
      <c r="E7" s="6" t="str">
        <v>https://raw.githubusercontent.com/usnistgov/oscal-content/main/nist.gov/SP800-53/rev5/json/NIST_SP-800-53_rev5_catalog.json</v>
      </c>
      <c r="F7" s="6" t="str">
        <v>Tam içerik veya ilgili bölüm incelendi.</v>
      </c>
      <c r="G7" s="6" t="str">
        <v>2026-09-08</v>
      </c>
      <c r="H7" s="6" t="str"/>
    </row>
    <row r="8" ht="40" customHeight="1">
      <c r="A8" s="6" t="str">
        <v>NIST-53A</v>
      </c>
      <c r="B8" s="6" t="str">
        <v>Assessing Security and Privacy Controls in Information Systems and Organizations</v>
      </c>
      <c r="C8" s="6" t="str">
        <v>NIST</v>
      </c>
      <c r="D8" s="6" t="str">
        <v>SP 800-53A Rev.5</v>
      </c>
      <c r="E8" s="6" t="str">
        <v>https://csrc.nist.gov/pubs/sp/800/53/a/r5/final</v>
      </c>
      <c r="F8" s="6" t="str">
        <v>İnceleme, görüşme ve test yaklaşımı; değerlendirme derinliği ve kapsamı denetim planında belirlenir.</v>
      </c>
      <c r="G8" s="6" t="str">
        <v>2026-09-08</v>
      </c>
      <c r="H8" s="6" t="str"/>
    </row>
    <row r="9" ht="40" customHeight="1">
      <c r="A9" s="6" t="str">
        <v>ISO-01</v>
      </c>
      <c r="B9" s="6" t="str">
        <v>ISO/IEC 27001:2022</v>
      </c>
      <c r="C9" s="6" t="str">
        <v>ISO</v>
      </c>
      <c r="D9" s="6" t="str">
        <v>2022; Amd 1:2024 katalogda mevcut</v>
      </c>
      <c r="E9" s="6" t="str">
        <v>https://www.iso.org/standard/27001</v>
      </c>
      <c r="F9" s="6" t="str">
        <v>Resmî tanıtım/katalog incelendi. Lisanslı standardın tam metni elde edilmedi; bütün Annex A kontrolleri için doğrulanmış eşleme iddiası yoktur.</v>
      </c>
      <c r="G9" s="6" t="str">
        <v>2026-09-08</v>
      </c>
      <c r="H9" s="6" t="str"/>
    </row>
    <row r="10" ht="40" customHeight="1">
      <c r="A10" s="6" t="str">
        <v>ISO-SOA</v>
      </c>
      <c r="B10" s="6" t="str">
        <v>Statement of Applicability and conformity discussion</v>
      </c>
      <c r="C10" s="6" t="str">
        <v>ISO/IEC 27001 Auditing Practices Group</v>
      </c>
      <c r="D10" s="6" t="str">
        <v>10-09-2022</v>
      </c>
      <c r="E10" s="6" t="str">
        <v>https://committee.iso.org/files/live/sites/jtc1sc27/files/resources/ISO-IECJTC1-SC27-WG1_N3298_Auditing%20Practices%20Note%20-%20SoA.pdf</v>
      </c>
      <c r="F10" s="6" t="str">
        <v>6.1.3(d) ve gerekli kontrollerin SoA içinde gösterilmesine ilişkin açıklayıcı not. Not, ISO/SC27 onay sürecinden geçmediğini belirtir; standardın yerine geçmez.</v>
      </c>
      <c r="G10" s="6" t="str">
        <v>2026-09-08</v>
      </c>
      <c r="H10" s="6" t="str"/>
    </row>
    <row r="11" ht="40" customHeight="1">
      <c r="A11" s="6" t="str">
        <v>ISO-ANNEX</v>
      </c>
      <c r="B11" s="6" t="str">
        <v>What is Annex A?</v>
      </c>
      <c r="C11" s="6" t="str">
        <v>ISO/IEC 27001 Auditing Practices Group</v>
      </c>
      <c r="D11" s="6" t="str">
        <v>10-09-2022</v>
      </c>
      <c r="E11" s="6" t="str">
        <v>https://committee.iso.org/files/live/sites/jtc1sc27/files/resources/ISO-IECJTC1-SC27-WG1_N3297_Auditing%20Practices%20Note%20-%20Annex%20A.pdf</v>
      </c>
      <c r="F11" s="6" t="str">
        <v>6.1.3(c) karşılaştırma ve risk temelli kontrol seçimi; açıklayıcı denetim notu, normatif standardın yerine geçmez.</v>
      </c>
      <c r="G11" s="6" t="str">
        <v>2026-09-08</v>
      </c>
      <c r="H11" s="6" t="str"/>
    </row>
    <row r="12" ht="40" customHeight="1">
      <c r="A12" s="6" t="str">
        <v>BDDK-2020</v>
      </c>
      <c r="B12" s="6" t="str">
        <v>Bankaların Bilgi Sistemleri ve Elektronik Bankacılık Hizmetleri Hakkında Yönetmelik</v>
      </c>
      <c r="C12" s="6" t="str">
        <v>BDDK / Resmî Gazete</v>
      </c>
      <c r="D12" s="6" t="str">
        <v>15.03.2020; RG 31069</v>
      </c>
      <c r="E12" s="6" t="str">
        <v>https://www.resmigazete.gov.tr/eskiler/2020/03/20200315-10.htm</v>
      </c>
      <c r="F12" s="6" t="str">
        <v>Güncel resmî konsolide yürürlük teyidi tamamlanmadı. Aktif sorularda doğrudan güncel hukuki uygunluk hükmü olarak kullanılmaz.</v>
      </c>
      <c r="G12" s="6" t="str">
        <v>2026-09-08</v>
      </c>
      <c r="H12" s="6" t="str"/>
    </row>
    <row r="13" ht="40" customHeight="1">
      <c r="A13" s="6" t="str">
        <v>BDDK-MIR</v>
      </c>
      <c r="B13" s="6" t="str">
        <v>BDDK Yönetmeliği orijinal metin yayımı</v>
      </c>
      <c r="C13" s="6" t="str">
        <v>LEXPERA; mevzuatın yeniden yayımı</v>
      </c>
      <c r="D13" s="6" t="str">
        <v>15.03.2020 orijinal metin</v>
      </c>
      <c r="E13" s="6" t="str">
        <v>https://www.lexpera.com.tr/resmi-gazete/metin/bankalarin-bilgi-sistemleri-ve-elektronik-bankacilik-hizmetleri-hakkinda-yonetmelik-31069</v>
      </c>
      <c r="F13" s="6" t="str">
        <v>Güncel resmî konsolide yürürlük teyidi tamamlanmadı. Aktif sorularda doğrudan güncel hukuki uygunluk hükmü olarak kullanılmaz.</v>
      </c>
      <c r="G13" s="6" t="str">
        <v>2026-09-08</v>
      </c>
      <c r="H13" s="6" t="str"/>
    </row>
    <row r="14" ht="40" customHeight="1">
      <c r="A14" s="6" t="str">
        <v>BDDK-GUNCEL</v>
      </c>
      <c r="B14" s="6" t="str">
        <v>BDDK bilgi sistemleri mevzuat listesi ve konsolide metin yönlendirmesi</v>
      </c>
      <c r="C14" s="6" t="str">
        <v>BDDK</v>
      </c>
      <c r="D14" s="6" t="str">
        <v>08.09.2026 erişim</v>
      </c>
      <c r="E14" s="6" t="str">
        <v>https://www.bddk.org.tr/Mevzuat/Liste/134</v>
      </c>
      <c r="F14" s="6" t="str">
        <v>Güncel resmî konsolide yürürlük teyidi tamamlanmadı. Aktif sorularda doğrudan güncel hukuki uygunluk hükmü olarak kullanılmaz.</v>
      </c>
      <c r="G14" s="6" t="str">
        <v>2026-09-08</v>
      </c>
      <c r="H14" s="6" t="str"/>
    </row>
    <row r="15" ht="40" customHeight="1">
      <c r="A15" s="6" t="str">
        <v>BIGR</v>
      </c>
      <c r="B15" s="6" t="str">
        <v>Bilgi ve İletişim Güvenliği Rehberi</v>
      </c>
      <c r="C15" s="6" t="str">
        <v>T.C. Siber Güvenlik Başkanlığı; kullanıcı eki</v>
      </c>
      <c r="D15" s="6" t="str">
        <v>1.1 / 01.03.2026</v>
      </c>
      <c r="E15" s="6" t="str">
        <v>C:\Users\whoai\Downloads\MSP Denetim\Bilgi Güvenliği Rehberi.pdf</v>
      </c>
      <c r="F15" s="6" t="str">
        <v>Sağlanan v1.1 (01.03.2026) nüsha; 235 PDF sayfası. BİGR basılı sayfa = PDF sayfası − 4. Kapsam ve tedbir seviyesi ayrıca belirlenir.</v>
      </c>
      <c r="G15" s="6" t="str">
        <v>2026-09-08</v>
      </c>
      <c r="H15" s="6" t="str">
        <v>a7be34d0b60bf8a58e4260265afab406ed51c11f681ab537c4cf0787adf6ed80</v>
      </c>
    </row>
    <row r="16" ht="55" customHeight="1">
      <c r="A16" s="6" t="str">
        <v>CIS-ESXI</v>
      </c>
      <c r="B16" s="6" t="str">
        <v>CIS VMware Benchmarks</v>
      </c>
      <c r="C16" s="6" t="str">
        <v>Center for Internet Security</v>
      </c>
      <c r="D16" s="6" t="str">
        <v>Katalog: ESXi 8.0 v1.4.0; ESXi 7.0 v1.6.0</v>
      </c>
      <c r="E16" s="6" t="str">
        <v>https://www.cisecurity.org/benchmark/vmware</v>
      </c>
      <c r="F16" s="6" t="str">
        <v>Resmî katalog doğrulandı. Benchmark tam metni hesap/erişim gerektirdiğinden elde edilmedi; CIS madde numarası veya eşik değeri türetilmedi. Teknik sorular NIST/BİGR/üretici ile desteklidir.</v>
      </c>
      <c r="G16" s="6" t="str">
        <v>2026-09-08</v>
      </c>
      <c r="H16" s="6" t="str"/>
    </row>
    <row r="17" ht="55" customHeight="1">
      <c r="A17" s="6" t="str">
        <v>VMW-SCG</v>
      </c>
      <c r="B17" s="6" t="str">
        <v>vSphere Security Configuration &amp; Hardening Guide controls CSV</v>
      </c>
      <c r="C17" s="6" t="str">
        <v>Broadcom / VMware</v>
      </c>
      <c r="D17" s="6" t="str">
        <v>vSphere 8 U3; 8.0.3</v>
      </c>
      <c r="E17" s="6" t="str">
        <v>https://raw.githubusercontent.com/vmware/vcf-security-and-compliance-guidelines/main/security-configuration-hardening-guide/vsphere/8.0/vmware-vsphere-security-configuration-guide-8-controls.csv</v>
      </c>
      <c r="F17" s="6" t="str">
        <v>Üretici CSV indirildi; SCG ID, ayar adı ve öneri okundu. ESXi/vCenter 8 için örnek baz; başka sürüme doğrudan uygulanmaz.</v>
      </c>
      <c r="G17" s="6" t="str">
        <v>2026-09-08</v>
      </c>
      <c r="H17" s="6" t="str"/>
    </row>
    <row r="18" ht="40" customHeight="1">
      <c r="A18" s="6" t="str">
        <v>VMW-VMOTION</v>
      </c>
      <c r="B18" s="6" t="str">
        <v>EncryptedVMotionModes API</v>
      </c>
      <c r="C18" s="6" t="str">
        <v>Broadcom</v>
      </c>
      <c r="D18" s="6" t="str">
        <v>vSphere API latest</v>
      </c>
      <c r="E18" s="6" t="str">
        <v>https://developer.broadcom.com/xapis/vsphere-web-services-api/latest/vim.vm.ConfigSpec.EncryptedVMotionModes.html</v>
      </c>
      <c r="F18" s="6" t="str">
        <v>Tam içerik veya ilgili bölüm incelendi.</v>
      </c>
      <c r="G18" s="6" t="str">
        <v>2026-09-08</v>
      </c>
      <c r="H18" s="6" t="str"/>
    </row>
    <row r="19" ht="40" customHeight="1">
      <c r="A19" s="6" t="str">
        <v>VMW-NSX</v>
      </c>
      <c r="B19" s="6" t="str">
        <v>NSX Distributed Firewall Exclusion List</v>
      </c>
      <c r="C19" s="6" t="str">
        <v>Broadcom</v>
      </c>
      <c r="D19" s="6" t="str">
        <v>NSX 4.2 davranışı; KB 378422</v>
      </c>
      <c r="E19" s="6" t="str">
        <v>https://knowledge.broadcom.com/external/article/378422/nsx-distributed-firewall-exclusion-list.html</v>
      </c>
      <c r="F19" s="6" t="str">
        <v>Tam içerik veya ilgili bölüm incelendi.</v>
      </c>
      <c r="G19" s="6" t="str">
        <v>2026-09-08</v>
      </c>
      <c r="H19" s="6" t="str"/>
    </row>
    <row r="20" ht="35" customHeight="1">
      <c r="A20" s="6" t="str">
        <v>VMW-VCD</v>
      </c>
      <c r="B20" s="6" t="str">
        <v>Global Roles APIs</v>
      </c>
      <c r="C20" s="6" t="str">
        <v>Broadcom</v>
      </c>
      <c r="D20" s="6" t="str">
        <v>VMware Cloud Director OpenAPI latest</v>
      </c>
      <c r="E20" s="6" t="str">
        <v>https://developer.broadcom.com/xapis/vmware-cloud-director-openapi/latest/global-roles/</v>
      </c>
      <c r="F20" s="6" t="str">
        <v>Tam içerik veya ilgili bölüm incelendi.</v>
      </c>
      <c r="G20" s="6" t="str">
        <v>2026-09-08</v>
      </c>
      <c r="H20" s="6" t="str"/>
    </row>
    <row r="21" ht="40" customHeight="1">
      <c r="A21" s="6" t="str">
        <v>VMW-VSAN</v>
      </c>
      <c r="B21" s="6" t="str">
        <v>vSAN ESA Storage Policy and Encryption FAQ</v>
      </c>
      <c r="C21" s="6" t="str">
        <v>Broadcom</v>
      </c>
      <c r="D21" s="6" t="str">
        <v>VCF 9.0; KB 437757</v>
      </c>
      <c r="E21" s="6" t="str">
        <v>https://knowledge.broadcom.com/external/article/437757/vsan-esa-storage-policy-and-encryption-f.html</v>
      </c>
      <c r="F21" s="6" t="str">
        <v>9.0 ESA için açıklama; ortam OSA/8.x ise eşdeğer sürüm dokümanı ile teyit edilir.</v>
      </c>
      <c r="G21" s="6" t="str">
        <v>2026-09-08</v>
      </c>
      <c r="H21" s="6" t="str"/>
    </row>
    <row r="22" ht="35" customHeight="1">
      <c r="A22" s="6" t="str">
        <v>VEEAM-SEC</v>
      </c>
      <c r="B22" s="6" t="str">
        <v>Securing Backup Infrastructure</v>
      </c>
      <c r="C22" s="6" t="str">
        <v>Veeam</v>
      </c>
      <c r="D22" s="6" t="str">
        <v>VBR user guide, çevrimiçi</v>
      </c>
      <c r="E22" s="6" t="str">
        <v>https://helpcenter.veeam.com/docs/vbr/userguide/securing_backup_infrastructure.html</v>
      </c>
      <c r="F22" s="6" t="str">
        <v>Tam içerik veya ilgili bölüm incelendi.</v>
      </c>
      <c r="G22" s="6" t="str">
        <v>2026-09-08</v>
      </c>
      <c r="H22" s="6" t="str"/>
    </row>
    <row r="23" ht="35" customHeight="1">
      <c r="A23" s="6" t="str">
        <v>VEEAM-HARD</v>
      </c>
      <c r="B23" s="6" t="str">
        <v>Hardened Repository</v>
      </c>
      <c r="C23" s="6" t="str">
        <v>Veeam</v>
      </c>
      <c r="D23" s="6" t="str">
        <v>VBR user guide, çevrimiçi</v>
      </c>
      <c r="E23" s="6" t="str">
        <v>https://helpcenter.veeam.com/docs/vbr/userguide/hardened_repository.html</v>
      </c>
      <c r="F23" s="6" t="str">
        <v>Tam içerik veya ilgili bölüm incelendi.</v>
      </c>
      <c r="G23" s="6" t="str">
        <v>2026-09-08</v>
      </c>
      <c r="H23" s="6" t="str"/>
    </row>
    <row r="24" ht="35" customHeight="1">
      <c r="A24" s="6" t="str">
        <v>VEEAM-CHECK</v>
      </c>
      <c r="B24" s="6" t="str">
        <v>Security &amp; Compliance Analyzer</v>
      </c>
      <c r="C24" s="6" t="str">
        <v>Veeam</v>
      </c>
      <c r="D24" s="6" t="str">
        <v>VBR user guide, çevrimiçi</v>
      </c>
      <c r="E24" s="6" t="str">
        <v>https://helpcenter.veeam.com/docs/vbr/userguide/best_practices_analyzer.html</v>
      </c>
      <c r="F24" s="6" t="str">
        <v>Tam içerik veya ilgili bölüm incelendi.</v>
      </c>
      <c r="G24" s="6" t="str">
        <v>2026-09-08</v>
      </c>
      <c r="H24" s="6" t="str"/>
    </row>
    <row r="25" ht="40" customHeight="1">
      <c r="A25" s="6" t="str">
        <v>CB-LR</v>
      </c>
      <c r="B25" s="6" t="str">
        <v>Minimum role permissions required to perform Live Response</v>
      </c>
      <c r="C25" s="6" t="str">
        <v>Broadcom</v>
      </c>
      <c r="D25" s="6" t="str">
        <v>Carbon Black Cloud; KB 403697</v>
      </c>
      <c r="E25" s="6" t="str">
        <v>https://knowledge.broadcom.com/external/article/403697/minimum-role-permissions-required-to-per.html</v>
      </c>
      <c r="F25" s="6" t="str">
        <v>Tam içerik veya ilgili bölüm incelendi.</v>
      </c>
      <c r="G25" s="6" t="str">
        <v>2026-09-08</v>
      </c>
      <c r="H25" s="6" t="str"/>
    </row>
    <row r="26" ht="35" customHeight="1">
      <c r="A26" s="6" t="str">
        <v>FGT-VDOM</v>
      </c>
      <c r="B26" s="6" t="str">
        <v>VDOM overview / Best practices</v>
      </c>
      <c r="C26" s="6" t="str">
        <v>Fortinet</v>
      </c>
      <c r="D26" s="6" t="str">
        <v>FortiOS 7.4.5</v>
      </c>
      <c r="E26" s="6" t="str">
        <v>https://docs.fortinet.com/document/fortigate/7.4.5/administration-guide/597696/vdom-overview</v>
      </c>
      <c r="F26" s="6" t="str">
        <v>Tam içerik veya ilgili bölüm incelendi.</v>
      </c>
      <c r="G26" s="6" t="str">
        <v>2026-09-08</v>
      </c>
      <c r="H26" s="6" t="str"/>
    </row>
    <row r="27" ht="35" customHeight="1">
      <c r="A27" s="6" t="str">
        <v>FGT-HARD</v>
      </c>
      <c r="B27" s="6" t="str">
        <v>Hardening</v>
      </c>
      <c r="C27" s="6" t="str">
        <v>Fortinet</v>
      </c>
      <c r="D27" s="6" t="str">
        <v>FortiOS 7.4.0 Best Practices</v>
      </c>
      <c r="E27" s="6" t="str">
        <v>https://docs.fortinet.com/document/fortigate/7.4.0/best-practices/555436</v>
      </c>
      <c r="F27" s="6" t="str">
        <v>Tam içerik veya ilgili bölüm incelendi.</v>
      </c>
      <c r="G27" s="6" t="str">
        <v>2026-09-08</v>
      </c>
      <c r="H27" s="6" t="str"/>
    </row>
    <row r="28" ht="40" customHeight="1">
      <c r="A28" s="6" t="str">
        <v>FGT-IPS</v>
      </c>
      <c r="B28" s="6" t="str">
        <v>Transparent mode / IPS Architecture Guide</v>
      </c>
      <c r="C28" s="6" t="str">
        <v>Fortinet</v>
      </c>
      <c r="D28" s="6" t="str">
        <v>FortiOS 7.4.0</v>
      </c>
      <c r="E28" s="6" t="str">
        <v>https://docs.fortinet.com/document/fortigate/7.4.0/ips-architecture-guide/748610/transparent-mode</v>
      </c>
      <c r="F28" s="6" t="str">
        <v>Tam içerik veya ilgili bölüm incelendi.</v>
      </c>
      <c r="G28" s="6" t="str">
        <v>2026-09-08</v>
      </c>
      <c r="H28" s="6" t="str"/>
    </row>
    <row r="29" ht="40" customHeight="1">
      <c r="A29" s="6" t="str">
        <v>SPL-SEC</v>
      </c>
      <c r="B29" s="6" t="str">
        <v>About securing the Splunk platform</v>
      </c>
      <c r="C29" s="6" t="str">
        <v>Splunk</v>
      </c>
      <c r="D29" s="6" t="str">
        <v>Enterprise 10.0</v>
      </c>
      <c r="E29" s="6" t="str">
        <v>https://help.splunk.com/en/splunk-enterprise/administer/manage-users-and-security/10.0/introduction-to-securing-the-splunk-platform/about-securing-the-splunk-platform</v>
      </c>
      <c r="F29" s="6" t="str">
        <v>Tam içerik veya ilgili bölüm incelendi.</v>
      </c>
      <c r="G29" s="6" t="str">
        <v>2026-09-08</v>
      </c>
      <c r="H29" s="6" t="str"/>
    </row>
    <row r="30" ht="40" customHeight="1">
      <c r="A30" s="6" t="str">
        <v>SPL-RBAC</v>
      </c>
      <c r="B30" s="6" t="str">
        <v>Use access control to secure Splunk data</v>
      </c>
      <c r="C30" s="6" t="str">
        <v>Splunk</v>
      </c>
      <c r="D30" s="6" t="str">
        <v>Enterprise/Cloud 10.4</v>
      </c>
      <c r="E30" s="6" t="str">
        <v>https://help.splunk.com/en/splunk-enterprise/administer/manage-users-and-security/10.4/manage-splunk-platform-users-and-roles/use-access-control-to-secure-splunk-data</v>
      </c>
      <c r="F30" s="6" t="str">
        <v>Tam içerik veya ilgili bölüm incelendi.</v>
      </c>
      <c r="G30" s="6" t="str">
        <v>2026-09-08</v>
      </c>
      <c r="H30" s="6" t="str"/>
    </row>
    <row r="31" ht="40" customHeight="1">
      <c r="A31" s="6" t="str">
        <v>ESA-AUTH</v>
      </c>
      <c r="B31" s="6" t="str">
        <v>Best Practice for Email Authentication</v>
      </c>
      <c r="C31" s="6" t="str">
        <v>Cisco</v>
      </c>
      <c r="D31" s="6" t="str">
        <v>ESA; belge 215360</v>
      </c>
      <c r="E31" s="6" t="str">
        <v>https://www.cisco.com/c/en/us/support/docs/security/email-security-appliance/215360-best-practice-for-email-authentication.pdf</v>
      </c>
      <c r="F31" s="6" t="str">
        <v>Tam içerik veya ilgili bölüm incelendi.</v>
      </c>
      <c r="G31" s="6" t="str">
        <v>2026-09-08</v>
      </c>
      <c r="H31" s="6" t="str"/>
    </row>
    <row r="32" ht="40" customHeight="1">
      <c r="A32" s="6" t="str">
        <v>ESA-POL</v>
      </c>
      <c r="B32" s="6" t="str">
        <v>Best Practices Guide for Incoming and Outgoing Content Filters</v>
      </c>
      <c r="C32" s="6" t="str">
        <v>Cisco</v>
      </c>
      <c r="D32" s="6" t="str">
        <v>ESA; belge 215715</v>
      </c>
      <c r="E32" s="6" t="str">
        <v>https://www.cisco.com/c/en/us/support/docs/security/email-security-appliance/215715-best-practices-guide-for-incoming-and-ou.pdf</v>
      </c>
      <c r="F32" s="6" t="str">
        <v>Tam içerik veya ilgili bölüm incelendi.</v>
      </c>
      <c r="G32" s="6" t="str">
        <v>2026-09-08</v>
      </c>
      <c r="H32" s="6" t="str"/>
    </row>
    <row r="33" ht="40" customHeight="1">
      <c r="A33" s="6" t="str">
        <v>ESA-BP</v>
      </c>
      <c r="B33" s="6" t="str">
        <v>ESA and SMA Comprehensive Best Practices</v>
      </c>
      <c r="C33" s="6" t="str">
        <v>Cisco</v>
      </c>
      <c r="D33" s="6" t="str">
        <v>Tarihsel ESA/SMA rehberi</v>
      </c>
      <c r="E33" s="6" t="str">
        <v>https://www.cisco.com/c/dam/en/us/products/collateral/security/esa-and-msa-comprehensive.pdf</v>
      </c>
      <c r="F33" s="6" t="str">
        <v>Eski rehber yalnız kavramsal kontrol desteğidir; eski kripto değerleri ve sürüm önerileri aktarılmadı. Kurulu AsyncOS sürümü için teyit gerekir.</v>
      </c>
      <c r="G33" s="6" t="str">
        <v>2026-09-08</v>
      </c>
      <c r="H33" s="6" t="str"/>
    </row>
    <row r="34" ht="35" customHeight="1">
      <c r="A34" s="6" t="str">
        <v>KONG-ADMIN</v>
      </c>
      <c r="B34" s="6" t="str">
        <v>Secure the Admin API</v>
      </c>
      <c r="C34" s="6" t="str">
        <v>Kong</v>
      </c>
      <c r="D34" s="6" t="str">
        <v>Gateway çevrimiçi</v>
      </c>
      <c r="E34" s="6" t="str">
        <v>https://developer.konghq.com/gateway/secure-the-admin-api/</v>
      </c>
      <c r="F34" s="6" t="str">
        <v>Tam içerik veya ilgili bölüm incelendi.</v>
      </c>
      <c r="G34" s="6" t="str">
        <v>2026-09-08</v>
      </c>
      <c r="H34" s="6" t="str"/>
    </row>
    <row r="35" ht="35" customHeight="1">
      <c r="A35" s="6" t="str">
        <v>KONG-RBAC</v>
      </c>
      <c r="B35" s="6" t="str">
        <v>RBAC</v>
      </c>
      <c r="C35" s="6" t="str">
        <v>Kong</v>
      </c>
      <c r="D35" s="6" t="str">
        <v>Gateway Enterprise çevrimiçi</v>
      </c>
      <c r="E35" s="6" t="str">
        <v>https://developer.konghq.com/gateway/entities/rbac/</v>
      </c>
      <c r="F35" s="6" t="str">
        <v>Tam içerik veya ilgili bölüm incelendi.</v>
      </c>
      <c r="G35" s="6" t="str">
        <v>2026-09-08</v>
      </c>
      <c r="H35" s="6" t="str"/>
    </row>
    <row r="36" ht="35" customHeight="1">
      <c r="A36" s="6" t="str">
        <v>KONG-WS</v>
      </c>
      <c r="B36" s="6" t="str">
        <v>Workspaces</v>
      </c>
      <c r="C36" s="6" t="str">
        <v>Kong</v>
      </c>
      <c r="D36" s="6" t="str">
        <v>Gateway Enterprise çevrimiçi</v>
      </c>
      <c r="E36" s="6" t="str">
        <v>https://developer.konghq.com/gateway/entities/workspace/</v>
      </c>
      <c r="F36" s="6" t="str">
        <v>Tam içerik veya ilgili bölüm incelendi.</v>
      </c>
      <c r="G36" s="6" t="str">
        <v>2026-09-08</v>
      </c>
      <c r="H36" s="6" t="str"/>
    </row>
    <row r="37" ht="35" customHeight="1">
      <c r="A37" s="6" t="str">
        <v>KONG-SEC</v>
      </c>
      <c r="B37" s="6" t="str">
        <v>Securing Kong Gateway</v>
      </c>
      <c r="C37" s="6" t="str">
        <v>Kong</v>
      </c>
      <c r="D37" s="6" t="str">
        <v>Gateway çevrimiçi</v>
      </c>
      <c r="E37" s="6" t="str">
        <v>https://developer.konghq.com/gateway/security/</v>
      </c>
      <c r="F37" s="6" t="str">
        <v>Tam içerik veya ilgili bölüm incelendi.</v>
      </c>
      <c r="G37" s="6" t="str">
        <v>2026-09-08</v>
      </c>
      <c r="H37" s="6" t="str"/>
    </row>
    <row r="38" ht="40" customHeight="1">
      <c r="A38" s="6" t="str">
        <v>PAM-HARD</v>
      </c>
      <c r="B38" s="6" t="str">
        <v>Harden your PAM-SH environment</v>
      </c>
      <c r="C38" s="6" t="str">
        <v>CyberArk</v>
      </c>
      <c r="D38" s="6" t="str">
        <v>PAM Self-Hosted latest</v>
      </c>
      <c r="E38" s="6" t="str">
        <v>https://docs.cyberark.com/pam-self-hosted/latest/en/content/security/security-hardening-introduction.htm</v>
      </c>
      <c r="F38" s="6" t="str">
        <v>Bileşen sıkılaştırma gerekliliği doğrulandı; ayrıntılı sürüm prosedürleri ortam dokümanı ile karşılaştırılacak.</v>
      </c>
      <c r="G38" s="6" t="str">
        <v>2026-09-08</v>
      </c>
      <c r="H38" s="6" t="str"/>
    </row>
    <row r="39" ht="40" customHeight="1">
      <c r="A39" s="6" t="str">
        <v>PAM-CHECK</v>
      </c>
      <c r="B39" s="6" t="str">
        <v>CYBRHardeningCheck</v>
      </c>
      <c r="C39" s="6" t="str">
        <v>CyberArk</v>
      </c>
      <c r="D39" s="6" t="str">
        <v>Üretici GitHub aracı</v>
      </c>
      <c r="E39" s="6" t="str">
        <v>https://github.com/cyberark/CYBRHardeningCheck</v>
      </c>
      <c r="F39" s="6" t="str">
        <v>Doğrulama aracı tek başına tam güvenlik güvencesi sağlamaz; üretici notu bu sınırlamayı belirtir.</v>
      </c>
      <c r="G39" s="6" t="str">
        <v>2026-09-08</v>
      </c>
      <c r="H39" s="6" t="str"/>
    </row>
    <row r="40" ht="35" customHeight="1">
      <c r="A40" s="6" t="str">
        <v>DLP-ROLE</v>
      </c>
      <c r="B40" s="6" t="str">
        <v>Working with roles</v>
      </c>
      <c r="C40" s="6" t="str">
        <v>Forcepoint</v>
      </c>
      <c r="D40" s="6" t="str">
        <v>DLP 10.3.0</v>
      </c>
      <c r="E40" s="6" t="str">
        <v>https://help.forcepoint.com/dlp/10.3.0/dlphelp/2450F236-E242-4BAB-8281-C8A470A79147.html</v>
      </c>
      <c r="F40" s="6" t="str">
        <v>Tam içerik veya ilgili bölüm incelendi.</v>
      </c>
      <c r="G40" s="6" t="str">
        <v>2026-09-08</v>
      </c>
      <c r="H40" s="6" t="str"/>
    </row>
    <row r="41" ht="40" customHeight="1">
      <c r="A41" s="6" t="str">
        <v>DLP-GUIDE</v>
      </c>
      <c r="B41" s="6" t="str">
        <v>Administrator Help</v>
      </c>
      <c r="C41" s="6" t="str">
        <v>Forcepoint</v>
      </c>
      <c r="D41" s="6" t="str">
        <v>DLP 8.7.x</v>
      </c>
      <c r="E41" s="6" t="str">
        <v>https://help.forcepoint.com/docs/data/v87/help/help.pdf</v>
      </c>
      <c r="F41" s="6" t="str">
        <v>Sürümü belirtilmiş yönetim rehberi; Deploy, policy, endpoint, incident yönetimi bölümleri. Kurulu sürümle karşılaştırılacak.</v>
      </c>
      <c r="G41" s="6" t="str">
        <v>2026-09-08</v>
      </c>
      <c r="H41" s="6" t="str"/>
    </row>
    <row r="42" ht="35" customHeight="1">
      <c r="A42" s="6" t="str">
        <v>ZAB-ACCESS</v>
      </c>
      <c r="B42" s="6" t="str">
        <v>Access control</v>
      </c>
      <c r="C42" s="6" t="str">
        <v>Zabbix</v>
      </c>
      <c r="D42" s="6" t="str">
        <v>7.0</v>
      </c>
      <c r="E42" s="6" t="str">
        <v>https://www.zabbix.com/documentation/7.0/en/manual/best_practices/security/access_control</v>
      </c>
      <c r="F42" s="6" t="str">
        <v>Tam içerik veya ilgili bölüm incelendi.</v>
      </c>
      <c r="G42" s="6" t="str">
        <v>2026-09-08</v>
      </c>
      <c r="H42" s="6" t="str"/>
    </row>
    <row r="43" ht="35" customHeight="1">
      <c r="A43" s="6" t="str">
        <v>ZAB-TLS</v>
      </c>
      <c r="B43" s="6" t="str">
        <v>Encryption</v>
      </c>
      <c r="C43" s="6" t="str">
        <v>Zabbix</v>
      </c>
      <c r="D43" s="6" t="str">
        <v>7.0</v>
      </c>
      <c r="E43" s="6" t="str">
        <v>https://www.zabbix.com/documentation/7.0/en/manual/encryption</v>
      </c>
      <c r="F43" s="6" t="str">
        <v>Tam içerik veya ilgili bölüm incelendi.</v>
      </c>
      <c r="G43" s="6" t="str">
        <v>2026-09-08</v>
      </c>
      <c r="H43" s="6" t="str"/>
    </row>
    <row r="44" ht="35" customHeight="1">
      <c r="A44" s="6" t="str">
        <v>ZAB-SEC</v>
      </c>
      <c r="B44" s="6" t="str">
        <v>Security best practices</v>
      </c>
      <c r="C44" s="6" t="str">
        <v>Zabbix</v>
      </c>
      <c r="D44" s="6" t="str">
        <v>current 7.4</v>
      </c>
      <c r="E44" s="6" t="str">
        <v>https://www.zabbix.com/documentation/current/en/manual/best_practices/security</v>
      </c>
      <c r="F44" s="6" t="str">
        <v>Tam içerik veya ilgili bölüm incelendi.</v>
      </c>
      <c r="G44" s="6" t="str">
        <v>2026-09-08</v>
      </c>
      <c r="H44" s="6" t="str"/>
    </row>
    <row r="45" ht="35" customHeight="1">
      <c r="A45" s="6" t="str">
        <v>GRA-SEC</v>
      </c>
      <c r="B45" s="6" t="str">
        <v>Configure security</v>
      </c>
      <c r="C45" s="6" t="str">
        <v>Grafana Labs</v>
      </c>
      <c r="D45" s="6" t="str">
        <v>Grafana latest</v>
      </c>
      <c r="E45" s="6" t="str">
        <v>https://grafana.com/docs/grafana/latest/setup-grafana/configure-security/</v>
      </c>
      <c r="F45" s="6" t="str">
        <v>Tam içerik veya ilgili bölüm incelendi.</v>
      </c>
      <c r="G45" s="6" t="str">
        <v>2026-09-08</v>
      </c>
      <c r="H45" s="6" t="str"/>
    </row>
    <row r="46" ht="40" customHeight="1">
      <c r="A46" s="6" t="str">
        <v>GRA-HARD</v>
      </c>
      <c r="B46" s="6" t="str">
        <v>Configure security hardening</v>
      </c>
      <c r="C46" s="6" t="str">
        <v>Grafana Labs</v>
      </c>
      <c r="D46" s="6" t="str">
        <v>Grafana latest</v>
      </c>
      <c r="E46" s="6" t="str">
        <v>https://grafana.com/docs/grafana/latest/setup-grafana/configure-security/configure-security-hardening/</v>
      </c>
      <c r="F46" s="6" t="str">
        <v>Tam içerik veya ilgili bölüm incelendi.</v>
      </c>
      <c r="G46" s="6" t="str">
        <v>2026-09-08</v>
      </c>
      <c r="H46" s="6" t="str"/>
    </row>
    <row r="47" ht="35" customHeight="1">
      <c r="A47" s="6" t="str">
        <v>MEC-SEC</v>
      </c>
      <c r="B47" s="6" t="str">
        <v>Security Hardening Guidelines</v>
      </c>
      <c r="C47" s="6" t="str">
        <v>ManageEngine</v>
      </c>
      <c r="D47" s="6" t="str">
        <v>Endpoint Central on-premises/cloud</v>
      </c>
      <c r="E47" s="6" t="str">
        <v>https://www.manageengine.com/products/desktop-central/security-recommendations.html</v>
      </c>
      <c r="F47" s="6" t="str">
        <v>Tam içerik veya ilgili bölüm incelendi.</v>
      </c>
      <c r="G47" s="6" t="str">
        <v>2026-09-08</v>
      </c>
      <c r="H47" s="6" t="str"/>
    </row>
    <row r="48" ht="40" customHeight="1">
      <c r="A48" s="6" t="str">
        <v>ENS-TEST</v>
      </c>
      <c r="B48" s="6" t="str">
        <v>Mitigating Security Update Risks Part 4</v>
      </c>
      <c r="C48" s="6" t="str">
        <v>Trellix</v>
      </c>
      <c r="D48" s="6" t="str">
        <v>12.08.2024; ENS test case list</v>
      </c>
      <c r="E48" s="6" t="str">
        <v>https://www.trellix.com/blogs/perspectives/mitigating-security-update-risks-part-4/</v>
      </c>
      <c r="F48" s="6" t="str">
        <v>Üretici Professional Services test önerileri; ENS ve Trellix Agent bölümleri. HX/EDR kapsamı alınmadı.</v>
      </c>
      <c r="G48" s="6" t="str">
        <v>2026-09-08</v>
      </c>
      <c r="H48" s="6" t="str"/>
    </row>
    <row r="49" ht="40" customHeight="1">
      <c r="A49" s="6" t="str">
        <v>ENS-PROT</v>
      </c>
      <c r="B49" s="6" t="str">
        <v>Insider threat countermeasures / ENS self-protection</v>
      </c>
      <c r="C49" s="6" t="str">
        <v>Trellix</v>
      </c>
      <c r="D49" s="6" t="str">
        <v>Üretici teknik açıklaması</v>
      </c>
      <c r="E49" s="6" t="str">
        <v>https://www.trellix.com/blogs/perspectives/cisos-cyber-criminals-dont-want-you-to-know-this-one-weird-trick-to-alleviate-insider-threat-nightmares/</v>
      </c>
      <c r="F49" s="6" t="str">
        <v>Yalnız ENS Access Protection, Exploit Prevention ve self-protection açıklamaları kullanıldı.</v>
      </c>
      <c r="G49" s="6" t="str">
        <v>2026-09-08</v>
      </c>
      <c r="H49" s="6" t="str"/>
    </row>
    <row r="50" ht="40" customHeight="1">
      <c r="A50" s="6" t="str">
        <v>EPO-POL</v>
      </c>
      <c r="B50" s="6" t="str">
        <v>Configure security policies</v>
      </c>
      <c r="C50" s="6" t="str">
        <v>Trellix</v>
      </c>
      <c r="D50" s="6" t="str">
        <v>ePO On-prem 5.10.0</v>
      </c>
      <c r="E50" s="6" t="str">
        <v>https://docs.trellix.com/bundle/trellix-epolicy-orchestrator-on-prem-5.10.0-product-guide/page/UUID-2ac1132b-f088-192f-6a6a-22462c2651a1.html</v>
      </c>
      <c r="F50" s="6" t="str">
        <v>ePO kullanılıyorsa koşullu; oluşturulmuş policy atanmadan etkin olmaz.</v>
      </c>
      <c r="G50" s="6" t="str">
        <v>2026-09-08</v>
      </c>
      <c r="H50" s="6" t="str"/>
    </row>
    <row r="51" ht="35" customHeight="1">
      <c r="A51" s="6" t="str">
        <v>ADC-SEC</v>
      </c>
      <c r="B51" s="6" t="str">
        <v>Best practices for NetScaler MPX, VPX, and SDX security</v>
      </c>
      <c r="C51" s="6" t="str">
        <v>NetScaler</v>
      </c>
      <c r="D51" s="6" t="str">
        <v>Secure Deployment Guide çevrimiçi</v>
      </c>
      <c r="E51" s="6" t="str">
        <v>https://docs.netscaler.com/en-us/netscaler-adc-secure-deployment.html</v>
      </c>
      <c r="F51" s="6" t="str">
        <v>Tam içerik veya ilgili bölüm incelendi.</v>
      </c>
      <c r="G51" s="6" t="str">
        <v>2026-09-08</v>
      </c>
      <c r="H51" s="6" t="str"/>
    </row>
    <row r="52" ht="40" customHeight="1">
      <c r="A52" s="6" t="str">
        <v>ADC-NET</v>
      </c>
      <c r="B52" s="6" t="str">
        <v>Network security</v>
      </c>
      <c r="C52" s="6" t="str">
        <v>NetScaler</v>
      </c>
      <c r="D52" s="6" t="str">
        <v>Secure Deployment Guide çevrimiçi</v>
      </c>
      <c r="E52" s="6" t="str">
        <v>https://docs.netscaler.com/en-us/netscaler-adc-secure-deployment/configuration-guidelines/network-security.html</v>
      </c>
      <c r="F52" s="6" t="str">
        <v>Tam içerik veya ilgili bölüm incelendi.</v>
      </c>
      <c r="G52" s="6" t="str">
        <v>2026-09-08</v>
      </c>
      <c r="H52" s="6" t="str"/>
    </row>
    <row r="53" ht="40" customHeight="1">
      <c r="A53" s="6" t="str">
        <v>WAF-SEC</v>
      </c>
      <c r="B53" s="6" t="str">
        <v>NetScaler Web App Firewall security recommendations</v>
      </c>
      <c r="C53" s="6" t="str">
        <v>NetScaler</v>
      </c>
      <c r="D53" s="6" t="str">
        <v>Secure Deployment Guide; 02.09.2026</v>
      </c>
      <c r="E53" s="6" t="str">
        <v>https://docs.netscaler.com/en-us/netscaler-adc-secure-deployment/other-features/netscaler-web-app-firewall-security-recommendations.html</v>
      </c>
      <c r="F53" s="6" t="str">
        <v>Tam içerik veya ilgili bölüm incelendi.</v>
      </c>
      <c r="G53" s="6" t="str">
        <v>2026-09-08</v>
      </c>
      <c r="H53" s="6" t="str"/>
    </row>
    <row r="54" ht="40" customHeight="1">
      <c r="A54" s="6" t="str">
        <v>WAF-DEP</v>
      </c>
      <c r="B54" s="6" t="str">
        <v>FAQs and Deployment Guide</v>
      </c>
      <c r="C54" s="6" t="str">
        <v>NetScaler</v>
      </c>
      <c r="D54" s="6" t="str">
        <v>Web App Firewall current-release</v>
      </c>
      <c r="E54" s="6" t="str">
        <v>https://docs.netscaler.com/en-us/citrix-adc/current-release/application-firewall/deploymentguide.html</v>
      </c>
      <c r="F54" s="6" t="str">
        <v>Tam içerik veya ilgili bölüm incelendi.</v>
      </c>
      <c r="G54" s="6" t="str">
        <v>2026-09-08</v>
      </c>
      <c r="H54" s="6" t="str"/>
    </row>
    <row r="55" ht="35" customHeight="1">
      <c r="A55" s="6" t="str">
        <v>CB-DEF</v>
      </c>
      <c r="B55" s="6" t="str">
        <v>Getting Started with Carbon Black APIs and Integrations</v>
      </c>
      <c r="C55" s="6" t="str">
        <v>Carbon Black</v>
      </c>
      <c r="D55" s="6" t="str">
        <v>Çevrimiçi dokümantasyon</v>
      </c>
      <c r="E55" s="6" t="str">
        <v>https://developer.carbonblack.com/getting-started</v>
      </c>
      <c r="F55" s="6" t="str">
        <v>Terimler sözlüğü için ilgili açıklama doğrulandı.</v>
      </c>
      <c r="G55" s="6" t="str">
        <v>2026-09-08</v>
      </c>
      <c r="H55" s="6" t="str"/>
    </row>
    <row r="56" ht="35" customHeight="1">
      <c r="A56" s="6" t="str">
        <v>ESA-HAT</v>
      </c>
      <c r="B56" s="6" t="str">
        <v>Cloud Email Security Quick Start Guide — HAT and RAT</v>
      </c>
      <c r="C56" s="6" t="str">
        <v>Cisco</v>
      </c>
      <c r="D56" s="6" t="str">
        <v>Çevrimiçi dokümantasyon</v>
      </c>
      <c r="E56" s="6" t="str">
        <v>https://docs.ces.cisco.com/docs/cloud-email-security-quick-start-guide</v>
      </c>
      <c r="F56" s="6" t="str">
        <v>Terimler sözlüğü için ilgili açıklama doğrulandı.</v>
      </c>
      <c r="G56" s="6" t="str">
        <v>2026-09-08</v>
      </c>
      <c r="H56" s="6" t="str"/>
    </row>
    <row r="57" ht="40" customHeight="1">
      <c r="A57" s="6" t="str">
        <v>CIS-FGT</v>
      </c>
      <c r="B57" s="6" t="str">
        <v>CIS_FortiGate_7.4.x_Benchmark_v1.0.1.pdf</v>
      </c>
      <c r="C57" s="6" t="str">
        <v>CIS — kullanıcı tarafından sağlanan PDF nüshası</v>
      </c>
      <c r="D57" s="6" t="str">
        <v>FortiGate 7.4.x v1.0.1</v>
      </c>
      <c r="E57" s="6" t="str">
        <v>C:\Users\whoai\Downloads\CIS_FortiGate_7.4.x_Benchmark_v1.0.1.pdf</v>
      </c>
      <c r="F57" s="6" t="str">
        <v>Tam PDF incelendi; 194 PDF sayfası. Kaynak bazındaki profil ve Audit tutarlılığı ayrı değerlendirildi; tüm maddeler CIS Dizininde izlenir.</v>
      </c>
      <c r="G57" s="6" t="str">
        <v>2026-09-09</v>
      </c>
      <c r="H57" s="6" t="str">
        <v>639f91a8fb583246d4850d1d2a91c582057e7adb65db6ce9aff25c8dd523c723</v>
      </c>
    </row>
    <row r="58" ht="40" customHeight="1">
      <c r="A58" s="6" t="str">
        <v>CIS-AD</v>
      </c>
      <c r="B58" s="6" t="str">
        <v>CIS_Benchmarks__Active_Directory_Guide__2024_11.pdf</v>
      </c>
      <c r="C58" s="6" t="str">
        <v>CIS — kullanıcı tarafından sağlanan PDF nüshası</v>
      </c>
      <c r="D58" s="6" t="str">
        <v>Active Directory Guide 2024-11</v>
      </c>
      <c r="E58" s="6" t="str">
        <v>C:\Users\whoai\Downloads\CIS_Benchmarks__Active_Directory_Guide__2024_11.pdf</v>
      </c>
      <c r="F58" s="6" t="str">
        <v>Tam PDF incelendi; 51 PDF sayfası. Öğretici; normatif referans olarak kullanılmadı.</v>
      </c>
      <c r="G58" s="6" t="str">
        <v>2026-09-09</v>
      </c>
      <c r="H58" s="6" t="str">
        <v>fca2fcea99c794fd4e44dc1a4d21f9ce80062463e222d8d48cf33ed20bb6671d</v>
      </c>
    </row>
    <row r="59" ht="40" customHeight="1">
      <c r="A59" s="6" t="str">
        <v>CIS-ESX7</v>
      </c>
      <c r="B59" s="6" t="str">
        <v>CIS VMWare ESXi 7 Benchmark V1.6.0 PDF.pdf</v>
      </c>
      <c r="C59" s="6" t="str">
        <v>CIS — kullanıcı tarafından sağlanan PDF nüshası</v>
      </c>
      <c r="D59" s="6" t="str">
        <v>ESXi 7 v1.6.0</v>
      </c>
      <c r="E59" s="6" t="str">
        <v>C:\Users\whoai\Downloads\CIS VMWare ESXi 7 Benchmark V1.6.0 PDF.pdf</v>
      </c>
      <c r="F59" s="6" t="str">
        <v>Tam PDF incelendi; 255 PDF sayfası. Kaynak bazındaki profil ve Audit tutarlılığı ayrı değerlendirildi; tüm maddeler CIS Dizininde izlenir.</v>
      </c>
      <c r="G59" s="6" t="str">
        <v>2026-09-09</v>
      </c>
      <c r="H59" s="6" t="str">
        <v>6a74191ac4f6858c0d6a8f236980180d80b5d74c901e7d402958d526371b1c1f</v>
      </c>
    </row>
    <row r="60" ht="40" customHeight="1">
      <c r="A60" s="6" t="str">
        <v>CIS-ESX8</v>
      </c>
      <c r="B60" s="6" t="str">
        <v>CIS_VMware_ESXi_8.0_Benchmark_v1.4.0_PDF.pdf</v>
      </c>
      <c r="C60" s="6" t="str">
        <v>CIS — kullanıcı tarafından sağlanan PDF nüshası</v>
      </c>
      <c r="D60" s="6" t="str">
        <v>ESXi 8.0 v1.4.0</v>
      </c>
      <c r="E60" s="6" t="str">
        <v>C:\Users\whoai\Downloads\CIS_VMware_ESXi_8.0_Benchmark_v1.4.0_PDF.pdf</v>
      </c>
      <c r="F60" s="6" t="str">
        <v>Tam PDF incelendi; 355 PDF sayfası. Kaynak bazındaki profil ve Audit tutarlılığı ayrı değerlendirildi; tüm maddeler CIS Dizininde izlenir.</v>
      </c>
      <c r="G60" s="6" t="str">
        <v>2026-09-09</v>
      </c>
      <c r="H60" s="6" t="str">
        <v>b20b7fd38c10aa102bffe4ebef7ebd69555bda66ca54d16f7175b89813f2a9a8</v>
      </c>
    </row>
    <row r="61" ht="40" customHeight="1">
      <c r="A61" s="6" t="str">
        <v>CIS-EXC</v>
      </c>
      <c r="B61" s="6" t="str">
        <v>CIS_Microsoft_Exchange_Server_2019_Benchmark_v1.0.0.pdf</v>
      </c>
      <c r="C61" s="6" t="str">
        <v>CIS — kullanıcı tarafından sağlanan PDF nüshası</v>
      </c>
      <c r="D61" s="6" t="str">
        <v>Exchange Server 2019 v1.0.0</v>
      </c>
      <c r="E61" s="6" t="str">
        <v>C:\Users\whoai\Downloads\CIS_Microsoft_Exchange_Server_2019_Benchmark_v1.0.0.pdf</v>
      </c>
      <c r="F61" s="6" t="str">
        <v>Tam PDF incelendi; 137 PDF sayfası. Kaynak bazındaki profil ve Audit tutarlılığı ayrı değerlendirildi; tüm maddeler CIS Dizininde izlenir.</v>
      </c>
      <c r="G61" s="6" t="str">
        <v>2026-09-09</v>
      </c>
      <c r="H61" s="6" t="str">
        <v>e6e2eecbeefe36002fd9e39d6be14b9a6fd00471d898feeeb3d404fca058186e</v>
      </c>
    </row>
    <row r="62" ht="40" customHeight="1">
      <c r="A62" s="6" t="str">
        <v>FGT-SYSLOG</v>
      </c>
      <c r="B62" s="6" t="str">
        <v>How to send encrypted logs to Syslog server</v>
      </c>
      <c r="C62" s="6" t="str">
        <v>Fortinet</v>
      </c>
      <c r="D62" s="6" t="str">
        <v>09.09.2026 tarihinde erişilen belge</v>
      </c>
      <c r="E62" s="6" t="str">
        <v>https://community.fortinet.com/fortigate-3/technical-tip-how-to-send-encrypted-logs-to-syslog-server-126495</v>
      </c>
      <c r="F62" s="6" t="str">
        <v>mode reliable, enc-algorithm ve CA güveni; üretici çalışanı teknik açıklaması.</v>
      </c>
      <c r="G62" s="6" t="str">
        <v>2026-09-09</v>
      </c>
      <c r="H62" s="6" t="str"/>
    </row>
    <row r="63" ht="40" customHeight="1">
      <c r="A63" s="6" t="str">
        <v>EXC-RPC</v>
      </c>
      <c r="B63" s="6" t="str">
        <v>Get-RpcClientAccess</v>
      </c>
      <c r="C63" s="6" t="str">
        <v>Microsoft</v>
      </c>
      <c r="D63" s="6" t="str">
        <v>09.09.2026 tarihinde erişilen belge</v>
      </c>
      <c r="E63" s="6" t="str">
        <v>https://learn.microsoft.com/en-us/powershell/module/exchangepowershell/get-rpcclientaccess?view=exchange-ps</v>
      </c>
      <c r="F63" s="6" t="str">
        <v>Outlook Anywhere/RPC over HTTP kapsamı; bütün MAPI/HTTP taşımasına genişletilmez.</v>
      </c>
      <c r="G63" s="6" t="str">
        <v>2026-09-09</v>
      </c>
      <c r="H63" s="6" t="str"/>
    </row>
    <row r="64" ht="40" customHeight="1">
      <c r="A64" s="6" t="str">
        <v>EXC-OWA</v>
      </c>
      <c r="B64" s="6" t="str">
        <v>Set-OwaVirtualDirectory / SMimeEnabled</v>
      </c>
      <c r="C64" s="6" t="str">
        <v>Microsoft</v>
      </c>
      <c r="D64" s="6" t="str">
        <v>09.09.2026 tarihinde erişilen belge</v>
      </c>
      <c r="E64" s="6" t="str">
        <v>https://learn.microsoft.com/en-us/powershell/module/exchangepowershell/set-owavirtualdirectory?view=exchange-ps#-smimeenabled</v>
      </c>
      <c r="F64" s="6" t="str">
        <v>Yalnız Exchange 2010’da işlevsel parametre; CIS-EXC 2.3.5 çıkarma gerekçesi.</v>
      </c>
      <c r="G64" s="6" t="str">
        <v>2026-09-09</v>
      </c>
      <c r="H64" s="6" t="str"/>
    </row>
    <row r="65" ht="40" customHeight="1">
      <c r="A65" s="6" t="str">
        <v>EXC-MOBILE</v>
      </c>
      <c r="B65" s="6" t="str">
        <v>Set-MobileDeviceMailboxPolicy</v>
      </c>
      <c r="C65" s="6" t="str">
        <v>Microsoft</v>
      </c>
      <c r="D65" s="6" t="str">
        <v>09.09.2026 tarihinde erişilen belge</v>
      </c>
      <c r="E65" s="6" t="str">
        <v>https://learn.microsoft.com/en-us/powershell/module/exchangepowershell/set-mobiledevicemailboxpolicy?view=exchange-ps</v>
      </c>
      <c r="F65" s="6" t="str">
        <v>Gerçek parametre adları/tipleri ve cihaz desteği sınırı.</v>
      </c>
      <c r="G65" s="6" t="str">
        <v>2026-09-09</v>
      </c>
      <c r="H65" s="6" t="str"/>
    </row>
    <row r="66" ht="40" customHeight="1">
      <c r="A66" s="6" t="str">
        <v>EXC-CLIENT</v>
      </c>
      <c r="B66" s="6" t="str">
        <v>Managing devices for Outlook for iOS and Android for Exchange Server</v>
      </c>
      <c r="C66" s="6" t="str">
        <v>Microsoft</v>
      </c>
      <c r="D66" s="6" t="str">
        <v>09.09.2026 tarihinde erişilen belge</v>
      </c>
      <c r="E66" s="6" t="str">
        <v>https://learn.microsoft.com/en-us/exchange/clients/outlook-for-ios-and-android/manage-devices</v>
      </c>
      <c r="F66" s="6" t="str">
        <v>Basic authentication kullanan Outlook mobil kapsamı; modern auth için genellenmez; cihaz/uygulama wipe ayrımı.</v>
      </c>
      <c r="G66" s="6" t="str">
        <v>2026-09-09</v>
      </c>
      <c r="H66" s="6" t="str"/>
    </row>
    <row r="67" ht="40" customHeight="1">
      <c r="A67" s="6" t="str">
        <v>AD-SEC</v>
      </c>
      <c r="B67" s="6" t="str">
        <v>Best practices for securing Active Directory</v>
      </c>
      <c r="C67" s="6" t="str">
        <v>Microsoft</v>
      </c>
      <c r="D67" s="6" t="str">
        <v>09.09.2026 tarihinde erişilen belge</v>
      </c>
      <c r="E67" s="6" t="str">
        <v>https://learn.microsoft.com/en-us/windows-server/identity/ad-ds/plan/security-best-practices/best-practices-for-securing-active-directory</v>
      </c>
      <c r="F67" s="6" t="str">
        <v>AD güvenlik amaçları; sürüme özgü tam Windows Server benchmarkı değildir.</v>
      </c>
      <c r="G67" s="6" t="str">
        <v>2026-09-09</v>
      </c>
      <c r="H67" s="6" t="str"/>
    </row>
    <row r="68" ht="40" customHeight="1">
      <c r="A68" s="6" t="str">
        <v>AD-PRIV</v>
      </c>
      <c r="B68" s="6" t="str">
        <v>Implementing Least-Privilege Administrative Models</v>
      </c>
      <c r="C68" s="6" t="str">
        <v>Microsoft</v>
      </c>
      <c r="D68" s="6" t="str">
        <v>09.09.2026 tarihinde erişilen belge</v>
      </c>
      <c r="E68" s="6" t="str">
        <v>https://learn.microsoft.com/en-us/windows-server/identity/ad-ds/plan/security-best-practices/implementing-least-privilege-administrative-models</v>
      </c>
      <c r="F68" s="6" t="str">
        <v>Ayrıcalıklı grup/hesap ve yetki devri modeli.</v>
      </c>
      <c r="G68" s="6" t="str">
        <v>2026-09-09</v>
      </c>
      <c r="H68" s="6" t="str"/>
    </row>
    <row r="69" ht="40" customHeight="1">
      <c r="A69" s="6" t="str">
        <v>AD-FSMO</v>
      </c>
      <c r="B69" s="6" t="str">
        <v>Planning Operations Master Role Placement</v>
      </c>
      <c r="C69" s="6" t="str">
        <v>Microsoft</v>
      </c>
      <c r="D69" s="6" t="str">
        <v>09.09.2026 tarihinde erişilen belge</v>
      </c>
      <c r="E69" s="6" t="str">
        <v>https://learn.microsoft.com/en-us/windows-server/identity/ad-ds/plan/planning-operations-master-role-placement</v>
      </c>
      <c r="F69" s="6" t="str">
        <v>Orman/alan rollerinin yerleşimi; denetimde rol transferi/seize çalıştırılmaz.</v>
      </c>
      <c r="G69" s="6" t="str">
        <v>2026-09-09</v>
      </c>
      <c r="H69" s="6" t="str"/>
    </row>
    <row r="70" ht="40" customHeight="1">
      <c r="A70" s="6" t="str">
        <v>AD-GPO</v>
      </c>
      <c r="B70" s="6" t="str">
        <v>Group Policy processing</v>
      </c>
      <c r="C70" s="6" t="str">
        <v>Microsoft</v>
      </c>
      <c r="D70" s="6" t="str">
        <v>09.09.2026 tarihinde erişilen belge</v>
      </c>
      <c r="E70" s="6" t="str">
        <v>https://learn.microsoft.com/en-us/windows-server/identity/ad-ds/manage/group-policy/group-policy-processing</v>
      </c>
      <c r="F70" s="6" t="str">
        <v>İşleme sırası, enforced/block inheritance ve security/WMI filtreleri.</v>
      </c>
      <c r="G70" s="6" t="str">
        <v>2026-09-09</v>
      </c>
      <c r="H70" s="6" t="str"/>
    </row>
    <row r="71" ht="40" customHeight="1">
      <c r="A71" s="6" t="str">
        <v>AD-BACKUP</v>
      </c>
      <c r="B71" s="6" t="str">
        <v>Restore-GPO</v>
      </c>
      <c r="C71" s="6" t="str">
        <v>Microsoft</v>
      </c>
      <c r="D71" s="6" t="str">
        <v>09.09.2026 tarihinde erişilen belge</v>
      </c>
      <c r="E71" s="6" t="str">
        <v>https://learn.microsoft.com/en-us/powershell/module/grouppolicy/restore-gpo?view=windowsserver2025-ps</v>
      </c>
      <c r="F71" s="6" t="str">
        <v>GPO geri yükleme; uygulama testi yalnız izole/onaylı ortamda.</v>
      </c>
      <c r="G71" s="6" t="str">
        <v>2026-09-09</v>
      </c>
      <c r="H71" s="6" t="str"/>
    </row>
    <row r="72" ht="40" customHeight="1">
      <c r="A72" s="6" t="str">
        <v>AD-STORE</v>
      </c>
      <c r="B72" s="6" t="str">
        <v>Create and manage the Central Store</v>
      </c>
      <c r="C72" s="6" t="str">
        <v>Microsoft</v>
      </c>
      <c r="D72" s="6" t="str">
        <v>09.09.2026 tarihinde erişilen belge</v>
      </c>
      <c r="E72" s="6" t="str">
        <v>https://learn.microsoft.com/en-us/troubleshoot/windows-client/group-policy/create-and-manage-central-store</v>
      </c>
      <c r="F72" s="6" t="str">
        <v>ADMX/ADML deposu, sürüm ve yönetim kapsamı.</v>
      </c>
      <c r="G72" s="6" t="str">
        <v>2026-09-09</v>
      </c>
      <c r="H72" s="6" t="str"/>
    </row>
    <row r="73" ht="40" customHeight="1">
      <c r="A73" s="6" t="str">
        <v>SSH-MAN</v>
      </c>
      <c r="B73" s="6" t="str">
        <v>sshd_config manual</v>
      </c>
      <c r="C73" s="6" t="str">
        <v>OpenBSD</v>
      </c>
      <c r="D73" s="6" t="str">
        <v>09.09.2026 tarihinde erişilen belge</v>
      </c>
      <c r="E73" s="6" t="str">
        <v>https://man.openbsd.org/sshd_config</v>
      </c>
      <c r="F73" s="6" t="str">
        <v>ClientAlive canlılık kontrolü kullanıcı boşta süresi değildir; forwarding kapatmak shell erişimi olan kullanıcıya karşı tek başına tam ağ sınırı değildir.</v>
      </c>
      <c r="G73" s="6" t="str">
        <v>2026-09-09</v>
      </c>
      <c r="H73" s="6" t="str"/>
    </row>
    <row r="74" ht="40" customHeight="1">
      <c r="A74" s="6" t="str">
        <v>SET-A</v>
      </c>
      <c r="B74" s="6" t="str">
        <v>Önceki 319 soruluk set</v>
      </c>
      <c r="C74" s="6" t="str">
        <v>Karşılaştırılan çalışma dosyası</v>
      </c>
      <c r="D74" s="6" t="str">
        <v>Birleştirme girdisi</v>
      </c>
      <c r="E74" s="6" t="str">
        <v>C:\Users\whoai\Downloads\MSP Denetim\outputs\01a08028\MSP_Ic_Denetim_Soru_Seti.xlsx</v>
      </c>
      <c r="F74" s="6" t="str">
        <v>Normatif kaynak değildir; yalnız soru ve iş akışı kökeni. Kaynak dosya değiştirilmedi.</v>
      </c>
      <c r="G74" s="6" t="str">
        <v>2026-09-09</v>
      </c>
      <c r="H74" s="6" t="str">
        <v>4d1eeefb4b531e5c1d4e246341021a21847b9eb171f687d77b67f7d5c0e2059f</v>
      </c>
    </row>
    <row r="75" ht="40" customHeight="1">
      <c r="A75" s="6" t="str">
        <v>SET-V6</v>
      </c>
      <c r="B75" s="6" t="str">
        <v>Kullanıcının 408 soruluk v6 seti</v>
      </c>
      <c r="C75" s="6" t="str">
        <v>Karşılaştırılan çalışma dosyası</v>
      </c>
      <c r="D75" s="6" t="str">
        <v>Birleştirme girdisi</v>
      </c>
      <c r="E75" s="6" t="str">
        <v>C:\Users\whoai\Downloads\MSP_Denetimi_Kontrol_Seti_v6.xlsx</v>
      </c>
      <c r="F75" s="6" t="str">
        <v>Normatif kaynak değildir; yalnız soru ve iş akışı kökeni. Kaynak dosya değiştirilmedi.</v>
      </c>
      <c r="G75" s="6" t="str">
        <v>2026-09-09</v>
      </c>
      <c r="H75" s="6" t="str">
        <v>f8619a5eda2cb8dd1a2cc24af6ea4d72a797bb257e927d23417f242b8b0c31f9</v>
      </c>
    </row>
    <row r="76" ht="35" customHeight="1">
      <c r="A76" s="6" t="str">
        <v>VEEAM-SOBR</v>
      </c>
      <c r="B76" s="6" t="str">
        <v>Scale-Out Backup Repositories</v>
      </c>
      <c r="C76" s="6" t="str">
        <v>Veeam</v>
      </c>
      <c r="D76" s="6" t="str">
        <v>09.09.2026 erişilen kaynak</v>
      </c>
      <c r="E76" s="6" t="str">
        <v>https://helpcenter.veeam.com/docs/vbr/userguide/backup_repository_sobr.html</v>
      </c>
      <c r="F76" s="6" t="str">
        <v>SOBR kavramı ve çok katmanlı depo yapısı.</v>
      </c>
      <c r="G76" s="6" t="str">
        <v>2026-09-09</v>
      </c>
      <c r="H76" s="6" t="str"/>
    </row>
    <row r="77" ht="40" customHeight="1">
      <c r="A77" s="6" t="str">
        <v>FGT-RPF</v>
      </c>
      <c r="B77" s="6" t="str">
        <v>Routing concepts</v>
      </c>
      <c r="C77" s="6" t="str">
        <v>Fortinet</v>
      </c>
      <c r="D77" s="6" t="str">
        <v>09.09.2026 erişilen kaynak</v>
      </c>
      <c r="E77" s="6" t="str">
        <v>https://docs.fortinet.com/document/fortigate/7.4.7/administration-guide/139692/routing-concepts</v>
      </c>
      <c r="F77" s="6" t="str">
        <v>RPF terimi ve dönüş yolu kontrolü; kurulu sürüm ayarı ayrıca doğrulanır.</v>
      </c>
      <c r="G77" s="6" t="str">
        <v>2026-09-09</v>
      </c>
      <c r="H77" s="6" t="str"/>
    </row>
    <row r="78" ht="35" customHeight="1">
      <c r="A78" s="6" t="str">
        <v>CVE-DEF</v>
      </c>
      <c r="B78" s="6" t="str">
        <v>CVE Program FAQs</v>
      </c>
      <c r="C78" s="6" t="str">
        <v>CVE Program</v>
      </c>
      <c r="D78" s="6" t="str">
        <v>09.09.2026 erişilen kaynak</v>
      </c>
      <c r="E78" s="6" t="str">
        <v>https://www.cve.org/ResourcesSupport/FAQs</v>
      </c>
      <c r="F78" s="6" t="str">
        <v>Yayımlanmış zafiyetleri tanımlama ve ortak CVE kimliği.</v>
      </c>
      <c r="G78" s="6" t="str">
        <v>2026-09-09</v>
      </c>
      <c r="H78" s="6" t="str"/>
    </row>
    <row r="79" ht="35" customHeight="1">
      <c r="A79" s="6" t="str">
        <v>CVE-RES</v>
      </c>
      <c r="B79" s="6" t="str">
        <v>CVE Resources</v>
      </c>
      <c r="C79" s="6" t="str">
        <v>CVE Program</v>
      </c>
      <c r="D79" s="6" t="str">
        <v>09.09.2026 erişilen kaynak</v>
      </c>
      <c r="E79" s="6" t="str">
        <v>https://www.cve.org/ResourcesSupport/Resources</v>
      </c>
      <c r="F79" s="6" t="str">
        <v>PSIRT terimi ve ürün güvenlik bildirimleri.</v>
      </c>
      <c r="G79" s="6" t="str">
        <v>2026-09-09</v>
      </c>
      <c r="H79" s="6" t="str"/>
    </row>
  </sheetData>
  <hyperlinks>
    <hyperlink ref="E6" r:id="rIdLink1"/>
    <hyperlink ref="E7" r:id="rIdLink2"/>
    <hyperlink ref="E8" r:id="rIdLink3"/>
    <hyperlink ref="E9" r:id="rIdLink4"/>
    <hyperlink ref="E10" r:id="rIdLink5"/>
    <hyperlink ref="E11" r:id="rIdLink6"/>
    <hyperlink ref="E12" r:id="rIdLink7"/>
    <hyperlink ref="E13" r:id="rIdLink8"/>
    <hyperlink ref="E14" r:id="rIdLink9"/>
    <hyperlink ref="E15" r:id="rIdLink10"/>
    <hyperlink ref="E16" r:id="rIdLink11"/>
    <hyperlink ref="E17" r:id="rIdLink12"/>
    <hyperlink ref="E18" r:id="rIdLink13"/>
    <hyperlink ref="E19" r:id="rIdLink14"/>
    <hyperlink ref="E20" r:id="rIdLink15"/>
    <hyperlink ref="E21" r:id="rIdLink16"/>
    <hyperlink ref="E22" r:id="rIdLink17"/>
    <hyperlink ref="E23" r:id="rIdLink18"/>
    <hyperlink ref="E24" r:id="rIdLink19"/>
    <hyperlink ref="E25" r:id="rIdLink20"/>
    <hyperlink ref="E26" r:id="rIdLink21"/>
    <hyperlink ref="E27" r:id="rIdLink22"/>
    <hyperlink ref="E28" r:id="rIdLink23"/>
    <hyperlink ref="E29" r:id="rIdLink24"/>
    <hyperlink ref="E30" r:id="rIdLink25"/>
    <hyperlink ref="E31" r:id="rIdLink26"/>
    <hyperlink ref="E32" r:id="rIdLink27"/>
    <hyperlink ref="E33" r:id="rIdLink28"/>
    <hyperlink ref="E34" r:id="rIdLink29"/>
    <hyperlink ref="E35" r:id="rIdLink30"/>
    <hyperlink ref="E36" r:id="rIdLink31"/>
    <hyperlink ref="E37" r:id="rIdLink32"/>
    <hyperlink ref="E38" r:id="rIdLink33"/>
    <hyperlink ref="E39" r:id="rIdLink34"/>
    <hyperlink ref="E40" r:id="rIdLink35"/>
    <hyperlink ref="E41" r:id="rIdLink36"/>
    <hyperlink ref="E42" r:id="rIdLink37"/>
    <hyperlink ref="E43" r:id="rIdLink38"/>
    <hyperlink ref="E44" r:id="rIdLink39"/>
    <hyperlink ref="E45" r:id="rIdLink40"/>
    <hyperlink ref="E46" r:id="rIdLink41"/>
    <hyperlink ref="E47" r:id="rIdLink42"/>
    <hyperlink ref="E48" r:id="rIdLink43"/>
    <hyperlink ref="E49" r:id="rIdLink44"/>
    <hyperlink ref="E50" r:id="rIdLink45"/>
    <hyperlink ref="E51" r:id="rIdLink46"/>
    <hyperlink ref="E52" r:id="rIdLink47"/>
    <hyperlink ref="E53" r:id="rIdLink48"/>
    <hyperlink ref="E54" r:id="rIdLink49"/>
    <hyperlink ref="E55" r:id="rIdLink50"/>
    <hyperlink ref="E56" r:id="rIdLink51"/>
    <hyperlink ref="E57" r:id="rIdLink52"/>
    <hyperlink ref="E58" r:id="rIdLink53"/>
    <hyperlink ref="E59" r:id="rIdLink54"/>
    <hyperlink ref="E60" r:id="rIdLink55"/>
    <hyperlink ref="E61" r:id="rIdLink56"/>
    <hyperlink ref="E62" r:id="rIdLink57"/>
    <hyperlink ref="E63" r:id="rIdLink58"/>
    <hyperlink ref="E64" r:id="rIdLink59"/>
    <hyperlink ref="E65" r:id="rIdLink60"/>
    <hyperlink ref="E66" r:id="rIdLink61"/>
    <hyperlink ref="E67" r:id="rIdLink62"/>
    <hyperlink ref="E68" r:id="rIdLink63"/>
    <hyperlink ref="E69" r:id="rIdLink64"/>
    <hyperlink ref="E70" r:id="rIdLink65"/>
    <hyperlink ref="E71" r:id="rIdLink66"/>
    <hyperlink ref="E72" r:id="rIdLink67"/>
    <hyperlink ref="E73" r:id="rIdLink68"/>
    <hyperlink ref="E74" r:id="rIdLink69"/>
    <hyperlink ref="E75" r:id="rIdLink70"/>
    <hyperlink ref="E76" r:id="rIdLink71"/>
    <hyperlink ref="E77" r:id="rIdLink72"/>
    <hyperlink ref="E78" r:id="rIdLink73"/>
    <hyperlink ref="E79" r:id="rIdLink74"/>
  </hyperlinks>
  <pageMargins left="0.7" right="0.7" top="0.75" bottom="0.75" header="0.3" footer="0.3"/>
  <tableParts count="1">
    <tablePart r:id="R803cae2ee33c4755"/>
  </tableParts>
</worksheet>
</file>

<file path=xl/worksheets/sheet32.xml><?xml version="1.0" encoding="utf-8"?>
<worksheet xmlns="http://schemas.openxmlformats.org/spreadsheetml/2006/main" xmlns:r="http://schemas.openxmlformats.org/officeDocument/2006/relationships">
  <sheetViews>
    <sheetView showGridLines="0" workbookViewId="0">
      <pane ySplit="5" topLeftCell="A6" activePane="bottomLeft" state="frozen"/>
    </sheetView>
  </sheetViews>
  <sheetFormatPr defaultRowHeight="15"/>
  <cols>
    <col min="1" max="1" width="19" hidden="0" customWidth="1"/>
    <col min="2" max="2" width="39" hidden="0" customWidth="1"/>
    <col min="3" max="3" width="22" hidden="0" customWidth="1"/>
    <col min="4" max="4" width="68" hidden="0" customWidth="1"/>
  </cols>
  <sheetData>
    <row r="1">
      <c r="A1" s="1"/>
      <c r="B1" s="1"/>
      <c r="C1" s="1"/>
      <c r="D1" s="1"/>
    </row>
    <row r="2" ht="29" customHeight="1">
      <c r="A2" s="2" t="str">
        <v>Kontrol Dizini</v>
      </c>
      <c r="B2" s="2"/>
      <c r="C2" s="2"/>
      <c r="D2" s="2"/>
    </row>
    <row r="3" ht="8" customHeight="1">
      <c r="A3" s="3"/>
      <c r="B3" s="3"/>
      <c r="C3" s="3"/>
      <c r="D3" s="3"/>
    </row>
    <row r="4" ht="24" customHeight="1">
      <c r="A4" s="4" t="str">
        <v>Filtrelenebilir tekil kontrol listesi; kayıt sayısı test veya uygunluk sayısı değildir.</v>
      </c>
      <c r="B4" s="4"/>
      <c r="C4" s="4"/>
      <c r="D4" s="4"/>
    </row>
    <row r="5" ht="36" customHeight="1">
      <c r="A5" s="10" t="str">
        <v>ID</v>
      </c>
      <c r="B5" s="10" t="str">
        <v>Ürün</v>
      </c>
      <c r="C5" s="10" t="str">
        <v>Kontrole git</v>
      </c>
      <c r="D5" s="10" t="str">
        <v>Kaynak türü</v>
      </c>
    </row>
    <row r="6" ht="35" customHeight="1">
      <c r="A6" s="6" t="str">
        <v>GNL-01-01</v>
      </c>
      <c r="B6" s="6" t="str">
        <v>MSP Genel</v>
      </c>
      <c r="C6" s="6" t="str">
        <v>Kontrolü aç</v>
      </c>
      <c r="D6" s="6" t="str">
        <v>Kaynağın kontrol amacına dayalı denetçi test tasarımı</v>
      </c>
    </row>
    <row r="7" ht="35" customHeight="1">
      <c r="A7" s="6" t="str">
        <v>GNL-01-02</v>
      </c>
      <c r="B7" s="6" t="str">
        <v>MSP Genel</v>
      </c>
      <c r="C7" s="6" t="str">
        <v>Kontrolü aç</v>
      </c>
      <c r="D7" s="6" t="str">
        <v>Kaynağın kontrol amacına dayalı denetçi test tasarımı</v>
      </c>
    </row>
    <row r="8" ht="35" customHeight="1">
      <c r="A8" s="6" t="str">
        <v>GNL-01-03</v>
      </c>
      <c r="B8" s="6" t="str">
        <v>MSP Genel</v>
      </c>
      <c r="C8" s="6" t="str">
        <v>Kontrolü aç</v>
      </c>
      <c r="D8" s="6" t="str">
        <v>Kaynağın kontrol amacına dayalı denetçi test tasarımı</v>
      </c>
    </row>
    <row r="9" ht="35" customHeight="1">
      <c r="A9" s="6" t="str">
        <v>GNL-01-04</v>
      </c>
      <c r="B9" s="6" t="str">
        <v>MSP Genel</v>
      </c>
      <c r="C9" s="6" t="str">
        <v>Kontrolü aç</v>
      </c>
      <c r="D9" s="6" t="str">
        <v>Kaynağın kontrol amacına dayalı denetçi test tasarımı</v>
      </c>
    </row>
    <row r="10" ht="35" customHeight="1">
      <c r="A10" s="6" t="str">
        <v>GNL-01-05</v>
      </c>
      <c r="B10" s="6" t="str">
        <v>MSP Genel</v>
      </c>
      <c r="C10" s="6" t="str">
        <v>Kontrolü aç</v>
      </c>
      <c r="D10" s="6" t="str">
        <v>Kaynağın kontrol amacına dayalı denetçi test tasarımı</v>
      </c>
    </row>
    <row r="11" ht="35" customHeight="1">
      <c r="A11" s="6" t="str">
        <v>GNL-01-06</v>
      </c>
      <c r="B11" s="6" t="str">
        <v>MSP Genel</v>
      </c>
      <c r="C11" s="6" t="str">
        <v>Kontrolü aç</v>
      </c>
      <c r="D11" s="6" t="str">
        <v>Kaynağın kontrol amacına dayalı denetçi test tasarımı</v>
      </c>
    </row>
    <row r="12" ht="35" customHeight="1">
      <c r="A12" s="6" t="str">
        <v>GNL-02-01</v>
      </c>
      <c r="B12" s="6" t="str">
        <v>MSP Genel</v>
      </c>
      <c r="C12" s="6" t="str">
        <v>Kontrolü aç</v>
      </c>
      <c r="D12" s="6" t="str">
        <v>Kaynağın kontrol amacına dayalı denetçi test tasarımı</v>
      </c>
    </row>
    <row r="13" ht="35" customHeight="1">
      <c r="A13" s="6" t="str">
        <v>GNL-02-02</v>
      </c>
      <c r="B13" s="6" t="str">
        <v>MSP Genel</v>
      </c>
      <c r="C13" s="6" t="str">
        <v>Kontrolü aç</v>
      </c>
      <c r="D13" s="6" t="str">
        <v>Kaynağın kontrol amacına dayalı denetçi test tasarımı</v>
      </c>
    </row>
    <row r="14" ht="35" customHeight="1">
      <c r="A14" s="6" t="str">
        <v>GNL-02-03</v>
      </c>
      <c r="B14" s="6" t="str">
        <v>MSP Genel</v>
      </c>
      <c r="C14" s="6" t="str">
        <v>Kontrolü aç</v>
      </c>
      <c r="D14" s="6" t="str">
        <v>Kaynağın kontrol amacına dayalı denetçi test tasarımı</v>
      </c>
    </row>
    <row r="15" ht="35" customHeight="1">
      <c r="A15" s="6" t="str">
        <v>GNL-02-04</v>
      </c>
      <c r="B15" s="6" t="str">
        <v>MSP Genel</v>
      </c>
      <c r="C15" s="6" t="str">
        <v>Kontrolü aç</v>
      </c>
      <c r="D15" s="6" t="str">
        <v>Kaynağın kontrol amacına dayalı denetçi test tasarımı</v>
      </c>
    </row>
    <row r="16" ht="35" customHeight="1">
      <c r="A16" s="6" t="str">
        <v>GNL-03-01</v>
      </c>
      <c r="B16" s="6" t="str">
        <v>MSP Genel</v>
      </c>
      <c r="C16" s="6" t="str">
        <v>Kontrolü aç</v>
      </c>
      <c r="D16" s="6" t="str">
        <v>Kaynağın kontrol amacına dayalı denetçi test tasarımı</v>
      </c>
    </row>
    <row r="17" ht="35" customHeight="1">
      <c r="A17" s="6" t="str">
        <v>GNL-03-02</v>
      </c>
      <c r="B17" s="6" t="str">
        <v>MSP Genel</v>
      </c>
      <c r="C17" s="6" t="str">
        <v>Kontrolü aç</v>
      </c>
      <c r="D17" s="6" t="str">
        <v>Kaynağın kontrol amacına dayalı denetçi test tasarımı</v>
      </c>
    </row>
    <row r="18" ht="35" customHeight="1">
      <c r="A18" s="6" t="str">
        <v>GNL-03-04</v>
      </c>
      <c r="B18" s="6" t="str">
        <v>MSP Genel</v>
      </c>
      <c r="C18" s="6" t="str">
        <v>Kontrolü aç</v>
      </c>
      <c r="D18" s="6" t="str">
        <v>Kaynağın kontrol amacına dayalı denetçi test tasarımı</v>
      </c>
    </row>
    <row r="19" ht="35" customHeight="1">
      <c r="A19" s="6" t="str">
        <v>GNL-04-01</v>
      </c>
      <c r="B19" s="6" t="str">
        <v>MSP Genel</v>
      </c>
      <c r="C19" s="6" t="str">
        <v>Kontrolü aç</v>
      </c>
      <c r="D19" s="6" t="str">
        <v>Kaynağın kontrol amacına dayalı denetçi test tasarımı</v>
      </c>
    </row>
    <row r="20" ht="35" customHeight="1">
      <c r="A20" s="6" t="str">
        <v>GNL-04-02</v>
      </c>
      <c r="B20" s="6" t="str">
        <v>MSP Genel</v>
      </c>
      <c r="C20" s="6" t="str">
        <v>Kontrolü aç</v>
      </c>
      <c r="D20" s="6" t="str">
        <v>Kaynağın kontrol amacına dayalı denetçi test tasarımı</v>
      </c>
    </row>
    <row r="21" ht="35" customHeight="1">
      <c r="A21" s="6" t="str">
        <v>GNL-04-03</v>
      </c>
      <c r="B21" s="6" t="str">
        <v>MSP Genel</v>
      </c>
      <c r="C21" s="6" t="str">
        <v>Kontrolü aç</v>
      </c>
      <c r="D21" s="6" t="str">
        <v>Kaynağın kontrol amacına dayalı denetçi test tasarımı</v>
      </c>
    </row>
    <row r="22" ht="35" customHeight="1">
      <c r="A22" s="6" t="str">
        <v>GNL-04-04</v>
      </c>
      <c r="B22" s="6" t="str">
        <v>MSP Genel</v>
      </c>
      <c r="C22" s="6" t="str">
        <v>Kontrolü aç</v>
      </c>
      <c r="D22" s="6" t="str">
        <v>Kaynağın kontrol amacına dayalı denetçi test tasarımı</v>
      </c>
    </row>
    <row r="23" ht="35" customHeight="1">
      <c r="A23" s="6" t="str">
        <v>GNL-04-05</v>
      </c>
      <c r="B23" s="6" t="str">
        <v>MSP Genel</v>
      </c>
      <c r="C23" s="6" t="str">
        <v>Kontrolü aç</v>
      </c>
      <c r="D23" s="6" t="str">
        <v>Kaynağın kontrol amacına dayalı denetçi test tasarımı</v>
      </c>
    </row>
    <row r="24" ht="35" customHeight="1">
      <c r="A24" s="6" t="str">
        <v>GNL-05-01</v>
      </c>
      <c r="B24" s="6" t="str">
        <v>MSP Genel</v>
      </c>
      <c r="C24" s="6" t="str">
        <v>Kontrolü aç</v>
      </c>
      <c r="D24" s="6" t="str">
        <v>Kaynağın kontrol amacına dayalı denetçi test tasarımı</v>
      </c>
    </row>
    <row r="25" ht="35" customHeight="1">
      <c r="A25" s="6" t="str">
        <v>GNL-05-02</v>
      </c>
      <c r="B25" s="6" t="str">
        <v>MSP Genel</v>
      </c>
      <c r="C25" s="6" t="str">
        <v>Kontrolü aç</v>
      </c>
      <c r="D25" s="6" t="str">
        <v>Kaynağın kontrol amacına dayalı denetçi test tasarımı</v>
      </c>
    </row>
    <row r="26" ht="35" customHeight="1">
      <c r="A26" s="6" t="str">
        <v>GNL-05-03</v>
      </c>
      <c r="B26" s="6" t="str">
        <v>MSP Genel</v>
      </c>
      <c r="C26" s="6" t="str">
        <v>Kontrolü aç</v>
      </c>
      <c r="D26" s="6" t="str">
        <v>Kaynağın kontrol amacına dayalı denetçi test tasarımı</v>
      </c>
    </row>
    <row r="27" ht="35" customHeight="1">
      <c r="A27" s="6" t="str">
        <v>GNL-05-04</v>
      </c>
      <c r="B27" s="6" t="str">
        <v>MSP Genel</v>
      </c>
      <c r="C27" s="6" t="str">
        <v>Kontrolü aç</v>
      </c>
      <c r="D27" s="6" t="str">
        <v>Kaynağın kontrol amacına dayalı denetçi test tasarımı</v>
      </c>
    </row>
    <row r="28" ht="35" customHeight="1">
      <c r="A28" s="6" t="str">
        <v>GNL-06-01</v>
      </c>
      <c r="B28" s="6" t="str">
        <v>MSP Genel</v>
      </c>
      <c r="C28" s="6" t="str">
        <v>Kontrolü aç</v>
      </c>
      <c r="D28" s="6" t="str">
        <v>Kaynağın kontrol amacına dayalı denetçi test tasarımı</v>
      </c>
    </row>
    <row r="29" ht="35" customHeight="1">
      <c r="A29" s="6" t="str">
        <v>GNL-06-02</v>
      </c>
      <c r="B29" s="6" t="str">
        <v>MSP Genel</v>
      </c>
      <c r="C29" s="6" t="str">
        <v>Kontrolü aç</v>
      </c>
      <c r="D29" s="6" t="str">
        <v>Kaynağın kontrol amacına dayalı denetçi test tasarımı</v>
      </c>
    </row>
    <row r="30" ht="35" customHeight="1">
      <c r="A30" s="6" t="str">
        <v>GNL-06-03</v>
      </c>
      <c r="B30" s="6" t="str">
        <v>MSP Genel</v>
      </c>
      <c r="C30" s="6" t="str">
        <v>Kontrolü aç</v>
      </c>
      <c r="D30" s="6" t="str">
        <v>Kaynağın kontrol amacına dayalı denetçi test tasarımı</v>
      </c>
    </row>
    <row r="31" ht="35" customHeight="1">
      <c r="A31" s="6" t="str">
        <v>GNL-07-01</v>
      </c>
      <c r="B31" s="6" t="str">
        <v>MSP Genel</v>
      </c>
      <c r="C31" s="6" t="str">
        <v>Kontrolü aç</v>
      </c>
      <c r="D31" s="6" t="str">
        <v>Kaynağın kontrol amacına dayalı denetçi test tasarımı</v>
      </c>
    </row>
    <row r="32" ht="35" customHeight="1">
      <c r="A32" s="6" t="str">
        <v>GNL-07-02</v>
      </c>
      <c r="B32" s="6" t="str">
        <v>MSP Genel</v>
      </c>
      <c r="C32" s="6" t="str">
        <v>Kontrolü aç</v>
      </c>
      <c r="D32" s="6" t="str">
        <v>Kaynağın kontrol amacına dayalı denetçi test tasarımı</v>
      </c>
    </row>
    <row r="33" ht="35" customHeight="1">
      <c r="A33" s="6" t="str">
        <v>GNL-07-03</v>
      </c>
      <c r="B33" s="6" t="str">
        <v>MSP Genel</v>
      </c>
      <c r="C33" s="6" t="str">
        <v>Kontrolü aç</v>
      </c>
      <c r="D33" s="6" t="str">
        <v>Kaynağın kontrol amacına dayalı denetçi test tasarımı</v>
      </c>
    </row>
    <row r="34" ht="35" customHeight="1">
      <c r="A34" s="6" t="str">
        <v>GNL-08-01</v>
      </c>
      <c r="B34" s="6" t="str">
        <v>MSP Genel</v>
      </c>
      <c r="C34" s="6" t="str">
        <v>Kontrolü aç</v>
      </c>
      <c r="D34" s="6" t="str">
        <v>Kaynağın kontrol amacına dayalı denetçi test tasarımı</v>
      </c>
    </row>
    <row r="35" ht="35" customHeight="1">
      <c r="A35" s="6" t="str">
        <v>GNL-08-02</v>
      </c>
      <c r="B35" s="6" t="str">
        <v>MSP Genel</v>
      </c>
      <c r="C35" s="6" t="str">
        <v>Kontrolü aç</v>
      </c>
      <c r="D35" s="6" t="str">
        <v>Kaynağın kontrol amacına dayalı denetçi test tasarımı</v>
      </c>
    </row>
    <row r="36" ht="35" customHeight="1">
      <c r="A36" s="6" t="str">
        <v>GNL-08-03</v>
      </c>
      <c r="B36" s="6" t="str">
        <v>MSP Genel</v>
      </c>
      <c r="C36" s="6" t="str">
        <v>Kontrolü aç</v>
      </c>
      <c r="D36" s="6" t="str">
        <v>Kaynağın kontrol amacına dayalı denetçi test tasarımı</v>
      </c>
    </row>
    <row r="37" ht="35" customHeight="1">
      <c r="A37" s="6" t="str">
        <v>GNL-08-04</v>
      </c>
      <c r="B37" s="6" t="str">
        <v>MSP Genel</v>
      </c>
      <c r="C37" s="6" t="str">
        <v>Kontrolü aç</v>
      </c>
      <c r="D37" s="6" t="str">
        <v>Kaynağın kontrol amacına dayalı denetçi test tasarımı</v>
      </c>
    </row>
    <row r="38" ht="35" customHeight="1">
      <c r="A38" s="6" t="str">
        <v>GNL-09-01</v>
      </c>
      <c r="B38" s="6" t="str">
        <v>MSP Genel</v>
      </c>
      <c r="C38" s="6" t="str">
        <v>Kontrolü aç</v>
      </c>
      <c r="D38" s="6" t="str">
        <v>Kaynağın kontrol amacına dayalı denetçi test tasarımı</v>
      </c>
    </row>
    <row r="39" ht="35" customHeight="1">
      <c r="A39" s="6" t="str">
        <v>GNL-09-02</v>
      </c>
      <c r="B39" s="6" t="str">
        <v>MSP Genel</v>
      </c>
      <c r="C39" s="6" t="str">
        <v>Kontrolü aç</v>
      </c>
      <c r="D39" s="6" t="str">
        <v>Kaynağın kontrol amacına dayalı denetçi test tasarımı</v>
      </c>
    </row>
    <row r="40" ht="35" customHeight="1">
      <c r="A40" s="6" t="str">
        <v>GNL-09-03</v>
      </c>
      <c r="B40" s="6" t="str">
        <v>MSP Genel</v>
      </c>
      <c r="C40" s="6" t="str">
        <v>Kontrolü aç</v>
      </c>
      <c r="D40" s="6" t="str">
        <v>Kaynağın kontrol amacına dayalı denetçi test tasarımı</v>
      </c>
    </row>
    <row r="41" ht="35" customHeight="1">
      <c r="A41" s="6" t="str">
        <v>GNL-09-04</v>
      </c>
      <c r="B41" s="6" t="str">
        <v>MSP Genel</v>
      </c>
      <c r="C41" s="6" t="str">
        <v>Kontrolü aç</v>
      </c>
      <c r="D41" s="6" t="str">
        <v>Kaynağın kontrol amacına dayalı denetçi test tasarımı</v>
      </c>
    </row>
    <row r="42" ht="35" customHeight="1">
      <c r="A42" s="6" t="str">
        <v>GNL-09-05</v>
      </c>
      <c r="B42" s="6" t="str">
        <v>MSP Genel</v>
      </c>
      <c r="C42" s="6" t="str">
        <v>Kontrolü aç</v>
      </c>
      <c r="D42" s="6" t="str">
        <v>Kaynağın kontrol amacına dayalı denetçi test tasarımı</v>
      </c>
    </row>
    <row r="43" ht="35" customHeight="1">
      <c r="A43" s="6" t="str">
        <v>GNL-10-01</v>
      </c>
      <c r="B43" s="6" t="str">
        <v>MSP Genel</v>
      </c>
      <c r="C43" s="6" t="str">
        <v>Kontrolü aç</v>
      </c>
      <c r="D43" s="6" t="str">
        <v>Kaynağın kontrol amacına dayalı denetçi test tasarımı</v>
      </c>
    </row>
    <row r="44" ht="35" customHeight="1">
      <c r="A44" s="6" t="str">
        <v>GNL-11-01</v>
      </c>
      <c r="B44" s="6" t="str">
        <v>MSP Genel</v>
      </c>
      <c r="C44" s="6" t="str">
        <v>Kontrolü aç</v>
      </c>
      <c r="D44" s="6" t="str">
        <v>Kaynağın kontrol amacına dayalı denetçi test tasarımı</v>
      </c>
    </row>
    <row r="45" ht="35" customHeight="1">
      <c r="A45" s="6" t="str">
        <v>GNL-11-02</v>
      </c>
      <c r="B45" s="6" t="str">
        <v>MSP Genel</v>
      </c>
      <c r="C45" s="6" t="str">
        <v>Kontrolü aç</v>
      </c>
      <c r="D45" s="6" t="str">
        <v>Kaynağın kontrol amacına dayalı denetçi test tasarımı</v>
      </c>
    </row>
    <row r="46" ht="35" customHeight="1">
      <c r="A46" s="6" t="str">
        <v>GNL-11-03</v>
      </c>
      <c r="B46" s="6" t="str">
        <v>MSP Genel</v>
      </c>
      <c r="C46" s="6" t="str">
        <v>Kontrolü aç</v>
      </c>
      <c r="D46" s="6" t="str">
        <v>Kaynağın kontrol amacına dayalı denetçi test tasarımı</v>
      </c>
    </row>
    <row r="47" ht="35" customHeight="1">
      <c r="A47" s="6" t="str">
        <v>GNL-12-01</v>
      </c>
      <c r="B47" s="6" t="str">
        <v>MSP Genel</v>
      </c>
      <c r="C47" s="6" t="str">
        <v>Kontrolü aç</v>
      </c>
      <c r="D47" s="6" t="str">
        <v>Kaynağın kontrol amacına dayalı denetçi test tasarımı</v>
      </c>
    </row>
    <row r="48" ht="35" customHeight="1">
      <c r="A48" s="6" t="str">
        <v>GNL-13-01</v>
      </c>
      <c r="B48" s="6" t="str">
        <v>MSP Genel</v>
      </c>
      <c r="C48" s="6" t="str">
        <v>Kontrolü aç</v>
      </c>
      <c r="D48" s="6" t="str">
        <v>Kaynağın kontrol amacına dayalı denetçi test tasarımı</v>
      </c>
    </row>
    <row r="49" ht="35" customHeight="1">
      <c r="A49" s="6" t="str">
        <v>GNL-13-02</v>
      </c>
      <c r="B49" s="6" t="str">
        <v>MSP Genel</v>
      </c>
      <c r="C49" s="6" t="str">
        <v>Kontrolü aç</v>
      </c>
      <c r="D49" s="6" t="str">
        <v>Kaynağın kontrol amacına dayalı denetçi test tasarımı</v>
      </c>
    </row>
    <row r="50" ht="35" customHeight="1">
      <c r="A50" s="6" t="str">
        <v>GNL-13-03</v>
      </c>
      <c r="B50" s="6" t="str">
        <v>MSP Genel</v>
      </c>
      <c r="C50" s="6" t="str">
        <v>Kontrolü aç</v>
      </c>
      <c r="D50" s="6" t="str">
        <v>Kaynağın kontrol amacına dayalı denetçi test tasarımı</v>
      </c>
    </row>
    <row r="51" ht="35" customHeight="1">
      <c r="A51" s="6" t="str">
        <v>GNL-14-01</v>
      </c>
      <c r="B51" s="6" t="str">
        <v>MSP Genel</v>
      </c>
      <c r="C51" s="6" t="str">
        <v>Kontrolü aç</v>
      </c>
      <c r="D51" s="6" t="str">
        <v>Kaynağın kontrol amacına dayalı denetçi test tasarımı</v>
      </c>
    </row>
    <row r="52" ht="35" customHeight="1">
      <c r="A52" s="6" t="str">
        <v>GNL-14-02</v>
      </c>
      <c r="B52" s="6" t="str">
        <v>MSP Genel</v>
      </c>
      <c r="C52" s="6" t="str">
        <v>Kontrolü aç</v>
      </c>
      <c r="D52" s="6" t="str">
        <v>Kaynağın kontrol amacına dayalı denetçi test tasarımı</v>
      </c>
    </row>
    <row r="53" ht="35" customHeight="1">
      <c r="A53" s="6" t="str">
        <v>GNL-15-01</v>
      </c>
      <c r="B53" s="6" t="str">
        <v>MSP Genel</v>
      </c>
      <c r="C53" s="6" t="str">
        <v>Kontrolü aç</v>
      </c>
      <c r="D53" s="6" t="str">
        <v>Kaynağın kontrol amacına dayalı denetçi test tasarımı</v>
      </c>
    </row>
    <row r="54" ht="35" customHeight="1">
      <c r="A54" s="6" t="str">
        <v>GNL-15-02</v>
      </c>
      <c r="B54" s="6" t="str">
        <v>MSP Genel</v>
      </c>
      <c r="C54" s="6" t="str">
        <v>Kontrolü aç</v>
      </c>
      <c r="D54" s="6" t="str">
        <v>Kaynağın kontrol amacına dayalı denetçi test tasarımı</v>
      </c>
    </row>
    <row r="55" ht="35" customHeight="1">
      <c r="A55" s="6" t="str">
        <v>GNL-15-03</v>
      </c>
      <c r="B55" s="6" t="str">
        <v>MSP Genel</v>
      </c>
      <c r="C55" s="6" t="str">
        <v>Kontrolü aç</v>
      </c>
      <c r="D55" s="6" t="str">
        <v>Kaynağın kontrol amacına dayalı denetçi test tasarımı</v>
      </c>
    </row>
    <row r="56" ht="35" customHeight="1">
      <c r="A56" s="6" t="str">
        <v>GNL-16-01</v>
      </c>
      <c r="B56" s="6" t="str">
        <v>MSP Genel</v>
      </c>
      <c r="C56" s="6" t="str">
        <v>Kontrolü aç</v>
      </c>
      <c r="D56" s="6" t="str">
        <v>Kaynağın kontrol amacına dayalı denetçi test tasarımı</v>
      </c>
    </row>
    <row r="57" ht="35" customHeight="1">
      <c r="A57" s="6" t="str">
        <v>GNL-16-02</v>
      </c>
      <c r="B57" s="6" t="str">
        <v>MSP Genel</v>
      </c>
      <c r="C57" s="6" t="str">
        <v>Kontrolü aç</v>
      </c>
      <c r="D57" s="6" t="str">
        <v>Kaynağın kontrol amacına dayalı denetçi test tasarımı</v>
      </c>
    </row>
    <row r="58" ht="35" customHeight="1">
      <c r="A58" s="6" t="str">
        <v>GNL-16-03</v>
      </c>
      <c r="B58" s="6" t="str">
        <v>MSP Genel</v>
      </c>
      <c r="C58" s="6" t="str">
        <v>Kontrolü aç</v>
      </c>
      <c r="D58" s="6" t="str">
        <v>Kaynağın kontrol amacına dayalı denetçi test tasarımı</v>
      </c>
    </row>
    <row r="59" ht="35" customHeight="1">
      <c r="A59" s="6" t="str">
        <v>GNL-17-01</v>
      </c>
      <c r="B59" s="6" t="str">
        <v>MSP Genel</v>
      </c>
      <c r="C59" s="6" t="str">
        <v>Kontrolü aç</v>
      </c>
      <c r="D59" s="6" t="str">
        <v>Kaynağın kontrol amacına dayalı denetçi test tasarımı</v>
      </c>
    </row>
    <row r="60" ht="35" customHeight="1">
      <c r="A60" s="6" t="str">
        <v>GNL-17-03</v>
      </c>
      <c r="B60" s="6" t="str">
        <v>MSP Genel</v>
      </c>
      <c r="C60" s="6" t="str">
        <v>Kontrolü aç</v>
      </c>
      <c r="D60" s="6" t="str">
        <v>Kaynağın kontrol amacına dayalı denetçi test tasarımı</v>
      </c>
    </row>
    <row r="61" ht="35" customHeight="1">
      <c r="A61" s="6" t="str">
        <v>GNL-18-01</v>
      </c>
      <c r="B61" s="6" t="str">
        <v>MSP Genel</v>
      </c>
      <c r="C61" s="6" t="str">
        <v>Kontrolü aç</v>
      </c>
      <c r="D61" s="6" t="str">
        <v>Kaynağın kontrol amacına dayalı denetçi test tasarımı</v>
      </c>
    </row>
    <row r="62" ht="35" customHeight="1">
      <c r="A62" s="6" t="str">
        <v>GNL-18-02</v>
      </c>
      <c r="B62" s="6" t="str">
        <v>MSP Genel</v>
      </c>
      <c r="C62" s="6" t="str">
        <v>Kontrolü aç</v>
      </c>
      <c r="D62" s="6" t="str">
        <v>Kaynağın kontrol amacına dayalı denetçi test tasarımı</v>
      </c>
    </row>
    <row r="63" ht="35" customHeight="1">
      <c r="A63" s="6" t="str">
        <v>GNL-19-01</v>
      </c>
      <c r="B63" s="6" t="str">
        <v>MSP Genel</v>
      </c>
      <c r="C63" s="6" t="str">
        <v>Kontrolü aç</v>
      </c>
      <c r="D63" s="6" t="str">
        <v>Kaynağın kontrol amacına dayalı denetçi test tasarımı</v>
      </c>
    </row>
    <row r="64" ht="35" customHeight="1">
      <c r="A64" s="6" t="str">
        <v>GNL-19-02</v>
      </c>
      <c r="B64" s="6" t="str">
        <v>MSP Genel</v>
      </c>
      <c r="C64" s="6" t="str">
        <v>Kontrolü aç</v>
      </c>
      <c r="D64" s="6" t="str">
        <v>Kaynağın kontrol amacına dayalı denetçi test tasarımı</v>
      </c>
    </row>
    <row r="65" ht="35" customHeight="1">
      <c r="A65" s="6" t="str">
        <v>GNL-19-03</v>
      </c>
      <c r="B65" s="6" t="str">
        <v>MSP Genel</v>
      </c>
      <c r="C65" s="6" t="str">
        <v>Kontrolü aç</v>
      </c>
      <c r="D65" s="6" t="str">
        <v>Kaynağın kontrol amacına dayalı denetçi test tasarımı</v>
      </c>
    </row>
    <row r="66" ht="35" customHeight="1">
      <c r="A66" s="6" t="str">
        <v>GNL-20-01</v>
      </c>
      <c r="B66" s="6" t="str">
        <v>MSP Genel</v>
      </c>
      <c r="C66" s="6" t="str">
        <v>Kontrolü aç</v>
      </c>
      <c r="D66" s="6" t="str">
        <v>Kaynağın kontrol amacına dayalı denetçi test tasarımı</v>
      </c>
    </row>
    <row r="67" ht="35" customHeight="1">
      <c r="A67" s="6" t="str">
        <v>GNL-20-04</v>
      </c>
      <c r="B67" s="6" t="str">
        <v>MSP Genel</v>
      </c>
      <c r="C67" s="6" t="str">
        <v>Kontrolü aç</v>
      </c>
      <c r="D67" s="6" t="str">
        <v>Kaynağın kontrol amacına dayalı denetçi test tasarımı</v>
      </c>
    </row>
    <row r="68" ht="35" customHeight="1">
      <c r="A68" s="6" t="str">
        <v>GNL-21-01</v>
      </c>
      <c r="B68" s="6" t="str">
        <v>MSP Genel</v>
      </c>
      <c r="C68" s="6" t="str">
        <v>Kontrolü aç</v>
      </c>
      <c r="D68" s="6" t="str">
        <v>Kaynağın kontrol amacına dayalı denetçi test tasarımı</v>
      </c>
    </row>
    <row r="69" ht="35" customHeight="1">
      <c r="A69" s="6" t="str">
        <v>GNL-21-03</v>
      </c>
      <c r="B69" s="6" t="str">
        <v>MSP Genel</v>
      </c>
      <c r="C69" s="6" t="str">
        <v>Kontrolü aç</v>
      </c>
      <c r="D69" s="6" t="str">
        <v>Kaynağın kontrol amacına dayalı denetçi test tasarımı</v>
      </c>
    </row>
    <row r="70" ht="35" customHeight="1">
      <c r="A70" s="6" t="str">
        <v>GNL-21-04</v>
      </c>
      <c r="B70" s="6" t="str">
        <v>MSP Genel</v>
      </c>
      <c r="C70" s="6" t="str">
        <v>Kontrolü aç</v>
      </c>
      <c r="D70" s="6" t="str">
        <v>Kaynağın kontrol amacına dayalı denetçi test tasarımı</v>
      </c>
    </row>
    <row r="71" ht="35" customHeight="1">
      <c r="A71" s="6" t="str">
        <v>GNL-21-05</v>
      </c>
      <c r="B71" s="6" t="str">
        <v>MSP Genel</v>
      </c>
      <c r="C71" s="6" t="str">
        <v>Kontrolü aç</v>
      </c>
      <c r="D71" s="6" t="str">
        <v>Kaynağın kontrol amacına dayalı denetçi test tasarımı</v>
      </c>
    </row>
    <row r="72" ht="35" customHeight="1">
      <c r="A72" s="6" t="str">
        <v>GNL-21-06</v>
      </c>
      <c r="B72" s="6" t="str">
        <v>MSP Genel</v>
      </c>
      <c r="C72" s="6" t="str">
        <v>Kontrolü aç</v>
      </c>
      <c r="D72" s="6" t="str">
        <v>Kaynağın kontrol amacına dayalı denetçi test tasarımı</v>
      </c>
    </row>
    <row r="73" ht="35" customHeight="1">
      <c r="A73" s="6" t="str">
        <v>GNL-21-07</v>
      </c>
      <c r="B73" s="6" t="str">
        <v>MSP Genel</v>
      </c>
      <c r="C73" s="6" t="str">
        <v>Kontrolü aç</v>
      </c>
      <c r="D73" s="6" t="str">
        <v>Kaynağın kontrol amacına dayalı denetçi test tasarımı</v>
      </c>
    </row>
    <row r="74" ht="35" customHeight="1">
      <c r="A74" s="6" t="str">
        <v>GNL-21-08</v>
      </c>
      <c r="B74" s="6" t="str">
        <v>MSP Genel</v>
      </c>
      <c r="C74" s="6" t="str">
        <v>Kontrolü aç</v>
      </c>
      <c r="D74" s="6" t="str">
        <v>Kaynağın kontrol amacına dayalı denetçi test tasarımı</v>
      </c>
    </row>
    <row r="75" ht="35" customHeight="1">
      <c r="A75" s="6" t="str">
        <v>GNL-22-01</v>
      </c>
      <c r="B75" s="6" t="str">
        <v>MSP Genel</v>
      </c>
      <c r="C75" s="6" t="str">
        <v>Kontrolü aç</v>
      </c>
      <c r="D75" s="6" t="str">
        <v>Kaynağın kontrol amacına dayalı denetçi test tasarımı</v>
      </c>
    </row>
    <row r="76" ht="35" customHeight="1">
      <c r="A76" s="6" t="str">
        <v>GNL-22-02</v>
      </c>
      <c r="B76" s="6" t="str">
        <v>MSP Genel</v>
      </c>
      <c r="C76" s="6" t="str">
        <v>Kontrolü aç</v>
      </c>
      <c r="D76" s="6" t="str">
        <v>Kaynağın kontrol amacına dayalı denetçi test tasarımı</v>
      </c>
    </row>
    <row r="77" ht="35" customHeight="1">
      <c r="A77" s="6" t="str">
        <v>GNL-22-05</v>
      </c>
      <c r="B77" s="6" t="str">
        <v>MSP Genel</v>
      </c>
      <c r="C77" s="6" t="str">
        <v>Kontrolü aç</v>
      </c>
      <c r="D77" s="6" t="str">
        <v>Kaynağın kontrol amacına dayalı denetçi test tasarımı</v>
      </c>
    </row>
    <row r="78" ht="35" customHeight="1">
      <c r="A78" s="6" t="str">
        <v>GNL-22-06</v>
      </c>
      <c r="B78" s="6" t="str">
        <v>MSP Genel</v>
      </c>
      <c r="C78" s="6" t="str">
        <v>Kontrolü aç</v>
      </c>
      <c r="D78" s="6" t="str">
        <v>Kaynağın kontrol amacına dayalı denetçi test tasarımı</v>
      </c>
    </row>
    <row r="79" ht="35" customHeight="1">
      <c r="A79" s="6" t="str">
        <v>GNL-22-07</v>
      </c>
      <c r="B79" s="6" t="str">
        <v>MSP Genel</v>
      </c>
      <c r="C79" s="6" t="str">
        <v>Kontrolü aç</v>
      </c>
      <c r="D79" s="6" t="str">
        <v>Kaynağın kontrol amacına dayalı denetçi test tasarımı</v>
      </c>
    </row>
    <row r="80" ht="35" customHeight="1">
      <c r="A80" s="6" t="str">
        <v>GNL-23-07</v>
      </c>
      <c r="B80" s="6" t="str">
        <v>MSP Genel</v>
      </c>
      <c r="C80" s="6" t="str">
        <v>Kontrolü aç</v>
      </c>
      <c r="D80" s="6" t="str">
        <v>Kaynağın kontrol amacına dayalı denetçi test tasarımı</v>
      </c>
    </row>
    <row r="81" ht="35" customHeight="1">
      <c r="A81" s="6" t="str">
        <v>GNL-24-01</v>
      </c>
      <c r="B81" s="6" t="str">
        <v>MSP Genel</v>
      </c>
      <c r="C81" s="6" t="str">
        <v>Kontrolü aç</v>
      </c>
      <c r="D81" s="6" t="str">
        <v>Kaynağın kontrol amacına dayalı denetçi test tasarımı</v>
      </c>
    </row>
    <row r="82" ht="35" customHeight="1">
      <c r="A82" s="6" t="str">
        <v>GNL-24-03</v>
      </c>
      <c r="B82" s="6" t="str">
        <v>MSP Genel</v>
      </c>
      <c r="C82" s="6" t="str">
        <v>Kontrolü aç</v>
      </c>
      <c r="D82" s="6" t="str">
        <v>Kaynağın kontrol amacına dayalı denetçi test tasarımı</v>
      </c>
    </row>
    <row r="83" ht="35" customHeight="1">
      <c r="A83" s="6" t="str">
        <v>GNL-24-06</v>
      </c>
      <c r="B83" s="6" t="str">
        <v>MSP Genel</v>
      </c>
      <c r="C83" s="6" t="str">
        <v>Kontrolü aç</v>
      </c>
      <c r="D83" s="6" t="str">
        <v>Kaynağın kontrol amacına dayalı denetçi test tasarımı</v>
      </c>
    </row>
    <row r="84" ht="35" customHeight="1">
      <c r="A84" s="6" t="str">
        <v>GNL-25-01</v>
      </c>
      <c r="B84" s="6" t="str">
        <v>MSP Genel</v>
      </c>
      <c r="C84" s="6" t="str">
        <v>Kontrolü aç</v>
      </c>
      <c r="D84" s="6" t="str">
        <v>Kaynağın kontrol amacına dayalı denetçi test tasarımı</v>
      </c>
    </row>
    <row r="85" ht="35" customHeight="1">
      <c r="A85" s="6" t="str">
        <v>GNL-25-05</v>
      </c>
      <c r="B85" s="6" t="str">
        <v>MSP Genel</v>
      </c>
      <c r="C85" s="6" t="str">
        <v>Kontrolü aç</v>
      </c>
      <c r="D85" s="6" t="str">
        <v>Kaynağın kontrol amacına dayalı denetçi test tasarımı</v>
      </c>
    </row>
    <row r="86" ht="35" customHeight="1">
      <c r="A86" s="6" t="str">
        <v>GNL-26-04</v>
      </c>
      <c r="B86" s="6" t="str">
        <v>MSP Genel</v>
      </c>
      <c r="C86" s="6" t="str">
        <v>Kontrolü aç</v>
      </c>
      <c r="D86" s="6" t="str">
        <v>Kaynağın kontrol amacına dayalı denetçi test tasarımı</v>
      </c>
    </row>
    <row r="87" ht="35" customHeight="1">
      <c r="A87" s="6" t="str">
        <v>GNL-26-05</v>
      </c>
      <c r="B87" s="6" t="str">
        <v>MSP Genel</v>
      </c>
      <c r="C87" s="6" t="str">
        <v>Kontrolü aç</v>
      </c>
      <c r="D87" s="6" t="str">
        <v>Kaynağın kontrol amacına dayalı denetçi test tasarımı</v>
      </c>
    </row>
    <row r="88" ht="35" customHeight="1">
      <c r="A88" s="6" t="str">
        <v>GNL-26-07</v>
      </c>
      <c r="B88" s="6" t="str">
        <v>MSP Genel</v>
      </c>
      <c r="C88" s="6" t="str">
        <v>Kontrolü aç</v>
      </c>
      <c r="D88" s="6" t="str">
        <v>Kaynağın kontrol amacına dayalı denetçi test tasarımı</v>
      </c>
    </row>
    <row r="89" ht="35" customHeight="1">
      <c r="A89" s="6" t="str">
        <v>MSP-003</v>
      </c>
      <c r="B89" s="6" t="str">
        <v>MSP Genel</v>
      </c>
      <c r="C89" s="6" t="str">
        <v>Kontrolü aç</v>
      </c>
      <c r="D89" s="6" t="str">
        <v>Kaynağın kontrol amacına dayalı denetçi test tasarımı</v>
      </c>
    </row>
    <row r="90" ht="35" customHeight="1">
      <c r="A90" s="6" t="str">
        <v>MSP-004</v>
      </c>
      <c r="B90" s="6" t="str">
        <v>MSP Genel</v>
      </c>
      <c r="C90" s="6" t="str">
        <v>Kontrolü aç</v>
      </c>
      <c r="D90" s="6" t="str">
        <v>Kaynağın kontrol amacına dayalı denetçi test tasarımı</v>
      </c>
    </row>
    <row r="91" ht="35" customHeight="1">
      <c r="A91" s="6" t="str">
        <v>MSP-005</v>
      </c>
      <c r="B91" s="6" t="str">
        <v>MSP Genel</v>
      </c>
      <c r="C91" s="6" t="str">
        <v>Kontrolü aç</v>
      </c>
      <c r="D91" s="6" t="str">
        <v>Kaynağın kontrol amacına dayalı denetçi test tasarımı</v>
      </c>
    </row>
    <row r="92" ht="35" customHeight="1">
      <c r="A92" s="6" t="str">
        <v>MSP-013</v>
      </c>
      <c r="B92" s="6" t="str">
        <v>MSP Genel</v>
      </c>
      <c r="C92" s="6" t="str">
        <v>Kontrolü aç</v>
      </c>
      <c r="D92" s="6" t="str">
        <v>Kaynağın kontrol amacına dayalı denetçi test tasarımı</v>
      </c>
    </row>
    <row r="93" ht="35" customHeight="1">
      <c r="A93" s="6" t="str">
        <v>VMW-V14-01</v>
      </c>
      <c r="B93" s="6" t="str">
        <v>MSP Genel</v>
      </c>
      <c r="C93" s="6" t="str">
        <v>Kontrolü aç</v>
      </c>
      <c r="D93" s="6" t="str">
        <v>Kaynağın kontrol amacına dayalı denetçi test tasarımı</v>
      </c>
    </row>
    <row r="94" ht="35" customHeight="1">
      <c r="A94" s="6" t="str">
        <v>VMW-V15-02</v>
      </c>
      <c r="B94" s="6" t="str">
        <v>MSP Genel</v>
      </c>
      <c r="C94" s="6" t="str">
        <v>Kontrolü aç</v>
      </c>
      <c r="D94" s="6" t="str">
        <v>Kaynağın kontrol amacına dayalı denetçi test tasarımı</v>
      </c>
    </row>
    <row r="95" ht="35" customHeight="1">
      <c r="A95" s="6" t="str">
        <v>ESX-001</v>
      </c>
      <c r="B95" s="6" t="str">
        <v>VMware ESXi</v>
      </c>
      <c r="C95" s="6" t="str">
        <v>Kontrolü aç</v>
      </c>
      <c r="D95" s="6" t="str">
        <v>Kaynakta verilen teknik ölçüt</v>
      </c>
    </row>
    <row r="96" ht="35" customHeight="1">
      <c r="A96" s="6" t="str">
        <v>ESX-002</v>
      </c>
      <c r="B96" s="6" t="str">
        <v>VMware ESXi</v>
      </c>
      <c r="C96" s="6" t="str">
        <v>Kontrolü aç</v>
      </c>
      <c r="D96" s="6" t="str">
        <v>Kaynakta verilen teknik ölçüt</v>
      </c>
    </row>
    <row r="97" ht="35" customHeight="1">
      <c r="A97" s="6" t="str">
        <v>ESX-003</v>
      </c>
      <c r="B97" s="6" t="str">
        <v>VMware ESXi</v>
      </c>
      <c r="C97" s="6" t="str">
        <v>Kontrolü aç</v>
      </c>
      <c r="D97" s="6" t="str">
        <v>Kaynakta verilen teknik ölçüt</v>
      </c>
    </row>
    <row r="98" ht="35" customHeight="1">
      <c r="A98" s="6" t="str">
        <v>ESX-004</v>
      </c>
      <c r="B98" s="6" t="str">
        <v>VMware ESXi</v>
      </c>
      <c r="C98" s="6" t="str">
        <v>Kontrolü aç</v>
      </c>
      <c r="D98" s="6" t="str">
        <v>Kaynakta verilen teknik ölçüt</v>
      </c>
    </row>
    <row r="99" ht="35" customHeight="1">
      <c r="A99" s="6" t="str">
        <v>ESX-005</v>
      </c>
      <c r="B99" s="6" t="str">
        <v>VMware ESXi</v>
      </c>
      <c r="C99" s="6" t="str">
        <v>Kontrolü aç</v>
      </c>
      <c r="D99" s="6" t="str">
        <v>Kaynakta verilen teknik ölçüt</v>
      </c>
    </row>
    <row r="100" ht="35" customHeight="1">
      <c r="A100" s="6" t="str">
        <v>ESX-006</v>
      </c>
      <c r="B100" s="6" t="str">
        <v>VMware ESXi</v>
      </c>
      <c r="C100" s="6" t="str">
        <v>Kontrolü aç</v>
      </c>
      <c r="D100" s="6" t="str">
        <v>Kaynakta verilen teknik ölçüt</v>
      </c>
    </row>
    <row r="101" ht="35" customHeight="1">
      <c r="A101" s="6" t="str">
        <v>ESX-007</v>
      </c>
      <c r="B101" s="6" t="str">
        <v>VMware ESXi</v>
      </c>
      <c r="C101" s="6" t="str">
        <v>Kontrolü aç</v>
      </c>
      <c r="D101" s="6" t="str">
        <v>Kaynakta verilen teknik ölçüt</v>
      </c>
    </row>
    <row r="102" ht="35" customHeight="1">
      <c r="A102" s="6" t="str">
        <v>ESX-008</v>
      </c>
      <c r="B102" s="6" t="str">
        <v>VMware ESXi</v>
      </c>
      <c r="C102" s="6" t="str">
        <v>Kontrolü aç</v>
      </c>
      <c r="D102" s="6" t="str">
        <v>Kaynakta verilen teknik ölçüt</v>
      </c>
    </row>
    <row r="103" ht="35" customHeight="1">
      <c r="A103" s="6" t="str">
        <v>ESX-009</v>
      </c>
      <c r="B103" s="6" t="str">
        <v>VMware ESXi</v>
      </c>
      <c r="C103" s="6" t="str">
        <v>Kontrolü aç</v>
      </c>
      <c r="D103" s="6" t="str">
        <v>Kaynakta verilen teknik ölçüt</v>
      </c>
    </row>
    <row r="104" ht="35" customHeight="1">
      <c r="A104" s="6" t="str">
        <v>ESX-010</v>
      </c>
      <c r="B104" s="6" t="str">
        <v>VMware ESXi</v>
      </c>
      <c r="C104" s="6" t="str">
        <v>Kontrolü aç</v>
      </c>
      <c r="D104" s="6" t="str">
        <v>Kaynakta verilen teknik ölçüt</v>
      </c>
    </row>
    <row r="105" ht="35" customHeight="1">
      <c r="A105" s="6" t="str">
        <v>ESX-011</v>
      </c>
      <c r="B105" s="6" t="str">
        <v>VMware ESXi</v>
      </c>
      <c r="C105" s="6" t="str">
        <v>Kontrolü aç</v>
      </c>
      <c r="D105" s="6" t="str">
        <v>Kaynakta verilen teknik ölçüt</v>
      </c>
    </row>
    <row r="106" ht="35" customHeight="1">
      <c r="A106" s="6" t="str">
        <v>ESX-012</v>
      </c>
      <c r="B106" s="6" t="str">
        <v>VMware ESXi</v>
      </c>
      <c r="C106" s="6" t="str">
        <v>Kontrolü aç</v>
      </c>
      <c r="D106" s="6" t="str">
        <v>Kaynakta verilen teknik ölçüt</v>
      </c>
    </row>
    <row r="107" ht="35" customHeight="1">
      <c r="A107" s="6" t="str">
        <v>ESX-013</v>
      </c>
      <c r="B107" s="6" t="str">
        <v>VMware ESXi</v>
      </c>
      <c r="C107" s="6" t="str">
        <v>Kontrolü aç</v>
      </c>
      <c r="D107" s="6" t="str">
        <v>Kaynakta verilen teknik ölçüt</v>
      </c>
    </row>
    <row r="108" ht="35" customHeight="1">
      <c r="A108" s="6" t="str">
        <v>ESX-014</v>
      </c>
      <c r="B108" s="6" t="str">
        <v>VMware ESXi</v>
      </c>
      <c r="C108" s="6" t="str">
        <v>Kontrolü aç</v>
      </c>
      <c r="D108" s="6" t="str">
        <v>Kaynakta verilen teknik ölçüt</v>
      </c>
    </row>
    <row r="109" ht="35" customHeight="1">
      <c r="A109" s="6" t="str">
        <v>ESX-015</v>
      </c>
      <c r="B109" s="6" t="str">
        <v>VMware ESXi</v>
      </c>
      <c r="C109" s="6" t="str">
        <v>Kontrolü aç</v>
      </c>
      <c r="D109" s="6" t="str">
        <v>Kaynakta verilen teknik ölçüt</v>
      </c>
    </row>
    <row r="110" ht="35" customHeight="1">
      <c r="A110" s="6" t="str">
        <v>ESX-016</v>
      </c>
      <c r="B110" s="6" t="str">
        <v>VMware ESXi</v>
      </c>
      <c r="C110" s="6" t="str">
        <v>Kontrolü aç</v>
      </c>
      <c r="D110" s="6" t="str">
        <v>Kaynakta verilen teknik ölçüt</v>
      </c>
    </row>
    <row r="111" ht="35" customHeight="1">
      <c r="A111" s="6" t="str">
        <v>ESX-017</v>
      </c>
      <c r="B111" s="6" t="str">
        <v>VMware ESXi</v>
      </c>
      <c r="C111" s="6" t="str">
        <v>Kontrolü aç</v>
      </c>
      <c r="D111" s="6" t="str">
        <v>Kaynakta verilen teknik ölçüt</v>
      </c>
    </row>
    <row r="112" ht="35" customHeight="1">
      <c r="A112" s="6" t="str">
        <v>ESX-018</v>
      </c>
      <c r="B112" s="6" t="str">
        <v>VMware ESXi</v>
      </c>
      <c r="C112" s="6" t="str">
        <v>Kontrolü aç</v>
      </c>
      <c r="D112" s="6" t="str">
        <v>Kaynakta verilen teknik ölçüt</v>
      </c>
    </row>
    <row r="113" ht="35" customHeight="1">
      <c r="A113" s="6" t="str">
        <v>ESX-019</v>
      </c>
      <c r="B113" s="6" t="str">
        <v>VMware ESXi</v>
      </c>
      <c r="C113" s="6" t="str">
        <v>Kontrolü aç</v>
      </c>
      <c r="D113" s="6" t="str">
        <v>Kaynakta verilen teknik ölçüt</v>
      </c>
    </row>
    <row r="114" ht="35" customHeight="1">
      <c r="A114" s="6" t="str">
        <v>ESX-020</v>
      </c>
      <c r="B114" s="6" t="str">
        <v>VMware ESXi</v>
      </c>
      <c r="C114" s="6" t="str">
        <v>Kontrolü aç</v>
      </c>
      <c r="D114" s="6" t="str">
        <v>Kaynakta verilen teknik ölçüt</v>
      </c>
    </row>
    <row r="115" ht="35" customHeight="1">
      <c r="A115" s="6" t="str">
        <v>ESX-021</v>
      </c>
      <c r="B115" s="6" t="str">
        <v>VMware ESXi</v>
      </c>
      <c r="C115" s="6" t="str">
        <v>Kontrolü aç</v>
      </c>
      <c r="D115" s="6" t="str">
        <v>Kaynakta verilen teknik ölçüt</v>
      </c>
    </row>
    <row r="116" ht="35" customHeight="1">
      <c r="A116" s="6" t="str">
        <v>ESX-022</v>
      </c>
      <c r="B116" s="6" t="str">
        <v>VMware ESXi</v>
      </c>
      <c r="C116" s="6" t="str">
        <v>Kontrolü aç</v>
      </c>
      <c r="D116" s="6" t="str">
        <v>Kaynakta verilen teknik ölçüt</v>
      </c>
    </row>
    <row r="117" ht="35" customHeight="1">
      <c r="A117" s="6" t="str">
        <v>ESX-023</v>
      </c>
      <c r="B117" s="6" t="str">
        <v>VMware ESXi</v>
      </c>
      <c r="C117" s="6" t="str">
        <v>Kontrolü aç</v>
      </c>
      <c r="D117" s="6" t="str">
        <v>Kaynakta verilen teknik ölçüt</v>
      </c>
    </row>
    <row r="118" ht="35" customHeight="1">
      <c r="A118" s="6" t="str">
        <v>ESX-024</v>
      </c>
      <c r="B118" s="6" t="str">
        <v>VMware ESXi</v>
      </c>
      <c r="C118" s="6" t="str">
        <v>Kontrolü aç</v>
      </c>
      <c r="D118" s="6" t="str">
        <v>Kaynakta verilen teknik ölçüt</v>
      </c>
    </row>
    <row r="119" ht="35" customHeight="1">
      <c r="A119" s="6" t="str">
        <v>ESX-025</v>
      </c>
      <c r="B119" s="6" t="str">
        <v>VMware ESXi</v>
      </c>
      <c r="C119" s="6" t="str">
        <v>Kontrolü aç</v>
      </c>
      <c r="D119" s="6" t="str">
        <v>Kaynakta verilen teknik ölçüt</v>
      </c>
    </row>
    <row r="120" ht="35" customHeight="1">
      <c r="A120" s="6" t="str">
        <v>ESX-026</v>
      </c>
      <c r="B120" s="6" t="str">
        <v>VMware ESXi</v>
      </c>
      <c r="C120" s="6" t="str">
        <v>Kontrolü aç</v>
      </c>
      <c r="D120" s="6" t="str">
        <v>Kaynakta verilen teknik ölçüt</v>
      </c>
    </row>
    <row r="121" ht="35" customHeight="1">
      <c r="A121" s="6" t="str">
        <v>ESX-027</v>
      </c>
      <c r="B121" s="6" t="str">
        <v>VMware ESXi</v>
      </c>
      <c r="C121" s="6" t="str">
        <v>Kontrolü aç</v>
      </c>
      <c r="D121" s="6" t="str">
        <v>Kaynakta verilen teknik ölçüt</v>
      </c>
    </row>
    <row r="122" ht="35" customHeight="1">
      <c r="A122" s="6" t="str">
        <v>ESX-028</v>
      </c>
      <c r="B122" s="6" t="str">
        <v>VMware ESXi</v>
      </c>
      <c r="C122" s="6" t="str">
        <v>Kontrolü aç</v>
      </c>
      <c r="D122" s="6" t="str">
        <v>Kaynakta verilen teknik ölçüt</v>
      </c>
    </row>
    <row r="123" ht="35" customHeight="1">
      <c r="A123" s="6" t="str">
        <v>ESX-029</v>
      </c>
      <c r="B123" s="6" t="str">
        <v>VMware ESXi</v>
      </c>
      <c r="C123" s="6" t="str">
        <v>Kontrolü aç</v>
      </c>
      <c r="D123" s="6" t="str">
        <v>Kaynakta verilen teknik ölçüt</v>
      </c>
    </row>
    <row r="124" ht="35" customHeight="1">
      <c r="A124" s="6" t="str">
        <v>ESX-030</v>
      </c>
      <c r="B124" s="6" t="str">
        <v>VMware ESXi</v>
      </c>
      <c r="C124" s="6" t="str">
        <v>Kontrolü aç</v>
      </c>
      <c r="D124" s="6" t="str">
        <v>Kaynakta verilen teknik ölçüt</v>
      </c>
    </row>
    <row r="125" ht="35" customHeight="1">
      <c r="A125" s="6" t="str">
        <v>ESX-031</v>
      </c>
      <c r="B125" s="6" t="str">
        <v>VMware ESXi</v>
      </c>
      <c r="C125" s="6" t="str">
        <v>Kontrolü aç</v>
      </c>
      <c r="D125" s="6" t="str">
        <v>Kaynakta verilen teknik ölçüt</v>
      </c>
    </row>
    <row r="126" ht="35" customHeight="1">
      <c r="A126" s="6" t="str">
        <v>ESX-032</v>
      </c>
      <c r="B126" s="6" t="str">
        <v>VMware ESXi</v>
      </c>
      <c r="C126" s="6" t="str">
        <v>Kontrolü aç</v>
      </c>
      <c r="D126" s="6" t="str">
        <v>Kaynakta verilen teknik ölçüt</v>
      </c>
    </row>
    <row r="127" ht="35" customHeight="1">
      <c r="A127" s="6" t="str">
        <v>ESX-033</v>
      </c>
      <c r="B127" s="6" t="str">
        <v>VMware ESXi</v>
      </c>
      <c r="C127" s="6" t="str">
        <v>Kontrolü aç</v>
      </c>
      <c r="D127" s="6" t="str">
        <v>Kaynakta verilen teknik ölçüt</v>
      </c>
    </row>
    <row r="128" ht="35" customHeight="1">
      <c r="A128" s="6" t="str">
        <v>ESX-034</v>
      </c>
      <c r="B128" s="6" t="str">
        <v>VMware ESXi</v>
      </c>
      <c r="C128" s="6" t="str">
        <v>Kontrolü aç</v>
      </c>
      <c r="D128" s="6" t="str">
        <v>Kaynakta verilen teknik ölçüt</v>
      </c>
    </row>
    <row r="129" ht="35" customHeight="1">
      <c r="A129" s="6" t="str">
        <v>ESX-035</v>
      </c>
      <c r="B129" s="6" t="str">
        <v>VMware ESXi</v>
      </c>
      <c r="C129" s="6" t="str">
        <v>Kontrolü aç</v>
      </c>
      <c r="D129" s="6" t="str">
        <v>Kaynakta verilen teknik ölçüt</v>
      </c>
    </row>
    <row r="130" ht="35" customHeight="1">
      <c r="A130" s="6" t="str">
        <v>ESX-036</v>
      </c>
      <c r="B130" s="6" t="str">
        <v>VMware ESXi</v>
      </c>
      <c r="C130" s="6" t="str">
        <v>Kontrolü aç</v>
      </c>
      <c r="D130" s="6" t="str">
        <v>Kaynakta verilen teknik ölçüt</v>
      </c>
    </row>
    <row r="131" ht="35" customHeight="1">
      <c r="A131" s="6" t="str">
        <v>ESX-037</v>
      </c>
      <c r="B131" s="6" t="str">
        <v>VMware ESXi</v>
      </c>
      <c r="C131" s="6" t="str">
        <v>Kontrolü aç</v>
      </c>
      <c r="D131" s="6" t="str">
        <v>Kaynakta verilen teknik ölçüt</v>
      </c>
    </row>
    <row r="132" ht="35" customHeight="1">
      <c r="A132" s="6" t="str">
        <v>ESX-038</v>
      </c>
      <c r="B132" s="6" t="str">
        <v>VMware ESXi</v>
      </c>
      <c r="C132" s="6" t="str">
        <v>Kontrolü aç</v>
      </c>
      <c r="D132" s="6" t="str">
        <v>Kaynakta verilen teknik ölçüt</v>
      </c>
    </row>
    <row r="133" ht="35" customHeight="1">
      <c r="A133" s="6" t="str">
        <v>ESX-039</v>
      </c>
      <c r="B133" s="6" t="str">
        <v>VMware ESXi</v>
      </c>
      <c r="C133" s="6" t="str">
        <v>Kontrolü aç</v>
      </c>
      <c r="D133" s="6" t="str">
        <v>Kaynakta verilen teknik ölçüt</v>
      </c>
    </row>
    <row r="134" ht="35" customHeight="1">
      <c r="A134" s="6" t="str">
        <v>ESX-040</v>
      </c>
      <c r="B134" s="6" t="str">
        <v>VMware ESXi</v>
      </c>
      <c r="C134" s="6" t="str">
        <v>Kontrolü aç</v>
      </c>
      <c r="D134" s="6" t="str">
        <v>Kaynakta verilen teknik ölçüt</v>
      </c>
    </row>
    <row r="135" ht="35" customHeight="1">
      <c r="A135" s="6" t="str">
        <v>ESX-041</v>
      </c>
      <c r="B135" s="6" t="str">
        <v>VMware ESXi</v>
      </c>
      <c r="C135" s="6" t="str">
        <v>Kontrolü aç</v>
      </c>
      <c r="D135" s="6" t="str">
        <v>Kaynakta verilen teknik ölçüt</v>
      </c>
    </row>
    <row r="136" ht="35" customHeight="1">
      <c r="A136" s="6" t="str">
        <v>ESX-042</v>
      </c>
      <c r="B136" s="6" t="str">
        <v>VMware ESXi</v>
      </c>
      <c r="C136" s="6" t="str">
        <v>Kontrolü aç</v>
      </c>
      <c r="D136" s="6" t="str">
        <v>Kaynakta verilen teknik ölçüt</v>
      </c>
    </row>
    <row r="137" ht="35" customHeight="1">
      <c r="A137" s="6" t="str">
        <v>ESX-043</v>
      </c>
      <c r="B137" s="6" t="str">
        <v>VMware ESXi</v>
      </c>
      <c r="C137" s="6" t="str">
        <v>Kontrolü aç</v>
      </c>
      <c r="D137" s="6" t="str">
        <v>Kaynakta verilen teknik ölçüt</v>
      </c>
    </row>
    <row r="138" ht="35" customHeight="1">
      <c r="A138" s="6" t="str">
        <v>ESX-044</v>
      </c>
      <c r="B138" s="6" t="str">
        <v>VMware ESXi</v>
      </c>
      <c r="C138" s="6" t="str">
        <v>Kontrolü aç</v>
      </c>
      <c r="D138" s="6" t="str">
        <v>Kaynakta verilen teknik ölçüt</v>
      </c>
    </row>
    <row r="139" ht="35" customHeight="1">
      <c r="A139" s="6" t="str">
        <v>ESX-045</v>
      </c>
      <c r="B139" s="6" t="str">
        <v>VMware ESXi</v>
      </c>
      <c r="C139" s="6" t="str">
        <v>Kontrolü aç</v>
      </c>
      <c r="D139" s="6" t="str">
        <v>Kaynakta verilen teknik ölçüt</v>
      </c>
    </row>
    <row r="140" ht="35" customHeight="1">
      <c r="A140" s="6" t="str">
        <v>ESX-046</v>
      </c>
      <c r="B140" s="6" t="str">
        <v>VMware ESXi</v>
      </c>
      <c r="C140" s="6" t="str">
        <v>Kontrolü aç</v>
      </c>
      <c r="D140" s="6" t="str">
        <v>Kaynakta verilen teknik ölçüt</v>
      </c>
    </row>
    <row r="141" ht="35" customHeight="1">
      <c r="A141" s="6" t="str">
        <v>ESX-047</v>
      </c>
      <c r="B141" s="6" t="str">
        <v>VMware ESXi</v>
      </c>
      <c r="C141" s="6" t="str">
        <v>Kontrolü aç</v>
      </c>
      <c r="D141" s="6" t="str">
        <v>Kaynakta verilen teknik ölçüt</v>
      </c>
    </row>
    <row r="142" ht="35" customHeight="1">
      <c r="A142" s="6" t="str">
        <v>ESX-048</v>
      </c>
      <c r="B142" s="6" t="str">
        <v>VMware ESXi</v>
      </c>
      <c r="C142" s="6" t="str">
        <v>Kontrolü aç</v>
      </c>
      <c r="D142" s="6" t="str">
        <v>Kaynakta verilen teknik ölçüt</v>
      </c>
    </row>
    <row r="143" ht="35" customHeight="1">
      <c r="A143" s="6" t="str">
        <v>ESX-049</v>
      </c>
      <c r="B143" s="6" t="str">
        <v>VMware ESXi</v>
      </c>
      <c r="C143" s="6" t="str">
        <v>Kontrolü aç</v>
      </c>
      <c r="D143" s="6" t="str">
        <v>Kaynakta verilen teknik ölçüt</v>
      </c>
    </row>
    <row r="144" ht="35" customHeight="1">
      <c r="A144" s="6" t="str">
        <v>ESX-050</v>
      </c>
      <c r="B144" s="6" t="str">
        <v>VMware ESXi</v>
      </c>
      <c r="C144" s="6" t="str">
        <v>Kontrolü aç</v>
      </c>
      <c r="D144" s="6" t="str">
        <v>Kaynakta verilen teknik ölçüt</v>
      </c>
    </row>
    <row r="145" ht="35" customHeight="1">
      <c r="A145" s="6" t="str">
        <v>ESX-051</v>
      </c>
      <c r="B145" s="6" t="str">
        <v>VMware ESXi</v>
      </c>
      <c r="C145" s="6" t="str">
        <v>Kontrolü aç</v>
      </c>
      <c r="D145" s="6" t="str">
        <v>Kaynakta verilen teknik ölçüt</v>
      </c>
    </row>
    <row r="146" ht="35" customHeight="1">
      <c r="A146" s="6" t="str">
        <v>ESX-052</v>
      </c>
      <c r="B146" s="6" t="str">
        <v>VMware ESXi</v>
      </c>
      <c r="C146" s="6" t="str">
        <v>Kontrolü aç</v>
      </c>
      <c r="D146" s="6" t="str">
        <v>Kaynakta verilen teknik ölçüt</v>
      </c>
    </row>
    <row r="147" ht="35" customHeight="1">
      <c r="A147" s="6" t="str">
        <v>ESX-053</v>
      </c>
      <c r="B147" s="6" t="str">
        <v>VMware ESXi</v>
      </c>
      <c r="C147" s="6" t="str">
        <v>Kontrolü aç</v>
      </c>
      <c r="D147" s="6" t="str">
        <v>Kaynakta verilen teknik ölçüt</v>
      </c>
    </row>
    <row r="148" ht="35" customHeight="1">
      <c r="A148" s="6" t="str">
        <v>ESX-054</v>
      </c>
      <c r="B148" s="6" t="str">
        <v>VMware ESXi</v>
      </c>
      <c r="C148" s="6" t="str">
        <v>Kontrolü aç</v>
      </c>
      <c r="D148" s="6" t="str">
        <v>Kaynakta verilen teknik ölçüt</v>
      </c>
    </row>
    <row r="149" ht="35" customHeight="1">
      <c r="A149" s="6" t="str">
        <v>ESX-055</v>
      </c>
      <c r="B149" s="6" t="str">
        <v>VMware ESXi</v>
      </c>
      <c r="C149" s="6" t="str">
        <v>Kontrolü aç</v>
      </c>
      <c r="D149" s="6" t="str">
        <v>Kaynakta verilen teknik ölçüt</v>
      </c>
    </row>
    <row r="150" ht="35" customHeight="1">
      <c r="A150" s="6" t="str">
        <v>ESX-056</v>
      </c>
      <c r="B150" s="6" t="str">
        <v>VMware ESXi</v>
      </c>
      <c r="C150" s="6" t="str">
        <v>Kontrolü aç</v>
      </c>
      <c r="D150" s="6" t="str">
        <v>Kaynakta verilen teknik ölçüt</v>
      </c>
    </row>
    <row r="151" ht="35" customHeight="1">
      <c r="A151" s="6" t="str">
        <v>ESX-057</v>
      </c>
      <c r="B151" s="6" t="str">
        <v>VMware ESXi</v>
      </c>
      <c r="C151" s="6" t="str">
        <v>Kontrolü aç</v>
      </c>
      <c r="D151" s="6" t="str">
        <v>Kaynakta verilen teknik ölçüt</v>
      </c>
    </row>
    <row r="152" ht="35" customHeight="1">
      <c r="A152" s="6" t="str">
        <v>ESX-058</v>
      </c>
      <c r="B152" s="6" t="str">
        <v>VMware ESXi</v>
      </c>
      <c r="C152" s="6" t="str">
        <v>Kontrolü aç</v>
      </c>
      <c r="D152" s="6" t="str">
        <v>Kaynakta verilen teknik ölçüt</v>
      </c>
    </row>
    <row r="153" ht="35" customHeight="1">
      <c r="A153" s="6" t="str">
        <v>ESX-059</v>
      </c>
      <c r="B153" s="6" t="str">
        <v>VMware ESXi</v>
      </c>
      <c r="C153" s="6" t="str">
        <v>Kontrolü aç</v>
      </c>
      <c r="D153" s="6" t="str">
        <v>Kaynakta verilen teknik ölçüt</v>
      </c>
    </row>
    <row r="154" ht="35" customHeight="1">
      <c r="A154" s="6" t="str">
        <v>ESX-060</v>
      </c>
      <c r="B154" s="6" t="str">
        <v>VMware ESXi</v>
      </c>
      <c r="C154" s="6" t="str">
        <v>Kontrolü aç</v>
      </c>
      <c r="D154" s="6" t="str">
        <v>Kaynakta verilen teknik ölçüt</v>
      </c>
    </row>
    <row r="155" ht="35" customHeight="1">
      <c r="A155" s="6" t="str">
        <v>ESX-061</v>
      </c>
      <c r="B155" s="6" t="str">
        <v>VMware ESXi</v>
      </c>
      <c r="C155" s="6" t="str">
        <v>Kontrolü aç</v>
      </c>
      <c r="D155" s="6" t="str">
        <v>Kaynakta verilen teknik ölçüt</v>
      </c>
    </row>
    <row r="156" ht="35" customHeight="1">
      <c r="A156" s="6" t="str">
        <v>ESX-062</v>
      </c>
      <c r="B156" s="6" t="str">
        <v>VMware ESXi</v>
      </c>
      <c r="C156" s="6" t="str">
        <v>Kontrolü aç</v>
      </c>
      <c r="D156" s="6" t="str">
        <v>Kaynakta verilen teknik ölçüt</v>
      </c>
    </row>
    <row r="157" ht="35" customHeight="1">
      <c r="A157" s="6" t="str">
        <v>ESX-063</v>
      </c>
      <c r="B157" s="6" t="str">
        <v>VMware ESXi</v>
      </c>
      <c r="C157" s="6" t="str">
        <v>Kontrolü aç</v>
      </c>
      <c r="D157" s="6" t="str">
        <v>Kaynakta verilen teknik ölçüt</v>
      </c>
    </row>
    <row r="158" ht="35" customHeight="1">
      <c r="A158" s="6" t="str">
        <v>ESX-064</v>
      </c>
      <c r="B158" s="6" t="str">
        <v>VMware ESXi</v>
      </c>
      <c r="C158" s="6" t="str">
        <v>Kontrolü aç</v>
      </c>
      <c r="D158" s="6" t="str">
        <v>Kaynakta verilen teknik ölçüt</v>
      </c>
    </row>
    <row r="159" ht="35" customHeight="1">
      <c r="A159" s="6" t="str">
        <v>ESX-065</v>
      </c>
      <c r="B159" s="6" t="str">
        <v>VMware ESXi</v>
      </c>
      <c r="C159" s="6" t="str">
        <v>Kontrolü aç</v>
      </c>
      <c r="D159" s="6" t="str">
        <v>Kaynakta verilen teknik ölçüt</v>
      </c>
    </row>
    <row r="160" ht="35" customHeight="1">
      <c r="A160" s="6" t="str">
        <v>ESX-066</v>
      </c>
      <c r="B160" s="6" t="str">
        <v>VMware ESXi</v>
      </c>
      <c r="C160" s="6" t="str">
        <v>Kontrolü aç</v>
      </c>
      <c r="D160" s="6" t="str">
        <v>Kaynakta verilen teknik ölçüt</v>
      </c>
    </row>
    <row r="161" ht="35" customHeight="1">
      <c r="A161" s="6" t="str">
        <v>ESX-067</v>
      </c>
      <c r="B161" s="6" t="str">
        <v>VMware ESXi</v>
      </c>
      <c r="C161" s="6" t="str">
        <v>Kontrolü aç</v>
      </c>
      <c r="D161" s="6" t="str">
        <v>Kaynakta verilen teknik ölçüt</v>
      </c>
    </row>
    <row r="162" ht="35" customHeight="1">
      <c r="A162" s="6" t="str">
        <v>ESX-068</v>
      </c>
      <c r="B162" s="6" t="str">
        <v>VMware ESXi</v>
      </c>
      <c r="C162" s="6" t="str">
        <v>Kontrolü aç</v>
      </c>
      <c r="D162" s="6" t="str">
        <v>Kaynakta verilen teknik ölçüt</v>
      </c>
    </row>
    <row r="163" ht="35" customHeight="1">
      <c r="A163" s="6" t="str">
        <v>ESX-069</v>
      </c>
      <c r="B163" s="6" t="str">
        <v>VMware ESXi</v>
      </c>
      <c r="C163" s="6" t="str">
        <v>Kontrolü aç</v>
      </c>
      <c r="D163" s="6" t="str">
        <v>Kaynakta verilen teknik ölçüt</v>
      </c>
    </row>
    <row r="164" ht="35" customHeight="1">
      <c r="A164" s="6" t="str">
        <v>ESX-070</v>
      </c>
      <c r="B164" s="6" t="str">
        <v>VMware ESXi</v>
      </c>
      <c r="C164" s="6" t="str">
        <v>Kontrolü aç</v>
      </c>
      <c r="D164" s="6" t="str">
        <v>Kaynakta verilen teknik ölçüt</v>
      </c>
    </row>
    <row r="165" ht="35" customHeight="1">
      <c r="A165" s="6" t="str">
        <v>ESX-071</v>
      </c>
      <c r="B165" s="6" t="str">
        <v>VMware ESXi</v>
      </c>
      <c r="C165" s="6" t="str">
        <v>Kontrolü aç</v>
      </c>
      <c r="D165" s="6" t="str">
        <v>Kaynakta verilen teknik ölçüt</v>
      </c>
    </row>
    <row r="166" ht="35" customHeight="1">
      <c r="A166" s="6" t="str">
        <v>ESX-072</v>
      </c>
      <c r="B166" s="6" t="str">
        <v>VMware ESXi</v>
      </c>
      <c r="C166" s="6" t="str">
        <v>Kontrolü aç</v>
      </c>
      <c r="D166" s="6" t="str">
        <v>Kaynakta verilen teknik ölçüt</v>
      </c>
    </row>
    <row r="167" ht="35" customHeight="1">
      <c r="A167" s="6" t="str">
        <v>VMW-V10-04</v>
      </c>
      <c r="B167" s="6" t="str">
        <v>VMware ESXi</v>
      </c>
      <c r="C167" s="6" t="str">
        <v>Kontrolü aç</v>
      </c>
      <c r="D167" s="6" t="str">
        <v>Kaynağın kontrol amacına dayalı denetçi test tasarımı</v>
      </c>
    </row>
    <row r="168" ht="35" customHeight="1">
      <c r="A168" s="6" t="str">
        <v>VCT-007</v>
      </c>
      <c r="B168" s="6" t="str">
        <v>VMware vCenter</v>
      </c>
      <c r="C168" s="6" t="str">
        <v>Kontrolü aç</v>
      </c>
      <c r="D168" s="6" t="str">
        <v>Kaynağın kontrol amacına dayalı denetçi test tasarımı</v>
      </c>
    </row>
    <row r="169" ht="35" customHeight="1">
      <c r="A169" s="6" t="str">
        <v>VCT-008</v>
      </c>
      <c r="B169" s="6" t="str">
        <v>VMware vCenter</v>
      </c>
      <c r="C169" s="6" t="str">
        <v>Kontrolü aç</v>
      </c>
      <c r="D169" s="6" t="str">
        <v>Kaynağın kontrol amacına dayalı denetçi test tasarımı</v>
      </c>
    </row>
    <row r="170" ht="35" customHeight="1">
      <c r="A170" s="6" t="str">
        <v>VCT-009</v>
      </c>
      <c r="B170" s="6" t="str">
        <v>VMware vCenter</v>
      </c>
      <c r="C170" s="6" t="str">
        <v>Kontrolü aç</v>
      </c>
      <c r="D170" s="6" t="str">
        <v>Kaynağın kontrol amacına dayalı denetçi test tasarımı</v>
      </c>
    </row>
    <row r="171" ht="35" customHeight="1">
      <c r="A171" s="6" t="str">
        <v>VCT-011</v>
      </c>
      <c r="B171" s="6" t="str">
        <v>VMware vCenter</v>
      </c>
      <c r="C171" s="6" t="str">
        <v>Kontrolü aç</v>
      </c>
      <c r="D171" s="6" t="str">
        <v>Kaynağın kontrol amacına dayalı denetçi test tasarımı</v>
      </c>
    </row>
    <row r="172" ht="35" customHeight="1">
      <c r="A172" s="6" t="str">
        <v>VMW-V01-01</v>
      </c>
      <c r="B172" s="6" t="str">
        <v>VMware vCenter</v>
      </c>
      <c r="C172" s="6" t="str">
        <v>Kontrolü aç</v>
      </c>
      <c r="D172" s="6" t="str">
        <v>Kaynağın kontrol amacına dayalı denetçi test tasarımı</v>
      </c>
    </row>
    <row r="173" ht="35" customHeight="1">
      <c r="A173" s="6" t="str">
        <v>VMW-V11-01</v>
      </c>
      <c r="B173" s="6" t="str">
        <v>VMware vCenter</v>
      </c>
      <c r="C173" s="6" t="str">
        <v>Kontrolü aç</v>
      </c>
      <c r="D173" s="6" t="str">
        <v>Kaynağın kontrol amacına dayalı denetçi test tasarımı</v>
      </c>
    </row>
    <row r="174" ht="35" customHeight="1">
      <c r="A174" s="6" t="str">
        <v>VMW-V07-02</v>
      </c>
      <c r="B174" s="6" t="str">
        <v>VMware vSAN</v>
      </c>
      <c r="C174" s="6" t="str">
        <v>Kontrolü aç</v>
      </c>
      <c r="D174" s="6" t="str">
        <v>Kaynağın kontrol amacına dayalı denetçi test tasarımı</v>
      </c>
    </row>
    <row r="175" ht="35" customHeight="1">
      <c r="A175" s="6" t="str">
        <v>VSN-007</v>
      </c>
      <c r="B175" s="6" t="str">
        <v>VMware vSAN</v>
      </c>
      <c r="C175" s="6" t="str">
        <v>Kontrolü aç</v>
      </c>
      <c r="D175" s="6" t="str">
        <v>Kaynağın kontrol amacına dayalı denetçi test tasarımı</v>
      </c>
    </row>
    <row r="176" ht="35" customHeight="1">
      <c r="A176" s="6" t="str">
        <v>VSN-008</v>
      </c>
      <c r="B176" s="6" t="str">
        <v>VMware vSAN</v>
      </c>
      <c r="C176" s="6" t="str">
        <v>Kontrolü aç</v>
      </c>
      <c r="D176" s="6" t="str">
        <v>Kaynağın kontrol amacına dayalı denetçi test tasarımı</v>
      </c>
    </row>
    <row r="177" ht="35" customHeight="1">
      <c r="A177" s="6" t="str">
        <v>VSN-009</v>
      </c>
      <c r="B177" s="6" t="str">
        <v>VMware vSAN</v>
      </c>
      <c r="C177" s="6" t="str">
        <v>Kontrolü aç</v>
      </c>
      <c r="D177" s="6" t="str">
        <v>Kaynağın kontrol amacına dayalı denetçi test tasarımı</v>
      </c>
    </row>
    <row r="178" ht="35" customHeight="1">
      <c r="A178" s="6" t="str">
        <v>VSN-010</v>
      </c>
      <c r="B178" s="6" t="str">
        <v>VMware vSAN</v>
      </c>
      <c r="C178" s="6" t="str">
        <v>Kontrolü aç</v>
      </c>
      <c r="D178" s="6" t="str">
        <v>Kaynağın kontrol amacına dayalı denetçi test tasarımı</v>
      </c>
    </row>
    <row r="179" ht="35" customHeight="1">
      <c r="A179" s="6" t="str">
        <v>VSN-011</v>
      </c>
      <c r="B179" s="6" t="str">
        <v>VMware vSAN</v>
      </c>
      <c r="C179" s="6" t="str">
        <v>Kontrolü aç</v>
      </c>
      <c r="D179" s="6" t="str">
        <v>Kaynağın kontrol amacına dayalı denetçi test tasarımı</v>
      </c>
    </row>
    <row r="180" ht="35" customHeight="1">
      <c r="A180" s="6" t="str">
        <v>NSX-007</v>
      </c>
      <c r="B180" s="6" t="str">
        <v>VMware NSX</v>
      </c>
      <c r="C180" s="6" t="str">
        <v>Kontrolü aç</v>
      </c>
      <c r="D180" s="6" t="str">
        <v>Kaynağın kontrol amacına dayalı denetçi test tasarımı</v>
      </c>
    </row>
    <row r="181" ht="35" customHeight="1">
      <c r="A181" s="6" t="str">
        <v>NSX-008</v>
      </c>
      <c r="B181" s="6" t="str">
        <v>VMware NSX</v>
      </c>
      <c r="C181" s="6" t="str">
        <v>Kontrolü aç</v>
      </c>
      <c r="D181" s="6" t="str">
        <v>Kaynağın kontrol amacına dayalı denetçi test tasarımı</v>
      </c>
    </row>
    <row r="182" ht="35" customHeight="1">
      <c r="A182" s="6" t="str">
        <v>NSX-009</v>
      </c>
      <c r="B182" s="6" t="str">
        <v>VMware NSX</v>
      </c>
      <c r="C182" s="6" t="str">
        <v>Kontrolü aç</v>
      </c>
      <c r="D182" s="6" t="str">
        <v>Kaynağın kontrol amacına dayalı denetçi test tasarımı</v>
      </c>
    </row>
    <row r="183" ht="35" customHeight="1">
      <c r="A183" s="6" t="str">
        <v>NSX-010</v>
      </c>
      <c r="B183" s="6" t="str">
        <v>VMware NSX</v>
      </c>
      <c r="C183" s="6" t="str">
        <v>Kontrolü aç</v>
      </c>
      <c r="D183" s="6" t="str">
        <v>Kaynağın kontrol amacına dayalı denetçi test tasarımı</v>
      </c>
    </row>
    <row r="184" ht="35" customHeight="1">
      <c r="A184" s="6" t="str">
        <v>NSX-011</v>
      </c>
      <c r="B184" s="6" t="str">
        <v>VMware NSX</v>
      </c>
      <c r="C184" s="6" t="str">
        <v>Kontrolü aç</v>
      </c>
      <c r="D184" s="6" t="str">
        <v>Kaynağın kontrol amacına dayalı denetçi test tasarımı</v>
      </c>
    </row>
    <row r="185" ht="35" customHeight="1">
      <c r="A185" s="6" t="str">
        <v>NSX-012</v>
      </c>
      <c r="B185" s="6" t="str">
        <v>VMware NSX</v>
      </c>
      <c r="C185" s="6" t="str">
        <v>Kontrolü aç</v>
      </c>
      <c r="D185" s="6" t="str">
        <v>Kaynağın kontrol amacına dayalı denetçi test tasarımı</v>
      </c>
    </row>
    <row r="186" ht="35" customHeight="1">
      <c r="A186" s="6" t="str">
        <v>VMW-V06-06</v>
      </c>
      <c r="B186" s="6" t="str">
        <v>VMware NSX</v>
      </c>
      <c r="C186" s="6" t="str">
        <v>Kontrolü aç</v>
      </c>
      <c r="D186" s="6" t="str">
        <v>Kaynağın kontrol amacına dayalı denetçi test tasarımı</v>
      </c>
    </row>
    <row r="187" ht="35" customHeight="1">
      <c r="A187" s="6" t="str">
        <v>VDS-007</v>
      </c>
      <c r="B187" s="6" t="str">
        <v>VMware Distributed Switch</v>
      </c>
      <c r="C187" s="6" t="str">
        <v>Kontrolü aç</v>
      </c>
      <c r="D187" s="6" t="str">
        <v>Kaynağın kontrol amacına dayalı denetçi test tasarımı</v>
      </c>
    </row>
    <row r="188" ht="35" customHeight="1">
      <c r="A188" s="6" t="str">
        <v>VDS-008</v>
      </c>
      <c r="B188" s="6" t="str">
        <v>VMware Distributed Switch</v>
      </c>
      <c r="C188" s="6" t="str">
        <v>Kontrolü aç</v>
      </c>
      <c r="D188" s="6" t="str">
        <v>Kaynağın kontrol amacına dayalı denetçi test tasarımı</v>
      </c>
    </row>
    <row r="189" ht="35" customHeight="1">
      <c r="A189" s="6" t="str">
        <v>VDS-009</v>
      </c>
      <c r="B189" s="6" t="str">
        <v>VMware Distributed Switch</v>
      </c>
      <c r="C189" s="6" t="str">
        <v>Kontrolü aç</v>
      </c>
      <c r="D189" s="6" t="str">
        <v>Kaynağın kontrol amacına dayalı denetçi test tasarımı</v>
      </c>
    </row>
    <row r="190" ht="35" customHeight="1">
      <c r="A190" s="6" t="str">
        <v>VDS-010</v>
      </c>
      <c r="B190" s="6" t="str">
        <v>VMware Distributed Switch</v>
      </c>
      <c r="C190" s="6" t="str">
        <v>Kontrolü aç</v>
      </c>
      <c r="D190" s="6" t="str">
        <v>Kaynağın kontrol amacına dayalı denetçi test tasarımı</v>
      </c>
    </row>
    <row r="191" ht="35" customHeight="1">
      <c r="A191" s="6" t="str">
        <v>VDS-011</v>
      </c>
      <c r="B191" s="6" t="str">
        <v>VMware Distributed Switch</v>
      </c>
      <c r="C191" s="6" t="str">
        <v>Kontrolü aç</v>
      </c>
      <c r="D191" s="6" t="str">
        <v>Kaynağın kontrol amacına dayalı denetçi test tasarımı</v>
      </c>
    </row>
    <row r="192" ht="35" customHeight="1">
      <c r="A192" s="6" t="str">
        <v>VDS-012</v>
      </c>
      <c r="B192" s="6" t="str">
        <v>VMware Distributed Switch</v>
      </c>
      <c r="C192" s="6" t="str">
        <v>Kontrolü aç</v>
      </c>
      <c r="D192" s="6" t="str">
        <v>Kaynağın kontrol amacına dayalı denetçi test tasarımı</v>
      </c>
    </row>
    <row r="193" ht="35" customHeight="1">
      <c r="A193" s="6" t="str">
        <v>VDS-C01</v>
      </c>
      <c r="B193" s="6" t="str">
        <v>VMware Distributed Switch</v>
      </c>
      <c r="C193" s="6" t="str">
        <v>Kontrolü aç</v>
      </c>
      <c r="D193" s="6" t="str">
        <v>Kaynakta verilen teknik ölçüt</v>
      </c>
    </row>
    <row r="194" ht="35" customHeight="1">
      <c r="A194" s="6" t="str">
        <v>VDS-C02</v>
      </c>
      <c r="B194" s="6" t="str">
        <v>VMware Distributed Switch</v>
      </c>
      <c r="C194" s="6" t="str">
        <v>Kontrolü aç</v>
      </c>
      <c r="D194" s="6" t="str">
        <v>Kaynakta verilen teknik ölçüt</v>
      </c>
    </row>
    <row r="195" ht="35" customHeight="1">
      <c r="A195" s="6" t="str">
        <v>VMO-008</v>
      </c>
      <c r="B195" s="6" t="str">
        <v>VMware vMotion</v>
      </c>
      <c r="C195" s="6" t="str">
        <v>Kontrolü aç</v>
      </c>
      <c r="D195" s="6" t="str">
        <v>Kaynağın kontrol amacına dayalı denetçi test tasarımı</v>
      </c>
    </row>
    <row r="196" ht="35" customHeight="1">
      <c r="A196" s="6" t="str">
        <v>VMO-009</v>
      </c>
      <c r="B196" s="6" t="str">
        <v>VMware vMotion</v>
      </c>
      <c r="C196" s="6" t="str">
        <v>Kontrolü aç</v>
      </c>
      <c r="D196" s="6" t="str">
        <v>Kaynağın kontrol amacına dayalı denetçi test tasarımı</v>
      </c>
    </row>
    <row r="197" ht="35" customHeight="1">
      <c r="A197" s="6" t="str">
        <v>VMO-010</v>
      </c>
      <c r="B197" s="6" t="str">
        <v>VMware vMotion</v>
      </c>
      <c r="C197" s="6" t="str">
        <v>Kontrolü aç</v>
      </c>
      <c r="D197" s="6" t="str">
        <v>Kaynağın kontrol amacına dayalı denetçi test tasarımı</v>
      </c>
    </row>
    <row r="198" ht="35" customHeight="1">
      <c r="A198" s="6" t="str">
        <v>VMO-C01</v>
      </c>
      <c r="B198" s="6" t="str">
        <v>VMware vMotion</v>
      </c>
      <c r="C198" s="6" t="str">
        <v>Kontrolü aç</v>
      </c>
      <c r="D198" s="6" t="str">
        <v>Kaynakta verilen teknik ölçüt</v>
      </c>
    </row>
    <row r="199" ht="35" customHeight="1">
      <c r="A199" s="6" t="str">
        <v>VCD-007</v>
      </c>
      <c r="B199" s="6" t="str">
        <v>VMware Cloud Director</v>
      </c>
      <c r="C199" s="6" t="str">
        <v>Kontrolü aç</v>
      </c>
      <c r="D199" s="6" t="str">
        <v>Kaynağın kontrol amacına dayalı denetçi test tasarımı</v>
      </c>
    </row>
    <row r="200" ht="35" customHeight="1">
      <c r="A200" s="6" t="str">
        <v>VCD-008</v>
      </c>
      <c r="B200" s="6" t="str">
        <v>VMware Cloud Director</v>
      </c>
      <c r="C200" s="6" t="str">
        <v>Kontrolü aç</v>
      </c>
      <c r="D200" s="6" t="str">
        <v>Kaynağın kontrol amacına dayalı denetçi test tasarımı</v>
      </c>
    </row>
    <row r="201" ht="35" customHeight="1">
      <c r="A201" s="6" t="str">
        <v>VCD-009</v>
      </c>
      <c r="B201" s="6" t="str">
        <v>VMware Cloud Director</v>
      </c>
      <c r="C201" s="6" t="str">
        <v>Kontrolü aç</v>
      </c>
      <c r="D201" s="6" t="str">
        <v>Kaynağın kontrol amacına dayalı denetçi test tasarımı</v>
      </c>
    </row>
    <row r="202" ht="35" customHeight="1">
      <c r="A202" s="6" t="str">
        <v>VCD-010</v>
      </c>
      <c r="B202" s="6" t="str">
        <v>VMware Cloud Director</v>
      </c>
      <c r="C202" s="6" t="str">
        <v>Kontrolü aç</v>
      </c>
      <c r="D202" s="6" t="str">
        <v>Kaynağın kontrol amacına dayalı denetçi test tasarımı</v>
      </c>
    </row>
    <row r="203" ht="35" customHeight="1">
      <c r="A203" s="6" t="str">
        <v>VCD-011</v>
      </c>
      <c r="B203" s="6" t="str">
        <v>VMware Cloud Director</v>
      </c>
      <c r="C203" s="6" t="str">
        <v>Kontrolü aç</v>
      </c>
      <c r="D203" s="6" t="str">
        <v>Kaynağın kontrol amacına dayalı denetçi test tasarımı</v>
      </c>
    </row>
    <row r="204" ht="35" customHeight="1">
      <c r="A204" s="6" t="str">
        <v>VCD-012</v>
      </c>
      <c r="B204" s="6" t="str">
        <v>VMware Cloud Director</v>
      </c>
      <c r="C204" s="6" t="str">
        <v>Kontrolü aç</v>
      </c>
      <c r="D204" s="6" t="str">
        <v>Kaynağın kontrol amacına dayalı denetçi test tasarımı</v>
      </c>
    </row>
    <row r="205" ht="35" customHeight="1">
      <c r="A205" s="6" t="str">
        <v>VMW-V08-04</v>
      </c>
      <c r="B205" s="6" t="str">
        <v>VMware Cloud Director</v>
      </c>
      <c r="C205" s="6" t="str">
        <v>Kontrolü aç</v>
      </c>
      <c r="D205" s="6" t="str">
        <v>Kaynağın kontrol amacına dayalı denetçi test tasarımı</v>
      </c>
    </row>
    <row r="206" ht="35" customHeight="1">
      <c r="A206" s="6" t="str">
        <v>VEE-007</v>
      </c>
      <c r="B206" s="6" t="str">
        <v>Veeam</v>
      </c>
      <c r="C206" s="6" t="str">
        <v>Kontrolü aç</v>
      </c>
      <c r="D206" s="6" t="str">
        <v>Kaynağın kontrol amacına dayalı denetçi test tasarımı</v>
      </c>
    </row>
    <row r="207" ht="35" customHeight="1">
      <c r="A207" s="6" t="str">
        <v>VEE-008</v>
      </c>
      <c r="B207" s="6" t="str">
        <v>Veeam</v>
      </c>
      <c r="C207" s="6" t="str">
        <v>Kontrolü aç</v>
      </c>
      <c r="D207" s="6" t="str">
        <v>Kaynağın kontrol amacına dayalı denetçi test tasarımı</v>
      </c>
    </row>
    <row r="208" ht="35" customHeight="1">
      <c r="A208" s="6" t="str">
        <v>VEE-009</v>
      </c>
      <c r="B208" s="6" t="str">
        <v>Veeam</v>
      </c>
      <c r="C208" s="6" t="str">
        <v>Kontrolü aç</v>
      </c>
      <c r="D208" s="6" t="str">
        <v>Kaynağın kontrol amacına dayalı denetçi test tasarımı</v>
      </c>
    </row>
    <row r="209" ht="35" customHeight="1">
      <c r="A209" s="6" t="str">
        <v>VEE-010</v>
      </c>
      <c r="B209" s="6" t="str">
        <v>Veeam</v>
      </c>
      <c r="C209" s="6" t="str">
        <v>Kontrolü aç</v>
      </c>
      <c r="D209" s="6" t="str">
        <v>Kaynağın kontrol amacına dayalı denetçi test tasarımı</v>
      </c>
    </row>
    <row r="210" ht="35" customHeight="1">
      <c r="A210" s="6" t="str">
        <v>VEE-011</v>
      </c>
      <c r="B210" s="6" t="str">
        <v>Veeam</v>
      </c>
      <c r="C210" s="6" t="str">
        <v>Kontrolü aç</v>
      </c>
      <c r="D210" s="6" t="str">
        <v>Kaynağın kontrol amacına dayalı denetçi test tasarımı</v>
      </c>
    </row>
    <row r="211" ht="35" customHeight="1">
      <c r="A211" s="6" t="str">
        <v>VEE-012</v>
      </c>
      <c r="B211" s="6" t="str">
        <v>Veeam</v>
      </c>
      <c r="C211" s="6" t="str">
        <v>Kontrolü aç</v>
      </c>
      <c r="D211" s="6" t="str">
        <v>Kaynağın kontrol amacına dayalı denetçi test tasarımı</v>
      </c>
    </row>
    <row r="212" ht="35" customHeight="1">
      <c r="A212" s="6" t="str">
        <v>VEE-013</v>
      </c>
      <c r="B212" s="6" t="str">
        <v>Veeam</v>
      </c>
      <c r="C212" s="6" t="str">
        <v>Kontrolü aç</v>
      </c>
      <c r="D212" s="6" t="str">
        <v>Kaynağın kontrol amacına dayalı denetçi test tasarımı</v>
      </c>
    </row>
    <row r="213" ht="35" customHeight="1">
      <c r="A213" s="6" t="str">
        <v>VEE-014</v>
      </c>
      <c r="B213" s="6" t="str">
        <v>Veeam</v>
      </c>
      <c r="C213" s="6" t="str">
        <v>Kontrolü aç</v>
      </c>
      <c r="D213" s="6" t="str">
        <v>Kaynağın kontrol amacına dayalı denetçi test tasarımı</v>
      </c>
    </row>
    <row r="214" ht="35" customHeight="1">
      <c r="A214" s="6" t="str">
        <v>VEE-V02-03</v>
      </c>
      <c r="B214" s="6" t="str">
        <v>Veeam</v>
      </c>
      <c r="C214" s="6" t="str">
        <v>Kontrolü aç</v>
      </c>
      <c r="D214" s="6" t="str">
        <v>Kaynağın kontrol amacına dayalı denetçi test tasarımı</v>
      </c>
    </row>
    <row r="215" ht="35" customHeight="1">
      <c r="A215" s="6" t="str">
        <v>VEE-V04-01</v>
      </c>
      <c r="B215" s="6" t="str">
        <v>Veeam</v>
      </c>
      <c r="C215" s="6" t="str">
        <v>Kontrolü aç</v>
      </c>
      <c r="D215" s="6" t="str">
        <v>Kaynağın kontrol amacına dayalı denetçi test tasarımı</v>
      </c>
    </row>
    <row r="216" ht="35" customHeight="1">
      <c r="A216" s="6" t="str">
        <v>VEE-V04-02</v>
      </c>
      <c r="B216" s="6" t="str">
        <v>Veeam</v>
      </c>
      <c r="C216" s="6" t="str">
        <v>Kontrolü aç</v>
      </c>
      <c r="D216" s="6" t="str">
        <v>Kaynağın kontrol amacına dayalı denetçi test tasarımı</v>
      </c>
    </row>
    <row r="217" ht="35" customHeight="1">
      <c r="A217" s="6" t="str">
        <v>VEE-V04-05</v>
      </c>
      <c r="B217" s="6" t="str">
        <v>Veeam</v>
      </c>
      <c r="C217" s="6" t="str">
        <v>Kontrolü aç</v>
      </c>
      <c r="D217" s="6" t="str">
        <v>Kaynağın kontrol amacına dayalı denetçi test tasarımı</v>
      </c>
    </row>
    <row r="218" ht="35" customHeight="1">
      <c r="A218" s="6" t="str">
        <v>VEE-V05-03</v>
      </c>
      <c r="B218" s="6" t="str">
        <v>Veeam</v>
      </c>
      <c r="C218" s="6" t="str">
        <v>Kontrolü aç</v>
      </c>
      <c r="D218" s="6" t="str">
        <v>Kaynağın kontrol amacına dayalı denetçi test tasarımı</v>
      </c>
    </row>
    <row r="219" ht="35" customHeight="1">
      <c r="A219" s="6" t="str">
        <v>VEE-V05-04</v>
      </c>
      <c r="B219" s="6" t="str">
        <v>Veeam</v>
      </c>
      <c r="C219" s="6" t="str">
        <v>Kontrolü aç</v>
      </c>
      <c r="D219" s="6" t="str">
        <v>Kaynağın kontrol amacına dayalı denetçi test tasarımı</v>
      </c>
    </row>
    <row r="220" ht="35" customHeight="1">
      <c r="A220" s="6" t="str">
        <v>CB-V06-02</v>
      </c>
      <c r="B220" s="6" t="str">
        <v>Carbon Black EDRaaS</v>
      </c>
      <c r="C220" s="6" t="str">
        <v>Kontrolü aç</v>
      </c>
      <c r="D220" s="6" t="str">
        <v>Kaynağın kontrol amacına dayalı denetçi test tasarımı</v>
      </c>
    </row>
    <row r="221" ht="35" customHeight="1">
      <c r="A221" s="6" t="str">
        <v>CB-V06-03</v>
      </c>
      <c r="B221" s="6" t="str">
        <v>Carbon Black EDRaaS</v>
      </c>
      <c r="C221" s="6" t="str">
        <v>Kontrolü aç</v>
      </c>
      <c r="D221" s="6" t="str">
        <v>Kaynağın kontrol amacına dayalı denetçi test tasarımı</v>
      </c>
    </row>
    <row r="222" ht="35" customHeight="1">
      <c r="A222" s="6" t="str">
        <v>CBR-007</v>
      </c>
      <c r="B222" s="6" t="str">
        <v>Carbon Black EDRaaS</v>
      </c>
      <c r="C222" s="6" t="str">
        <v>Kontrolü aç</v>
      </c>
      <c r="D222" s="6" t="str">
        <v>Kaynağın kontrol amacına dayalı denetçi test tasarımı</v>
      </c>
    </row>
    <row r="223" ht="35" customHeight="1">
      <c r="A223" s="6" t="str">
        <v>CBR-008</v>
      </c>
      <c r="B223" s="6" t="str">
        <v>Carbon Black EDRaaS</v>
      </c>
      <c r="C223" s="6" t="str">
        <v>Kontrolü aç</v>
      </c>
      <c r="D223" s="6" t="str">
        <v>Kaynağın kontrol amacına dayalı denetçi test tasarımı</v>
      </c>
    </row>
    <row r="224" ht="35" customHeight="1">
      <c r="A224" s="6" t="str">
        <v>CBR-009</v>
      </c>
      <c r="B224" s="6" t="str">
        <v>Carbon Black EDRaaS</v>
      </c>
      <c r="C224" s="6" t="str">
        <v>Kontrolü aç</v>
      </c>
      <c r="D224" s="6" t="str">
        <v>Kaynağın kontrol amacına dayalı denetçi test tasarımı</v>
      </c>
    </row>
    <row r="225" ht="35" customHeight="1">
      <c r="A225" s="6" t="str">
        <v>CBR-010</v>
      </c>
      <c r="B225" s="6" t="str">
        <v>Carbon Black EDRaaS</v>
      </c>
      <c r="C225" s="6" t="str">
        <v>Kontrolü aç</v>
      </c>
      <c r="D225" s="6" t="str">
        <v>Kaynağın kontrol amacına dayalı denetçi test tasarımı</v>
      </c>
    </row>
    <row r="226" ht="35" customHeight="1">
      <c r="A226" s="6" t="str">
        <v>CBR-011</v>
      </c>
      <c r="B226" s="6" t="str">
        <v>Carbon Black EDRaaS</v>
      </c>
      <c r="C226" s="6" t="str">
        <v>Kontrolü aç</v>
      </c>
      <c r="D226" s="6" t="str">
        <v>Kaynağın kontrol amacına dayalı denetçi test tasarımı</v>
      </c>
    </row>
    <row r="227" ht="35" customHeight="1">
      <c r="A227" s="6" t="str">
        <v>CBR-012</v>
      </c>
      <c r="B227" s="6" t="str">
        <v>Carbon Black EDRaaS</v>
      </c>
      <c r="C227" s="6" t="str">
        <v>Kontrolü aç</v>
      </c>
      <c r="D227" s="6" t="str">
        <v>Kaynağın kontrol amacına dayalı denetçi test tasarımı</v>
      </c>
    </row>
    <row r="228" ht="35" customHeight="1">
      <c r="A228" s="6" t="str">
        <v>CBR-013</v>
      </c>
      <c r="B228" s="6" t="str">
        <v>Carbon Black EDRaaS</v>
      </c>
      <c r="C228" s="6" t="str">
        <v>Kontrolü aç</v>
      </c>
      <c r="D228" s="6" t="str">
        <v>Kaynağın kontrol amacına dayalı denetçi test tasarımı</v>
      </c>
    </row>
    <row r="229" ht="35" customHeight="1">
      <c r="A229" s="6" t="str">
        <v>FGC-001</v>
      </c>
      <c r="B229" s="6" t="str">
        <v>FortiGate VDOM</v>
      </c>
      <c r="C229" s="6" t="str">
        <v>Kontrolü aç</v>
      </c>
      <c r="D229" s="6" t="str">
        <v>Kaynakta verilen teknik ölçüt</v>
      </c>
    </row>
    <row r="230" ht="35" customHeight="1">
      <c r="A230" s="6" t="str">
        <v>FGC-002</v>
      </c>
      <c r="B230" s="6" t="str">
        <v>FortiGate VDOM</v>
      </c>
      <c r="C230" s="6" t="str">
        <v>Kontrolü aç</v>
      </c>
      <c r="D230" s="6" t="str">
        <v>Kaynakta verilen teknik ölçüt</v>
      </c>
    </row>
    <row r="231" ht="35" customHeight="1">
      <c r="A231" s="6" t="str">
        <v>FGC-003</v>
      </c>
      <c r="B231" s="6" t="str">
        <v>FortiGate VDOM</v>
      </c>
      <c r="C231" s="6" t="str">
        <v>Kontrolü aç</v>
      </c>
      <c r="D231" s="6" t="str">
        <v>Kaynakta verilen teknik ölçüt</v>
      </c>
    </row>
    <row r="232" ht="35" customHeight="1">
      <c r="A232" s="6" t="str">
        <v>FGC-004</v>
      </c>
      <c r="B232" s="6" t="str">
        <v>FortiGate VDOM</v>
      </c>
      <c r="C232" s="6" t="str">
        <v>Kontrolü aç</v>
      </c>
      <c r="D232" s="6" t="str">
        <v>Kaynakta verilen teknik ölçüt</v>
      </c>
    </row>
    <row r="233" ht="35" customHeight="1">
      <c r="A233" s="6" t="str">
        <v>FGC-005</v>
      </c>
      <c r="B233" s="6" t="str">
        <v>FortiGate VDOM</v>
      </c>
      <c r="C233" s="6" t="str">
        <v>Kontrolü aç</v>
      </c>
      <c r="D233" s="6" t="str">
        <v>Kaynakta verilen teknik ölçüt</v>
      </c>
    </row>
    <row r="234" ht="35" customHeight="1">
      <c r="A234" s="6" t="str">
        <v>FGC-006</v>
      </c>
      <c r="B234" s="6" t="str">
        <v>FortiGate VDOM</v>
      </c>
      <c r="C234" s="6" t="str">
        <v>Kontrolü aç</v>
      </c>
      <c r="D234" s="6" t="str">
        <v>Kaynakta verilen teknik ölçüt</v>
      </c>
    </row>
    <row r="235" ht="35" customHeight="1">
      <c r="A235" s="6" t="str">
        <v>FGC-007</v>
      </c>
      <c r="B235" s="6" t="str">
        <v>FortiGate VDOM</v>
      </c>
      <c r="C235" s="6" t="str">
        <v>Kontrolü aç</v>
      </c>
      <c r="D235" s="6" t="str">
        <v>Kaynakta verilen teknik ölçüt</v>
      </c>
    </row>
    <row r="236" ht="35" customHeight="1">
      <c r="A236" s="6" t="str">
        <v>FGC-008</v>
      </c>
      <c r="B236" s="6" t="str">
        <v>FortiGate VDOM</v>
      </c>
      <c r="C236" s="6" t="str">
        <v>Kontrolü aç</v>
      </c>
      <c r="D236" s="6" t="str">
        <v>Kaynakta verilen teknik ölçüt</v>
      </c>
    </row>
    <row r="237" ht="35" customHeight="1">
      <c r="A237" s="6" t="str">
        <v>FGC-009</v>
      </c>
      <c r="B237" s="6" t="str">
        <v>FortiGate VDOM</v>
      </c>
      <c r="C237" s="6" t="str">
        <v>Kontrolü aç</v>
      </c>
      <c r="D237" s="6" t="str">
        <v>Kaynakta verilen teknik ölçüt</v>
      </c>
    </row>
    <row r="238" ht="35" customHeight="1">
      <c r="A238" s="6" t="str">
        <v>FGC-010</v>
      </c>
      <c r="B238" s="6" t="str">
        <v>FortiGate VDOM</v>
      </c>
      <c r="C238" s="6" t="str">
        <v>Kontrolü aç</v>
      </c>
      <c r="D238" s="6" t="str">
        <v>Kaynakta verilen teknik ölçüt</v>
      </c>
    </row>
    <row r="239" ht="35" customHeight="1">
      <c r="A239" s="6" t="str">
        <v>FGC-011</v>
      </c>
      <c r="B239" s="6" t="str">
        <v>FortiGate VDOM</v>
      </c>
      <c r="C239" s="6" t="str">
        <v>Kontrolü aç</v>
      </c>
      <c r="D239" s="6" t="str">
        <v>Kaynakta verilen teknik ölçüt</v>
      </c>
    </row>
    <row r="240" ht="35" customHeight="1">
      <c r="A240" s="6" t="str">
        <v>FGC-012</v>
      </c>
      <c r="B240" s="6" t="str">
        <v>FortiGate VDOM</v>
      </c>
      <c r="C240" s="6" t="str">
        <v>Kontrolü aç</v>
      </c>
      <c r="D240" s="6" t="str">
        <v>Kaynakta verilen teknik ölçüt</v>
      </c>
    </row>
    <row r="241" ht="35" customHeight="1">
      <c r="A241" s="6" t="str">
        <v>FGC-013</v>
      </c>
      <c r="B241" s="6" t="str">
        <v>FortiGate VDOM</v>
      </c>
      <c r="C241" s="6" t="str">
        <v>Kontrolü aç</v>
      </c>
      <c r="D241" s="6" t="str">
        <v>Kaynakta verilen teknik ölçüt</v>
      </c>
    </row>
    <row r="242" ht="35" customHeight="1">
      <c r="A242" s="6" t="str">
        <v>FGC-014</v>
      </c>
      <c r="B242" s="6" t="str">
        <v>FortiGate VDOM</v>
      </c>
      <c r="C242" s="6" t="str">
        <v>Kontrolü aç</v>
      </c>
      <c r="D242" s="6" t="str">
        <v>Kaynakta verilen teknik ölçüt</v>
      </c>
    </row>
    <row r="243" ht="35" customHeight="1">
      <c r="A243" s="6" t="str">
        <v>FGC-015</v>
      </c>
      <c r="B243" s="6" t="str">
        <v>FortiGate VDOM</v>
      </c>
      <c r="C243" s="6" t="str">
        <v>Kontrolü aç</v>
      </c>
      <c r="D243" s="6" t="str">
        <v>Kaynakta verilen teknik ölçüt</v>
      </c>
    </row>
    <row r="244" ht="35" customHeight="1">
      <c r="A244" s="6" t="str">
        <v>FGC-016</v>
      </c>
      <c r="B244" s="6" t="str">
        <v>FortiGate VDOM</v>
      </c>
      <c r="C244" s="6" t="str">
        <v>Kontrolü aç</v>
      </c>
      <c r="D244" s="6" t="str">
        <v>Kaynakta verilen teknik ölçüt</v>
      </c>
    </row>
    <row r="245" ht="35" customHeight="1">
      <c r="A245" s="6" t="str">
        <v>FGC-017</v>
      </c>
      <c r="B245" s="6" t="str">
        <v>FortiGate VDOM</v>
      </c>
      <c r="C245" s="6" t="str">
        <v>Kontrolü aç</v>
      </c>
      <c r="D245" s="6" t="str">
        <v>Kaynakta verilen teknik ölçüt</v>
      </c>
    </row>
    <row r="246" ht="35" customHeight="1">
      <c r="A246" s="6" t="str">
        <v>FGC-018</v>
      </c>
      <c r="B246" s="6" t="str">
        <v>FortiGate VDOM</v>
      </c>
      <c r="C246" s="6" t="str">
        <v>Kontrolü aç</v>
      </c>
      <c r="D246" s="6" t="str">
        <v>Kaynakta verilen teknik ölçüt</v>
      </c>
    </row>
    <row r="247" ht="35" customHeight="1">
      <c r="A247" s="6" t="str">
        <v>FGC-019</v>
      </c>
      <c r="B247" s="6" t="str">
        <v>FortiGate VDOM</v>
      </c>
      <c r="C247" s="6" t="str">
        <v>Kontrolü aç</v>
      </c>
      <c r="D247" s="6" t="str">
        <v>Kaynakta verilen teknik ölçüt</v>
      </c>
    </row>
    <row r="248" ht="35" customHeight="1">
      <c r="A248" s="6" t="str">
        <v>FGC-021</v>
      </c>
      <c r="B248" s="6" t="str">
        <v>FortiGate VDOM</v>
      </c>
      <c r="C248" s="6" t="str">
        <v>Kontrolü aç</v>
      </c>
      <c r="D248" s="6" t="str">
        <v>Kaynakta verilen teknik ölçüt</v>
      </c>
    </row>
    <row r="249" ht="35" customHeight="1">
      <c r="A249" s="6" t="str">
        <v>FGC-022</v>
      </c>
      <c r="B249" s="6" t="str">
        <v>FortiGate VDOM</v>
      </c>
      <c r="C249" s="6" t="str">
        <v>Kontrolü aç</v>
      </c>
      <c r="D249" s="6" t="str">
        <v>Kaynakta verilen teknik ölçüt</v>
      </c>
    </row>
    <row r="250" ht="35" customHeight="1">
      <c r="A250" s="6" t="str">
        <v>FGC-023</v>
      </c>
      <c r="B250" s="6" t="str">
        <v>FortiGate VDOM</v>
      </c>
      <c r="C250" s="6" t="str">
        <v>Kontrolü aç</v>
      </c>
      <c r="D250" s="6" t="str">
        <v>Kaynakta verilen teknik ölçüt</v>
      </c>
    </row>
    <row r="251" ht="35" customHeight="1">
      <c r="A251" s="6" t="str">
        <v>FGC-024</v>
      </c>
      <c r="B251" s="6" t="str">
        <v>FortiGate VDOM</v>
      </c>
      <c r="C251" s="6" t="str">
        <v>Kontrolü aç</v>
      </c>
      <c r="D251" s="6" t="str">
        <v>Kaynakta verilen teknik ölçüt</v>
      </c>
    </row>
    <row r="252" ht="35" customHeight="1">
      <c r="A252" s="6" t="str">
        <v>FGC-025</v>
      </c>
      <c r="B252" s="6" t="str">
        <v>FortiGate VDOM</v>
      </c>
      <c r="C252" s="6" t="str">
        <v>Kontrolü aç</v>
      </c>
      <c r="D252" s="6" t="str">
        <v>Kaynakta verilen teknik ölçüt</v>
      </c>
    </row>
    <row r="253" ht="35" customHeight="1">
      <c r="A253" s="6" t="str">
        <v>FGC-026</v>
      </c>
      <c r="B253" s="6" t="str">
        <v>FortiGate VDOM</v>
      </c>
      <c r="C253" s="6" t="str">
        <v>Kontrolü aç</v>
      </c>
      <c r="D253" s="6" t="str">
        <v>Kaynakta verilen teknik ölçüt</v>
      </c>
    </row>
    <row r="254" ht="35" customHeight="1">
      <c r="A254" s="6" t="str">
        <v>FGC-027</v>
      </c>
      <c r="B254" s="6" t="str">
        <v>FortiGate VDOM</v>
      </c>
      <c r="C254" s="6" t="str">
        <v>Kontrolü aç</v>
      </c>
      <c r="D254" s="6" t="str">
        <v>Kaynakta verilen teknik ölçüt</v>
      </c>
    </row>
    <row r="255" ht="35" customHeight="1">
      <c r="A255" s="6" t="str">
        <v>FGC-028</v>
      </c>
      <c r="B255" s="6" t="str">
        <v>FortiGate VDOM</v>
      </c>
      <c r="C255" s="6" t="str">
        <v>Kontrolü aç</v>
      </c>
      <c r="D255" s="6" t="str">
        <v>Kaynakta verilen teknik ölçüt</v>
      </c>
    </row>
    <row r="256" ht="35" customHeight="1">
      <c r="A256" s="6" t="str">
        <v>FGC-029</v>
      </c>
      <c r="B256" s="6" t="str">
        <v>FortiGate VDOM</v>
      </c>
      <c r="C256" s="6" t="str">
        <v>Kontrolü aç</v>
      </c>
      <c r="D256" s="6" t="str">
        <v>Kaynakta verilen teknik ölçüt</v>
      </c>
    </row>
    <row r="257" ht="35" customHeight="1">
      <c r="A257" s="6" t="str">
        <v>FGC-030</v>
      </c>
      <c r="B257" s="6" t="str">
        <v>FortiGate VDOM</v>
      </c>
      <c r="C257" s="6" t="str">
        <v>Kontrolü aç</v>
      </c>
      <c r="D257" s="6" t="str">
        <v>Kaynakta verilen teknik ölçüt</v>
      </c>
    </row>
    <row r="258" ht="35" customHeight="1">
      <c r="A258" s="6" t="str">
        <v>FGC-031</v>
      </c>
      <c r="B258" s="6" t="str">
        <v>FortiGate VDOM</v>
      </c>
      <c r="C258" s="6" t="str">
        <v>Kontrolü aç</v>
      </c>
      <c r="D258" s="6" t="str">
        <v>Kaynakta verilen teknik ölçüt</v>
      </c>
    </row>
    <row r="259" ht="35" customHeight="1">
      <c r="A259" s="6" t="str">
        <v>FGC-032</v>
      </c>
      <c r="B259" s="6" t="str">
        <v>FortiGate VDOM</v>
      </c>
      <c r="C259" s="6" t="str">
        <v>Kontrolü aç</v>
      </c>
      <c r="D259" s="6" t="str">
        <v>Kaynakta verilen teknik ölçüt</v>
      </c>
    </row>
    <row r="260" ht="35" customHeight="1">
      <c r="A260" s="6" t="str">
        <v>FGC-033</v>
      </c>
      <c r="B260" s="6" t="str">
        <v>FortiGate VDOM</v>
      </c>
      <c r="C260" s="6" t="str">
        <v>Kontrolü aç</v>
      </c>
      <c r="D260" s="6" t="str">
        <v>Kaynakta verilen teknik ölçüt</v>
      </c>
    </row>
    <row r="261" ht="35" customHeight="1">
      <c r="A261" s="6" t="str">
        <v>FGT-007</v>
      </c>
      <c r="B261" s="6" t="str">
        <v>FortiGate VDOM</v>
      </c>
      <c r="C261" s="6" t="str">
        <v>Kontrolü aç</v>
      </c>
      <c r="D261" s="6" t="str">
        <v>Kaynağın kontrol amacına dayalı denetçi test tasarımı</v>
      </c>
    </row>
    <row r="262" ht="35" customHeight="1">
      <c r="A262" s="6" t="str">
        <v>FGT-008</v>
      </c>
      <c r="B262" s="6" t="str">
        <v>FortiGate VDOM</v>
      </c>
      <c r="C262" s="6" t="str">
        <v>Kontrolü aç</v>
      </c>
      <c r="D262" s="6" t="str">
        <v>Kaynağın kontrol amacına dayalı denetçi test tasarımı</v>
      </c>
    </row>
    <row r="263" ht="35" customHeight="1">
      <c r="A263" s="6" t="str">
        <v>FGT-010</v>
      </c>
      <c r="B263" s="6" t="str">
        <v>FortiGate VDOM</v>
      </c>
      <c r="C263" s="6" t="str">
        <v>Kontrolü aç</v>
      </c>
      <c r="D263" s="6" t="str">
        <v>Kaynağın kontrol amacına dayalı denetçi test tasarımı</v>
      </c>
    </row>
    <row r="264" ht="35" customHeight="1">
      <c r="A264" s="6" t="str">
        <v>FGT-011</v>
      </c>
      <c r="B264" s="6" t="str">
        <v>FortiGate VDOM</v>
      </c>
      <c r="C264" s="6" t="str">
        <v>Kontrolü aç</v>
      </c>
      <c r="D264" s="6" t="str">
        <v>Kaynağın kontrol amacına dayalı denetçi test tasarımı</v>
      </c>
    </row>
    <row r="265" ht="35" customHeight="1">
      <c r="A265" s="6" t="str">
        <v>FGT-013</v>
      </c>
      <c r="B265" s="6" t="str">
        <v>FortiGate VDOM</v>
      </c>
      <c r="C265" s="6" t="str">
        <v>Kontrolü aç</v>
      </c>
      <c r="D265" s="6" t="str">
        <v>Kaynağın kontrol amacına dayalı denetçi test tasarımı</v>
      </c>
    </row>
    <row r="266" ht="35" customHeight="1">
      <c r="A266" s="6" t="str">
        <v>FTG-V01-04</v>
      </c>
      <c r="B266" s="6" t="str">
        <v>FortiGate VDOM</v>
      </c>
      <c r="C266" s="6" t="str">
        <v>Kontrolü aç</v>
      </c>
      <c r="D266" s="6" t="str">
        <v>Kaynağın kontrol amacına dayalı denetçi test tasarımı</v>
      </c>
    </row>
    <row r="267" ht="35" customHeight="1">
      <c r="A267" s="6" t="str">
        <v>FTG-V02-02</v>
      </c>
      <c r="B267" s="6" t="str">
        <v>FortiGate VDOM</v>
      </c>
      <c r="C267" s="6" t="str">
        <v>Kontrolü aç</v>
      </c>
      <c r="D267" s="6" t="str">
        <v>Kaynağın kontrol amacına dayalı denetçi test tasarımı</v>
      </c>
    </row>
    <row r="268" ht="35" customHeight="1">
      <c r="A268" s="6" t="str">
        <v>FTG-V06-01</v>
      </c>
      <c r="B268" s="6" t="str">
        <v>FortiGate VDOM</v>
      </c>
      <c r="C268" s="6" t="str">
        <v>Kontrolü aç</v>
      </c>
      <c r="D268" s="6" t="str">
        <v>Kaynağın kontrol amacına dayalı denetçi test tasarımı</v>
      </c>
    </row>
    <row r="269" ht="35" customHeight="1">
      <c r="A269" s="6" t="str">
        <v>FTG-V06-02</v>
      </c>
      <c r="B269" s="6" t="str">
        <v>FortiGate VDOM</v>
      </c>
      <c r="C269" s="6" t="str">
        <v>Kontrolü aç</v>
      </c>
      <c r="D269" s="6" t="str">
        <v>Kaynağın kontrol amacına dayalı denetçi test tasarımı</v>
      </c>
    </row>
    <row r="270" ht="35" customHeight="1">
      <c r="A270" s="6" t="str">
        <v>FTG-V06-03</v>
      </c>
      <c r="B270" s="6" t="str">
        <v>FortiGate VDOM</v>
      </c>
      <c r="C270" s="6" t="str">
        <v>Kontrolü aç</v>
      </c>
      <c r="D270" s="6" t="str">
        <v>Kaynağın kontrol amacına dayalı denetçi test tasarımı</v>
      </c>
    </row>
    <row r="271" ht="35" customHeight="1">
      <c r="A271" s="6" t="str">
        <v>FTG-V09-02</v>
      </c>
      <c r="B271" s="6" t="str">
        <v>FortiGate VDOM</v>
      </c>
      <c r="C271" s="6" t="str">
        <v>Kontrolü aç</v>
      </c>
      <c r="D271" s="6" t="str">
        <v>Kaynağın kontrol amacına dayalı denetçi test tasarımı</v>
      </c>
    </row>
    <row r="272" ht="35" customHeight="1">
      <c r="A272" s="6" t="str">
        <v>FTG-V12-01</v>
      </c>
      <c r="B272" s="6" t="str">
        <v>FortiGate VDOM</v>
      </c>
      <c r="C272" s="6" t="str">
        <v>Kontrolü aç</v>
      </c>
      <c r="D272" s="6" t="str">
        <v>Kaynağın kontrol amacına dayalı denetçi test tasarımı</v>
      </c>
    </row>
    <row r="273" ht="35" customHeight="1">
      <c r="A273" s="6" t="str">
        <v>FGC-020</v>
      </c>
      <c r="B273" s="6" t="str">
        <v>Forti IPS</v>
      </c>
      <c r="C273" s="6" t="str">
        <v>Kontrolü aç</v>
      </c>
      <c r="D273" s="6" t="str">
        <v>Kaynakta verilen teknik ölçüt</v>
      </c>
    </row>
    <row r="274" ht="35" customHeight="1">
      <c r="A274" s="6" t="str">
        <v>IPS-009</v>
      </c>
      <c r="B274" s="6" t="str">
        <v>Forti IPS</v>
      </c>
      <c r="C274" s="6" t="str">
        <v>Kontrolü aç</v>
      </c>
      <c r="D274" s="6" t="str">
        <v>Kaynağın kontrol amacına dayalı denetçi test tasarımı</v>
      </c>
    </row>
    <row r="275" ht="35" customHeight="1">
      <c r="A275" s="6" t="str">
        <v>IPS-010</v>
      </c>
      <c r="B275" s="6" t="str">
        <v>Forti IPS</v>
      </c>
      <c r="C275" s="6" t="str">
        <v>Kontrolü aç</v>
      </c>
      <c r="D275" s="6" t="str">
        <v>Kaynağın kontrol amacına dayalı denetçi test tasarımı</v>
      </c>
    </row>
    <row r="276" ht="35" customHeight="1">
      <c r="A276" s="6" t="str">
        <v>IPS-011</v>
      </c>
      <c r="B276" s="6" t="str">
        <v>Forti IPS</v>
      </c>
      <c r="C276" s="6" t="str">
        <v>Kontrolü aç</v>
      </c>
      <c r="D276" s="6" t="str">
        <v>Kaynağın kontrol amacına dayalı denetçi test tasarımı</v>
      </c>
    </row>
    <row r="277" ht="35" customHeight="1">
      <c r="A277" s="6" t="str">
        <v>IPS-012</v>
      </c>
      <c r="B277" s="6" t="str">
        <v>Forti IPS</v>
      </c>
      <c r="C277" s="6" t="str">
        <v>Kontrolü aç</v>
      </c>
      <c r="D277" s="6" t="str">
        <v>Kaynağın kontrol amacına dayalı denetçi test tasarımı</v>
      </c>
    </row>
    <row r="278" ht="35" customHeight="1">
      <c r="A278" s="6" t="str">
        <v>SPL-007</v>
      </c>
      <c r="B278" s="6" t="str">
        <v>Splunk SIEM</v>
      </c>
      <c r="C278" s="6" t="str">
        <v>Kontrolü aç</v>
      </c>
      <c r="D278" s="6" t="str">
        <v>Kaynağın kontrol amacına dayalı denetçi test tasarımı</v>
      </c>
    </row>
    <row r="279" ht="35" customHeight="1">
      <c r="A279" s="6" t="str">
        <v>SPL-008</v>
      </c>
      <c r="B279" s="6" t="str">
        <v>Splunk SIEM</v>
      </c>
      <c r="C279" s="6" t="str">
        <v>Kontrolü aç</v>
      </c>
      <c r="D279" s="6" t="str">
        <v>Kaynağın kontrol amacına dayalı denetçi test tasarımı</v>
      </c>
    </row>
    <row r="280" ht="35" customHeight="1">
      <c r="A280" s="6" t="str">
        <v>SPL-009</v>
      </c>
      <c r="B280" s="6" t="str">
        <v>Splunk SIEM</v>
      </c>
      <c r="C280" s="6" t="str">
        <v>Kontrolü aç</v>
      </c>
      <c r="D280" s="6" t="str">
        <v>Kaynağın kontrol amacına dayalı denetçi test tasarımı</v>
      </c>
    </row>
    <row r="281" ht="35" customHeight="1">
      <c r="A281" s="6" t="str">
        <v>SPL-010</v>
      </c>
      <c r="B281" s="6" t="str">
        <v>Splunk SIEM</v>
      </c>
      <c r="C281" s="6" t="str">
        <v>Kontrolü aç</v>
      </c>
      <c r="D281" s="6" t="str">
        <v>Kaynağın kontrol amacına dayalı denetçi test tasarımı</v>
      </c>
    </row>
    <row r="282" ht="35" customHeight="1">
      <c r="A282" s="6" t="str">
        <v>SPL-011</v>
      </c>
      <c r="B282" s="6" t="str">
        <v>Splunk SIEM</v>
      </c>
      <c r="C282" s="6" t="str">
        <v>Kontrolü aç</v>
      </c>
      <c r="D282" s="6" t="str">
        <v>Kaynağın kontrol amacına dayalı denetçi test tasarımı</v>
      </c>
    </row>
    <row r="283" ht="35" customHeight="1">
      <c r="A283" s="6" t="str">
        <v>SPL-012</v>
      </c>
      <c r="B283" s="6" t="str">
        <v>Splunk SIEM</v>
      </c>
      <c r="C283" s="6" t="str">
        <v>Kontrolü aç</v>
      </c>
      <c r="D283" s="6" t="str">
        <v>Kaynağın kontrol amacına dayalı denetçi test tasarımı</v>
      </c>
    </row>
    <row r="284" ht="35" customHeight="1">
      <c r="A284" s="6" t="str">
        <v>SPL-013</v>
      </c>
      <c r="B284" s="6" t="str">
        <v>Splunk SIEM</v>
      </c>
      <c r="C284" s="6" t="str">
        <v>Kontrolü aç</v>
      </c>
      <c r="D284" s="6" t="str">
        <v>Kaynağın kontrol amacına dayalı denetçi test tasarımı</v>
      </c>
    </row>
    <row r="285" ht="35" customHeight="1">
      <c r="A285" s="6" t="str">
        <v>SPL-014</v>
      </c>
      <c r="B285" s="6" t="str">
        <v>Splunk SIEM</v>
      </c>
      <c r="C285" s="6" t="str">
        <v>Kontrolü aç</v>
      </c>
      <c r="D285" s="6" t="str">
        <v>Kaynağın kontrol amacına dayalı denetçi test tasarımı</v>
      </c>
    </row>
    <row r="286" ht="35" customHeight="1">
      <c r="A286" s="6" t="str">
        <v>SPL-V03-01</v>
      </c>
      <c r="B286" s="6" t="str">
        <v>Splunk SIEM</v>
      </c>
      <c r="C286" s="6" t="str">
        <v>Kontrolü aç</v>
      </c>
      <c r="D286" s="6" t="str">
        <v>Kaynağın kontrol amacına dayalı denetçi test tasarımı</v>
      </c>
    </row>
    <row r="287" ht="35" customHeight="1">
      <c r="A287" s="6" t="str">
        <v>SPL-V04-01</v>
      </c>
      <c r="B287" s="6" t="str">
        <v>Splunk SIEM</v>
      </c>
      <c r="C287" s="6" t="str">
        <v>Kontrolü aç</v>
      </c>
      <c r="D287" s="6" t="str">
        <v>Kaynağın kontrol amacına dayalı denetçi test tasarımı</v>
      </c>
    </row>
    <row r="288" ht="35" customHeight="1">
      <c r="A288" s="6" t="str">
        <v>SPL-V04-02</v>
      </c>
      <c r="B288" s="6" t="str">
        <v>Splunk SIEM</v>
      </c>
      <c r="C288" s="6" t="str">
        <v>Kontrolü aç</v>
      </c>
      <c r="D288" s="6" t="str">
        <v>Kaynağın kontrol amacına dayalı denetçi test tasarımı</v>
      </c>
    </row>
    <row r="289" ht="35" customHeight="1">
      <c r="A289" s="6" t="str">
        <v>SPL-V05-03</v>
      </c>
      <c r="B289" s="6" t="str">
        <v>Splunk SIEM</v>
      </c>
      <c r="C289" s="6" t="str">
        <v>Kontrolü aç</v>
      </c>
      <c r="D289" s="6" t="str">
        <v>Kaynağın kontrol amacına dayalı denetçi test tasarımı</v>
      </c>
    </row>
    <row r="290" ht="35" customHeight="1">
      <c r="A290" s="6" t="str">
        <v>SPL-V07-01</v>
      </c>
      <c r="B290" s="6" t="str">
        <v>Splunk SIEM</v>
      </c>
      <c r="C290" s="6" t="str">
        <v>Kontrolü aç</v>
      </c>
      <c r="D290" s="6" t="str">
        <v>Kaynağın kontrol amacına dayalı denetçi test tasarımı</v>
      </c>
    </row>
    <row r="291" ht="35" customHeight="1">
      <c r="A291" s="6" t="str">
        <v>SPL-V09-01</v>
      </c>
      <c r="B291" s="6" t="str">
        <v>Splunk SIEM</v>
      </c>
      <c r="C291" s="6" t="str">
        <v>Kontrolü aç</v>
      </c>
      <c r="D291" s="6" t="str">
        <v>Kaynağın kontrol amacına dayalı denetçi test tasarımı</v>
      </c>
    </row>
    <row r="292" ht="35" customHeight="1">
      <c r="A292" s="6" t="str">
        <v>SPL-V10-01</v>
      </c>
      <c r="B292" s="6" t="str">
        <v>Splunk SIEM</v>
      </c>
      <c r="C292" s="6" t="str">
        <v>Kontrolü aç</v>
      </c>
      <c r="D292" s="6" t="str">
        <v>Kaynağın kontrol amacına dayalı denetçi test tasarımı</v>
      </c>
    </row>
    <row r="293" ht="35" customHeight="1">
      <c r="A293" s="6" t="str">
        <v>SPL-V10-03</v>
      </c>
      <c r="B293" s="6" t="str">
        <v>Splunk SIEM</v>
      </c>
      <c r="C293" s="6" t="str">
        <v>Kontrolü aç</v>
      </c>
      <c r="D293" s="6" t="str">
        <v>Kaynağın kontrol amacına dayalı denetçi test tasarımı</v>
      </c>
    </row>
    <row r="294" ht="35" customHeight="1">
      <c r="A294" s="6" t="str">
        <v>SPL-V10-04</v>
      </c>
      <c r="B294" s="6" t="str">
        <v>Splunk SIEM</v>
      </c>
      <c r="C294" s="6" t="str">
        <v>Kontrolü aç</v>
      </c>
      <c r="D294" s="6" t="str">
        <v>Kaynağın kontrol amacına dayalı denetçi test tasarımı</v>
      </c>
    </row>
    <row r="295" ht="35" customHeight="1">
      <c r="A295" s="6" t="str">
        <v>SPL-V11-01</v>
      </c>
      <c r="B295" s="6" t="str">
        <v>Splunk SIEM</v>
      </c>
      <c r="C295" s="6" t="str">
        <v>Kontrolü aç</v>
      </c>
      <c r="D295" s="6" t="str">
        <v>Kaynağın kontrol amacına dayalı denetçi test tasarımı</v>
      </c>
    </row>
    <row r="296" ht="35" customHeight="1">
      <c r="A296" s="6" t="str">
        <v>SPL-V11-02</v>
      </c>
      <c r="B296" s="6" t="str">
        <v>Splunk SIEM</v>
      </c>
      <c r="C296" s="6" t="str">
        <v>Kontrolü aç</v>
      </c>
      <c r="D296" s="6" t="str">
        <v>Kaynağın kontrol amacına dayalı denetçi test tasarımı</v>
      </c>
    </row>
    <row r="297" ht="35" customHeight="1">
      <c r="A297" s="6" t="str">
        <v>SPL-V13-01</v>
      </c>
      <c r="B297" s="6" t="str">
        <v>Splunk SIEM</v>
      </c>
      <c r="C297" s="6" t="str">
        <v>Kontrolü aç</v>
      </c>
      <c r="D297" s="6" t="str">
        <v>Kaynağın kontrol amacına dayalı denetçi test tasarımı</v>
      </c>
    </row>
    <row r="298" ht="35" customHeight="1">
      <c r="A298" s="6" t="str">
        <v>ESA-007</v>
      </c>
      <c r="B298" s="6" t="str">
        <v>IronPort Email Security</v>
      </c>
      <c r="C298" s="6" t="str">
        <v>Kontrolü aç</v>
      </c>
      <c r="D298" s="6" t="str">
        <v>Kaynağın kontrol amacına dayalı denetçi test tasarımı</v>
      </c>
    </row>
    <row r="299" ht="35" customHeight="1">
      <c r="A299" s="6" t="str">
        <v>ESA-008</v>
      </c>
      <c r="B299" s="6" t="str">
        <v>IronPort Email Security</v>
      </c>
      <c r="C299" s="6" t="str">
        <v>Kontrolü aç</v>
      </c>
      <c r="D299" s="6" t="str">
        <v>Kaynağın kontrol amacına dayalı denetçi test tasarımı</v>
      </c>
    </row>
    <row r="300" ht="35" customHeight="1">
      <c r="A300" s="6" t="str">
        <v>ESA-009</v>
      </c>
      <c r="B300" s="6" t="str">
        <v>IronPort Email Security</v>
      </c>
      <c r="C300" s="6" t="str">
        <v>Kontrolü aç</v>
      </c>
      <c r="D300" s="6" t="str">
        <v>Kaynağın kontrol amacına dayalı denetçi test tasarımı</v>
      </c>
    </row>
    <row r="301" ht="35" customHeight="1">
      <c r="A301" s="6" t="str">
        <v>ESA-010</v>
      </c>
      <c r="B301" s="6" t="str">
        <v>IronPort Email Security</v>
      </c>
      <c r="C301" s="6" t="str">
        <v>Kontrolü aç</v>
      </c>
      <c r="D301" s="6" t="str">
        <v>Kaynağın kontrol amacına dayalı denetçi test tasarımı</v>
      </c>
    </row>
    <row r="302" ht="35" customHeight="1">
      <c r="A302" s="6" t="str">
        <v>ESA-011</v>
      </c>
      <c r="B302" s="6" t="str">
        <v>IronPort Email Security</v>
      </c>
      <c r="C302" s="6" t="str">
        <v>Kontrolü aç</v>
      </c>
      <c r="D302" s="6" t="str">
        <v>Kaynağın kontrol amacına dayalı denetçi test tasarımı</v>
      </c>
    </row>
    <row r="303" ht="35" customHeight="1">
      <c r="A303" s="6" t="str">
        <v>ESA-012</v>
      </c>
      <c r="B303" s="6" t="str">
        <v>IronPort Email Security</v>
      </c>
      <c r="C303" s="6" t="str">
        <v>Kontrolü aç</v>
      </c>
      <c r="D303" s="6" t="str">
        <v>Kaynağın kontrol amacına dayalı denetçi test tasarımı</v>
      </c>
    </row>
    <row r="304" ht="35" customHeight="1">
      <c r="A304" s="6" t="str">
        <v>ESA-013</v>
      </c>
      <c r="B304" s="6" t="str">
        <v>IronPort Email Security</v>
      </c>
      <c r="C304" s="6" t="str">
        <v>Kontrolü aç</v>
      </c>
      <c r="D304" s="6" t="str">
        <v>Kaynağın kontrol amacına dayalı denetçi test tasarımı</v>
      </c>
    </row>
    <row r="305" ht="35" customHeight="1">
      <c r="A305" s="6" t="str">
        <v>ESA-V01-02</v>
      </c>
      <c r="B305" s="6" t="str">
        <v>IronPort Email Security</v>
      </c>
      <c r="C305" s="6" t="str">
        <v>Kontrolü aç</v>
      </c>
      <c r="D305" s="6" t="str">
        <v>Kaynağın kontrol amacına dayalı denetçi test tasarımı</v>
      </c>
    </row>
    <row r="306" ht="35" customHeight="1">
      <c r="A306" s="6" t="str">
        <v>ESA-V01-03</v>
      </c>
      <c r="B306" s="6" t="str">
        <v>IronPort Email Security</v>
      </c>
      <c r="C306" s="6" t="str">
        <v>Kontrolü aç</v>
      </c>
      <c r="D306" s="6" t="str">
        <v>Kaynağın kontrol amacına dayalı denetçi test tasarımı</v>
      </c>
    </row>
    <row r="307" ht="35" customHeight="1">
      <c r="A307" s="6" t="str">
        <v>ESA-V01-04</v>
      </c>
      <c r="B307" s="6" t="str">
        <v>IronPort Email Security</v>
      </c>
      <c r="C307" s="6" t="str">
        <v>Kontrolü aç</v>
      </c>
      <c r="D307" s="6" t="str">
        <v>Kaynağın kontrol amacına dayalı denetçi test tasarımı</v>
      </c>
    </row>
    <row r="308" ht="35" customHeight="1">
      <c r="A308" s="6" t="str">
        <v>ESA-V05-01</v>
      </c>
      <c r="B308" s="6" t="str">
        <v>IronPort Email Security</v>
      </c>
      <c r="C308" s="6" t="str">
        <v>Kontrolü aç</v>
      </c>
      <c r="D308" s="6" t="str">
        <v>Kaynağın kontrol amacına dayalı denetçi test tasarımı</v>
      </c>
    </row>
    <row r="309" ht="35" customHeight="1">
      <c r="A309" s="6" t="str">
        <v>ESA-V05-03</v>
      </c>
      <c r="B309" s="6" t="str">
        <v>IronPort Email Security</v>
      </c>
      <c r="C309" s="6" t="str">
        <v>Kontrolü aç</v>
      </c>
      <c r="D309" s="6" t="str">
        <v>Kaynağın kontrol amacına dayalı denetçi test tasarımı</v>
      </c>
    </row>
    <row r="310" ht="35" customHeight="1">
      <c r="A310" s="6" t="str">
        <v>ESA-V06-04</v>
      </c>
      <c r="B310" s="6" t="str">
        <v>IronPort Email Security</v>
      </c>
      <c r="C310" s="6" t="str">
        <v>Kontrolü aç</v>
      </c>
      <c r="D310" s="6" t="str">
        <v>Kaynağın kontrol amacına dayalı denetçi test tasarımı</v>
      </c>
    </row>
    <row r="311" ht="35" customHeight="1">
      <c r="A311" s="6" t="str">
        <v>ESA-V07-02</v>
      </c>
      <c r="B311" s="6" t="str">
        <v>IronPort Email Security</v>
      </c>
      <c r="C311" s="6" t="str">
        <v>Kontrolü aç</v>
      </c>
      <c r="D311" s="6" t="str">
        <v>Kaynağın kontrol amacına dayalı denetçi test tasarımı</v>
      </c>
    </row>
    <row r="312" ht="35" customHeight="1">
      <c r="A312" s="6" t="str">
        <v>ESA-V08-01</v>
      </c>
      <c r="B312" s="6" t="str">
        <v>IronPort Email Security</v>
      </c>
      <c r="C312" s="6" t="str">
        <v>Kontrolü aç</v>
      </c>
      <c r="D312" s="6" t="str">
        <v>Kaynağın kontrol amacına dayalı denetçi test tasarımı</v>
      </c>
    </row>
    <row r="313" ht="35" customHeight="1">
      <c r="A313" s="6" t="str">
        <v>ESA-V08-03</v>
      </c>
      <c r="B313" s="6" t="str">
        <v>IronPort Email Security</v>
      </c>
      <c r="C313" s="6" t="str">
        <v>Kontrolü aç</v>
      </c>
      <c r="D313" s="6" t="str">
        <v>Kaynağın kontrol amacına dayalı denetçi test tasarımı</v>
      </c>
    </row>
    <row r="314" ht="35" customHeight="1">
      <c r="A314" s="6" t="str">
        <v>ESA-V09-01</v>
      </c>
      <c r="B314" s="6" t="str">
        <v>IronPort Email Security</v>
      </c>
      <c r="C314" s="6" t="str">
        <v>Kontrolü aç</v>
      </c>
      <c r="D314" s="6" t="str">
        <v>Kaynağın kontrol amacına dayalı denetçi test tasarımı</v>
      </c>
    </row>
    <row r="315" ht="35" customHeight="1">
      <c r="A315" s="6" t="str">
        <v>KNG-007</v>
      </c>
      <c r="B315" s="6" t="str">
        <v>Kong API Gateway</v>
      </c>
      <c r="C315" s="6" t="str">
        <v>Kontrolü aç</v>
      </c>
      <c r="D315" s="6" t="str">
        <v>Kaynağın kontrol amacına dayalı denetçi test tasarımı</v>
      </c>
    </row>
    <row r="316" ht="35" customHeight="1">
      <c r="A316" s="6" t="str">
        <v>KNG-008</v>
      </c>
      <c r="B316" s="6" t="str">
        <v>Kong API Gateway</v>
      </c>
      <c r="C316" s="6" t="str">
        <v>Kontrolü aç</v>
      </c>
      <c r="D316" s="6" t="str">
        <v>Kaynağın kontrol amacına dayalı denetçi test tasarımı</v>
      </c>
    </row>
    <row r="317" ht="35" customHeight="1">
      <c r="A317" s="6" t="str">
        <v>KNG-009</v>
      </c>
      <c r="B317" s="6" t="str">
        <v>Kong API Gateway</v>
      </c>
      <c r="C317" s="6" t="str">
        <v>Kontrolü aç</v>
      </c>
      <c r="D317" s="6" t="str">
        <v>Kaynağın kontrol amacına dayalı denetçi test tasarımı</v>
      </c>
    </row>
    <row r="318" ht="35" customHeight="1">
      <c r="A318" s="6" t="str">
        <v>KNG-010</v>
      </c>
      <c r="B318" s="6" t="str">
        <v>Kong API Gateway</v>
      </c>
      <c r="C318" s="6" t="str">
        <v>Kontrolü aç</v>
      </c>
      <c r="D318" s="6" t="str">
        <v>Kaynağın kontrol amacına dayalı denetçi test tasarımı</v>
      </c>
    </row>
    <row r="319" ht="35" customHeight="1">
      <c r="A319" s="6" t="str">
        <v>KNG-011</v>
      </c>
      <c r="B319" s="6" t="str">
        <v>Kong API Gateway</v>
      </c>
      <c r="C319" s="6" t="str">
        <v>Kontrolü aç</v>
      </c>
      <c r="D319" s="6" t="str">
        <v>Kaynağın kontrol amacına dayalı denetçi test tasarımı</v>
      </c>
    </row>
    <row r="320" ht="35" customHeight="1">
      <c r="A320" s="6" t="str">
        <v>KNG-012</v>
      </c>
      <c r="B320" s="6" t="str">
        <v>Kong API Gateway</v>
      </c>
      <c r="C320" s="6" t="str">
        <v>Kontrolü aç</v>
      </c>
      <c r="D320" s="6" t="str">
        <v>Kaynağın kontrol amacına dayalı denetçi test tasarımı</v>
      </c>
    </row>
    <row r="321" ht="35" customHeight="1">
      <c r="A321" s="6" t="str">
        <v>KNG-013</v>
      </c>
      <c r="B321" s="6" t="str">
        <v>Kong API Gateway</v>
      </c>
      <c r="C321" s="6" t="str">
        <v>Kontrolü aç</v>
      </c>
      <c r="D321" s="6" t="str">
        <v>Kaynağın kontrol amacına dayalı denetçi test tasarımı</v>
      </c>
    </row>
    <row r="322" ht="35" customHeight="1">
      <c r="A322" s="6" t="str">
        <v>KNG-014</v>
      </c>
      <c r="B322" s="6" t="str">
        <v>Kong API Gateway</v>
      </c>
      <c r="C322" s="6" t="str">
        <v>Kontrolü aç</v>
      </c>
      <c r="D322" s="6" t="str">
        <v>Kaynağın kontrol amacına dayalı denetçi test tasarımı</v>
      </c>
    </row>
    <row r="323" ht="35" customHeight="1">
      <c r="A323" s="6" t="str">
        <v>KNG-V02-02</v>
      </c>
      <c r="B323" s="6" t="str">
        <v>Kong API Gateway</v>
      </c>
      <c r="C323" s="6" t="str">
        <v>Kontrolü aç</v>
      </c>
      <c r="D323" s="6" t="str">
        <v>Kaynağın kontrol amacına dayalı denetçi test tasarımı</v>
      </c>
    </row>
    <row r="324" ht="35" customHeight="1">
      <c r="A324" s="6" t="str">
        <v>KNG-V05-01</v>
      </c>
      <c r="B324" s="6" t="str">
        <v>Kong API Gateway</v>
      </c>
      <c r="C324" s="6" t="str">
        <v>Kontrolü aç</v>
      </c>
      <c r="D324" s="6" t="str">
        <v>Kaynağın kontrol amacına dayalı denetçi test tasarımı</v>
      </c>
    </row>
    <row r="325" ht="35" customHeight="1">
      <c r="A325" s="6" t="str">
        <v>KNG-V05-03</v>
      </c>
      <c r="B325" s="6" t="str">
        <v>Kong API Gateway</v>
      </c>
      <c r="C325" s="6" t="str">
        <v>Kontrolü aç</v>
      </c>
      <c r="D325" s="6" t="str">
        <v>Kaynağın kontrol amacına dayalı denetçi test tasarımı</v>
      </c>
    </row>
    <row r="326" ht="35" customHeight="1">
      <c r="A326" s="6" t="str">
        <v>KNG-V06-01</v>
      </c>
      <c r="B326" s="6" t="str">
        <v>Kong API Gateway</v>
      </c>
      <c r="C326" s="6" t="str">
        <v>Kontrolü aç</v>
      </c>
      <c r="D326" s="6" t="str">
        <v>Kaynağın kontrol amacına dayalı denetçi test tasarımı</v>
      </c>
    </row>
    <row r="327" ht="35" customHeight="1">
      <c r="A327" s="6" t="str">
        <v>KNG-V07-02</v>
      </c>
      <c r="B327" s="6" t="str">
        <v>Kong API Gateway</v>
      </c>
      <c r="C327" s="6" t="str">
        <v>Kontrolü aç</v>
      </c>
      <c r="D327" s="6" t="str">
        <v>Kaynağın kontrol amacına dayalı denetçi test tasarımı</v>
      </c>
    </row>
    <row r="328" ht="35" customHeight="1">
      <c r="A328" s="6" t="str">
        <v>KNG-V08-01</v>
      </c>
      <c r="B328" s="6" t="str">
        <v>Kong API Gateway</v>
      </c>
      <c r="C328" s="6" t="str">
        <v>Kontrolü aç</v>
      </c>
      <c r="D328" s="6" t="str">
        <v>Kaynağın kontrol amacına dayalı denetçi test tasarımı</v>
      </c>
    </row>
    <row r="329" ht="35" customHeight="1">
      <c r="A329" s="6" t="str">
        <v>KNG-V08-02</v>
      </c>
      <c r="B329" s="6" t="str">
        <v>Kong API Gateway</v>
      </c>
      <c r="C329" s="6" t="str">
        <v>Kontrolü aç</v>
      </c>
      <c r="D329" s="6" t="str">
        <v>Kaynağın kontrol amacına dayalı denetçi test tasarımı</v>
      </c>
    </row>
    <row r="330" ht="35" customHeight="1">
      <c r="A330" s="6" t="str">
        <v>KNG-V08-03</v>
      </c>
      <c r="B330" s="6" t="str">
        <v>Kong API Gateway</v>
      </c>
      <c r="C330" s="6" t="str">
        <v>Kontrolü aç</v>
      </c>
      <c r="D330" s="6" t="str">
        <v>Kaynağın kontrol amacına dayalı denetçi test tasarımı</v>
      </c>
    </row>
    <row r="331" ht="35" customHeight="1">
      <c r="A331" s="6" t="str">
        <v>KNG-V09-01</v>
      </c>
      <c r="B331" s="6" t="str">
        <v>Kong API Gateway</v>
      </c>
      <c r="C331" s="6" t="str">
        <v>Kontrolü aç</v>
      </c>
      <c r="D331" s="6" t="str">
        <v>Kaynağın kontrol amacına dayalı denetçi test tasarımı</v>
      </c>
    </row>
    <row r="332" ht="35" customHeight="1">
      <c r="A332" s="6" t="str">
        <v>KNG-V09-02</v>
      </c>
      <c r="B332" s="6" t="str">
        <v>Kong API Gateway</v>
      </c>
      <c r="C332" s="6" t="str">
        <v>Kontrolü aç</v>
      </c>
      <c r="D332" s="6" t="str">
        <v>Kaynağın kontrol amacına dayalı denetçi test tasarımı</v>
      </c>
    </row>
    <row r="333" ht="35" customHeight="1">
      <c r="A333" s="6" t="str">
        <v>KNG-V09-03</v>
      </c>
      <c r="B333" s="6" t="str">
        <v>Kong API Gateway</v>
      </c>
      <c r="C333" s="6" t="str">
        <v>Kontrolü aç</v>
      </c>
      <c r="D333" s="6" t="str">
        <v>Kaynağın kontrol amacına dayalı denetçi test tasarımı</v>
      </c>
    </row>
    <row r="334" ht="35" customHeight="1">
      <c r="A334" s="6" t="str">
        <v>KNG-V10-01</v>
      </c>
      <c r="B334" s="6" t="str">
        <v>Kong API Gateway</v>
      </c>
      <c r="C334" s="6" t="str">
        <v>Kontrolü aç</v>
      </c>
      <c r="D334" s="6" t="str">
        <v>Kaynağın kontrol amacına dayalı denetçi test tasarımı</v>
      </c>
    </row>
    <row r="335" ht="35" customHeight="1">
      <c r="A335" s="6" t="str">
        <v>KNG-V10-02</v>
      </c>
      <c r="B335" s="6" t="str">
        <v>Kong API Gateway</v>
      </c>
      <c r="C335" s="6" t="str">
        <v>Kontrolü aç</v>
      </c>
      <c r="D335" s="6" t="str">
        <v>Kaynağın kontrol amacına dayalı denetçi test tasarımı</v>
      </c>
    </row>
    <row r="336" ht="35" customHeight="1">
      <c r="A336" s="6" t="str">
        <v>KNG-V12-02</v>
      </c>
      <c r="B336" s="6" t="str">
        <v>Kong API Gateway</v>
      </c>
      <c r="C336" s="6" t="str">
        <v>Kontrolü aç</v>
      </c>
      <c r="D336" s="6" t="str">
        <v>Kaynağın kontrol amacına dayalı denetçi test tasarımı</v>
      </c>
    </row>
    <row r="337" ht="35" customHeight="1">
      <c r="A337" s="6" t="str">
        <v>KNG-V12-03</v>
      </c>
      <c r="B337" s="6" t="str">
        <v>Kong API Gateway</v>
      </c>
      <c r="C337" s="6" t="str">
        <v>Kontrolü aç</v>
      </c>
      <c r="D337" s="6" t="str">
        <v>Kaynağın kontrol amacına dayalı denetçi test tasarımı</v>
      </c>
    </row>
    <row r="338" ht="35" customHeight="1">
      <c r="A338" s="6" t="str">
        <v>KNG-V14-01</v>
      </c>
      <c r="B338" s="6" t="str">
        <v>Kong API Gateway</v>
      </c>
      <c r="C338" s="6" t="str">
        <v>Kontrolü aç</v>
      </c>
      <c r="D338" s="6" t="str">
        <v>Kaynağın kontrol amacına dayalı denetçi test tasarımı</v>
      </c>
    </row>
    <row r="339" ht="35" customHeight="1">
      <c r="A339" s="6" t="str">
        <v>KNG-V14-02</v>
      </c>
      <c r="B339" s="6" t="str">
        <v>Kong API Gateway</v>
      </c>
      <c r="C339" s="6" t="str">
        <v>Kontrolü aç</v>
      </c>
      <c r="D339" s="6" t="str">
        <v>Kaynağın kontrol amacına dayalı denetçi test tasarımı</v>
      </c>
    </row>
    <row r="340" ht="35" customHeight="1">
      <c r="A340" s="6" t="str">
        <v>KNG-V15-01</v>
      </c>
      <c r="B340" s="6" t="str">
        <v>Kong API Gateway</v>
      </c>
      <c r="C340" s="6" t="str">
        <v>Kontrolü aç</v>
      </c>
      <c r="D340" s="6" t="str">
        <v>Kaynağın kontrol amacına dayalı denetçi test tasarımı</v>
      </c>
    </row>
    <row r="341" ht="35" customHeight="1">
      <c r="A341" s="6" t="str">
        <v>PAM-007</v>
      </c>
      <c r="B341" s="6" t="str">
        <v>CyberArk PAM</v>
      </c>
      <c r="C341" s="6" t="str">
        <v>Kontrolü aç</v>
      </c>
      <c r="D341" s="6" t="str">
        <v>Kaynağın kontrol amacına dayalı denetçi test tasarımı</v>
      </c>
    </row>
    <row r="342" ht="35" customHeight="1">
      <c r="A342" s="6" t="str">
        <v>PAM-008</v>
      </c>
      <c r="B342" s="6" t="str">
        <v>CyberArk PAM</v>
      </c>
      <c r="C342" s="6" t="str">
        <v>Kontrolü aç</v>
      </c>
      <c r="D342" s="6" t="str">
        <v>Kaynağın kontrol amacına dayalı denetçi test tasarımı</v>
      </c>
    </row>
    <row r="343" ht="35" customHeight="1">
      <c r="A343" s="6" t="str">
        <v>PAM-009</v>
      </c>
      <c r="B343" s="6" t="str">
        <v>CyberArk PAM</v>
      </c>
      <c r="C343" s="6" t="str">
        <v>Kontrolü aç</v>
      </c>
      <c r="D343" s="6" t="str">
        <v>Kaynağın kontrol amacına dayalı denetçi test tasarımı</v>
      </c>
    </row>
    <row r="344" ht="35" customHeight="1">
      <c r="A344" s="6" t="str">
        <v>PAM-010</v>
      </c>
      <c r="B344" s="6" t="str">
        <v>CyberArk PAM</v>
      </c>
      <c r="C344" s="6" t="str">
        <v>Kontrolü aç</v>
      </c>
      <c r="D344" s="6" t="str">
        <v>Kaynağın kontrol amacına dayalı denetçi test tasarımı</v>
      </c>
    </row>
    <row r="345" ht="35" customHeight="1">
      <c r="A345" s="6" t="str">
        <v>PAM-011</v>
      </c>
      <c r="B345" s="6" t="str">
        <v>CyberArk PAM</v>
      </c>
      <c r="C345" s="6" t="str">
        <v>Kontrolü aç</v>
      </c>
      <c r="D345" s="6" t="str">
        <v>Kaynağın kontrol amacına dayalı denetçi test tasarımı</v>
      </c>
    </row>
    <row r="346" ht="35" customHeight="1">
      <c r="A346" s="6" t="str">
        <v>PAM-012</v>
      </c>
      <c r="B346" s="6" t="str">
        <v>CyberArk PAM</v>
      </c>
      <c r="C346" s="6" t="str">
        <v>Kontrolü aç</v>
      </c>
      <c r="D346" s="6" t="str">
        <v>Kaynağın kontrol amacına dayalı denetçi test tasarımı</v>
      </c>
    </row>
    <row r="347" ht="35" customHeight="1">
      <c r="A347" s="6" t="str">
        <v>PAM-013</v>
      </c>
      <c r="B347" s="6" t="str">
        <v>CyberArk PAM</v>
      </c>
      <c r="C347" s="6" t="str">
        <v>Kontrolü aç</v>
      </c>
      <c r="D347" s="6" t="str">
        <v>Kaynağın kontrol amacına dayalı denetçi test tasarımı</v>
      </c>
    </row>
    <row r="348" ht="35" customHeight="1">
      <c r="A348" s="6" t="str">
        <v>PAM-014</v>
      </c>
      <c r="B348" s="6" t="str">
        <v>CyberArk PAM</v>
      </c>
      <c r="C348" s="6" t="str">
        <v>Kontrolü aç</v>
      </c>
      <c r="D348" s="6" t="str">
        <v>Kaynağın kontrol amacına dayalı denetçi test tasarımı</v>
      </c>
    </row>
    <row r="349" ht="35" customHeight="1">
      <c r="A349" s="6" t="str">
        <v>DLP-007</v>
      </c>
      <c r="B349" s="6" t="str">
        <v>Forcepoint DLP</v>
      </c>
      <c r="C349" s="6" t="str">
        <v>Kontrolü aç</v>
      </c>
      <c r="D349" s="6" t="str">
        <v>Kaynağın kontrol amacına dayalı denetçi test tasarımı</v>
      </c>
    </row>
    <row r="350" ht="35" customHeight="1">
      <c r="A350" s="6" t="str">
        <v>DLP-008</v>
      </c>
      <c r="B350" s="6" t="str">
        <v>Forcepoint DLP</v>
      </c>
      <c r="C350" s="6" t="str">
        <v>Kontrolü aç</v>
      </c>
      <c r="D350" s="6" t="str">
        <v>Kaynağın kontrol amacına dayalı denetçi test tasarımı</v>
      </c>
    </row>
    <row r="351" ht="35" customHeight="1">
      <c r="A351" s="6" t="str">
        <v>DLP-009</v>
      </c>
      <c r="B351" s="6" t="str">
        <v>Forcepoint DLP</v>
      </c>
      <c r="C351" s="6" t="str">
        <v>Kontrolü aç</v>
      </c>
      <c r="D351" s="6" t="str">
        <v>Kaynağın kontrol amacına dayalı denetçi test tasarımı</v>
      </c>
    </row>
    <row r="352" ht="35" customHeight="1">
      <c r="A352" s="6" t="str">
        <v>DLP-010</v>
      </c>
      <c r="B352" s="6" t="str">
        <v>Forcepoint DLP</v>
      </c>
      <c r="C352" s="6" t="str">
        <v>Kontrolü aç</v>
      </c>
      <c r="D352" s="6" t="str">
        <v>Kaynağın kontrol amacına dayalı denetçi test tasarımı</v>
      </c>
    </row>
    <row r="353" ht="35" customHeight="1">
      <c r="A353" s="6" t="str">
        <v>DLP-011</v>
      </c>
      <c r="B353" s="6" t="str">
        <v>Forcepoint DLP</v>
      </c>
      <c r="C353" s="6" t="str">
        <v>Kontrolü aç</v>
      </c>
      <c r="D353" s="6" t="str">
        <v>Kaynağın kontrol amacına dayalı denetçi test tasarımı</v>
      </c>
    </row>
    <row r="354" ht="35" customHeight="1">
      <c r="A354" s="6" t="str">
        <v>DLP-012</v>
      </c>
      <c r="B354" s="6" t="str">
        <v>Forcepoint DLP</v>
      </c>
      <c r="C354" s="6" t="str">
        <v>Kontrolü aç</v>
      </c>
      <c r="D354" s="6" t="str">
        <v>Kaynağın kontrol amacına dayalı denetçi test tasarımı</v>
      </c>
    </row>
    <row r="355" ht="35" customHeight="1">
      <c r="A355" s="6" t="str">
        <v>DLP-013</v>
      </c>
      <c r="B355" s="6" t="str">
        <v>Forcepoint DLP</v>
      </c>
      <c r="C355" s="6" t="str">
        <v>Kontrolü aç</v>
      </c>
      <c r="D355" s="6" t="str">
        <v>Kaynağın kontrol amacına dayalı denetçi test tasarımı</v>
      </c>
    </row>
    <row r="356" ht="35" customHeight="1">
      <c r="A356" s="6" t="str">
        <v>DLP-014</v>
      </c>
      <c r="B356" s="6" t="str">
        <v>Forcepoint DLP</v>
      </c>
      <c r="C356" s="6" t="str">
        <v>Kontrolü aç</v>
      </c>
      <c r="D356" s="6" t="str">
        <v>Kaynağın kontrol amacına dayalı denetçi test tasarımı</v>
      </c>
    </row>
    <row r="357" ht="35" customHeight="1">
      <c r="A357" s="6" t="str">
        <v>ZBX-007</v>
      </c>
      <c r="B357" s="6" t="str">
        <v>Zabbix</v>
      </c>
      <c r="C357" s="6" t="str">
        <v>Kontrolü aç</v>
      </c>
      <c r="D357" s="6" t="str">
        <v>Kaynağın kontrol amacına dayalı denetçi test tasarımı</v>
      </c>
    </row>
    <row r="358" ht="35" customHeight="1">
      <c r="A358" s="6" t="str">
        <v>ZBX-008</v>
      </c>
      <c r="B358" s="6" t="str">
        <v>Zabbix</v>
      </c>
      <c r="C358" s="6" t="str">
        <v>Kontrolü aç</v>
      </c>
      <c r="D358" s="6" t="str">
        <v>Kaynağın kontrol amacına dayalı denetçi test tasarımı</v>
      </c>
    </row>
    <row r="359" ht="35" customHeight="1">
      <c r="A359" s="6" t="str">
        <v>ZBX-009</v>
      </c>
      <c r="B359" s="6" t="str">
        <v>Zabbix</v>
      </c>
      <c r="C359" s="6" t="str">
        <v>Kontrolü aç</v>
      </c>
      <c r="D359" s="6" t="str">
        <v>Kaynağın kontrol amacına dayalı denetçi test tasarımı</v>
      </c>
    </row>
    <row r="360" ht="35" customHeight="1">
      <c r="A360" s="6" t="str">
        <v>ZBX-010</v>
      </c>
      <c r="B360" s="6" t="str">
        <v>Zabbix</v>
      </c>
      <c r="C360" s="6" t="str">
        <v>Kontrolü aç</v>
      </c>
      <c r="D360" s="6" t="str">
        <v>Kaynağın kontrol amacına dayalı denetçi test tasarımı</v>
      </c>
    </row>
    <row r="361" ht="35" customHeight="1">
      <c r="A361" s="6" t="str">
        <v>ZBX-011</v>
      </c>
      <c r="B361" s="6" t="str">
        <v>Zabbix</v>
      </c>
      <c r="C361" s="6" t="str">
        <v>Kontrolü aç</v>
      </c>
      <c r="D361" s="6" t="str">
        <v>Kaynağın kontrol amacına dayalı denetçi test tasarımı</v>
      </c>
    </row>
    <row r="362" ht="35" customHeight="1">
      <c r="A362" s="6" t="str">
        <v>ZBX-012</v>
      </c>
      <c r="B362" s="6" t="str">
        <v>Zabbix</v>
      </c>
      <c r="C362" s="6" t="str">
        <v>Kontrolü aç</v>
      </c>
      <c r="D362" s="6" t="str">
        <v>Kaynağın kontrol amacına dayalı denetçi test tasarımı</v>
      </c>
    </row>
    <row r="363" ht="35" customHeight="1">
      <c r="A363" s="6" t="str">
        <v>ZBX-013</v>
      </c>
      <c r="B363" s="6" t="str">
        <v>Zabbix</v>
      </c>
      <c r="C363" s="6" t="str">
        <v>Kontrolü aç</v>
      </c>
      <c r="D363" s="6" t="str">
        <v>Kaynağın kontrol amacına dayalı denetçi test tasarımı</v>
      </c>
    </row>
    <row r="364" ht="35" customHeight="1">
      <c r="A364" s="6" t="str">
        <v>GRA-007</v>
      </c>
      <c r="B364" s="6" t="str">
        <v>Grafana</v>
      </c>
      <c r="C364" s="6" t="str">
        <v>Kontrolü aç</v>
      </c>
      <c r="D364" s="6" t="str">
        <v>Kaynağın kontrol amacına dayalı denetçi test tasarımı</v>
      </c>
    </row>
    <row r="365" ht="35" customHeight="1">
      <c r="A365" s="6" t="str">
        <v>GRA-008</v>
      </c>
      <c r="B365" s="6" t="str">
        <v>Grafana</v>
      </c>
      <c r="C365" s="6" t="str">
        <v>Kontrolü aç</v>
      </c>
      <c r="D365" s="6" t="str">
        <v>Kaynağın kontrol amacına dayalı denetçi test tasarımı</v>
      </c>
    </row>
    <row r="366" ht="35" customHeight="1">
      <c r="A366" s="6" t="str">
        <v>GRA-009</v>
      </c>
      <c r="B366" s="6" t="str">
        <v>Grafana</v>
      </c>
      <c r="C366" s="6" t="str">
        <v>Kontrolü aç</v>
      </c>
      <c r="D366" s="6" t="str">
        <v>Kaynağın kontrol amacına dayalı denetçi test tasarımı</v>
      </c>
    </row>
    <row r="367" ht="35" customHeight="1">
      <c r="A367" s="6" t="str">
        <v>GRA-010</v>
      </c>
      <c r="B367" s="6" t="str">
        <v>Grafana</v>
      </c>
      <c r="C367" s="6" t="str">
        <v>Kontrolü aç</v>
      </c>
      <c r="D367" s="6" t="str">
        <v>Kaynağın kontrol amacına dayalı denetçi test tasarımı</v>
      </c>
    </row>
    <row r="368" ht="35" customHeight="1">
      <c r="A368" s="6" t="str">
        <v>GRA-011</v>
      </c>
      <c r="B368" s="6" t="str">
        <v>Grafana</v>
      </c>
      <c r="C368" s="6" t="str">
        <v>Kontrolü aç</v>
      </c>
      <c r="D368" s="6" t="str">
        <v>Kaynağın kontrol amacına dayalı denetçi test tasarımı</v>
      </c>
    </row>
    <row r="369" ht="35" customHeight="1">
      <c r="A369" s="6" t="str">
        <v>GRA-012</v>
      </c>
      <c r="B369" s="6" t="str">
        <v>Grafana</v>
      </c>
      <c r="C369" s="6" t="str">
        <v>Kontrolü aç</v>
      </c>
      <c r="D369" s="6" t="str">
        <v>Kaynağın kontrol amacına dayalı denetçi test tasarımı</v>
      </c>
    </row>
    <row r="370" ht="35" customHeight="1">
      <c r="A370" s="6" t="str">
        <v>GRA-013</v>
      </c>
      <c r="B370" s="6" t="str">
        <v>Grafana</v>
      </c>
      <c r="C370" s="6" t="str">
        <v>Kontrolü aç</v>
      </c>
      <c r="D370" s="6" t="str">
        <v>Kaynağın kontrol amacına dayalı denetçi test tasarımı</v>
      </c>
    </row>
    <row r="371" ht="35" customHeight="1">
      <c r="A371" s="6" t="str">
        <v>MEC-007</v>
      </c>
      <c r="B371" s="6" t="str">
        <v>ManageEngine Endpoint Central</v>
      </c>
      <c r="C371" s="6" t="str">
        <v>Kontrolü aç</v>
      </c>
      <c r="D371" s="6" t="str">
        <v>Kaynağın kontrol amacına dayalı denetçi test tasarımı</v>
      </c>
    </row>
    <row r="372" ht="35" customHeight="1">
      <c r="A372" s="6" t="str">
        <v>MEC-008</v>
      </c>
      <c r="B372" s="6" t="str">
        <v>ManageEngine Endpoint Central</v>
      </c>
      <c r="C372" s="6" t="str">
        <v>Kontrolü aç</v>
      </c>
      <c r="D372" s="6" t="str">
        <v>Kaynağın kontrol amacına dayalı denetçi test tasarımı</v>
      </c>
    </row>
    <row r="373" ht="35" customHeight="1">
      <c r="A373" s="6" t="str">
        <v>MEC-009</v>
      </c>
      <c r="B373" s="6" t="str">
        <v>ManageEngine Endpoint Central</v>
      </c>
      <c r="C373" s="6" t="str">
        <v>Kontrolü aç</v>
      </c>
      <c r="D373" s="6" t="str">
        <v>Kaynağın kontrol amacına dayalı denetçi test tasarımı</v>
      </c>
    </row>
    <row r="374" ht="35" customHeight="1">
      <c r="A374" s="6" t="str">
        <v>MEC-010</v>
      </c>
      <c r="B374" s="6" t="str">
        <v>ManageEngine Endpoint Central</v>
      </c>
      <c r="C374" s="6" t="str">
        <v>Kontrolü aç</v>
      </c>
      <c r="D374" s="6" t="str">
        <v>Kaynağın kontrol amacına dayalı denetçi test tasarımı</v>
      </c>
    </row>
    <row r="375" ht="35" customHeight="1">
      <c r="A375" s="6" t="str">
        <v>MEC-011</v>
      </c>
      <c r="B375" s="6" t="str">
        <v>ManageEngine Endpoint Central</v>
      </c>
      <c r="C375" s="6" t="str">
        <v>Kontrolü aç</v>
      </c>
      <c r="D375" s="6" t="str">
        <v>Kaynağın kontrol amacına dayalı denetçi test tasarımı</v>
      </c>
    </row>
    <row r="376" ht="35" customHeight="1">
      <c r="A376" s="6" t="str">
        <v>MEC-012</v>
      </c>
      <c r="B376" s="6" t="str">
        <v>ManageEngine Endpoint Central</v>
      </c>
      <c r="C376" s="6" t="str">
        <v>Kontrolü aç</v>
      </c>
      <c r="D376" s="6" t="str">
        <v>Kaynağın kontrol amacına dayalı denetçi test tasarımı</v>
      </c>
    </row>
    <row r="377" ht="35" customHeight="1">
      <c r="A377" s="6" t="str">
        <v>MEC-013</v>
      </c>
      <c r="B377" s="6" t="str">
        <v>ManageEngine Endpoint Central</v>
      </c>
      <c r="C377" s="6" t="str">
        <v>Kontrolü aç</v>
      </c>
      <c r="D377" s="6" t="str">
        <v>Kaynağın kontrol amacına dayalı denetçi test tasarımı</v>
      </c>
    </row>
    <row r="378" ht="35" customHeight="1">
      <c r="A378" s="6" t="str">
        <v>MEC-014</v>
      </c>
      <c r="B378" s="6" t="str">
        <v>ManageEngine Endpoint Central</v>
      </c>
      <c r="C378" s="6" t="str">
        <v>Kontrolü aç</v>
      </c>
      <c r="D378" s="6" t="str">
        <v>Kaynağın kontrol amacına dayalı denetçi test tasarımı</v>
      </c>
    </row>
    <row r="379" ht="35" customHeight="1">
      <c r="A379" s="6" t="str">
        <v>MEC-015</v>
      </c>
      <c r="B379" s="6" t="str">
        <v>ManageEngine Endpoint Central</v>
      </c>
      <c r="C379" s="6" t="str">
        <v>Kontrolü aç</v>
      </c>
      <c r="D379" s="6" t="str">
        <v>Kaynağın kontrol amacına dayalı denetçi test tasarımı</v>
      </c>
    </row>
    <row r="380" ht="35" customHeight="1">
      <c r="A380" s="6" t="str">
        <v>ENS-007</v>
      </c>
      <c r="B380" s="6" t="str">
        <v>Trellix Endpoint Security</v>
      </c>
      <c r="C380" s="6" t="str">
        <v>Kontrolü aç</v>
      </c>
      <c r="D380" s="6" t="str">
        <v>Kaynağın kontrol amacına dayalı denetçi test tasarımı</v>
      </c>
    </row>
    <row r="381" ht="35" customHeight="1">
      <c r="A381" s="6" t="str">
        <v>ENS-008</v>
      </c>
      <c r="B381" s="6" t="str">
        <v>Trellix Endpoint Security</v>
      </c>
      <c r="C381" s="6" t="str">
        <v>Kontrolü aç</v>
      </c>
      <c r="D381" s="6" t="str">
        <v>Kaynağın kontrol amacına dayalı denetçi test tasarımı</v>
      </c>
    </row>
    <row r="382" ht="35" customHeight="1">
      <c r="A382" s="6" t="str">
        <v>ENS-009</v>
      </c>
      <c r="B382" s="6" t="str">
        <v>Trellix Endpoint Security</v>
      </c>
      <c r="C382" s="6" t="str">
        <v>Kontrolü aç</v>
      </c>
      <c r="D382" s="6" t="str">
        <v>Kaynağın kontrol amacına dayalı denetçi test tasarımı</v>
      </c>
    </row>
    <row r="383" ht="35" customHeight="1">
      <c r="A383" s="6" t="str">
        <v>ENS-010</v>
      </c>
      <c r="B383" s="6" t="str">
        <v>Trellix Endpoint Security</v>
      </c>
      <c r="C383" s="6" t="str">
        <v>Kontrolü aç</v>
      </c>
      <c r="D383" s="6" t="str">
        <v>Kaynağın kontrol amacına dayalı denetçi test tasarımı</v>
      </c>
    </row>
    <row r="384" ht="35" customHeight="1">
      <c r="A384" s="6" t="str">
        <v>ENS-011</v>
      </c>
      <c r="B384" s="6" t="str">
        <v>Trellix Endpoint Security</v>
      </c>
      <c r="C384" s="6" t="str">
        <v>Kontrolü aç</v>
      </c>
      <c r="D384" s="6" t="str">
        <v>Kaynağın kontrol amacına dayalı denetçi test tasarımı</v>
      </c>
    </row>
    <row r="385" ht="35" customHeight="1">
      <c r="A385" s="6" t="str">
        <v>ENS-012</v>
      </c>
      <c r="B385" s="6" t="str">
        <v>Trellix Endpoint Security</v>
      </c>
      <c r="C385" s="6" t="str">
        <v>Kontrolü aç</v>
      </c>
      <c r="D385" s="6" t="str">
        <v>Kaynağın kontrol amacına dayalı denetçi test tasarımı</v>
      </c>
    </row>
    <row r="386" ht="35" customHeight="1">
      <c r="A386" s="6" t="str">
        <v>ENS-013</v>
      </c>
      <c r="B386" s="6" t="str">
        <v>Trellix Endpoint Security</v>
      </c>
      <c r="C386" s="6" t="str">
        <v>Kontrolü aç</v>
      </c>
      <c r="D386" s="6" t="str">
        <v>Kaynağın kontrol amacına dayalı denetçi test tasarımı</v>
      </c>
    </row>
    <row r="387" ht="35" customHeight="1">
      <c r="A387" s="6" t="str">
        <v>ENS-014</v>
      </c>
      <c r="B387" s="6" t="str">
        <v>Trellix Endpoint Security</v>
      </c>
      <c r="C387" s="6" t="str">
        <v>Kontrolü aç</v>
      </c>
      <c r="D387" s="6" t="str">
        <v>Kaynağın kontrol amacına dayalı denetçi test tasarımı</v>
      </c>
    </row>
    <row r="388" ht="35" customHeight="1">
      <c r="A388" s="6" t="str">
        <v>ENS-015</v>
      </c>
      <c r="B388" s="6" t="str">
        <v>Trellix Endpoint Security</v>
      </c>
      <c r="C388" s="6" t="str">
        <v>Kontrolü aç</v>
      </c>
      <c r="D388" s="6" t="str">
        <v>Kaynağın kontrol amacına dayalı denetçi test tasarımı</v>
      </c>
    </row>
    <row r="389" ht="35" customHeight="1">
      <c r="A389" s="6" t="str">
        <v>ADC-007</v>
      </c>
      <c r="B389" s="6" t="str">
        <v>Citrix NetScaler ADC</v>
      </c>
      <c r="C389" s="6" t="str">
        <v>Kontrolü aç</v>
      </c>
      <c r="D389" s="6" t="str">
        <v>Kaynağın kontrol amacına dayalı denetçi test tasarımı</v>
      </c>
    </row>
    <row r="390" ht="35" customHeight="1">
      <c r="A390" s="6" t="str">
        <v>ADC-008</v>
      </c>
      <c r="B390" s="6" t="str">
        <v>Citrix NetScaler ADC</v>
      </c>
      <c r="C390" s="6" t="str">
        <v>Kontrolü aç</v>
      </c>
      <c r="D390" s="6" t="str">
        <v>Kaynağın kontrol amacına dayalı denetçi test tasarımı</v>
      </c>
    </row>
    <row r="391" ht="35" customHeight="1">
      <c r="A391" s="6" t="str">
        <v>ADC-009</v>
      </c>
      <c r="B391" s="6" t="str">
        <v>Citrix NetScaler ADC</v>
      </c>
      <c r="C391" s="6" t="str">
        <v>Kontrolü aç</v>
      </c>
      <c r="D391" s="6" t="str">
        <v>Kaynağın kontrol amacına dayalı denetçi test tasarımı</v>
      </c>
    </row>
    <row r="392" ht="35" customHeight="1">
      <c r="A392" s="6" t="str">
        <v>ADC-010</v>
      </c>
      <c r="B392" s="6" t="str">
        <v>Citrix NetScaler ADC</v>
      </c>
      <c r="C392" s="6" t="str">
        <v>Kontrolü aç</v>
      </c>
      <c r="D392" s="6" t="str">
        <v>Kaynağın kontrol amacına dayalı denetçi test tasarımı</v>
      </c>
    </row>
    <row r="393" ht="35" customHeight="1">
      <c r="A393" s="6" t="str">
        <v>ADC-011</v>
      </c>
      <c r="B393" s="6" t="str">
        <v>Citrix NetScaler ADC</v>
      </c>
      <c r="C393" s="6" t="str">
        <v>Kontrolü aç</v>
      </c>
      <c r="D393" s="6" t="str">
        <v>Kaynağın kontrol amacına dayalı denetçi test tasarımı</v>
      </c>
    </row>
    <row r="394" ht="35" customHeight="1">
      <c r="A394" s="6" t="str">
        <v>ADC-012</v>
      </c>
      <c r="B394" s="6" t="str">
        <v>Citrix NetScaler ADC</v>
      </c>
      <c r="C394" s="6" t="str">
        <v>Kontrolü aç</v>
      </c>
      <c r="D394" s="6" t="str">
        <v>Kaynağın kontrol amacına dayalı denetçi test tasarımı</v>
      </c>
    </row>
    <row r="395" ht="35" customHeight="1">
      <c r="A395" s="6" t="str">
        <v>WAF-007</v>
      </c>
      <c r="B395" s="6" t="str">
        <v>Citrix NetScaler WAF</v>
      </c>
      <c r="C395" s="6" t="str">
        <v>Kontrolü aç</v>
      </c>
      <c r="D395" s="6" t="str">
        <v>Kaynağın kontrol amacına dayalı denetçi test tasarımı</v>
      </c>
    </row>
    <row r="396" ht="35" customHeight="1">
      <c r="A396" s="6" t="str">
        <v>WAF-008</v>
      </c>
      <c r="B396" s="6" t="str">
        <v>Citrix NetScaler WAF</v>
      </c>
      <c r="C396" s="6" t="str">
        <v>Kontrolü aç</v>
      </c>
      <c r="D396" s="6" t="str">
        <v>Kaynağın kontrol amacına dayalı denetçi test tasarımı</v>
      </c>
    </row>
    <row r="397" ht="35" customHeight="1">
      <c r="A397" s="6" t="str">
        <v>WAF-009</v>
      </c>
      <c r="B397" s="6" t="str">
        <v>Citrix NetScaler WAF</v>
      </c>
      <c r="C397" s="6" t="str">
        <v>Kontrolü aç</v>
      </c>
      <c r="D397" s="6" t="str">
        <v>Kaynağın kontrol amacına dayalı denetçi test tasarımı</v>
      </c>
    </row>
    <row r="398" ht="35" customHeight="1">
      <c r="A398" s="6" t="str">
        <v>WAF-010</v>
      </c>
      <c r="B398" s="6" t="str">
        <v>Citrix NetScaler WAF</v>
      </c>
      <c r="C398" s="6" t="str">
        <v>Kontrolü aç</v>
      </c>
      <c r="D398" s="6" t="str">
        <v>Kaynağın kontrol amacına dayalı denetçi test tasarımı</v>
      </c>
    </row>
    <row r="399" ht="35" customHeight="1">
      <c r="A399" s="6" t="str">
        <v>WAF-011</v>
      </c>
      <c r="B399" s="6" t="str">
        <v>Citrix NetScaler WAF</v>
      </c>
      <c r="C399" s="6" t="str">
        <v>Kontrolü aç</v>
      </c>
      <c r="D399" s="6" t="str">
        <v>Kaynağın kontrol amacına dayalı denetçi test tasarımı</v>
      </c>
    </row>
    <row r="400" ht="35" customHeight="1">
      <c r="A400" s="6" t="str">
        <v>WAF-012</v>
      </c>
      <c r="B400" s="6" t="str">
        <v>Citrix NetScaler WAF</v>
      </c>
      <c r="C400" s="6" t="str">
        <v>Kontrolü aç</v>
      </c>
      <c r="D400" s="6" t="str">
        <v>Kaynağın kontrol amacına dayalı denetçi test tasarımı</v>
      </c>
    </row>
    <row r="401" ht="35" customHeight="1">
      <c r="A401" s="6" t="str">
        <v>WAF-013</v>
      </c>
      <c r="B401" s="6" t="str">
        <v>Citrix NetScaler WAF</v>
      </c>
      <c r="C401" s="6" t="str">
        <v>Kontrolü aç</v>
      </c>
      <c r="D401" s="6" t="str">
        <v>Kaynağın kontrol amacına dayalı denetçi test tasarımı</v>
      </c>
    </row>
    <row r="402" ht="35" customHeight="1">
      <c r="A402" s="6" t="str">
        <v>WAF-014</v>
      </c>
      <c r="B402" s="6" t="str">
        <v>Citrix NetScaler WAF</v>
      </c>
      <c r="C402" s="6" t="str">
        <v>Kontrolü aç</v>
      </c>
      <c r="D402" s="6" t="str">
        <v>Kaynağın kontrol amacına dayalı denetçi test tasarımı</v>
      </c>
    </row>
    <row r="403" ht="35" customHeight="1">
      <c r="A403" s="6" t="str">
        <v>EXC-001</v>
      </c>
      <c r="B403" s="6" t="str">
        <v>Exchange 2019</v>
      </c>
      <c r="C403" s="6" t="str">
        <v>Kontrolü aç</v>
      </c>
      <c r="D403" s="6" t="str">
        <v>Kaynakta verilen teknik ölçüt</v>
      </c>
    </row>
    <row r="404" ht="35" customHeight="1">
      <c r="A404" s="6" t="str">
        <v>EXC-002</v>
      </c>
      <c r="B404" s="6" t="str">
        <v>Exchange 2019</v>
      </c>
      <c r="C404" s="6" t="str">
        <v>Kontrolü aç</v>
      </c>
      <c r="D404" s="6" t="str">
        <v>Kaynakta verilen teknik ölçüt</v>
      </c>
    </row>
    <row r="405" ht="35" customHeight="1">
      <c r="A405" s="6" t="str">
        <v>EXC-003</v>
      </c>
      <c r="B405" s="6" t="str">
        <v>Exchange 2019</v>
      </c>
      <c r="C405" s="6" t="str">
        <v>Kontrolü aç</v>
      </c>
      <c r="D405" s="6" t="str">
        <v>Kaynakta verilen teknik ölçüt</v>
      </c>
    </row>
    <row r="406" ht="35" customHeight="1">
      <c r="A406" s="6" t="str">
        <v>EXC-004</v>
      </c>
      <c r="B406" s="6" t="str">
        <v>Exchange 2019</v>
      </c>
      <c r="C406" s="6" t="str">
        <v>Kontrolü aç</v>
      </c>
      <c r="D406" s="6" t="str">
        <v>Kaynakta verilen teknik ölçüt</v>
      </c>
    </row>
    <row r="407" ht="35" customHeight="1">
      <c r="A407" s="6" t="str">
        <v>EXC-005</v>
      </c>
      <c r="B407" s="6" t="str">
        <v>Exchange 2019</v>
      </c>
      <c r="C407" s="6" t="str">
        <v>Kontrolü aç</v>
      </c>
      <c r="D407" s="6" t="str">
        <v>Kaynakta verilen teknik ölçüt</v>
      </c>
    </row>
    <row r="408" ht="35" customHeight="1">
      <c r="A408" s="6" t="str">
        <v>EXC-006</v>
      </c>
      <c r="B408" s="6" t="str">
        <v>Exchange 2019</v>
      </c>
      <c r="C408" s="6" t="str">
        <v>Kontrolü aç</v>
      </c>
      <c r="D408" s="6" t="str">
        <v>Kaynakta verilen teknik ölçüt</v>
      </c>
    </row>
    <row r="409" ht="35" customHeight="1">
      <c r="A409" s="6" t="str">
        <v>EXC-007</v>
      </c>
      <c r="B409" s="6" t="str">
        <v>Exchange 2019</v>
      </c>
      <c r="C409" s="6" t="str">
        <v>Kontrolü aç</v>
      </c>
      <c r="D409" s="6" t="str">
        <v>Kaynakta verilen teknik ölçüt</v>
      </c>
    </row>
    <row r="410" ht="35" customHeight="1">
      <c r="A410" s="6" t="str">
        <v>EXC-008</v>
      </c>
      <c r="B410" s="6" t="str">
        <v>Exchange 2019</v>
      </c>
      <c r="C410" s="6" t="str">
        <v>Kontrolü aç</v>
      </c>
      <c r="D410" s="6" t="str">
        <v>Kaynakta verilen teknik ölçüt</v>
      </c>
    </row>
    <row r="411" ht="35" customHeight="1">
      <c r="A411" s="6" t="str">
        <v>EXC-009</v>
      </c>
      <c r="B411" s="6" t="str">
        <v>Exchange 2019</v>
      </c>
      <c r="C411" s="6" t="str">
        <v>Kontrolü aç</v>
      </c>
      <c r="D411" s="6" t="str">
        <v>Kaynakta verilen teknik ölçüt</v>
      </c>
    </row>
    <row r="412" ht="35" customHeight="1">
      <c r="A412" s="6" t="str">
        <v>EXC-010</v>
      </c>
      <c r="B412" s="6" t="str">
        <v>Exchange 2019</v>
      </c>
      <c r="C412" s="6" t="str">
        <v>Kontrolü aç</v>
      </c>
      <c r="D412" s="6" t="str">
        <v>Kaynakta verilen teknik ölçüt</v>
      </c>
    </row>
    <row r="413" ht="35" customHeight="1">
      <c r="A413" s="6" t="str">
        <v>EXC-011</v>
      </c>
      <c r="B413" s="6" t="str">
        <v>Exchange 2019</v>
      </c>
      <c r="C413" s="6" t="str">
        <v>Kontrolü aç</v>
      </c>
      <c r="D413" s="6" t="str">
        <v>Kaynakta verilen teknik ölçüt</v>
      </c>
    </row>
    <row r="414" ht="35" customHeight="1">
      <c r="A414" s="6" t="str">
        <v>EXC-012</v>
      </c>
      <c r="B414" s="6" t="str">
        <v>Exchange 2019</v>
      </c>
      <c r="C414" s="6" t="str">
        <v>Kontrolü aç</v>
      </c>
      <c r="D414" s="6" t="str">
        <v>Kaynakta verilen teknik ölçüt</v>
      </c>
    </row>
    <row r="415" ht="35" customHeight="1">
      <c r="A415" s="6" t="str">
        <v>EXC-013</v>
      </c>
      <c r="B415" s="6" t="str">
        <v>Exchange 2019</v>
      </c>
      <c r="C415" s="6" t="str">
        <v>Kontrolü aç</v>
      </c>
      <c r="D415" s="6" t="str">
        <v>Kaynakta verilen teknik ölçüt</v>
      </c>
    </row>
    <row r="416" ht="35" customHeight="1">
      <c r="A416" s="6" t="str">
        <v>EXC-014</v>
      </c>
      <c r="B416" s="6" t="str">
        <v>Exchange 2019</v>
      </c>
      <c r="C416" s="6" t="str">
        <v>Kontrolü aç</v>
      </c>
      <c r="D416" s="6" t="str">
        <v>Kaynakta verilen teknik ölçüt</v>
      </c>
    </row>
    <row r="417" ht="35" customHeight="1">
      <c r="A417" s="6" t="str">
        <v>EXC-015</v>
      </c>
      <c r="B417" s="6" t="str">
        <v>Exchange 2019</v>
      </c>
      <c r="C417" s="6" t="str">
        <v>Kontrolü aç</v>
      </c>
      <c r="D417" s="6" t="str">
        <v>Kaynakta verilen teknik ölçüt</v>
      </c>
    </row>
    <row r="418" ht="35" customHeight="1">
      <c r="A418" s="6" t="str">
        <v>EXC-016</v>
      </c>
      <c r="B418" s="6" t="str">
        <v>Exchange 2019</v>
      </c>
      <c r="C418" s="6" t="str">
        <v>Kontrolü aç</v>
      </c>
      <c r="D418" s="6" t="str">
        <v>Kaynakta verilen teknik ölçüt</v>
      </c>
    </row>
    <row r="419" ht="35" customHeight="1">
      <c r="A419" s="6" t="str">
        <v>EXC-017</v>
      </c>
      <c r="B419" s="6" t="str">
        <v>Exchange 2019</v>
      </c>
      <c r="C419" s="6" t="str">
        <v>Kontrolü aç</v>
      </c>
      <c r="D419" s="6" t="str">
        <v>Kaynakta verilen teknik ölçüt</v>
      </c>
    </row>
    <row r="420" ht="35" customHeight="1">
      <c r="A420" s="6" t="str">
        <v>EXC-018</v>
      </c>
      <c r="B420" s="6" t="str">
        <v>Exchange 2019</v>
      </c>
      <c r="C420" s="6" t="str">
        <v>Kontrolü aç</v>
      </c>
      <c r="D420" s="6" t="str">
        <v>Kaynakta verilen teknik ölçüt</v>
      </c>
    </row>
    <row r="421" ht="35" customHeight="1">
      <c r="A421" s="6" t="str">
        <v>EXC-019</v>
      </c>
      <c r="B421" s="6" t="str">
        <v>Exchange 2019</v>
      </c>
      <c r="C421" s="6" t="str">
        <v>Kontrolü aç</v>
      </c>
      <c r="D421" s="6" t="str">
        <v>Kaynakta verilen teknik ölçüt</v>
      </c>
    </row>
    <row r="422" ht="35" customHeight="1">
      <c r="A422" s="6" t="str">
        <v>EXC-020</v>
      </c>
      <c r="B422" s="6" t="str">
        <v>Exchange 2019</v>
      </c>
      <c r="C422" s="6" t="str">
        <v>Kontrolü aç</v>
      </c>
      <c r="D422" s="6" t="str">
        <v>Kaynakta verilen teknik ölçüt</v>
      </c>
    </row>
    <row r="423" ht="35" customHeight="1">
      <c r="A423" s="6" t="str">
        <v>EXC-021</v>
      </c>
      <c r="B423" s="6" t="str">
        <v>Exchange 2019</v>
      </c>
      <c r="C423" s="6" t="str">
        <v>Kontrolü aç</v>
      </c>
      <c r="D423" s="6" t="str">
        <v>Kaynakta verilen teknik ölçüt</v>
      </c>
    </row>
    <row r="424" ht="35" customHeight="1">
      <c r="A424" s="6" t="str">
        <v>EXC-022</v>
      </c>
      <c r="B424" s="6" t="str">
        <v>Exchange 2019</v>
      </c>
      <c r="C424" s="6" t="str">
        <v>Kontrolü aç</v>
      </c>
      <c r="D424" s="6" t="str">
        <v>Kaynakta verilen teknik ölçüt</v>
      </c>
    </row>
    <row r="425" ht="35" customHeight="1">
      <c r="A425" s="6" t="str">
        <v>EXC-023</v>
      </c>
      <c r="B425" s="6" t="str">
        <v>Exchange 2019</v>
      </c>
      <c r="C425" s="6" t="str">
        <v>Kontrolü aç</v>
      </c>
      <c r="D425" s="6" t="str">
        <v>Kaynakta verilen teknik ölçüt</v>
      </c>
    </row>
    <row r="426" ht="35" customHeight="1">
      <c r="A426" s="6" t="str">
        <v>ADS-V01-01</v>
      </c>
      <c r="B426" s="6" t="str">
        <v>Active Directory GPO</v>
      </c>
      <c r="C426" s="6" t="str">
        <v>Kontrolü aç</v>
      </c>
      <c r="D426" s="6" t="str">
        <v>Kaynağın kontrol amacına dayalı denetçi test tasarımı</v>
      </c>
    </row>
    <row r="427" ht="35" customHeight="1">
      <c r="A427" s="6" t="str">
        <v>ADS-V01-02</v>
      </c>
      <c r="B427" s="6" t="str">
        <v>Active Directory GPO</v>
      </c>
      <c r="C427" s="6" t="str">
        <v>Kontrolü aç</v>
      </c>
      <c r="D427" s="6" t="str">
        <v>Kaynağın kontrol amacına dayalı denetçi test tasarımı</v>
      </c>
    </row>
    <row r="428" ht="35" customHeight="1">
      <c r="A428" s="6" t="str">
        <v>ADS-V01-03</v>
      </c>
      <c r="B428" s="6" t="str">
        <v>Active Directory GPO</v>
      </c>
      <c r="C428" s="6" t="str">
        <v>Kontrolü aç</v>
      </c>
      <c r="D428" s="6" t="str">
        <v>Kaynağın kontrol amacına dayalı denetçi test tasarımı</v>
      </c>
    </row>
    <row r="429" ht="35" customHeight="1">
      <c r="A429" s="6" t="str">
        <v>ADS-V02-01</v>
      </c>
      <c r="B429" s="6" t="str">
        <v>Active Directory GPO</v>
      </c>
      <c r="C429" s="6" t="str">
        <v>Kontrolü aç</v>
      </c>
      <c r="D429" s="6" t="str">
        <v>Kaynağın kontrol amacına dayalı denetçi test tasarımı</v>
      </c>
    </row>
    <row r="430" ht="35" customHeight="1">
      <c r="A430" s="6" t="str">
        <v>ADS-V02-02</v>
      </c>
      <c r="B430" s="6" t="str">
        <v>Active Directory GPO</v>
      </c>
      <c r="C430" s="6" t="str">
        <v>Kontrolü aç</v>
      </c>
      <c r="D430" s="6" t="str">
        <v>Kaynağın kontrol amacına dayalı denetçi test tasarımı</v>
      </c>
    </row>
    <row r="431" ht="35" customHeight="1">
      <c r="A431" s="6" t="str">
        <v>ADS-V02-03</v>
      </c>
      <c r="B431" s="6" t="str">
        <v>Active Directory GPO</v>
      </c>
      <c r="C431" s="6" t="str">
        <v>Kontrolü aç</v>
      </c>
      <c r="D431" s="6" t="str">
        <v>Kaynağın kontrol amacına dayalı denetçi test tasarımı</v>
      </c>
    </row>
    <row r="432" ht="35" customHeight="1">
      <c r="A432" s="6" t="str">
        <v>ADS-V03-01</v>
      </c>
      <c r="B432" s="6" t="str">
        <v>Active Directory GPO</v>
      </c>
      <c r="C432" s="6" t="str">
        <v>Kontrolü aç</v>
      </c>
      <c r="D432" s="6" t="str">
        <v>Kaynağın kontrol amacına dayalı denetçi test tasarımı</v>
      </c>
    </row>
    <row r="433" ht="35" customHeight="1">
      <c r="A433" s="6" t="str">
        <v>ADS-V03-02</v>
      </c>
      <c r="B433" s="6" t="str">
        <v>Active Directory GPO</v>
      </c>
      <c r="C433" s="6" t="str">
        <v>Kontrolü aç</v>
      </c>
      <c r="D433" s="6" t="str">
        <v>Kaynağın kontrol amacına dayalı denetçi test tasarımı</v>
      </c>
    </row>
    <row r="434" ht="35" customHeight="1">
      <c r="A434" s="6" t="str">
        <v>ADS-V04-01</v>
      </c>
      <c r="B434" s="6" t="str">
        <v>Active Directory GPO</v>
      </c>
      <c r="C434" s="6" t="str">
        <v>Kontrolü aç</v>
      </c>
      <c r="D434" s="6" t="str">
        <v>Kaynağın kontrol amacına dayalı denetçi test tasarımı</v>
      </c>
    </row>
    <row r="435" ht="35" customHeight="1">
      <c r="A435" s="6" t="str">
        <v>ADS-V04-03</v>
      </c>
      <c r="B435" s="6" t="str">
        <v>Active Directory GPO</v>
      </c>
      <c r="C435" s="6" t="str">
        <v>Kontrolü aç</v>
      </c>
      <c r="D435" s="6" t="str">
        <v>Kaynağın kontrol amacına dayalı denetçi test tasarımı</v>
      </c>
    </row>
  </sheetData>
  <hyperlinks>
    <hyperlink ref="C6" location="'MSP Genel'!A6"/>
    <hyperlink ref="C7" location="'MSP Genel'!A7"/>
    <hyperlink ref="C8" location="'MSP Genel'!A8"/>
    <hyperlink ref="C9" location="'MSP Genel'!A9"/>
    <hyperlink ref="C10" location="'MSP Genel'!A10"/>
    <hyperlink ref="C11" location="'MSP Genel'!A11"/>
    <hyperlink ref="C12" location="'MSP Genel'!A12"/>
    <hyperlink ref="C13" location="'MSP Genel'!A13"/>
    <hyperlink ref="C14" location="'MSP Genel'!A14"/>
    <hyperlink ref="C15" location="'MSP Genel'!A15"/>
    <hyperlink ref="C16" location="'MSP Genel'!A16"/>
    <hyperlink ref="C17" location="'MSP Genel'!A17"/>
    <hyperlink ref="C18" location="'MSP Genel'!A18"/>
    <hyperlink ref="C19" location="'MSP Genel'!A19"/>
    <hyperlink ref="C20" location="'MSP Genel'!A20"/>
    <hyperlink ref="C21" location="'MSP Genel'!A21"/>
    <hyperlink ref="C22" location="'MSP Genel'!A22"/>
    <hyperlink ref="C23" location="'MSP Genel'!A23"/>
    <hyperlink ref="C24" location="'MSP Genel'!A24"/>
    <hyperlink ref="C25" location="'MSP Genel'!A25"/>
    <hyperlink ref="C26" location="'MSP Genel'!A26"/>
    <hyperlink ref="C27" location="'MSP Genel'!A27"/>
    <hyperlink ref="C28" location="'MSP Genel'!A28"/>
    <hyperlink ref="C29" location="'MSP Genel'!A29"/>
    <hyperlink ref="C30" location="'MSP Genel'!A30"/>
    <hyperlink ref="C31" location="'MSP Genel'!A31"/>
    <hyperlink ref="C32" location="'MSP Genel'!A32"/>
    <hyperlink ref="C33" location="'MSP Genel'!A33"/>
    <hyperlink ref="C34" location="'MSP Genel'!A34"/>
    <hyperlink ref="C35" location="'MSP Genel'!A35"/>
    <hyperlink ref="C36" location="'MSP Genel'!A36"/>
    <hyperlink ref="C37" location="'MSP Genel'!A37"/>
    <hyperlink ref="C38" location="'MSP Genel'!A38"/>
    <hyperlink ref="C39" location="'MSP Genel'!A39"/>
    <hyperlink ref="C40" location="'MSP Genel'!A40"/>
    <hyperlink ref="C41" location="'MSP Genel'!A41"/>
    <hyperlink ref="C42" location="'MSP Genel'!A42"/>
    <hyperlink ref="C43" location="'MSP Genel'!A43"/>
    <hyperlink ref="C44" location="'MSP Genel'!A44"/>
    <hyperlink ref="C45" location="'MSP Genel'!A45"/>
    <hyperlink ref="C46" location="'MSP Genel'!A46"/>
    <hyperlink ref="C47" location="'MSP Genel'!A47"/>
    <hyperlink ref="C48" location="'MSP Genel'!A48"/>
    <hyperlink ref="C49" location="'MSP Genel'!A49"/>
    <hyperlink ref="C50" location="'MSP Genel'!A50"/>
    <hyperlink ref="C51" location="'MSP Genel'!A51"/>
    <hyperlink ref="C52" location="'MSP Genel'!A52"/>
    <hyperlink ref="C53" location="'MSP Genel'!A53"/>
    <hyperlink ref="C54" location="'MSP Genel'!A54"/>
    <hyperlink ref="C55" location="'MSP Genel'!A55"/>
    <hyperlink ref="C56" location="'MSP Genel'!A56"/>
    <hyperlink ref="C57" location="'MSP Genel'!A57"/>
    <hyperlink ref="C58" location="'MSP Genel'!A58"/>
    <hyperlink ref="C59" location="'MSP Genel'!A59"/>
    <hyperlink ref="C60" location="'MSP Genel'!A60"/>
    <hyperlink ref="C61" location="'MSP Genel'!A61"/>
    <hyperlink ref="C62" location="'MSP Genel'!A62"/>
    <hyperlink ref="C63" location="'MSP Genel'!A63"/>
    <hyperlink ref="C64" location="'MSP Genel'!A64"/>
    <hyperlink ref="C65" location="'MSP Genel'!A65"/>
    <hyperlink ref="C66" location="'MSP Genel'!A66"/>
    <hyperlink ref="C67" location="'MSP Genel'!A67"/>
    <hyperlink ref="C68" location="'MSP Genel'!A68"/>
    <hyperlink ref="C69" location="'MSP Genel'!A69"/>
    <hyperlink ref="C70" location="'MSP Genel'!A70"/>
    <hyperlink ref="C71" location="'MSP Genel'!A71"/>
    <hyperlink ref="C72" location="'MSP Genel'!A72"/>
    <hyperlink ref="C73" location="'MSP Genel'!A73"/>
    <hyperlink ref="C74" location="'MSP Genel'!A74"/>
    <hyperlink ref="C75" location="'MSP Genel'!A75"/>
    <hyperlink ref="C76" location="'MSP Genel'!A76"/>
    <hyperlink ref="C77" location="'MSP Genel'!A77"/>
    <hyperlink ref="C78" location="'MSP Genel'!A78"/>
    <hyperlink ref="C79" location="'MSP Genel'!A79"/>
    <hyperlink ref="C80" location="'MSP Genel'!A80"/>
    <hyperlink ref="C81" location="'MSP Genel'!A81"/>
    <hyperlink ref="C82" location="'MSP Genel'!A82"/>
    <hyperlink ref="C83" location="'MSP Genel'!A83"/>
    <hyperlink ref="C84" location="'MSP Genel'!A84"/>
    <hyperlink ref="C85" location="'MSP Genel'!A85"/>
    <hyperlink ref="C86" location="'MSP Genel'!A86"/>
    <hyperlink ref="C87" location="'MSP Genel'!A87"/>
    <hyperlink ref="C88" location="'MSP Genel'!A88"/>
    <hyperlink ref="C89" location="'MSP Genel'!A89"/>
    <hyperlink ref="C90" location="'MSP Genel'!A90"/>
    <hyperlink ref="C91" location="'MSP Genel'!A91"/>
    <hyperlink ref="C92" location="'MSP Genel'!A92"/>
    <hyperlink ref="C93" location="'MSP Genel'!A93"/>
    <hyperlink ref="C94" location="'MSP Genel'!A94"/>
    <hyperlink ref="C95" location="'VMware ESXi'!A6"/>
    <hyperlink ref="C96" location="'VMware ESXi'!A7"/>
    <hyperlink ref="C97" location="'VMware ESXi'!A8"/>
    <hyperlink ref="C98" location="'VMware ESXi'!A9"/>
    <hyperlink ref="C99" location="'VMware ESXi'!A10"/>
    <hyperlink ref="C100" location="'VMware ESXi'!A11"/>
    <hyperlink ref="C101" location="'VMware ESXi'!A12"/>
    <hyperlink ref="C102" location="'VMware ESXi'!A13"/>
    <hyperlink ref="C103" location="'VMware ESXi'!A14"/>
    <hyperlink ref="C104" location="'VMware ESXi'!A15"/>
    <hyperlink ref="C105" location="'VMware ESXi'!A16"/>
    <hyperlink ref="C106" location="'VMware ESXi'!A17"/>
    <hyperlink ref="C107" location="'VMware ESXi'!A18"/>
    <hyperlink ref="C108" location="'VMware ESXi'!A19"/>
    <hyperlink ref="C109" location="'VMware ESXi'!A20"/>
    <hyperlink ref="C110" location="'VMware ESXi'!A21"/>
    <hyperlink ref="C111" location="'VMware ESXi'!A22"/>
    <hyperlink ref="C112" location="'VMware ESXi'!A23"/>
    <hyperlink ref="C113" location="'VMware ESXi'!A24"/>
    <hyperlink ref="C114" location="'VMware ESXi'!A25"/>
    <hyperlink ref="C115" location="'VMware ESXi'!A26"/>
    <hyperlink ref="C116" location="'VMware ESXi'!A27"/>
    <hyperlink ref="C117" location="'VMware ESXi'!A28"/>
    <hyperlink ref="C118" location="'VMware ESXi'!A29"/>
    <hyperlink ref="C119" location="'VMware ESXi'!A30"/>
    <hyperlink ref="C120" location="'VMware ESXi'!A31"/>
    <hyperlink ref="C121" location="'VMware ESXi'!A32"/>
    <hyperlink ref="C122" location="'VMware ESXi'!A33"/>
    <hyperlink ref="C123" location="'VMware ESXi'!A34"/>
    <hyperlink ref="C124" location="'VMware ESXi'!A35"/>
    <hyperlink ref="C125" location="'VMware ESXi'!A36"/>
    <hyperlink ref="C126" location="'VMware ESXi'!A37"/>
    <hyperlink ref="C127" location="'VMware ESXi'!A38"/>
    <hyperlink ref="C128" location="'VMware ESXi'!A39"/>
    <hyperlink ref="C129" location="'VMware ESXi'!A40"/>
    <hyperlink ref="C130" location="'VMware ESXi'!A41"/>
    <hyperlink ref="C131" location="'VMware ESXi'!A42"/>
    <hyperlink ref="C132" location="'VMware ESXi'!A43"/>
    <hyperlink ref="C133" location="'VMware ESXi'!A44"/>
    <hyperlink ref="C134" location="'VMware ESXi'!A45"/>
    <hyperlink ref="C135" location="'VMware ESXi'!A46"/>
    <hyperlink ref="C136" location="'VMware ESXi'!A47"/>
    <hyperlink ref="C137" location="'VMware ESXi'!A48"/>
    <hyperlink ref="C138" location="'VMware ESXi'!A49"/>
    <hyperlink ref="C139" location="'VMware ESXi'!A50"/>
    <hyperlink ref="C140" location="'VMware ESXi'!A51"/>
    <hyperlink ref="C141" location="'VMware ESXi'!A52"/>
    <hyperlink ref="C142" location="'VMware ESXi'!A53"/>
    <hyperlink ref="C143" location="'VMware ESXi'!A54"/>
    <hyperlink ref="C144" location="'VMware ESXi'!A55"/>
    <hyperlink ref="C145" location="'VMware ESXi'!A56"/>
    <hyperlink ref="C146" location="'VMware ESXi'!A57"/>
    <hyperlink ref="C147" location="'VMware ESXi'!A58"/>
    <hyperlink ref="C148" location="'VMware ESXi'!A59"/>
    <hyperlink ref="C149" location="'VMware ESXi'!A60"/>
    <hyperlink ref="C150" location="'VMware ESXi'!A61"/>
    <hyperlink ref="C151" location="'VMware ESXi'!A62"/>
    <hyperlink ref="C152" location="'VMware ESXi'!A63"/>
    <hyperlink ref="C153" location="'VMware ESXi'!A64"/>
    <hyperlink ref="C154" location="'VMware ESXi'!A65"/>
    <hyperlink ref="C155" location="'VMware ESXi'!A66"/>
    <hyperlink ref="C156" location="'VMware ESXi'!A67"/>
    <hyperlink ref="C157" location="'VMware ESXi'!A68"/>
    <hyperlink ref="C158" location="'VMware ESXi'!A69"/>
    <hyperlink ref="C159" location="'VMware ESXi'!A70"/>
    <hyperlink ref="C160" location="'VMware ESXi'!A71"/>
    <hyperlink ref="C161" location="'VMware ESXi'!A72"/>
    <hyperlink ref="C162" location="'VMware ESXi'!A73"/>
    <hyperlink ref="C163" location="'VMware ESXi'!A74"/>
    <hyperlink ref="C164" location="'VMware ESXi'!A75"/>
    <hyperlink ref="C165" location="'VMware ESXi'!A76"/>
    <hyperlink ref="C166" location="'VMware ESXi'!A77"/>
    <hyperlink ref="C167" location="'VMware ESXi'!A78"/>
    <hyperlink ref="C168" location="'VMware vCenter'!A6"/>
    <hyperlink ref="C169" location="'VMware vCenter'!A7"/>
    <hyperlink ref="C170" location="'VMware vCenter'!A8"/>
    <hyperlink ref="C171" location="'VMware vCenter'!A9"/>
    <hyperlink ref="C172" location="'VMware vCenter'!A10"/>
    <hyperlink ref="C173" location="'VMware vCenter'!A11"/>
    <hyperlink ref="C174" location="'VMware vSAN'!A6"/>
    <hyperlink ref="C175" location="'VMware vSAN'!A7"/>
    <hyperlink ref="C176" location="'VMware vSAN'!A8"/>
    <hyperlink ref="C177" location="'VMware vSAN'!A9"/>
    <hyperlink ref="C178" location="'VMware vSAN'!A10"/>
    <hyperlink ref="C179" location="'VMware vSAN'!A11"/>
    <hyperlink ref="C180" location="'VMware NSX'!A6"/>
    <hyperlink ref="C181" location="'VMware NSX'!A7"/>
    <hyperlink ref="C182" location="'VMware NSX'!A8"/>
    <hyperlink ref="C183" location="'VMware NSX'!A9"/>
    <hyperlink ref="C184" location="'VMware NSX'!A10"/>
    <hyperlink ref="C185" location="'VMware NSX'!A11"/>
    <hyperlink ref="C186" location="'VMware NSX'!A12"/>
    <hyperlink ref="C187" location="'VMware Distributed Switch'!A6"/>
    <hyperlink ref="C188" location="'VMware Distributed Switch'!A7"/>
    <hyperlink ref="C189" location="'VMware Distributed Switch'!A8"/>
    <hyperlink ref="C190" location="'VMware Distributed Switch'!A9"/>
    <hyperlink ref="C191" location="'VMware Distributed Switch'!A10"/>
    <hyperlink ref="C192" location="'VMware Distributed Switch'!A11"/>
    <hyperlink ref="C193" location="'VMware Distributed Switch'!A12"/>
    <hyperlink ref="C194" location="'VMware Distributed Switch'!A13"/>
    <hyperlink ref="C195" location="'VMware vMotion'!A6"/>
    <hyperlink ref="C196" location="'VMware vMotion'!A7"/>
    <hyperlink ref="C197" location="'VMware vMotion'!A8"/>
    <hyperlink ref="C198" location="'VMware vMotion'!A9"/>
    <hyperlink ref="C199" location="'VMware Cloud Director'!A6"/>
    <hyperlink ref="C200" location="'VMware Cloud Director'!A7"/>
    <hyperlink ref="C201" location="'VMware Cloud Director'!A8"/>
    <hyperlink ref="C202" location="'VMware Cloud Director'!A9"/>
    <hyperlink ref="C203" location="'VMware Cloud Director'!A10"/>
    <hyperlink ref="C204" location="'VMware Cloud Director'!A11"/>
    <hyperlink ref="C205" location="'VMware Cloud Director'!A12"/>
    <hyperlink ref="C206" location="'Veeam'!A6"/>
    <hyperlink ref="C207" location="'Veeam'!A7"/>
    <hyperlink ref="C208" location="'Veeam'!A8"/>
    <hyperlink ref="C209" location="'Veeam'!A9"/>
    <hyperlink ref="C210" location="'Veeam'!A10"/>
    <hyperlink ref="C211" location="'Veeam'!A11"/>
    <hyperlink ref="C212" location="'Veeam'!A12"/>
    <hyperlink ref="C213" location="'Veeam'!A13"/>
    <hyperlink ref="C214" location="'Veeam'!A14"/>
    <hyperlink ref="C215" location="'Veeam'!A15"/>
    <hyperlink ref="C216" location="'Veeam'!A16"/>
    <hyperlink ref="C217" location="'Veeam'!A17"/>
    <hyperlink ref="C218" location="'Veeam'!A18"/>
    <hyperlink ref="C219" location="'Veeam'!A19"/>
    <hyperlink ref="C220" location="'Carbon Black EDRaaS'!A6"/>
    <hyperlink ref="C221" location="'Carbon Black EDRaaS'!A7"/>
    <hyperlink ref="C222" location="'Carbon Black EDRaaS'!A8"/>
    <hyperlink ref="C223" location="'Carbon Black EDRaaS'!A9"/>
    <hyperlink ref="C224" location="'Carbon Black EDRaaS'!A10"/>
    <hyperlink ref="C225" location="'Carbon Black EDRaaS'!A11"/>
    <hyperlink ref="C226" location="'Carbon Black EDRaaS'!A12"/>
    <hyperlink ref="C227" location="'Carbon Black EDRaaS'!A13"/>
    <hyperlink ref="C228" location="'Carbon Black EDRaaS'!A14"/>
    <hyperlink ref="C229" location="'FortiGate VDOM'!A6"/>
    <hyperlink ref="C230" location="'FortiGate VDOM'!A7"/>
    <hyperlink ref="C231" location="'FortiGate VDOM'!A8"/>
    <hyperlink ref="C232" location="'FortiGate VDOM'!A9"/>
    <hyperlink ref="C233" location="'FortiGate VDOM'!A10"/>
    <hyperlink ref="C234" location="'FortiGate VDOM'!A11"/>
    <hyperlink ref="C235" location="'FortiGate VDOM'!A12"/>
    <hyperlink ref="C236" location="'FortiGate VDOM'!A13"/>
    <hyperlink ref="C237" location="'FortiGate VDOM'!A14"/>
    <hyperlink ref="C238" location="'FortiGate VDOM'!A15"/>
    <hyperlink ref="C239" location="'FortiGate VDOM'!A16"/>
    <hyperlink ref="C240" location="'FortiGate VDOM'!A17"/>
    <hyperlink ref="C241" location="'FortiGate VDOM'!A18"/>
    <hyperlink ref="C242" location="'FortiGate VDOM'!A19"/>
    <hyperlink ref="C243" location="'FortiGate VDOM'!A20"/>
    <hyperlink ref="C244" location="'FortiGate VDOM'!A21"/>
    <hyperlink ref="C245" location="'FortiGate VDOM'!A22"/>
    <hyperlink ref="C246" location="'FortiGate VDOM'!A23"/>
    <hyperlink ref="C247" location="'FortiGate VDOM'!A24"/>
    <hyperlink ref="C248" location="'FortiGate VDOM'!A25"/>
    <hyperlink ref="C249" location="'FortiGate VDOM'!A26"/>
    <hyperlink ref="C250" location="'FortiGate VDOM'!A27"/>
    <hyperlink ref="C251" location="'FortiGate VDOM'!A28"/>
    <hyperlink ref="C252" location="'FortiGate VDOM'!A29"/>
    <hyperlink ref="C253" location="'FortiGate VDOM'!A30"/>
    <hyperlink ref="C254" location="'FortiGate VDOM'!A31"/>
    <hyperlink ref="C255" location="'FortiGate VDOM'!A32"/>
    <hyperlink ref="C256" location="'FortiGate VDOM'!A33"/>
    <hyperlink ref="C257" location="'FortiGate VDOM'!A34"/>
    <hyperlink ref="C258" location="'FortiGate VDOM'!A35"/>
    <hyperlink ref="C259" location="'FortiGate VDOM'!A36"/>
    <hyperlink ref="C260" location="'FortiGate VDOM'!A37"/>
    <hyperlink ref="C261" location="'FortiGate VDOM'!A38"/>
    <hyperlink ref="C262" location="'FortiGate VDOM'!A39"/>
    <hyperlink ref="C263" location="'FortiGate VDOM'!A40"/>
    <hyperlink ref="C264" location="'FortiGate VDOM'!A41"/>
    <hyperlink ref="C265" location="'FortiGate VDOM'!A42"/>
    <hyperlink ref="C266" location="'FortiGate VDOM'!A43"/>
    <hyperlink ref="C267" location="'FortiGate VDOM'!A44"/>
    <hyperlink ref="C268" location="'FortiGate VDOM'!A45"/>
    <hyperlink ref="C269" location="'FortiGate VDOM'!A46"/>
    <hyperlink ref="C270" location="'FortiGate VDOM'!A47"/>
    <hyperlink ref="C271" location="'FortiGate VDOM'!A48"/>
    <hyperlink ref="C272" location="'FortiGate VDOM'!A49"/>
    <hyperlink ref="C273" location="'Forti IPS'!A6"/>
    <hyperlink ref="C274" location="'Forti IPS'!A7"/>
    <hyperlink ref="C275" location="'Forti IPS'!A8"/>
    <hyperlink ref="C276" location="'Forti IPS'!A9"/>
    <hyperlink ref="C277" location="'Forti IPS'!A10"/>
    <hyperlink ref="C278" location="'Splunk SIEM'!A6"/>
    <hyperlink ref="C279" location="'Splunk SIEM'!A7"/>
    <hyperlink ref="C280" location="'Splunk SIEM'!A8"/>
    <hyperlink ref="C281" location="'Splunk SIEM'!A9"/>
    <hyperlink ref="C282" location="'Splunk SIEM'!A10"/>
    <hyperlink ref="C283" location="'Splunk SIEM'!A11"/>
    <hyperlink ref="C284" location="'Splunk SIEM'!A12"/>
    <hyperlink ref="C285" location="'Splunk SIEM'!A13"/>
    <hyperlink ref="C286" location="'Splunk SIEM'!A14"/>
    <hyperlink ref="C287" location="'Splunk SIEM'!A15"/>
    <hyperlink ref="C288" location="'Splunk SIEM'!A16"/>
    <hyperlink ref="C289" location="'Splunk SIEM'!A17"/>
    <hyperlink ref="C290" location="'Splunk SIEM'!A18"/>
    <hyperlink ref="C291" location="'Splunk SIEM'!A19"/>
    <hyperlink ref="C292" location="'Splunk SIEM'!A20"/>
    <hyperlink ref="C293" location="'Splunk SIEM'!A21"/>
    <hyperlink ref="C294" location="'Splunk SIEM'!A22"/>
    <hyperlink ref="C295" location="'Splunk SIEM'!A23"/>
    <hyperlink ref="C296" location="'Splunk SIEM'!A24"/>
    <hyperlink ref="C297" location="'Splunk SIEM'!A25"/>
    <hyperlink ref="C298" location="'IronPort Email Security'!A6"/>
    <hyperlink ref="C299" location="'IronPort Email Security'!A7"/>
    <hyperlink ref="C300" location="'IronPort Email Security'!A8"/>
    <hyperlink ref="C301" location="'IronPort Email Security'!A9"/>
    <hyperlink ref="C302" location="'IronPort Email Security'!A10"/>
    <hyperlink ref="C303" location="'IronPort Email Security'!A11"/>
    <hyperlink ref="C304" location="'IronPort Email Security'!A12"/>
    <hyperlink ref="C305" location="'IronPort Email Security'!A13"/>
    <hyperlink ref="C306" location="'IronPort Email Security'!A14"/>
    <hyperlink ref="C307" location="'IronPort Email Security'!A15"/>
    <hyperlink ref="C308" location="'IronPort Email Security'!A16"/>
    <hyperlink ref="C309" location="'IronPort Email Security'!A17"/>
    <hyperlink ref="C310" location="'IronPort Email Security'!A18"/>
    <hyperlink ref="C311" location="'IronPort Email Security'!A19"/>
    <hyperlink ref="C312" location="'IronPort Email Security'!A20"/>
    <hyperlink ref="C313" location="'IronPort Email Security'!A21"/>
    <hyperlink ref="C314" location="'IronPort Email Security'!A22"/>
    <hyperlink ref="C315" location="'Kong API Gateway'!A6"/>
    <hyperlink ref="C316" location="'Kong API Gateway'!A7"/>
    <hyperlink ref="C317" location="'Kong API Gateway'!A8"/>
    <hyperlink ref="C318" location="'Kong API Gateway'!A9"/>
    <hyperlink ref="C319" location="'Kong API Gateway'!A10"/>
    <hyperlink ref="C320" location="'Kong API Gateway'!A11"/>
    <hyperlink ref="C321" location="'Kong API Gateway'!A12"/>
    <hyperlink ref="C322" location="'Kong API Gateway'!A13"/>
    <hyperlink ref="C323" location="'Kong API Gateway'!A14"/>
    <hyperlink ref="C324" location="'Kong API Gateway'!A15"/>
    <hyperlink ref="C325" location="'Kong API Gateway'!A16"/>
    <hyperlink ref="C326" location="'Kong API Gateway'!A17"/>
    <hyperlink ref="C327" location="'Kong API Gateway'!A18"/>
    <hyperlink ref="C328" location="'Kong API Gateway'!A19"/>
    <hyperlink ref="C329" location="'Kong API Gateway'!A20"/>
    <hyperlink ref="C330" location="'Kong API Gateway'!A21"/>
    <hyperlink ref="C331" location="'Kong API Gateway'!A22"/>
    <hyperlink ref="C332" location="'Kong API Gateway'!A23"/>
    <hyperlink ref="C333" location="'Kong API Gateway'!A24"/>
    <hyperlink ref="C334" location="'Kong API Gateway'!A25"/>
    <hyperlink ref="C335" location="'Kong API Gateway'!A26"/>
    <hyperlink ref="C336" location="'Kong API Gateway'!A27"/>
    <hyperlink ref="C337" location="'Kong API Gateway'!A28"/>
    <hyperlink ref="C338" location="'Kong API Gateway'!A29"/>
    <hyperlink ref="C339" location="'Kong API Gateway'!A30"/>
    <hyperlink ref="C340" location="'Kong API Gateway'!A31"/>
    <hyperlink ref="C341" location="'CyberArk PAM'!A6"/>
    <hyperlink ref="C342" location="'CyberArk PAM'!A7"/>
    <hyperlink ref="C343" location="'CyberArk PAM'!A8"/>
    <hyperlink ref="C344" location="'CyberArk PAM'!A9"/>
    <hyperlink ref="C345" location="'CyberArk PAM'!A10"/>
    <hyperlink ref="C346" location="'CyberArk PAM'!A11"/>
    <hyperlink ref="C347" location="'CyberArk PAM'!A12"/>
    <hyperlink ref="C348" location="'CyberArk PAM'!A13"/>
    <hyperlink ref="C349" location="'Forcepoint DLP'!A6"/>
    <hyperlink ref="C350" location="'Forcepoint DLP'!A7"/>
    <hyperlink ref="C351" location="'Forcepoint DLP'!A8"/>
    <hyperlink ref="C352" location="'Forcepoint DLP'!A9"/>
    <hyperlink ref="C353" location="'Forcepoint DLP'!A10"/>
    <hyperlink ref="C354" location="'Forcepoint DLP'!A11"/>
    <hyperlink ref="C355" location="'Forcepoint DLP'!A12"/>
    <hyperlink ref="C356" location="'Forcepoint DLP'!A13"/>
    <hyperlink ref="C357" location="'Zabbix'!A6"/>
    <hyperlink ref="C358" location="'Zabbix'!A7"/>
    <hyperlink ref="C359" location="'Zabbix'!A8"/>
    <hyperlink ref="C360" location="'Zabbix'!A9"/>
    <hyperlink ref="C361" location="'Zabbix'!A10"/>
    <hyperlink ref="C362" location="'Zabbix'!A11"/>
    <hyperlink ref="C363" location="'Zabbix'!A12"/>
    <hyperlink ref="C364" location="'Grafana'!A6"/>
    <hyperlink ref="C365" location="'Grafana'!A7"/>
    <hyperlink ref="C366" location="'Grafana'!A8"/>
    <hyperlink ref="C367" location="'Grafana'!A9"/>
    <hyperlink ref="C368" location="'Grafana'!A10"/>
    <hyperlink ref="C369" location="'Grafana'!A11"/>
    <hyperlink ref="C370" location="'Grafana'!A12"/>
    <hyperlink ref="C371" location="'ManageEngine Endpoint Central'!A6"/>
    <hyperlink ref="C372" location="'ManageEngine Endpoint Central'!A7"/>
    <hyperlink ref="C373" location="'ManageEngine Endpoint Central'!A8"/>
    <hyperlink ref="C374" location="'ManageEngine Endpoint Central'!A9"/>
    <hyperlink ref="C375" location="'ManageEngine Endpoint Central'!A10"/>
    <hyperlink ref="C376" location="'ManageEngine Endpoint Central'!A11"/>
    <hyperlink ref="C377" location="'ManageEngine Endpoint Central'!A12"/>
    <hyperlink ref="C378" location="'ManageEngine Endpoint Central'!A13"/>
    <hyperlink ref="C379" location="'ManageEngine Endpoint Central'!A14"/>
    <hyperlink ref="C380" location="'Trellix Endpoint Security'!A6"/>
    <hyperlink ref="C381" location="'Trellix Endpoint Security'!A7"/>
    <hyperlink ref="C382" location="'Trellix Endpoint Security'!A8"/>
    <hyperlink ref="C383" location="'Trellix Endpoint Security'!A9"/>
    <hyperlink ref="C384" location="'Trellix Endpoint Security'!A10"/>
    <hyperlink ref="C385" location="'Trellix Endpoint Security'!A11"/>
    <hyperlink ref="C386" location="'Trellix Endpoint Security'!A12"/>
    <hyperlink ref="C387" location="'Trellix Endpoint Security'!A13"/>
    <hyperlink ref="C388" location="'Trellix Endpoint Security'!A14"/>
    <hyperlink ref="C389" location="'Citrix NetScaler ADC'!A6"/>
    <hyperlink ref="C390" location="'Citrix NetScaler ADC'!A7"/>
    <hyperlink ref="C391" location="'Citrix NetScaler ADC'!A8"/>
    <hyperlink ref="C392" location="'Citrix NetScaler ADC'!A9"/>
    <hyperlink ref="C393" location="'Citrix NetScaler ADC'!A10"/>
    <hyperlink ref="C394" location="'Citrix NetScaler ADC'!A11"/>
    <hyperlink ref="C395" location="'Citrix NetScaler WAF'!A6"/>
    <hyperlink ref="C396" location="'Citrix NetScaler WAF'!A7"/>
    <hyperlink ref="C397" location="'Citrix NetScaler WAF'!A8"/>
    <hyperlink ref="C398" location="'Citrix NetScaler WAF'!A9"/>
    <hyperlink ref="C399" location="'Citrix NetScaler WAF'!A10"/>
    <hyperlink ref="C400" location="'Citrix NetScaler WAF'!A11"/>
    <hyperlink ref="C401" location="'Citrix NetScaler WAF'!A12"/>
    <hyperlink ref="C402" location="'Citrix NetScaler WAF'!A13"/>
    <hyperlink ref="C403" location="'Exchange 2019'!A6"/>
    <hyperlink ref="C404" location="'Exchange 2019'!A7"/>
    <hyperlink ref="C405" location="'Exchange 2019'!A8"/>
    <hyperlink ref="C406" location="'Exchange 2019'!A9"/>
    <hyperlink ref="C407" location="'Exchange 2019'!A10"/>
    <hyperlink ref="C408" location="'Exchange 2019'!A11"/>
    <hyperlink ref="C409" location="'Exchange 2019'!A12"/>
    <hyperlink ref="C410" location="'Exchange 2019'!A13"/>
    <hyperlink ref="C411" location="'Exchange 2019'!A14"/>
    <hyperlink ref="C412" location="'Exchange 2019'!A15"/>
    <hyperlink ref="C413" location="'Exchange 2019'!A16"/>
    <hyperlink ref="C414" location="'Exchange 2019'!A17"/>
    <hyperlink ref="C415" location="'Exchange 2019'!A18"/>
    <hyperlink ref="C416" location="'Exchange 2019'!A19"/>
    <hyperlink ref="C417" location="'Exchange 2019'!A20"/>
    <hyperlink ref="C418" location="'Exchange 2019'!A21"/>
    <hyperlink ref="C419" location="'Exchange 2019'!A22"/>
    <hyperlink ref="C420" location="'Exchange 2019'!A23"/>
    <hyperlink ref="C421" location="'Exchange 2019'!A24"/>
    <hyperlink ref="C422" location="'Exchange 2019'!A25"/>
    <hyperlink ref="C423" location="'Exchange 2019'!A26"/>
    <hyperlink ref="C424" location="'Exchange 2019'!A27"/>
    <hyperlink ref="C425" location="'Exchange 2019'!A28"/>
    <hyperlink ref="C426" location="'Active Directory GPO'!A6"/>
    <hyperlink ref="C427" location="'Active Directory GPO'!A7"/>
    <hyperlink ref="C428" location="'Active Directory GPO'!A8"/>
    <hyperlink ref="C429" location="'Active Directory GPO'!A9"/>
    <hyperlink ref="C430" location="'Active Directory GPO'!A10"/>
    <hyperlink ref="C431" location="'Active Directory GPO'!A11"/>
    <hyperlink ref="C432" location="'Active Directory GPO'!A12"/>
    <hyperlink ref="C433" location="'Active Directory GPO'!A13"/>
    <hyperlink ref="C434" location="'Active Directory GPO'!A14"/>
    <hyperlink ref="C435" location="'Active Directory GPO'!A15"/>
  </hyperlinks>
  <pageMargins left="0.7" right="0.7" top="0.75" bottom="0.75" header="0.3" footer="0.3"/>
  <tableParts count="1">
    <tablePart r:id="Raf39d6d032e64732"/>
  </tableParts>
</worksheet>
</file>

<file path=xl/worksheets/sheet33.xml><?xml version="1.0" encoding="utf-8"?>
<worksheet xmlns="http://schemas.openxmlformats.org/spreadsheetml/2006/main" xmlns:r="http://schemas.openxmlformats.org/officeDocument/2006/relationships">
  <sheetViews>
    <sheetView showGridLines="0" workbookViewId="0">
      <pane xSplit="2" ySplit="5" topLeftCell="C6" activePane="bottomRight" state="frozen"/>
    </sheetView>
  </sheetViews>
  <sheetFormatPr defaultRowHeight="15"/>
  <cols>
    <col min="1" max="1" width="20" hidden="0" customWidth="1"/>
    <col min="2" max="2" width="18" hidden="0" customWidth="1"/>
    <col min="3" max="3" width="83" hidden="0" customWidth="1"/>
    <col min="4" max="4" width="87" hidden="0" customWidth="1"/>
    <col min="5" max="5" width="30" hidden="0" customWidth="1"/>
    <col min="6" max="6" width="18" hidden="0" customWidth="1"/>
    <col min="7" max="7" width="18" hidden="0" customWidth="1"/>
    <col min="8" max="8" width="28" hidden="0" customWidth="1"/>
    <col min="9" max="9" width="35" hidden="0" customWidth="1"/>
  </cols>
  <sheetData>
    <row r="1">
      <c r="A1" s="1"/>
      <c r="B1" s="1"/>
      <c r="C1" s="1"/>
      <c r="D1" s="1"/>
      <c r="E1" s="1"/>
      <c r="F1" s="1"/>
      <c r="G1" s="1"/>
      <c r="H1" s="1"/>
      <c r="I1" s="1"/>
    </row>
    <row r="2" ht="29" customHeight="1">
      <c r="A2" s="2" t="str">
        <v>CIS Dizini</v>
      </c>
      <c r="B2" s="2"/>
      <c r="C2" s="2"/>
      <c r="D2" s="2"/>
      <c r="E2" s="2"/>
      <c r="F2" s="2"/>
      <c r="G2" s="2"/>
      <c r="H2" s="2"/>
      <c r="I2" s="2"/>
    </row>
    <row r="3" ht="8" customHeight="1">
      <c r="A3" s="3"/>
      <c r="B3" s="3"/>
      <c r="C3" s="3"/>
      <c r="D3" s="3"/>
      <c r="E3" s="3"/>
      <c r="F3" s="3"/>
      <c r="G3" s="3"/>
      <c r="H3" s="3"/>
      <c r="I3" s="3"/>
    </row>
    <row r="4" ht="24" customHeight="1">
      <c r="A4" s="4" t="str">
        <v>343 madde kaydı: 90 ESXi 7, 134 ESXi 8, 64 FortiGate, 55 Exchange. Tam CIS uygunluk beyanı değildir.</v>
      </c>
      <c r="B4" s="4"/>
      <c r="C4" s="4"/>
      <c r="D4" s="4"/>
      <c r="E4" s="4"/>
      <c r="F4" s="4"/>
      <c r="G4" s="4"/>
      <c r="H4" s="4"/>
      <c r="I4" s="4"/>
    </row>
    <row r="5" ht="36" customHeight="1">
      <c r="A5" s="10" t="str">
        <v>KaynakID</v>
      </c>
      <c r="B5" s="10" t="str">
        <v>CIS madde</v>
      </c>
      <c r="C5" s="10" t="str">
        <v>Kaynak başlığı</v>
      </c>
      <c r="D5" s="10" t="str">
        <v>Kaynak profili</v>
      </c>
      <c r="E5" s="10" t="str">
        <v>Kaynak değerlendirme türü</v>
      </c>
      <c r="F5" s="10" t="str">
        <v>Basılı sayfa</v>
      </c>
      <c r="G5" s="10" t="str">
        <v>PDF sayfası</v>
      </c>
      <c r="H5" s="10" t="str">
        <v>Yeni kontrol / durum</v>
      </c>
      <c r="I5" s="10" t="str">
        <v>Aktarım kararı</v>
      </c>
    </row>
    <row r="6" ht="35" customHeight="1">
      <c r="A6" s="6" t="str">
        <v>CIS-FGT</v>
      </c>
      <c r="B6" s="6" t="str">
        <v>1.1</v>
      </c>
      <c r="C6" s="6" t="str">
        <v>Ensure DNS server is configured</v>
      </c>
      <c r="D6" s="6" t="str">
        <v>• Level 1</v>
      </c>
      <c r="E6" s="6" t="str">
        <v>Automated</v>
      </c>
      <c r="F6" s="6" t="n">
        <v>17</v>
      </c>
      <c r="G6" s="6" t="n">
        <v>18</v>
      </c>
      <c r="H6" s="6" t="str">
        <v>FGC-001</v>
      </c>
      <c r="I6" s="6" t="str">
        <v>Aktif soruya bağlı</v>
      </c>
    </row>
    <row r="7" ht="35" customHeight="1">
      <c r="A7" s="6" t="str">
        <v>CIS-FGT</v>
      </c>
      <c r="B7" s="6" t="str">
        <v>1.2</v>
      </c>
      <c r="C7" s="6" t="str">
        <v>Ensure intra-zone traffic is not always allowed</v>
      </c>
      <c r="D7" s="6" t="str">
        <v>• Level 1</v>
      </c>
      <c r="E7" s="6" t="str">
        <v>Manual</v>
      </c>
      <c r="F7" s="6" t="n">
        <v>19</v>
      </c>
      <c r="G7" s="6" t="n">
        <v>20</v>
      </c>
      <c r="H7" s="6" t="str">
        <v>FGC-002</v>
      </c>
      <c r="I7" s="6" t="str">
        <v>Aktif soruya bağlı</v>
      </c>
    </row>
    <row r="8" ht="35" customHeight="1">
      <c r="A8" s="6" t="str">
        <v>CIS-FGT</v>
      </c>
      <c r="B8" s="6" t="str">
        <v>1.3</v>
      </c>
      <c r="C8" s="6" t="str">
        <v>Disable all management related services on WAN port</v>
      </c>
      <c r="D8" s="6" t="str">
        <v>• Level 1</v>
      </c>
      <c r="E8" s="6" t="str">
        <v>Manual</v>
      </c>
      <c r="F8" s="6" t="n">
        <v>21</v>
      </c>
      <c r="G8" s="6" t="n">
        <v>22</v>
      </c>
      <c r="H8" s="6" t="str">
        <v>FGC-003</v>
      </c>
      <c r="I8" s="6" t="str">
        <v>Aktif soruya bağlı</v>
      </c>
    </row>
    <row r="9" ht="35" customHeight="1">
      <c r="A9" s="6" t="str">
        <v>CIS-FGT</v>
      </c>
      <c r="B9" s="6" t="str">
        <v>2.1.1</v>
      </c>
      <c r="C9" s="6" t="str">
        <v>Ensure 'Pre-Login Banner' is set</v>
      </c>
      <c r="D9" s="6" t="str">
        <v>• Level 1</v>
      </c>
      <c r="E9" s="6" t="str">
        <v>Automated</v>
      </c>
      <c r="F9" s="6" t="n">
        <v>25</v>
      </c>
      <c r="G9" s="6" t="n">
        <v>26</v>
      </c>
      <c r="H9" s="6" t="str">
        <v>FGC-004</v>
      </c>
      <c r="I9" s="6" t="str">
        <v>Aktif soruya bağlı</v>
      </c>
    </row>
    <row r="10" ht="35" customHeight="1">
      <c r="A10" s="6" t="str">
        <v>CIS-FGT</v>
      </c>
      <c r="B10" s="6" t="str">
        <v>2.1.2</v>
      </c>
      <c r="C10" s="6" t="str">
        <v>Ensure 'Post-Login-Banner' is set</v>
      </c>
      <c r="D10" s="6" t="str">
        <v>• Level 1</v>
      </c>
      <c r="E10" s="6" t="str">
        <v>Automated</v>
      </c>
      <c r="F10" s="6" t="n">
        <v>27</v>
      </c>
      <c r="G10" s="6" t="n">
        <v>28</v>
      </c>
      <c r="H10" s="6" t="str">
        <v>FGC-004</v>
      </c>
      <c r="I10" s="6" t="str">
        <v>Aktif soruya bağlı</v>
      </c>
    </row>
    <row r="11" ht="35" customHeight="1">
      <c r="A11" s="6" t="str">
        <v>CIS-FGT</v>
      </c>
      <c r="B11" s="6" t="str">
        <v>2.1.3</v>
      </c>
      <c r="C11" s="6" t="str">
        <v>Ensure timezone is properly configured</v>
      </c>
      <c r="D11" s="6" t="str">
        <v>• Level 1</v>
      </c>
      <c r="E11" s="6" t="str">
        <v>Automated</v>
      </c>
      <c r="F11" s="6" t="n">
        <v>29</v>
      </c>
      <c r="G11" s="6" t="n">
        <v>30</v>
      </c>
      <c r="H11" s="6" t="str">
        <v>FGC-001</v>
      </c>
      <c r="I11" s="6" t="str">
        <v>Aktif soruya bağlı</v>
      </c>
    </row>
    <row r="12" ht="35" customHeight="1">
      <c r="A12" s="6" t="str">
        <v>CIS-FGT</v>
      </c>
      <c r="B12" s="6" t="str">
        <v>2.1.4</v>
      </c>
      <c r="C12" s="6" t="str">
        <v>Ensure correct system time is configured through NTP</v>
      </c>
      <c r="D12" s="6" t="str">
        <v>• Level 1</v>
      </c>
      <c r="E12" s="6" t="str">
        <v>Manual</v>
      </c>
      <c r="F12" s="6" t="n">
        <v>31</v>
      </c>
      <c r="G12" s="6" t="n">
        <v>32</v>
      </c>
      <c r="H12" s="6" t="str">
        <v>FGC-001</v>
      </c>
      <c r="I12" s="6" t="str">
        <v>Aktif soruya bağlı</v>
      </c>
    </row>
    <row r="13" ht="35" customHeight="1">
      <c r="A13" s="6" t="str">
        <v>CIS-FGT</v>
      </c>
      <c r="B13" s="6" t="str">
        <v>2.1.5</v>
      </c>
      <c r="C13" s="6" t="str">
        <v>Ensure hostname is set</v>
      </c>
      <c r="D13" s="6" t="str">
        <v>• Level 1</v>
      </c>
      <c r="E13" s="6" t="str">
        <v>Automated</v>
      </c>
      <c r="F13" s="6" t="n">
        <v>34</v>
      </c>
      <c r="G13" s="6" t="n">
        <v>35</v>
      </c>
      <c r="H13" s="6" t="str">
        <v>FGC-004</v>
      </c>
      <c r="I13" s="6" t="str">
        <v>Aktif soruya bağlı</v>
      </c>
    </row>
    <row r="14" ht="35" customHeight="1">
      <c r="A14" s="6" t="str">
        <v>CIS-FGT</v>
      </c>
      <c r="B14" s="6" t="str">
        <v>2.1.6</v>
      </c>
      <c r="C14" s="6" t="str">
        <v>Ensure the latest firmware is installed</v>
      </c>
      <c r="D14" s="6" t="str">
        <v>• Level 2</v>
      </c>
      <c r="E14" s="6" t="str">
        <v>Manual</v>
      </c>
      <c r="F14" s="6" t="n">
        <v>36</v>
      </c>
      <c r="G14" s="6" t="n">
        <v>37</v>
      </c>
      <c r="H14" s="6" t="str">
        <v>FGC-005</v>
      </c>
      <c r="I14" s="6" t="str">
        <v>Aktif soruya bağlı</v>
      </c>
    </row>
    <row r="15" ht="35" customHeight="1">
      <c r="A15" s="6" t="str">
        <v>CIS-FGT</v>
      </c>
      <c r="B15" s="6" t="str">
        <v>2.1.7</v>
      </c>
      <c r="C15" s="6" t="str">
        <v>Disable USB Firmware and configuration installation</v>
      </c>
      <c r="D15" s="6" t="str">
        <v>• Level 2</v>
      </c>
      <c r="E15" s="6" t="str">
        <v>Automated</v>
      </c>
      <c r="F15" s="6" t="n">
        <v>39</v>
      </c>
      <c r="G15" s="6" t="n">
        <v>40</v>
      </c>
      <c r="H15" s="6" t="str">
        <v>FGC-006</v>
      </c>
      <c r="I15" s="6" t="str">
        <v>Aktif soruya bağlı</v>
      </c>
    </row>
    <row r="16" ht="35" customHeight="1">
      <c r="A16" s="6" t="str">
        <v>CIS-FGT</v>
      </c>
      <c r="B16" s="6" t="str">
        <v>2.1.8</v>
      </c>
      <c r="C16" s="6" t="str">
        <v>Disable static keys for TLS</v>
      </c>
      <c r="D16" s="6" t="str">
        <v>• Level 2</v>
      </c>
      <c r="E16" s="6" t="str">
        <v>Automated</v>
      </c>
      <c r="F16" s="6" t="n">
        <v>41</v>
      </c>
      <c r="G16" s="6" t="n">
        <v>42</v>
      </c>
      <c r="H16" s="6" t="str">
        <v>FGC-007</v>
      </c>
      <c r="I16" s="6" t="str">
        <v>Aktif soruya bağlı</v>
      </c>
    </row>
    <row r="17" ht="35" customHeight="1">
      <c r="A17" s="6" t="str">
        <v>CIS-FGT</v>
      </c>
      <c r="B17" s="6" t="str">
        <v>2.1.9</v>
      </c>
      <c r="C17" s="6" t="str">
        <v>Enable Global Strong Encryption</v>
      </c>
      <c r="D17" s="6" t="str">
        <v>• Level 2</v>
      </c>
      <c r="E17" s="6" t="str">
        <v>Automated</v>
      </c>
      <c r="F17" s="6" t="n">
        <v>43</v>
      </c>
      <c r="G17" s="6" t="n">
        <v>44</v>
      </c>
      <c r="H17" s="6" t="str">
        <v>FGC-007</v>
      </c>
      <c r="I17" s="6" t="str">
        <v>Aktif soruya bağlı</v>
      </c>
    </row>
    <row r="18" ht="35" customHeight="1">
      <c r="A18" s="6" t="str">
        <v>CIS-FGT</v>
      </c>
      <c r="B18" s="6" t="str">
        <v>2.1.10</v>
      </c>
      <c r="C18" s="6" t="str">
        <v>Ensure management GUI listens on secure TLS version</v>
      </c>
      <c r="D18" s="6" t="str">
        <v>• Level 1</v>
      </c>
      <c r="E18" s="6" t="str">
        <v>Automated</v>
      </c>
      <c r="F18" s="6" t="n">
        <v>44</v>
      </c>
      <c r="G18" s="6" t="n">
        <v>45</v>
      </c>
      <c r="H18" s="6" t="str">
        <v>FGC-007</v>
      </c>
      <c r="I18" s="6" t="str">
        <v>Aktif soruya bağlı</v>
      </c>
    </row>
    <row r="19" ht="35" customHeight="1">
      <c r="A19" s="6" t="str">
        <v>CIS-FGT</v>
      </c>
      <c r="B19" s="6" t="str">
        <v>2.1.11</v>
      </c>
      <c r="C19" s="6" t="str">
        <v>Ensure CDN is enabled for improved GUI performance</v>
      </c>
      <c r="D19" s="6" t="str">
        <v>• Level 2</v>
      </c>
      <c r="E19" s="6" t="str">
        <v>Automated</v>
      </c>
      <c r="F19" s="6" t="n">
        <v>46</v>
      </c>
      <c r="G19" s="6" t="n">
        <v>47</v>
      </c>
      <c r="H19" s="6" t="str">
        <v>AÇIK</v>
      </c>
      <c r="I19" s="6" t="str">
        <v>Çıkarıldı / açık konu</v>
      </c>
    </row>
    <row r="20" ht="35" customHeight="1">
      <c r="A20" s="6" t="str">
        <v>CIS-FGT</v>
      </c>
      <c r="B20" s="6" t="str">
        <v>2.1.12</v>
      </c>
      <c r="C20" s="6" t="str">
        <v>Ensure single CPU core overloaded event is logged</v>
      </c>
      <c r="D20" s="6" t="str">
        <v>• Level 1</v>
      </c>
      <c r="E20" s="6" t="str">
        <v>Automated</v>
      </c>
      <c r="F20" s="6" t="n">
        <v>47</v>
      </c>
      <c r="G20" s="6" t="n">
        <v>48</v>
      </c>
      <c r="H20" s="6" t="str">
        <v>FGC-008</v>
      </c>
      <c r="I20" s="6" t="str">
        <v>Aktif soruya bağlı</v>
      </c>
    </row>
    <row r="21" ht="35" customHeight="1">
      <c r="A21" s="6" t="str">
        <v>CIS-FGT</v>
      </c>
      <c r="B21" s="6" t="str">
        <v>2.1.13</v>
      </c>
      <c r="C21" s="6" t="str">
        <v>Ensure Hostname is Not Displayed On Login GUI</v>
      </c>
      <c r="D21" s="6" t="str">
        <v>• Level 2</v>
      </c>
      <c r="E21" s="6" t="str">
        <v>Automated</v>
      </c>
      <c r="F21" s="6" t="n">
        <v>49</v>
      </c>
      <c r="G21" s="6" t="n">
        <v>50</v>
      </c>
      <c r="H21" s="6" t="str">
        <v>FGC-004</v>
      </c>
      <c r="I21" s="6" t="str">
        <v>Aktif soruya bağlı</v>
      </c>
    </row>
    <row r="22" ht="35" customHeight="1">
      <c r="A22" s="6" t="str">
        <v>CIS-FGT</v>
      </c>
      <c r="B22" s="6" t="str">
        <v>2.2.1</v>
      </c>
      <c r="C22" s="6" t="str">
        <v>Ensure 'Password Policy' is enabled</v>
      </c>
      <c r="D22" s="6" t="str">
        <v>• Level 1</v>
      </c>
      <c r="E22" s="6" t="str">
        <v>Automated</v>
      </c>
      <c r="F22" s="6" t="n">
        <v>51</v>
      </c>
      <c r="G22" s="6" t="n">
        <v>52</v>
      </c>
      <c r="H22" s="6" t="str">
        <v>FGC-009</v>
      </c>
      <c r="I22" s="6" t="str">
        <v>Aktif soruya bağlı</v>
      </c>
    </row>
    <row r="23" ht="35" customHeight="1">
      <c r="A23" s="6" t="str">
        <v>CIS-FGT</v>
      </c>
      <c r="B23" s="6" t="str">
        <v>2.2.2</v>
      </c>
      <c r="C23" s="6" t="str">
        <v>Ensure administrator password retries and lockout time are configured</v>
      </c>
      <c r="D23" s="6" t="str">
        <v>• Level 1</v>
      </c>
      <c r="E23" s="6" t="str">
        <v>Automated</v>
      </c>
      <c r="F23" s="6" t="n">
        <v>54</v>
      </c>
      <c r="G23" s="6" t="n">
        <v>55</v>
      </c>
      <c r="H23" s="6" t="str">
        <v>FGC-009</v>
      </c>
      <c r="I23" s="6" t="str">
        <v>Aktif soruya bağlı</v>
      </c>
    </row>
    <row r="24" ht="35" customHeight="1">
      <c r="A24" s="6" t="str">
        <v>CIS-FGT</v>
      </c>
      <c r="B24" s="6" t="str">
        <v>2.3.1</v>
      </c>
      <c r="C24" s="6" t="str">
        <v>Ensure only SNMPv3 is enabled</v>
      </c>
      <c r="D24" s="6" t="str">
        <v>• Level 1</v>
      </c>
      <c r="E24" s="6" t="str">
        <v>Automated</v>
      </c>
      <c r="F24" s="6" t="n">
        <v>57</v>
      </c>
      <c r="G24" s="6" t="n">
        <v>58</v>
      </c>
      <c r="H24" s="6" t="str">
        <v>FGC-010</v>
      </c>
      <c r="I24" s="6" t="str">
        <v>Aktif soruya bağlı</v>
      </c>
    </row>
    <row r="25" ht="35" customHeight="1">
      <c r="A25" s="6" t="str">
        <v>CIS-FGT</v>
      </c>
      <c r="B25" s="6" t="str">
        <v>2.3.2</v>
      </c>
      <c r="C25" s="6" t="str">
        <v>Allow only trusted hosts in SNMPv3</v>
      </c>
      <c r="D25" s="6" t="str">
        <v>• Level 2</v>
      </c>
      <c r="E25" s="6" t="str">
        <v>Manual</v>
      </c>
      <c r="F25" s="6" t="n">
        <v>61</v>
      </c>
      <c r="G25" s="6" t="n">
        <v>62</v>
      </c>
      <c r="H25" s="6" t="str">
        <v>FGC-010</v>
      </c>
      <c r="I25" s="6" t="str">
        <v>Aktif soruya bağlı</v>
      </c>
    </row>
    <row r="26" ht="35" customHeight="1">
      <c r="A26" s="6" t="str">
        <v>CIS-FGT</v>
      </c>
      <c r="B26" s="6" t="str">
        <v>2.3.3</v>
      </c>
      <c r="C26" s="6" t="str">
        <v>Disable SNMPv3 Query Per User</v>
      </c>
      <c r="D26" s="6" t="str">
        <v>• Level 2</v>
      </c>
      <c r="E26" s="6" t="str">
        <v>Automated</v>
      </c>
      <c r="F26" s="6" t="n">
        <v>63</v>
      </c>
      <c r="G26" s="6" t="n">
        <v>64</v>
      </c>
      <c r="H26" s="6" t="str">
        <v>FGC-010</v>
      </c>
      <c r="I26" s="6" t="str">
        <v>Aktif soruya bağlı</v>
      </c>
    </row>
    <row r="27" ht="35" customHeight="1">
      <c r="A27" s="6" t="str">
        <v>CIS-FGT</v>
      </c>
      <c r="B27" s="6" t="str">
        <v>2.3.4</v>
      </c>
      <c r="C27" s="6" t="str">
        <v>Enabling SNMP trap for memory usage</v>
      </c>
      <c r="D27" s="6" t="str">
        <v>• Level 1</v>
      </c>
      <c r="E27" s="6" t="str">
        <v>Automated</v>
      </c>
      <c r="F27" s="6" t="n">
        <v>65</v>
      </c>
      <c r="G27" s="6" t="n">
        <v>66</v>
      </c>
      <c r="H27" s="6" t="str">
        <v>AÇIK</v>
      </c>
      <c r="I27" s="6" t="str">
        <v>Çıkarıldı / açık konu</v>
      </c>
    </row>
    <row r="28" ht="35" customHeight="1">
      <c r="A28" s="6" t="str">
        <v>CIS-FGT</v>
      </c>
      <c r="B28" s="6" t="str">
        <v>2.4.1</v>
      </c>
      <c r="C28" s="6" t="str">
        <v>Remove default admin user and create one with other name</v>
      </c>
      <c r="D28" s="6" t="str">
        <v>• Level 1</v>
      </c>
      <c r="E28" s="6" t="str">
        <v>Automated</v>
      </c>
      <c r="F28" s="6" t="n">
        <v>68</v>
      </c>
      <c r="G28" s="6" t="n">
        <v>69</v>
      </c>
      <c r="H28" s="6" t="str">
        <v>FGC-011</v>
      </c>
      <c r="I28" s="6" t="str">
        <v>Aktif soruya bağlı</v>
      </c>
    </row>
    <row r="29" ht="35" customHeight="1">
      <c r="A29" s="6" t="str">
        <v>CIS-FGT</v>
      </c>
      <c r="B29" s="6" t="str">
        <v>2.4.2</v>
      </c>
      <c r="C29" s="6" t="str">
        <v>Ensure all the login accounts having specific trusted hosts enabled</v>
      </c>
      <c r="D29" s="6" t="str">
        <v>• Level 1</v>
      </c>
      <c r="E29" s="6" t="str">
        <v>Manual</v>
      </c>
      <c r="F29" s="6" t="n">
        <v>71</v>
      </c>
      <c r="G29" s="6" t="n">
        <v>72</v>
      </c>
      <c r="H29" s="6" t="str">
        <v>FGC-011</v>
      </c>
      <c r="I29" s="6" t="str">
        <v>Aktif soruya bağlı</v>
      </c>
    </row>
    <row r="30" ht="40" customHeight="1">
      <c r="A30" s="6" t="str">
        <v>CIS-FGT</v>
      </c>
      <c r="B30" s="6" t="str">
        <v>2.4.3</v>
      </c>
      <c r="C30" s="6" t="str">
        <v>Ensure admin accounts with different privileges have their correct profiles assigned</v>
      </c>
      <c r="D30" s="6" t="str">
        <v>• Level 1</v>
      </c>
      <c r="E30" s="6" t="str">
        <v>Manual</v>
      </c>
      <c r="F30" s="6" t="n">
        <v>74</v>
      </c>
      <c r="G30" s="6" t="n">
        <v>75</v>
      </c>
      <c r="H30" s="6" t="str">
        <v>FGC-011</v>
      </c>
      <c r="I30" s="6" t="str">
        <v>Aktif soruya bağlı</v>
      </c>
    </row>
    <row r="31" ht="35" customHeight="1">
      <c r="A31" s="6" t="str">
        <v>CIS-FGT</v>
      </c>
      <c r="B31" s="6" t="str">
        <v>2.4.4</v>
      </c>
      <c r="C31" s="6" t="str">
        <v>Ensure Admin idle timeout time is configured</v>
      </c>
      <c r="D31" s="6" t="str">
        <v>• Level 1</v>
      </c>
      <c r="E31" s="6" t="str">
        <v>Automated</v>
      </c>
      <c r="F31" s="6" t="n">
        <v>77</v>
      </c>
      <c r="G31" s="6" t="n">
        <v>78</v>
      </c>
      <c r="H31" s="6" t="str">
        <v>FGC-012</v>
      </c>
      <c r="I31" s="6" t="str">
        <v>Aktif soruya bağlı</v>
      </c>
    </row>
    <row r="32" ht="35" customHeight="1">
      <c r="A32" s="6" t="str">
        <v>CIS-FGT</v>
      </c>
      <c r="B32" s="6" t="str">
        <v>2.4.5</v>
      </c>
      <c r="C32" s="6" t="str">
        <v>Ensure only encrypted access channels are enabled</v>
      </c>
      <c r="D32" s="6" t="str">
        <v>• Level 1</v>
      </c>
      <c r="E32" s="6" t="str">
        <v>Automated</v>
      </c>
      <c r="F32" s="6" t="n">
        <v>79</v>
      </c>
      <c r="G32" s="6" t="n">
        <v>80</v>
      </c>
      <c r="H32" s="6" t="str">
        <v>FGC-003</v>
      </c>
      <c r="I32" s="6" t="str">
        <v>Aktif soruya bağlı</v>
      </c>
    </row>
    <row r="33" ht="35" customHeight="1">
      <c r="A33" s="6" t="str">
        <v>CIS-FGT</v>
      </c>
      <c r="B33" s="6" t="str">
        <v>2.4.6</v>
      </c>
      <c r="C33" s="6" t="str">
        <v>Apply Local-in Policies</v>
      </c>
      <c r="D33" s="6" t="str">
        <v>• Level 1</v>
      </c>
      <c r="E33" s="6" t="str">
        <v>Automated</v>
      </c>
      <c r="F33" s="6" t="n">
        <v>81</v>
      </c>
      <c r="G33" s="6" t="n">
        <v>82</v>
      </c>
      <c r="H33" s="6" t="str">
        <v>FGC-013</v>
      </c>
      <c r="I33" s="6" t="str">
        <v>Aktif soruya bağlı</v>
      </c>
    </row>
    <row r="34" ht="35" customHeight="1">
      <c r="A34" s="6" t="str">
        <v>CIS-FGT</v>
      </c>
      <c r="B34" s="6" t="str">
        <v>2.4.7</v>
      </c>
      <c r="C34" s="6" t="str">
        <v>Ensure default Admin ports are changed</v>
      </c>
      <c r="D34" s="6" t="str">
        <v>• Level 1</v>
      </c>
      <c r="E34" s="6" t="str">
        <v>Automated</v>
      </c>
      <c r="F34" s="6" t="n">
        <v>84</v>
      </c>
      <c r="G34" s="6" t="n">
        <v>85</v>
      </c>
      <c r="H34" s="6" t="str">
        <v>FGC-014</v>
      </c>
      <c r="I34" s="6" t="str">
        <v>Aktif soruya bağlı</v>
      </c>
    </row>
    <row r="35" ht="35" customHeight="1">
      <c r="A35" s="6" t="str">
        <v>CIS-FGT</v>
      </c>
      <c r="B35" s="6" t="str">
        <v>2.4.8</v>
      </c>
      <c r="C35" s="6" t="str">
        <v>Virtual patching on the local-in management interface</v>
      </c>
      <c r="D35" s="6" t="str">
        <v>• Level 1</v>
      </c>
      <c r="E35" s="6" t="str">
        <v>Automated</v>
      </c>
      <c r="F35" s="6" t="n">
        <v>86</v>
      </c>
      <c r="G35" s="6" t="n">
        <v>87</v>
      </c>
      <c r="H35" s="6" t="str">
        <v>FGC-015</v>
      </c>
      <c r="I35" s="6" t="str">
        <v>Aktif soruya bağlı</v>
      </c>
    </row>
    <row r="36" ht="35" customHeight="1">
      <c r="A36" s="6" t="str">
        <v>CIS-FGT</v>
      </c>
      <c r="B36" s="6" t="str">
        <v>2.5.1</v>
      </c>
      <c r="C36" s="6" t="str">
        <v>Ensure High Availability configuration is enabled</v>
      </c>
      <c r="D36" s="6" t="str">
        <v>• Level 2</v>
      </c>
      <c r="E36" s="6" t="str">
        <v>Automated</v>
      </c>
      <c r="F36" s="6" t="n">
        <v>89</v>
      </c>
      <c r="G36" s="6" t="n">
        <v>90</v>
      </c>
      <c r="H36" s="6" t="str">
        <v>FGC-016</v>
      </c>
      <c r="I36" s="6" t="str">
        <v>Aktif soruya bağlı</v>
      </c>
    </row>
    <row r="37" ht="35" customHeight="1">
      <c r="A37" s="6" t="str">
        <v>CIS-FGT</v>
      </c>
      <c r="B37" s="6" t="str">
        <v>2.5.2</v>
      </c>
      <c r="C37" s="6" t="str">
        <v>Ensure "Monitor Interfaces" for High Availability devices is enabled</v>
      </c>
      <c r="D37" s="6" t="str">
        <v>• Level 1</v>
      </c>
      <c r="E37" s="6" t="str">
        <v>Automated</v>
      </c>
      <c r="F37" s="6" t="n">
        <v>92</v>
      </c>
      <c r="G37" s="6" t="n">
        <v>93</v>
      </c>
      <c r="H37" s="6" t="str">
        <v>FGC-016</v>
      </c>
      <c r="I37" s="6" t="str">
        <v>Aktif soruya bağlı</v>
      </c>
    </row>
    <row r="38" ht="35" customHeight="1">
      <c r="A38" s="6" t="str">
        <v>CIS-FGT</v>
      </c>
      <c r="B38" s="6" t="str">
        <v>2.5.3</v>
      </c>
      <c r="C38" s="6" t="str">
        <v>Ensure HA Reserved Management Interface is configured</v>
      </c>
      <c r="D38" s="6" t="str">
        <v>• Level 1</v>
      </c>
      <c r="E38" s="6" t="str">
        <v>Automated</v>
      </c>
      <c r="F38" s="6" t="n">
        <v>94</v>
      </c>
      <c r="G38" s="6" t="n">
        <v>95</v>
      </c>
      <c r="H38" s="6" t="str">
        <v>FGC-016</v>
      </c>
      <c r="I38" s="6" t="str">
        <v>Aktif soruya bağlı</v>
      </c>
    </row>
    <row r="39" ht="35" customHeight="1">
      <c r="A39" s="6" t="str">
        <v>CIS-FGT</v>
      </c>
      <c r="B39" s="6" t="str">
        <v>2.5.4</v>
      </c>
      <c r="C39" s="6" t="str">
        <v>Ensure High Availability Group-ID is configured</v>
      </c>
      <c r="D39" s="6" t="str">
        <v>• Level 2</v>
      </c>
      <c r="E39" s="6" t="str">
        <v>Automated</v>
      </c>
      <c r="F39" s="6" t="n">
        <v>96</v>
      </c>
      <c r="G39" s="6" t="n">
        <v>97</v>
      </c>
      <c r="H39" s="6" t="str">
        <v>FGC-016</v>
      </c>
      <c r="I39" s="6" t="str">
        <v>Aktif soruya bağlı</v>
      </c>
    </row>
    <row r="40" ht="35" customHeight="1">
      <c r="A40" s="6" t="str">
        <v>CIS-FGT</v>
      </c>
      <c r="B40" s="6" t="str">
        <v>3.1</v>
      </c>
      <c r="C40" s="6" t="str">
        <v>Ensure that unused policies are reviewed regularly</v>
      </c>
      <c r="D40" s="6" t="str">
        <v>• Level 2</v>
      </c>
      <c r="E40" s="6" t="str">
        <v>Manual</v>
      </c>
      <c r="F40" s="6" t="n">
        <v>99</v>
      </c>
      <c r="G40" s="6" t="n">
        <v>100</v>
      </c>
      <c r="H40" s="6" t="str">
        <v>FGC-017</v>
      </c>
      <c r="I40" s="6" t="str">
        <v>Aktif soruya bağlı</v>
      </c>
    </row>
    <row r="41" ht="35" customHeight="1">
      <c r="A41" s="6" t="str">
        <v>CIS-FGT</v>
      </c>
      <c r="B41" s="6" t="str">
        <v>3.2</v>
      </c>
      <c r="C41" s="6" t="str">
        <v>Ensure that policies do not use "ALL" as Service</v>
      </c>
      <c r="D41" s="6" t="str">
        <v>• Level 1</v>
      </c>
      <c r="E41" s="6" t="str">
        <v>Automated</v>
      </c>
      <c r="F41" s="6" t="n">
        <v>101</v>
      </c>
      <c r="G41" s="6" t="n">
        <v>102</v>
      </c>
      <c r="H41" s="6" t="str">
        <v>AÇIK</v>
      </c>
      <c r="I41" s="6" t="str">
        <v>Çıkarıldı / açık konu</v>
      </c>
    </row>
    <row r="42" ht="40" customHeight="1">
      <c r="A42" s="6" t="str">
        <v>CIS-FGT</v>
      </c>
      <c r="B42" s="6" t="str">
        <v>3.3</v>
      </c>
      <c r="C42" s="6" t="str">
        <v>Ensure firewall policy denying all traffic to/from Tor, malicious server, or scanner IP addresses using ISDB</v>
      </c>
      <c r="D42" s="6" t="str">
        <v>• Level 1</v>
      </c>
      <c r="E42" s="6" t="str">
        <v>Automated</v>
      </c>
      <c r="F42" s="6" t="n">
        <v>103</v>
      </c>
      <c r="G42" s="6" t="n">
        <v>104</v>
      </c>
      <c r="H42" s="6" t="str">
        <v>FGC-018</v>
      </c>
      <c r="I42" s="6" t="str">
        <v>Aktif soruya bağlı</v>
      </c>
    </row>
    <row r="43" ht="35" customHeight="1">
      <c r="A43" s="6" t="str">
        <v>CIS-FGT</v>
      </c>
      <c r="B43" s="6" t="str">
        <v>3.4</v>
      </c>
      <c r="C43" s="6" t="str">
        <v>Ensure logging is enabled on all firewall policies</v>
      </c>
      <c r="D43" s="6" t="str">
        <v>• Level 1</v>
      </c>
      <c r="E43" s="6" t="str">
        <v>Automated</v>
      </c>
      <c r="F43" s="6" t="n">
        <v>105</v>
      </c>
      <c r="G43" s="6" t="n">
        <v>106</v>
      </c>
      <c r="H43" s="6" t="str">
        <v>FGC-019</v>
      </c>
      <c r="I43" s="6" t="str">
        <v>Aktif soruya bağlı</v>
      </c>
    </row>
    <row r="44" ht="35" customHeight="1">
      <c r="A44" s="6" t="str">
        <v>CIS-FGT</v>
      </c>
      <c r="B44" s="6" t="str">
        <v>4.1.1</v>
      </c>
      <c r="C44" s="6" t="str">
        <v>Detect Botnet connections</v>
      </c>
      <c r="D44" s="6" t="str">
        <v>• Level 2</v>
      </c>
      <c r="E44" s="6" t="str">
        <v>Automated</v>
      </c>
      <c r="F44" s="6" t="n">
        <v>109</v>
      </c>
      <c r="G44" s="6" t="n">
        <v>110</v>
      </c>
      <c r="H44" s="6" t="str">
        <v>FGC-020</v>
      </c>
      <c r="I44" s="6" t="str">
        <v>Aktif soruya bağlı</v>
      </c>
    </row>
    <row r="45" ht="35" customHeight="1">
      <c r="A45" s="6" t="str">
        <v>CIS-FGT</v>
      </c>
      <c r="B45" s="6" t="str">
        <v>4.1.2</v>
      </c>
      <c r="C45" s="6" t="str">
        <v>Apply IPS Security Profile to Policies</v>
      </c>
      <c r="D45" s="6" t="str">
        <v>• Level 1</v>
      </c>
      <c r="E45" s="6" t="str">
        <v>Manual</v>
      </c>
      <c r="F45" s="6" t="n">
        <v>111</v>
      </c>
      <c r="G45" s="6" t="n">
        <v>112</v>
      </c>
      <c r="H45" s="6" t="str">
        <v>FGC-020</v>
      </c>
      <c r="I45" s="6" t="str">
        <v>Aktif soruya bağlı</v>
      </c>
    </row>
    <row r="46" ht="35" customHeight="1">
      <c r="A46" s="6" t="str">
        <v>CIS-FGT</v>
      </c>
      <c r="B46" s="6" t="str">
        <v>4.2.1</v>
      </c>
      <c r="C46" s="6" t="str">
        <v>Ensure Antivirus Definition Push Updates are Configured</v>
      </c>
      <c r="D46" s="6" t="str">
        <v>• Level 2</v>
      </c>
      <c r="E46" s="6" t="str">
        <v>Automated</v>
      </c>
      <c r="F46" s="6" t="n">
        <v>113</v>
      </c>
      <c r="G46" s="6" t="n">
        <v>114</v>
      </c>
      <c r="H46" s="6" t="str">
        <v>FGC-021</v>
      </c>
      <c r="I46" s="6" t="str">
        <v>Aktif soruya bağlı</v>
      </c>
    </row>
    <row r="47" ht="35" customHeight="1">
      <c r="A47" s="6" t="str">
        <v>CIS-FGT</v>
      </c>
      <c r="B47" s="6" t="str">
        <v>4.2.2</v>
      </c>
      <c r="C47" s="6" t="str">
        <v>Apply Antivirus Security Profile to Policies</v>
      </c>
      <c r="D47" s="6" t="str">
        <v>• Level 2</v>
      </c>
      <c r="E47" s="6" t="str">
        <v>Manual</v>
      </c>
      <c r="F47" s="6" t="n">
        <v>115</v>
      </c>
      <c r="G47" s="6" t="n">
        <v>116</v>
      </c>
      <c r="H47" s="6" t="str">
        <v>FGC-022</v>
      </c>
      <c r="I47" s="6" t="str">
        <v>Aktif soruya bağlı</v>
      </c>
    </row>
    <row r="48" ht="35" customHeight="1">
      <c r="A48" s="6" t="str">
        <v>CIS-FGT</v>
      </c>
      <c r="B48" s="6" t="str">
        <v>4.2.3</v>
      </c>
      <c r="C48" s="6" t="str">
        <v>Enable Outbreak Prevention Database</v>
      </c>
      <c r="D48" s="6" t="str">
        <v>• Level 2</v>
      </c>
      <c r="E48" s="6" t="str">
        <v>Automated</v>
      </c>
      <c r="F48" s="6" t="n">
        <v>116</v>
      </c>
      <c r="G48" s="6" t="n">
        <v>117</v>
      </c>
      <c r="H48" s="6" t="str">
        <v>FGC-022</v>
      </c>
      <c r="I48" s="6" t="str">
        <v>Aktif soruya bağlı</v>
      </c>
    </row>
    <row r="49" ht="35" customHeight="1">
      <c r="A49" s="6" t="str">
        <v>CIS-FGT</v>
      </c>
      <c r="B49" s="6" t="str">
        <v>4.2.4</v>
      </c>
      <c r="C49" s="6" t="str">
        <v>Enable AI /heuristic based malware detection</v>
      </c>
      <c r="D49" s="6" t="str">
        <v>• Level 2</v>
      </c>
      <c r="E49" s="6" t="str">
        <v>Automated</v>
      </c>
      <c r="F49" s="6" t="n">
        <v>118</v>
      </c>
      <c r="G49" s="6" t="n">
        <v>119</v>
      </c>
      <c r="H49" s="6" t="str">
        <v>FGC-022</v>
      </c>
      <c r="I49" s="6" t="str">
        <v>Aktif soruya bağlı</v>
      </c>
    </row>
    <row r="50" ht="35" customHeight="1">
      <c r="A50" s="6" t="str">
        <v>CIS-FGT</v>
      </c>
      <c r="B50" s="6" t="str">
        <v>4.2.5</v>
      </c>
      <c r="C50" s="6" t="str">
        <v>Enable grayware detection on antivirus</v>
      </c>
      <c r="D50" s="6" t="str">
        <v>• Level 2</v>
      </c>
      <c r="E50" s="6" t="str">
        <v>Automated</v>
      </c>
      <c r="F50" s="6" t="n">
        <v>120</v>
      </c>
      <c r="G50" s="6" t="n">
        <v>121</v>
      </c>
      <c r="H50" s="6" t="str">
        <v>FGC-022</v>
      </c>
      <c r="I50" s="6" t="str">
        <v>Aktif soruya bağlı</v>
      </c>
    </row>
    <row r="51" ht="40" customHeight="1">
      <c r="A51" s="6" t="str">
        <v>CIS-FGT</v>
      </c>
      <c r="B51" s="6" t="str">
        <v>4.2.6</v>
      </c>
      <c r="C51" s="6" t="str">
        <v>Ensure inline scanning with FortiGuard AI-Based Sandbox Service is enabled</v>
      </c>
      <c r="D51" s="6" t="str">
        <v>• Level 1</v>
      </c>
      <c r="E51" s="6" t="str">
        <v>Automated</v>
      </c>
      <c r="F51" s="6" t="n">
        <v>122</v>
      </c>
      <c r="G51" s="6" t="n">
        <v>123</v>
      </c>
      <c r="H51" s="6" t="str">
        <v>FGC-023</v>
      </c>
      <c r="I51" s="6" t="str">
        <v>Aktif soruya bağlı</v>
      </c>
    </row>
    <row r="52" ht="35" customHeight="1">
      <c r="A52" s="6" t="str">
        <v>CIS-FGT</v>
      </c>
      <c r="B52" s="6" t="str">
        <v>4.2.7</v>
      </c>
      <c r="C52" s="6" t="str">
        <v>Enable CDR for proxy mode on XLSB, OpenOffice, and RTF files</v>
      </c>
      <c r="D52" s="6" t="str">
        <v>• Level 2</v>
      </c>
      <c r="E52" s="6" t="str">
        <v>Automated</v>
      </c>
      <c r="F52" s="6" t="n">
        <v>125</v>
      </c>
      <c r="G52" s="6" t="n">
        <v>126</v>
      </c>
      <c r="H52" s="6" t="str">
        <v>FGC-024</v>
      </c>
      <c r="I52" s="6" t="str">
        <v>Aktif soruya bağlı</v>
      </c>
    </row>
    <row r="53" ht="35" customHeight="1">
      <c r="A53" s="6" t="str">
        <v>CIS-FGT</v>
      </c>
      <c r="B53" s="6" t="str">
        <v>4.3.1</v>
      </c>
      <c r="C53" s="6" t="str">
        <v>Enable Botnet C&amp;C Domain Blocking DNS Filter</v>
      </c>
      <c r="D53" s="6" t="str">
        <v>• Level 2</v>
      </c>
      <c r="E53" s="6" t="str">
        <v>Automated</v>
      </c>
      <c r="F53" s="6" t="n">
        <v>128</v>
      </c>
      <c r="G53" s="6" t="n">
        <v>129</v>
      </c>
      <c r="H53" s="6" t="str">
        <v>FGC-025</v>
      </c>
      <c r="I53" s="6" t="str">
        <v>Aktif soruya bağlı</v>
      </c>
    </row>
    <row r="54" ht="35" customHeight="1">
      <c r="A54" s="6" t="str">
        <v>CIS-FGT</v>
      </c>
      <c r="B54" s="6" t="str">
        <v>4.3.2</v>
      </c>
      <c r="C54" s="6" t="str">
        <v>Ensure DNS Filter logs all DNS queries and responses</v>
      </c>
      <c r="D54" s="6" t="str">
        <v>• Level 1</v>
      </c>
      <c r="E54" s="6" t="str">
        <v>Automated</v>
      </c>
      <c r="F54" s="6" t="n">
        <v>130</v>
      </c>
      <c r="G54" s="6" t="n">
        <v>131</v>
      </c>
      <c r="H54" s="6" t="str">
        <v>FGC-025</v>
      </c>
      <c r="I54" s="6" t="str">
        <v>Aktif soruya bağlı</v>
      </c>
    </row>
    <row r="55" ht="35" customHeight="1">
      <c r="A55" s="6" t="str">
        <v>CIS-FGT</v>
      </c>
      <c r="B55" s="6" t="str">
        <v>4.3.3</v>
      </c>
      <c r="C55" s="6" t="str">
        <v>Apply DNS Filter Security Profile to Policies</v>
      </c>
      <c r="D55" s="6" t="str">
        <v>• Level 1</v>
      </c>
      <c r="E55" s="6" t="str">
        <v>Automated</v>
      </c>
      <c r="F55" s="6" t="n">
        <v>132</v>
      </c>
      <c r="G55" s="6" t="n">
        <v>133</v>
      </c>
      <c r="H55" s="6" t="str">
        <v>FGC-025</v>
      </c>
      <c r="I55" s="6" t="str">
        <v>Aktif soruya bağlı</v>
      </c>
    </row>
    <row r="56" ht="35" customHeight="1">
      <c r="A56" s="6" t="str">
        <v>CIS-FGT</v>
      </c>
      <c r="B56" s="6" t="str">
        <v>4.4.1</v>
      </c>
      <c r="C56" s="6" t="str">
        <v>Create a Web Filtering Profile</v>
      </c>
      <c r="D56" s="6" t="str">
        <v>• Level 1</v>
      </c>
      <c r="E56" s="6" t="str">
        <v>Automated</v>
      </c>
      <c r="F56" s="6" t="n">
        <v>134</v>
      </c>
      <c r="G56" s="6" t="n">
        <v>135</v>
      </c>
      <c r="H56" s="6" t="str">
        <v>FGC-026</v>
      </c>
      <c r="I56" s="6" t="str">
        <v>Aktif soruya bağlı</v>
      </c>
    </row>
    <row r="57" ht="35" customHeight="1">
      <c r="A57" s="6" t="str">
        <v>CIS-FGT</v>
      </c>
      <c r="B57" s="6" t="str">
        <v>4.5.1</v>
      </c>
      <c r="C57" s="6" t="str">
        <v>Block high risk categories on Application Control</v>
      </c>
      <c r="D57" s="6" t="str">
        <v>• Level 1</v>
      </c>
      <c r="E57" s="6" t="str">
        <v>Manual</v>
      </c>
      <c r="F57" s="6" t="n">
        <v>137</v>
      </c>
      <c r="G57" s="6" t="n">
        <v>138</v>
      </c>
      <c r="H57" s="6" t="str">
        <v>FGC-027</v>
      </c>
      <c r="I57" s="6" t="str">
        <v>Aktif soruya bağlı</v>
      </c>
    </row>
    <row r="58" ht="35" customHeight="1">
      <c r="A58" s="6" t="str">
        <v>CIS-FGT</v>
      </c>
      <c r="B58" s="6" t="str">
        <v>4.5.2</v>
      </c>
      <c r="C58" s="6" t="str">
        <v>Block applications running on non-default ports</v>
      </c>
      <c r="D58" s="6" t="str">
        <v>• Level 2</v>
      </c>
      <c r="E58" s="6" t="str">
        <v>Automated</v>
      </c>
      <c r="F58" s="6" t="n">
        <v>139</v>
      </c>
      <c r="G58" s="6" t="n">
        <v>140</v>
      </c>
      <c r="H58" s="6" t="str">
        <v>FGC-027</v>
      </c>
      <c r="I58" s="6" t="str">
        <v>Aktif soruya bağlı</v>
      </c>
    </row>
    <row r="59" ht="35" customHeight="1">
      <c r="A59" s="6" t="str">
        <v>CIS-FGT</v>
      </c>
      <c r="B59" s="6" t="str">
        <v>4.5.3</v>
      </c>
      <c r="C59" s="6" t="str">
        <v>Ensure all Application Control related traffic is logged</v>
      </c>
      <c r="D59" s="6" t="str">
        <v>• Level 1</v>
      </c>
      <c r="E59" s="6" t="str">
        <v>Manual</v>
      </c>
      <c r="F59" s="6" t="n">
        <v>141</v>
      </c>
      <c r="G59" s="6" t="n">
        <v>142</v>
      </c>
      <c r="H59" s="6" t="str">
        <v>FGC-027</v>
      </c>
      <c r="I59" s="6" t="str">
        <v>Aktif soruya bağlı</v>
      </c>
    </row>
    <row r="60" ht="35" customHeight="1">
      <c r="A60" s="6" t="str">
        <v>CIS-FGT</v>
      </c>
      <c r="B60" s="6" t="str">
        <v>4.5.4</v>
      </c>
      <c r="C60" s="6" t="str">
        <v>Apply Application Control Security Profile to Policies</v>
      </c>
      <c r="D60" s="6" t="str">
        <v>• Level 1</v>
      </c>
      <c r="E60" s="6" t="str">
        <v>Manual</v>
      </c>
      <c r="F60" s="6" t="n">
        <v>143</v>
      </c>
      <c r="G60" s="6" t="n">
        <v>144</v>
      </c>
      <c r="H60" s="6" t="str">
        <v>FGC-027</v>
      </c>
      <c r="I60" s="6" t="str">
        <v>Aktif soruya bağlı</v>
      </c>
    </row>
    <row r="61" ht="35" customHeight="1">
      <c r="A61" s="6" t="str">
        <v>CIS-FGT</v>
      </c>
      <c r="B61" s="6" t="str">
        <v>5.1.1</v>
      </c>
      <c r="C61" s="6" t="str">
        <v>Enable Compromised Host Quarantine</v>
      </c>
      <c r="D61" s="6" t="str">
        <v>• Level 1</v>
      </c>
      <c r="E61" s="6" t="str">
        <v>Automated</v>
      </c>
      <c r="F61" s="6" t="n">
        <v>147</v>
      </c>
      <c r="G61" s="6" t="n">
        <v>148</v>
      </c>
      <c r="H61" s="6" t="str">
        <v>FGC-028</v>
      </c>
      <c r="I61" s="6" t="str">
        <v>Aktif soruya bağlı</v>
      </c>
    </row>
    <row r="62" ht="35" customHeight="1">
      <c r="A62" s="6" t="str">
        <v>CIS-FGT</v>
      </c>
      <c r="B62" s="6" t="str">
        <v>5.2.1.1</v>
      </c>
      <c r="C62" s="6" t="str">
        <v>Ensure Security Fabric is Configured</v>
      </c>
      <c r="D62" s="6" t="str">
        <v>• Level 2</v>
      </c>
      <c r="E62" s="6" t="str">
        <v>Manual</v>
      </c>
      <c r="F62" s="6" t="n">
        <v>152</v>
      </c>
      <c r="G62" s="6" t="n">
        <v>153</v>
      </c>
      <c r="H62" s="6" t="str">
        <v>FGC-029</v>
      </c>
      <c r="I62" s="6" t="str">
        <v>Aktif soruya bağlı</v>
      </c>
    </row>
    <row r="63" ht="35" customHeight="1">
      <c r="A63" s="6" t="str">
        <v>CIS-FGT</v>
      </c>
      <c r="B63" s="6" t="str">
        <v>6.1.1</v>
      </c>
      <c r="C63" s="6" t="str">
        <v>Apply a Trusted Signed Certificate for VPN Portal</v>
      </c>
      <c r="D63" s="6" t="str">
        <v>• Level 2</v>
      </c>
      <c r="E63" s="6" t="str">
        <v>Automated</v>
      </c>
      <c r="F63" s="6" t="n">
        <v>156</v>
      </c>
      <c r="G63" s="6" t="n">
        <v>157</v>
      </c>
      <c r="H63" s="6" t="str">
        <v>FGC-030</v>
      </c>
      <c r="I63" s="6" t="str">
        <v>Aktif soruya bağlı</v>
      </c>
    </row>
    <row r="64" ht="35" customHeight="1">
      <c r="A64" s="6" t="str">
        <v>CIS-FGT</v>
      </c>
      <c r="B64" s="6" t="str">
        <v>6.1.2</v>
      </c>
      <c r="C64" s="6" t="str">
        <v>Enable Limited TLS Versions for SSL VPN</v>
      </c>
      <c r="D64" s="6" t="str">
        <v>• Level 2</v>
      </c>
      <c r="E64" s="6" t="str">
        <v>Automated</v>
      </c>
      <c r="F64" s="6" t="n">
        <v>158</v>
      </c>
      <c r="G64" s="6" t="n">
        <v>159</v>
      </c>
      <c r="H64" s="6" t="str">
        <v>FGC-030</v>
      </c>
      <c r="I64" s="6" t="str">
        <v>Aktif soruya bağlı</v>
      </c>
    </row>
    <row r="65" ht="35" customHeight="1">
      <c r="A65" s="6" t="str">
        <v>CIS-FGT</v>
      </c>
      <c r="B65" s="6" t="str">
        <v>7.1.1</v>
      </c>
      <c r="C65" s="6" t="str">
        <v>Enable Event Logging</v>
      </c>
      <c r="D65" s="6" t="str">
        <v>• Level 2</v>
      </c>
      <c r="E65" s="6" t="str">
        <v>Automated</v>
      </c>
      <c r="F65" s="6" t="n">
        <v>162</v>
      </c>
      <c r="G65" s="6" t="n">
        <v>163</v>
      </c>
      <c r="H65" s="6" t="str">
        <v>FGC-031</v>
      </c>
      <c r="I65" s="6" t="str">
        <v>Aktif soruya bağlı</v>
      </c>
    </row>
    <row r="66" ht="35" customHeight="1">
      <c r="A66" s="6" t="str">
        <v>CIS-FGT</v>
      </c>
      <c r="B66" s="6" t="str">
        <v>7.2.1</v>
      </c>
      <c r="C66" s="6" t="str">
        <v>Centralized Logging and Reporting</v>
      </c>
      <c r="D66" s="6" t="str">
        <v>• Level 2</v>
      </c>
      <c r="E66" s="6" t="str">
        <v>Automated</v>
      </c>
      <c r="F66" s="6" t="n">
        <v>165</v>
      </c>
      <c r="G66" s="6" t="n">
        <v>166</v>
      </c>
      <c r="H66" s="6" t="str">
        <v>FGC-031</v>
      </c>
      <c r="I66" s="6" t="str">
        <v>Aktif soruya bağlı</v>
      </c>
    </row>
    <row r="67" ht="35" customHeight="1">
      <c r="A67" s="6" t="str">
        <v>CIS-FGT</v>
      </c>
      <c r="B67" s="6" t="str">
        <v>7.3.1</v>
      </c>
      <c r="C67" s="6" t="str">
        <v>Encrypt Log Transmission to FortiAnalyzer / FortiManager</v>
      </c>
      <c r="D67" s="6" t="str">
        <v>• Level 1</v>
      </c>
      <c r="E67" s="6" t="str">
        <v>Automated</v>
      </c>
      <c r="F67" s="6" t="n">
        <v>168</v>
      </c>
      <c r="G67" s="6" t="n">
        <v>169</v>
      </c>
      <c r="H67" s="6" t="str">
        <v>FGC-032</v>
      </c>
      <c r="I67" s="6" t="str">
        <v>Aktif soruya bağlı</v>
      </c>
    </row>
    <row r="68" ht="35" customHeight="1">
      <c r="A68" s="6" t="str">
        <v>CIS-FGT</v>
      </c>
      <c r="B68" s="6" t="str">
        <v>7.3.2</v>
      </c>
      <c r="C68" s="6" t="str">
        <v>Encrypt Log Transmission to Syslog</v>
      </c>
      <c r="D68" s="6" t="str">
        <v>• Level 1</v>
      </c>
      <c r="E68" s="6" t="str">
        <v>Manual</v>
      </c>
      <c r="F68" s="6" t="n">
        <v>170</v>
      </c>
      <c r="G68" s="6" t="n">
        <v>171</v>
      </c>
      <c r="H68" s="6" t="str">
        <v>FGC-033</v>
      </c>
      <c r="I68" s="6" t="str">
        <v>Aktif soruya bağlı</v>
      </c>
    </row>
    <row r="69" ht="35" customHeight="1">
      <c r="A69" s="6" t="str">
        <v>CIS-FGT</v>
      </c>
      <c r="B69" s="6" t="str">
        <v>7.3.3</v>
      </c>
      <c r="C69" s="6" t="str">
        <v>Encrypt Log Transmission to Syslog</v>
      </c>
      <c r="D69" s="6" t="str">
        <v>• Level 1</v>
      </c>
      <c r="E69" s="6" t="str">
        <v>Manual</v>
      </c>
      <c r="F69" s="6" t="n">
        <v>172</v>
      </c>
      <c r="G69" s="6" t="n">
        <v>173</v>
      </c>
      <c r="H69" s="6" t="str">
        <v>FGC-033</v>
      </c>
      <c r="I69" s="6" t="str">
        <v>Aktif soruya bağlı</v>
      </c>
    </row>
    <row r="70" ht="35" customHeight="1">
      <c r="A70" s="6" t="str">
        <v>CIS-ESX7</v>
      </c>
      <c r="B70" s="6" t="str">
        <v>1.1</v>
      </c>
      <c r="C70" s="6" t="str">
        <v>Ensure ESXi is properly patched</v>
      </c>
      <c r="D70" s="6" t="str">
        <v>• Level 1 (L1) - Corporate/Enterprise Environment (general use)</v>
      </c>
      <c r="E70" s="6" t="str">
        <v>Manual</v>
      </c>
      <c r="F70" s="6" t="n">
        <v>17</v>
      </c>
      <c r="G70" s="6" t="n">
        <v>18</v>
      </c>
      <c r="H70" s="6" t="str">
        <v>ESX-011</v>
      </c>
      <c r="I70" s="6" t="str">
        <v>Aktif soruya bağlı</v>
      </c>
    </row>
    <row r="71" ht="35" customHeight="1">
      <c r="A71" s="6" t="str">
        <v>CIS-ESX7</v>
      </c>
      <c r="B71" s="6" t="str">
        <v>1.2</v>
      </c>
      <c r="C71" s="6" t="str">
        <v>Ensure the Image Profile VIB acceptance level is configured properly</v>
      </c>
      <c r="D71" s="6" t="str">
        <v>• Level 1 (L1) - Corporate/Enterprise Environment (general use)</v>
      </c>
      <c r="E71" s="6" t="str">
        <v>Automated</v>
      </c>
      <c r="F71" s="6" t="n">
        <v>19</v>
      </c>
      <c r="G71" s="6" t="n">
        <v>20</v>
      </c>
      <c r="H71" s="6" t="str">
        <v>ESX-012</v>
      </c>
      <c r="I71" s="6" t="str">
        <v>Aktif soruya bağlı</v>
      </c>
    </row>
    <row r="72" ht="35" customHeight="1">
      <c r="A72" s="6" t="str">
        <v>CIS-ESX7</v>
      </c>
      <c r="B72" s="6" t="str">
        <v>1.3</v>
      </c>
      <c r="C72" s="6" t="str">
        <v>Ensure no unauthorized kernel modules are loaded on the host</v>
      </c>
      <c r="D72" s="6" t="str">
        <v>• Level 1 (L1) - Corporate/Enterprise Environment (general use)</v>
      </c>
      <c r="E72" s="6" t="str">
        <v>Manual</v>
      </c>
      <c r="F72" s="6" t="n">
        <v>22</v>
      </c>
      <c r="G72" s="6" t="n">
        <v>23</v>
      </c>
      <c r="H72" s="6" t="str">
        <v>ESX-012</v>
      </c>
      <c r="I72" s="6" t="str">
        <v>Aktif soruya bağlı</v>
      </c>
    </row>
    <row r="73" ht="40" customHeight="1">
      <c r="A73" s="6" t="str">
        <v>CIS-ESX7</v>
      </c>
      <c r="B73" s="6" t="str">
        <v>1.4</v>
      </c>
      <c r="C73" s="6" t="str">
        <v>Ensure the default value of individual salt per vm is configured</v>
      </c>
      <c r="D73" s="6" t="str">
        <v>• Level 2 (L2) - High Security/Sensitive Data Environment (limited functionality)</v>
      </c>
      <c r="E73" s="6" t="str">
        <v>Automated</v>
      </c>
      <c r="F73" s="6" t="n">
        <v>24</v>
      </c>
      <c r="G73" s="6" t="n">
        <v>25</v>
      </c>
      <c r="H73" s="6" t="str">
        <v>ESX-016</v>
      </c>
      <c r="I73" s="6" t="str">
        <v>Aktif soruya bağlı</v>
      </c>
    </row>
    <row r="74" ht="35" customHeight="1">
      <c r="A74" s="6" t="str">
        <v>CIS-ESX7</v>
      </c>
      <c r="B74" s="6" t="str">
        <v>2.1</v>
      </c>
      <c r="C74" s="6" t="str">
        <v>Ensure NTP time synchronization is configured properly</v>
      </c>
      <c r="D74" s="6" t="str">
        <v>• Level 1 (L1) - Corporate/Enterprise Environment (general use)</v>
      </c>
      <c r="E74" s="6" t="str">
        <v>Automated</v>
      </c>
      <c r="F74" s="6" t="n">
        <v>27</v>
      </c>
      <c r="G74" s="6" t="n">
        <v>28</v>
      </c>
      <c r="H74" s="6" t="str">
        <v>ESX-014</v>
      </c>
      <c r="I74" s="6" t="str">
        <v>Aktif soruya bağlı</v>
      </c>
    </row>
    <row r="75" ht="40" customHeight="1">
      <c r="A75" s="6" t="str">
        <v>CIS-ESX7</v>
      </c>
      <c r="B75" s="6" t="str">
        <v>2.2</v>
      </c>
      <c r="C75" s="6" t="str">
        <v>Ensure the ESXi host firewall is configured to restrict access to services running on the host</v>
      </c>
      <c r="D75" s="6" t="str">
        <v>• Level 1 (L1) - Corporate/Enterprise Environment (general use)</v>
      </c>
      <c r="E75" s="6" t="str">
        <v>Manual</v>
      </c>
      <c r="F75" s="6" t="n">
        <v>29</v>
      </c>
      <c r="G75" s="6" t="n">
        <v>30</v>
      </c>
      <c r="H75" s="6" t="str">
        <v>ESX-036</v>
      </c>
      <c r="I75" s="6" t="str">
        <v>Aktif soruya bağlı</v>
      </c>
    </row>
    <row r="76" ht="35" customHeight="1">
      <c r="A76" s="6" t="str">
        <v>CIS-ESX7</v>
      </c>
      <c r="B76" s="6" t="str">
        <v>2.3</v>
      </c>
      <c r="C76" s="6" t="str">
        <v>Ensure Managed Object Browser (MOB) is disabled</v>
      </c>
      <c r="D76" s="6" t="str">
        <v>• Level 1 (L1) - Corporate/Enterprise Environment (general use)</v>
      </c>
      <c r="E76" s="6" t="str">
        <v>Automated</v>
      </c>
      <c r="F76" s="6" t="n">
        <v>31</v>
      </c>
      <c r="G76" s="6" t="n">
        <v>32</v>
      </c>
      <c r="H76" s="6" t="str">
        <v>ESX-018</v>
      </c>
      <c r="I76" s="6" t="str">
        <v>Aktif soruya bağlı</v>
      </c>
    </row>
    <row r="77" ht="40" customHeight="1">
      <c r="A77" s="6" t="str">
        <v>CIS-ESX7</v>
      </c>
      <c r="B77" s="6" t="str">
        <v>2.4</v>
      </c>
      <c r="C77" s="6" t="str">
        <v>Ensure default self-signed certificate for ESXi communication is not used</v>
      </c>
      <c r="D77" s="6" t="str">
        <v>• Level 2 (L2) - High Security/Sensitive Data Environment (limited functionality)</v>
      </c>
      <c r="E77" s="6" t="str">
        <v>Manual</v>
      </c>
      <c r="F77" s="6" t="n">
        <v>33</v>
      </c>
      <c r="G77" s="6" t="n">
        <v>34</v>
      </c>
      <c r="H77" s="6" t="str">
        <v>ESX-061</v>
      </c>
      <c r="I77" s="6" t="str">
        <v>Aktif soruya bağlı</v>
      </c>
    </row>
    <row r="78" ht="35" customHeight="1">
      <c r="A78" s="6" t="str">
        <v>CIS-ESX7</v>
      </c>
      <c r="B78" s="6" t="str">
        <v>2.5</v>
      </c>
      <c r="C78" s="6" t="str">
        <v>Ensure SNMP is configured properly</v>
      </c>
      <c r="D78" s="6" t="str">
        <v>• Level 1 (L1) - Corporate/Enterprise Environment (general use)</v>
      </c>
      <c r="E78" s="6" t="str">
        <v>Manual</v>
      </c>
      <c r="F78" s="6" t="n">
        <v>35</v>
      </c>
      <c r="G78" s="6" t="n">
        <v>36</v>
      </c>
      <c r="H78" s="6" t="str">
        <v>ESX-041</v>
      </c>
      <c r="I78" s="6" t="str">
        <v>Aktif soruya bağlı</v>
      </c>
    </row>
    <row r="79" ht="35" customHeight="1">
      <c r="A79" s="6" t="str">
        <v>CIS-ESX7</v>
      </c>
      <c r="B79" s="6" t="str">
        <v>2.6</v>
      </c>
      <c r="C79" s="6" t="str">
        <v>Ensure dvfilter API is not configured if not used</v>
      </c>
      <c r="D79" s="6" t="str">
        <v>• Level 1 (L1) - Corporate/Enterprise Environment (general use)</v>
      </c>
      <c r="E79" s="6" t="str">
        <v>Manual</v>
      </c>
      <c r="F79" s="6" t="n">
        <v>37</v>
      </c>
      <c r="G79" s="6" t="n">
        <v>38</v>
      </c>
      <c r="H79" s="6" t="str">
        <v>ESX-037</v>
      </c>
      <c r="I79" s="6" t="str">
        <v>Aktif soruya bağlı</v>
      </c>
    </row>
    <row r="80" ht="40" customHeight="1">
      <c r="A80" s="6" t="str">
        <v>CIS-ESX7</v>
      </c>
      <c r="B80" s="6" t="str">
        <v>2.7</v>
      </c>
      <c r="C80" s="6" t="str">
        <v>Ensure expired and revoked SSL certificates are removed from the ESXi server</v>
      </c>
      <c r="D80" s="6" t="str">
        <v>• Level 1 (L1) - Corporate/Enterprise Environment (general use)</v>
      </c>
      <c r="E80" s="6" t="str">
        <v>Manual</v>
      </c>
      <c r="F80" s="6" t="n">
        <v>39</v>
      </c>
      <c r="G80" s="6" t="n">
        <v>40</v>
      </c>
      <c r="H80" s="6" t="str">
        <v>ESX-061</v>
      </c>
      <c r="I80" s="6" t="str">
        <v>Aktif soruya bağlı</v>
      </c>
    </row>
    <row r="81" ht="40" customHeight="1">
      <c r="A81" s="6" t="str">
        <v>CIS-ESX7</v>
      </c>
      <c r="B81" s="6" t="str">
        <v>2.8</v>
      </c>
      <c r="C81" s="6" t="str">
        <v>Ensure vSphere Authentication Proxy is used when adding hosts to Active Directory</v>
      </c>
      <c r="D81" s="6" t="str">
        <v>• Level 1 (L1) - Corporate/Enterprise Environment (general use)</v>
      </c>
      <c r="E81" s="6" t="str">
        <v>Manual</v>
      </c>
      <c r="F81" s="6" t="n">
        <v>42</v>
      </c>
      <c r="G81" s="6" t="n">
        <v>43</v>
      </c>
      <c r="H81" s="6" t="str">
        <v>ESX-062</v>
      </c>
      <c r="I81" s="6" t="str">
        <v>Aktif soruya bağlı</v>
      </c>
    </row>
    <row r="82" ht="40" customHeight="1">
      <c r="A82" s="6" t="str">
        <v>CIS-ESX7</v>
      </c>
      <c r="B82" s="6" t="str">
        <v>2.9</v>
      </c>
      <c r="C82" s="6" t="str">
        <v>Ensure VDS health check is disabled</v>
      </c>
      <c r="D82" s="6" t="str">
        <v>• Level 2 (L2) - High Security/Sensitive Data Environment (limited functionality)</v>
      </c>
      <c r="E82" s="6" t="str">
        <v>Manual</v>
      </c>
      <c r="F82" s="6" t="n">
        <v>45</v>
      </c>
      <c r="G82" s="6" t="n">
        <v>46</v>
      </c>
      <c r="H82" s="6" t="str">
        <v>VDS-C01</v>
      </c>
      <c r="I82" s="6" t="str">
        <v>Aktif soruya bağlı</v>
      </c>
    </row>
    <row r="83" ht="40" customHeight="1">
      <c r="A83" s="6" t="str">
        <v>CIS-ESX7</v>
      </c>
      <c r="B83" s="6" t="str">
        <v>3.1</v>
      </c>
      <c r="C83" s="6" t="str">
        <v>Ensure a centralized location is configured to collect ESXi host core dumps</v>
      </c>
      <c r="D83" s="6" t="str">
        <v>• Level 1 (L1) - Corporate/Enterprise Environment (general use)</v>
      </c>
      <c r="E83" s="6" t="str">
        <v>Automated</v>
      </c>
      <c r="F83" s="6" t="n">
        <v>48</v>
      </c>
      <c r="G83" s="6" t="n">
        <v>49</v>
      </c>
      <c r="H83" s="6" t="str">
        <v>ESX-066</v>
      </c>
      <c r="I83" s="6" t="str">
        <v>Aktif soruya bağlı</v>
      </c>
    </row>
    <row r="84" ht="35" customHeight="1">
      <c r="A84" s="6" t="str">
        <v>CIS-ESX7</v>
      </c>
      <c r="B84" s="6" t="str">
        <v>3.2</v>
      </c>
      <c r="C84" s="6" t="str">
        <v>Ensure persistent logging is configured for all ESXi hosts</v>
      </c>
      <c r="D84" s="6" t="str">
        <v>• Level 1 (L1) - Corporate/Enterprise Environment (general use)</v>
      </c>
      <c r="E84" s="6" t="str">
        <v>Manual</v>
      </c>
      <c r="F84" s="6" t="n">
        <v>50</v>
      </c>
      <c r="G84" s="6" t="n">
        <v>51</v>
      </c>
      <c r="H84" s="6" t="str">
        <v>ESX-032</v>
      </c>
      <c r="I84" s="6" t="str">
        <v>Aktif soruya bağlı</v>
      </c>
    </row>
    <row r="85" ht="35" customHeight="1">
      <c r="A85" s="6" t="str">
        <v>CIS-ESX7</v>
      </c>
      <c r="B85" s="6" t="str">
        <v>3.3</v>
      </c>
      <c r="C85" s="6" t="str">
        <v>Ensure remote logging is configured for ESXi hosts</v>
      </c>
      <c r="D85" s="6" t="str">
        <v>• Level 1 (L1) - Corporate/Enterprise Environment (general use)</v>
      </c>
      <c r="E85" s="6" t="str">
        <v>Automated</v>
      </c>
      <c r="F85" s="6" t="n">
        <v>52</v>
      </c>
      <c r="G85" s="6" t="n">
        <v>53</v>
      </c>
      <c r="H85" s="6" t="str">
        <v>ESX-032</v>
      </c>
      <c r="I85" s="6" t="str">
        <v>Aktif soruya bağlı</v>
      </c>
    </row>
    <row r="86" ht="35" customHeight="1">
      <c r="A86" s="6" t="str">
        <v>CIS-ESX7</v>
      </c>
      <c r="B86" s="6" t="str">
        <v>4.1</v>
      </c>
      <c r="C86" s="6" t="str">
        <v>Ensure a non-root user account exists for local admin access</v>
      </c>
      <c r="D86" s="6" t="str">
        <v>• Level 1 (L1) - Corporate/Enterprise Environment (general use)</v>
      </c>
      <c r="E86" s="6" t="str">
        <v>Automated</v>
      </c>
      <c r="F86" s="6" t="n">
        <v>55</v>
      </c>
      <c r="G86" s="6" t="n">
        <v>56</v>
      </c>
      <c r="H86" s="6" t="str">
        <v>ESX-063</v>
      </c>
      <c r="I86" s="6" t="str">
        <v>Aktif soruya bağlı</v>
      </c>
    </row>
    <row r="87" ht="35" customHeight="1">
      <c r="A87" s="6" t="str">
        <v>CIS-ESX7</v>
      </c>
      <c r="B87" s="6" t="str">
        <v>4.2</v>
      </c>
      <c r="C87" s="6" t="str">
        <v>Ensure passwords are required to be complex</v>
      </c>
      <c r="D87" s="6" t="str">
        <v>• Level 1 (L1) - Corporate/Enterprise Environment (general use)</v>
      </c>
      <c r="E87" s="6" t="str">
        <v>Manual</v>
      </c>
      <c r="F87" s="6" t="n">
        <v>57</v>
      </c>
      <c r="G87" s="6" t="n">
        <v>58</v>
      </c>
      <c r="H87" s="6" t="str">
        <v>ESX-023</v>
      </c>
      <c r="I87" s="6" t="str">
        <v>Aktif soruya bağlı</v>
      </c>
    </row>
    <row r="88" ht="35" customHeight="1">
      <c r="A88" s="6" t="str">
        <v>CIS-ESX7</v>
      </c>
      <c r="B88" s="6" t="str">
        <v>4.3</v>
      </c>
      <c r="C88" s="6" t="str">
        <v>Ensure the maximum failed login attempts is set to 5</v>
      </c>
      <c r="D88" s="6" t="str">
        <v>• Level 1 (L1) - Corporate/Enterprise Environment (general use)</v>
      </c>
      <c r="E88" s="6" t="str">
        <v>Automated</v>
      </c>
      <c r="F88" s="6" t="n">
        <v>60</v>
      </c>
      <c r="G88" s="6" t="n">
        <v>61</v>
      </c>
      <c r="H88" s="6" t="str">
        <v>ESX-024</v>
      </c>
      <c r="I88" s="6" t="str">
        <v>Aktif soruya bağlı</v>
      </c>
    </row>
    <row r="89" ht="35" customHeight="1">
      <c r="A89" s="6" t="str">
        <v>CIS-ESX7</v>
      </c>
      <c r="B89" s="6" t="str">
        <v>4.4</v>
      </c>
      <c r="C89" s="6" t="str">
        <v>Ensure account lockout is set to 15 minutes</v>
      </c>
      <c r="D89" s="6" t="str">
        <v>• Level 1 (L1) - Corporate/Enterprise Environment (general use)</v>
      </c>
      <c r="E89" s="6" t="str">
        <v>Automated</v>
      </c>
      <c r="F89" s="6" t="n">
        <v>62</v>
      </c>
      <c r="G89" s="6" t="n">
        <v>63</v>
      </c>
      <c r="H89" s="6" t="str">
        <v>ESX-024</v>
      </c>
      <c r="I89" s="6" t="str">
        <v>Aktif soruya bağlı</v>
      </c>
    </row>
    <row r="90" ht="35" customHeight="1">
      <c r="A90" s="6" t="str">
        <v>CIS-ESX7</v>
      </c>
      <c r="B90" s="6" t="str">
        <v>4.5</v>
      </c>
      <c r="C90" s="6" t="str">
        <v>Ensure previous 5 passwords are prohibited</v>
      </c>
      <c r="D90" s="6" t="str">
        <v>• Level 1 (L1) - Corporate/Enterprise Environment (general use)</v>
      </c>
      <c r="E90" s="6" t="str">
        <v>Manual</v>
      </c>
      <c r="F90" s="6" t="n">
        <v>64</v>
      </c>
      <c r="G90" s="6" t="n">
        <v>65</v>
      </c>
      <c r="H90" s="6" t="str">
        <v>ESX-025</v>
      </c>
      <c r="I90" s="6" t="str">
        <v>Aktif soruya bağlı</v>
      </c>
    </row>
    <row r="91" ht="35" customHeight="1">
      <c r="A91" s="6" t="str">
        <v>CIS-ESX7</v>
      </c>
      <c r="B91" s="6" t="str">
        <v>4.6</v>
      </c>
      <c r="C91" s="6" t="str">
        <v>Ensure Active Directory is used for local user authentication</v>
      </c>
      <c r="D91" s="6" t="str">
        <v>• Level 1 (L1) - Corporate/Enterprise Environment (general use)</v>
      </c>
      <c r="E91" s="6" t="str">
        <v>Manual</v>
      </c>
      <c r="F91" s="6" t="n">
        <v>66</v>
      </c>
      <c r="G91" s="6" t="n">
        <v>67</v>
      </c>
      <c r="H91" s="6" t="str">
        <v>ESX-062</v>
      </c>
      <c r="I91" s="6" t="str">
        <v>Aktif soruya bağlı</v>
      </c>
    </row>
    <row r="92" ht="40" customHeight="1">
      <c r="A92" s="6" t="str">
        <v>CIS-ESX7</v>
      </c>
      <c r="B92" s="6" t="str">
        <v>4.7</v>
      </c>
      <c r="C92" s="6" t="str">
        <v>Ensure only authorized users and groups belong to the esxAdminsGroup group</v>
      </c>
      <c r="D92" s="6" t="str">
        <v>• Level 1 (L1) - Corporate/Enterprise Environment (general use)</v>
      </c>
      <c r="E92" s="6" t="str">
        <v>Manual</v>
      </c>
      <c r="F92" s="6" t="n">
        <v>68</v>
      </c>
      <c r="G92" s="6" t="n">
        <v>69</v>
      </c>
      <c r="H92" s="6" t="str">
        <v>ESX-062</v>
      </c>
      <c r="I92" s="6" t="str">
        <v>Aktif soruya bağlı</v>
      </c>
    </row>
    <row r="93" ht="35" customHeight="1">
      <c r="A93" s="6" t="str">
        <v>CIS-ESX7</v>
      </c>
      <c r="B93" s="6" t="str">
        <v>4.8</v>
      </c>
      <c r="C93" s="6" t="str">
        <v>Ensure the Exception Users list is properly configured</v>
      </c>
      <c r="D93" s="6" t="str">
        <v>• Level 1 (L1) - Corporate/Enterprise Environment (general use)</v>
      </c>
      <c r="E93" s="6" t="str">
        <v>Manual</v>
      </c>
      <c r="F93" s="6" t="n">
        <v>70</v>
      </c>
      <c r="G93" s="6" t="n">
        <v>71</v>
      </c>
      <c r="H93" s="6" t="str">
        <v>ESX-028</v>
      </c>
      <c r="I93" s="6" t="str">
        <v>Aktif soruya bağlı</v>
      </c>
    </row>
    <row r="94" ht="35" customHeight="1">
      <c r="A94" s="6" t="str">
        <v>CIS-ESX7</v>
      </c>
      <c r="B94" s="6" t="str">
        <v>5.1</v>
      </c>
      <c r="C94" s="6" t="str">
        <v>Ensure the DCUI timeout is set to 600 seconds or less</v>
      </c>
      <c r="D94" s="6" t="str">
        <v>• Level 1 (L1) - Corporate/Enterprise Environment (general use)</v>
      </c>
      <c r="E94" s="6" t="str">
        <v>Automated</v>
      </c>
      <c r="F94" s="6" t="n">
        <v>73</v>
      </c>
      <c r="G94" s="6" t="n">
        <v>74</v>
      </c>
      <c r="H94" s="6" t="str">
        <v>ESX-019</v>
      </c>
      <c r="I94" s="6" t="str">
        <v>Aktif soruya bağlı</v>
      </c>
    </row>
    <row r="95" ht="35" customHeight="1">
      <c r="A95" s="6" t="str">
        <v>CIS-ESX7</v>
      </c>
      <c r="B95" s="6" t="str">
        <v>5.2</v>
      </c>
      <c r="C95" s="6" t="str">
        <v>Ensure the ESXi shell is disabled</v>
      </c>
      <c r="D95" s="6" t="str">
        <v>• Level 1 (L1) - Corporate/Enterprise Environment (general use)</v>
      </c>
      <c r="E95" s="6" t="str">
        <v>Automated</v>
      </c>
      <c r="F95" s="6" t="n">
        <v>75</v>
      </c>
      <c r="G95" s="6" t="n">
        <v>76</v>
      </c>
      <c r="H95" s="6" t="str">
        <v>ESX-018</v>
      </c>
      <c r="I95" s="6" t="str">
        <v>Aktif soruya bağlı</v>
      </c>
    </row>
    <row r="96" ht="35" customHeight="1">
      <c r="A96" s="6" t="str">
        <v>CIS-ESX7</v>
      </c>
      <c r="B96" s="6" t="str">
        <v>5.3</v>
      </c>
      <c r="C96" s="6" t="str">
        <v>Ensure SSH is disabled</v>
      </c>
      <c r="D96" s="6" t="str">
        <v>• Level 1 (L1) - Corporate/Enterprise Environment (general use)</v>
      </c>
      <c r="E96" s="6" t="str">
        <v>Automated</v>
      </c>
      <c r="F96" s="6" t="n">
        <v>77</v>
      </c>
      <c r="G96" s="6" t="n">
        <v>78</v>
      </c>
      <c r="H96" s="6" t="str">
        <v>ESX-018</v>
      </c>
      <c r="I96" s="6" t="str">
        <v>Aktif soruya bağlı</v>
      </c>
    </row>
    <row r="97" ht="35" customHeight="1">
      <c r="A97" s="6" t="str">
        <v>CIS-ESX7</v>
      </c>
      <c r="B97" s="6" t="str">
        <v>5.4</v>
      </c>
      <c r="C97" s="6" t="str">
        <v>Ensure CIM access is limited</v>
      </c>
      <c r="D97" s="6" t="str">
        <v>• Level 1 (L1) - Corporate/Enterprise Environment (general use)</v>
      </c>
      <c r="E97" s="6" t="str">
        <v>Manual</v>
      </c>
      <c r="F97" s="6" t="n">
        <v>79</v>
      </c>
      <c r="G97" s="6" t="n">
        <v>80</v>
      </c>
      <c r="H97" s="6" t="str">
        <v>ESX-041</v>
      </c>
      <c r="I97" s="6" t="str">
        <v>Aktif soruya bağlı</v>
      </c>
    </row>
    <row r="98" ht="35" customHeight="1">
      <c r="A98" s="6" t="str">
        <v>CIS-ESX7</v>
      </c>
      <c r="B98" s="6" t="str">
        <v>5.5</v>
      </c>
      <c r="C98" s="6" t="str">
        <v>Ensure Normal Lockdown mode is enabled</v>
      </c>
      <c r="D98" s="6" t="str">
        <v>• Level 1 (L1) - Corporate/Enterprise Environment (general use)</v>
      </c>
      <c r="E98" s="6" t="str">
        <v>Automated</v>
      </c>
      <c r="F98" s="6" t="n">
        <v>81</v>
      </c>
      <c r="G98" s="6" t="n">
        <v>82</v>
      </c>
      <c r="H98" s="6" t="str">
        <v>ESX-028</v>
      </c>
      <c r="I98" s="6" t="str">
        <v>Aktif soruya bağlı</v>
      </c>
    </row>
    <row r="99" ht="40" customHeight="1">
      <c r="A99" s="6" t="str">
        <v>CIS-ESX7</v>
      </c>
      <c r="B99" s="6" t="str">
        <v>5.6</v>
      </c>
      <c r="C99" s="6" t="str">
        <v>Ensure Strict Lockdown mode is enabled</v>
      </c>
      <c r="D99" s="6" t="str">
        <v>• Level 2 (L2) - High Security/Sensitive Data Environment (limited functionality)</v>
      </c>
      <c r="E99" s="6" t="str">
        <v>Automated</v>
      </c>
      <c r="F99" s="6" t="n">
        <v>83</v>
      </c>
      <c r="G99" s="6" t="n">
        <v>84</v>
      </c>
      <c r="H99" s="6" t="str">
        <v>ESX-028</v>
      </c>
      <c r="I99" s="6" t="str">
        <v>Aktif soruya bağlı</v>
      </c>
    </row>
    <row r="100" ht="40" customHeight="1">
      <c r="A100" s="6" t="str">
        <v>CIS-ESX7</v>
      </c>
      <c r="B100" s="6" t="str">
        <v>5.7</v>
      </c>
      <c r="C100" s="6" t="str">
        <v>Ensure the SSH authorized_keys file is empty</v>
      </c>
      <c r="D100" s="6" t="str">
        <v>• Level 2 (L2) - High Security/Sensitive Data Environment (limited functionality)</v>
      </c>
      <c r="E100" s="6" t="str">
        <v>Manual</v>
      </c>
      <c r="F100" s="6" t="n">
        <v>85</v>
      </c>
      <c r="G100" s="6" t="n">
        <v>86</v>
      </c>
      <c r="H100" s="6" t="str">
        <v>ESX-064</v>
      </c>
      <c r="I100" s="6" t="str">
        <v>Aktif soruya bağlı</v>
      </c>
    </row>
    <row r="101" ht="40" customHeight="1">
      <c r="A101" s="6" t="str">
        <v>CIS-ESX7</v>
      </c>
      <c r="B101" s="6" t="str">
        <v>5.8</v>
      </c>
      <c r="C101" s="6" t="str">
        <v>Ensure idle ESXi shell and SSH sessions time out after 300 seconds or less</v>
      </c>
      <c r="D101" s="6" t="str">
        <v>• Level 1 (L1) - Corporate/Enterprise Environment (general use)</v>
      </c>
      <c r="E101" s="6" t="str">
        <v>Automated</v>
      </c>
      <c r="F101" s="6" t="n">
        <v>87</v>
      </c>
      <c r="G101" s="6" t="n">
        <v>88</v>
      </c>
      <c r="H101" s="6" t="str">
        <v>ESX-020</v>
      </c>
      <c r="I101" s="6" t="str">
        <v>Aktif soruya bağlı</v>
      </c>
    </row>
    <row r="102" ht="35" customHeight="1">
      <c r="A102" s="6" t="str">
        <v>CIS-ESX7</v>
      </c>
      <c r="B102" s="6" t="str">
        <v>5.9</v>
      </c>
      <c r="C102" s="6" t="str">
        <v>Ensure the shell services timeout is set to 1 hour or less</v>
      </c>
      <c r="D102" s="6" t="str">
        <v>• Level 1 (L1) - Corporate/Enterprise Environment (general use)</v>
      </c>
      <c r="E102" s="6" t="str">
        <v>Automated</v>
      </c>
      <c r="F102" s="6" t="n">
        <v>89</v>
      </c>
      <c r="G102" s="6" t="n">
        <v>90</v>
      </c>
      <c r="H102" s="6" t="str">
        <v>ESX-021</v>
      </c>
      <c r="I102" s="6" t="str">
        <v>Aktif soruya bağlı</v>
      </c>
    </row>
    <row r="103" ht="35" customHeight="1">
      <c r="A103" s="6" t="str">
        <v>CIS-ESX7</v>
      </c>
      <c r="B103" s="6" t="str">
        <v>5.10</v>
      </c>
      <c r="C103" s="6" t="str">
        <v>Ensure DCUI has a trusted users list for lockdown mode</v>
      </c>
      <c r="D103" s="6" t="str">
        <v>• Level 1 (L1) - Corporate/Enterprise Environment (general use)</v>
      </c>
      <c r="E103" s="6" t="str">
        <v>Manual</v>
      </c>
      <c r="F103" s="6" t="n">
        <v>91</v>
      </c>
      <c r="G103" s="6" t="n">
        <v>92</v>
      </c>
      <c r="H103" s="6" t="str">
        <v>ESX-028</v>
      </c>
      <c r="I103" s="6" t="str">
        <v>Aktif soruya bağlı</v>
      </c>
    </row>
    <row r="104" ht="40" customHeight="1">
      <c r="A104" s="6" t="str">
        <v>CIS-ESX7</v>
      </c>
      <c r="B104" s="6" t="str">
        <v>5.11</v>
      </c>
      <c r="C104" s="6" t="str">
        <v>Ensure contents of exposed configuration files have not been modified</v>
      </c>
      <c r="D104" s="6" t="str">
        <v>• Level 2 (L2) - High Security/Sensitive Data Environment (limited functionality)</v>
      </c>
      <c r="E104" s="6" t="str">
        <v>Manual</v>
      </c>
      <c r="F104" s="6" t="n">
        <v>93</v>
      </c>
      <c r="G104" s="6" t="n">
        <v>94</v>
      </c>
      <c r="H104" s="6" t="str">
        <v>ESX-065</v>
      </c>
      <c r="I104" s="6" t="str">
        <v>Aktif soruya bağlı</v>
      </c>
    </row>
    <row r="105" ht="35" customHeight="1">
      <c r="A105" s="6" t="str">
        <v>CIS-ESX7</v>
      </c>
      <c r="B105" s="6" t="str">
        <v>6.1</v>
      </c>
      <c r="C105" s="6" t="str">
        <v>Ensure bidirectional CHAP authentication for iSCSI traffic is enabled</v>
      </c>
      <c r="D105" s="6" t="str">
        <v>• Level 1 (L1) - Corporate/Enterprise Environment (general use)</v>
      </c>
      <c r="E105" s="6" t="str">
        <v>Automated</v>
      </c>
      <c r="F105" s="6" t="n">
        <v>97</v>
      </c>
      <c r="G105" s="6" t="n">
        <v>98</v>
      </c>
      <c r="H105" s="6" t="str">
        <v>ESX-043</v>
      </c>
      <c r="I105" s="6" t="str">
        <v>Aktif soruya bağlı</v>
      </c>
    </row>
    <row r="106" ht="40" customHeight="1">
      <c r="A106" s="6" t="str">
        <v>CIS-ESX7</v>
      </c>
      <c r="B106" s="6" t="str">
        <v>6.2</v>
      </c>
      <c r="C106" s="6" t="str">
        <v>Ensure the uniqueness of CHAP authentication secrets for iSCSI traffic</v>
      </c>
      <c r="D106" s="6" t="str">
        <v>• Level 2 (L2) - High Security/Sensitive Data Environment (limited functionality)</v>
      </c>
      <c r="E106" s="6" t="str">
        <v>Manual</v>
      </c>
      <c r="F106" s="6" t="n">
        <v>100</v>
      </c>
      <c r="G106" s="6" t="n">
        <v>101</v>
      </c>
      <c r="H106" s="6" t="str">
        <v>ESX-044</v>
      </c>
      <c r="I106" s="6" t="str">
        <v>Aktif soruya bağlı</v>
      </c>
    </row>
    <row r="107" ht="35" customHeight="1">
      <c r="A107" s="6" t="str">
        <v>CIS-ESX7</v>
      </c>
      <c r="B107" s="6" t="str">
        <v>6.3</v>
      </c>
      <c r="C107" s="6" t="str">
        <v>Ensure storage area network (SAN) resources are segregated properly</v>
      </c>
      <c r="D107" s="6" t="str">
        <v>• Level 1 (L1) - Corporate/Enterprise Environment (general use)</v>
      </c>
      <c r="E107" s="6" t="str">
        <v>Manual</v>
      </c>
      <c r="F107" s="6" t="n">
        <v>102</v>
      </c>
      <c r="G107" s="6" t="n">
        <v>103</v>
      </c>
      <c r="H107" s="6" t="str">
        <v>ESX-042</v>
      </c>
      <c r="I107" s="6" t="str">
        <v>Aktif soruya bağlı</v>
      </c>
    </row>
    <row r="108" ht="35" customHeight="1">
      <c r="A108" s="6" t="str">
        <v>CIS-ESX7</v>
      </c>
      <c r="B108" s="6" t="str">
        <v>7.1</v>
      </c>
      <c r="C108" s="6" t="str">
        <v>Ensure the vSwitch Forged Transmits policy is set to reject</v>
      </c>
      <c r="D108" s="6" t="str">
        <v>• Level 1 (L1) - Corporate/Enterprise Environment (general use)</v>
      </c>
      <c r="E108" s="6" t="str">
        <v>Automated</v>
      </c>
      <c r="F108" s="6" t="n">
        <v>105</v>
      </c>
      <c r="G108" s="6" t="n">
        <v>106</v>
      </c>
      <c r="H108" s="6" t="str">
        <v>ESX-039</v>
      </c>
      <c r="I108" s="6" t="str">
        <v>Aktif soruya bağlı</v>
      </c>
    </row>
    <row r="109" ht="35" customHeight="1">
      <c r="A109" s="6" t="str">
        <v>CIS-ESX7</v>
      </c>
      <c r="B109" s="6" t="str">
        <v>7.2</v>
      </c>
      <c r="C109" s="6" t="str">
        <v>Ensure the vSwitch MAC Address Change policy is set to reject</v>
      </c>
      <c r="D109" s="6" t="str">
        <v>• Level 1 (L1) - Corporate/Enterprise Environment (general use)</v>
      </c>
      <c r="E109" s="6" t="str">
        <v>Automated</v>
      </c>
      <c r="F109" s="6" t="n">
        <v>107</v>
      </c>
      <c r="G109" s="6" t="n">
        <v>108</v>
      </c>
      <c r="H109" s="6" t="str">
        <v>ESX-039</v>
      </c>
      <c r="I109" s="6" t="str">
        <v>Aktif soruya bağlı</v>
      </c>
    </row>
    <row r="110" ht="35" customHeight="1">
      <c r="A110" s="6" t="str">
        <v>CIS-ESX7</v>
      </c>
      <c r="B110" s="6" t="str">
        <v>7.3</v>
      </c>
      <c r="C110" s="6" t="str">
        <v>Ensure the vSwitch Promiscuous Mode policy is set to reject</v>
      </c>
      <c r="D110" s="6" t="str">
        <v>• Level 1 (L1) - Corporate/Enterprise Environment (general use)</v>
      </c>
      <c r="E110" s="6" t="str">
        <v>Automated</v>
      </c>
      <c r="F110" s="6" t="n">
        <v>109</v>
      </c>
      <c r="G110" s="6" t="n">
        <v>110</v>
      </c>
      <c r="H110" s="6" t="str">
        <v>ESX-039</v>
      </c>
      <c r="I110" s="6" t="str">
        <v>Aktif soruya bağlı</v>
      </c>
    </row>
    <row r="111" ht="35" customHeight="1">
      <c r="A111" s="6" t="str">
        <v>CIS-ESX7</v>
      </c>
      <c r="B111" s="6" t="str">
        <v>7.4</v>
      </c>
      <c r="C111" s="6" t="str">
        <v>Ensure port groups are not configured to the value of the native VLAN</v>
      </c>
      <c r="D111" s="6" t="str">
        <v>• Level 1 (L1) - Corporate/Enterprise Environment (general use)</v>
      </c>
      <c r="E111" s="6" t="str">
        <v>Automated</v>
      </c>
      <c r="F111" s="6" t="n">
        <v>112</v>
      </c>
      <c r="G111" s="6" t="n">
        <v>113</v>
      </c>
      <c r="H111" s="6" t="str">
        <v>ESX-040</v>
      </c>
      <c r="I111" s="6" t="str">
        <v>Aktif soruya bağlı</v>
      </c>
    </row>
    <row r="112" ht="40" customHeight="1">
      <c r="A112" s="6" t="str">
        <v>CIS-ESX7</v>
      </c>
      <c r="B112" s="6" t="str">
        <v>7.5</v>
      </c>
      <c r="C112" s="6" t="str">
        <v>Ensure port groups are not configured to VLAN values reserved by upstream physical switches</v>
      </c>
      <c r="D112" s="6" t="str">
        <v>• Level 1 (L1) - Corporate/Enterprise Environment (general use)</v>
      </c>
      <c r="E112" s="6" t="str">
        <v>Manual</v>
      </c>
      <c r="F112" s="6" t="n">
        <v>114</v>
      </c>
      <c r="G112" s="6" t="n">
        <v>115</v>
      </c>
      <c r="H112" s="6" t="str">
        <v>ESX-040</v>
      </c>
      <c r="I112" s="6" t="str">
        <v>Aktif soruya bağlı</v>
      </c>
    </row>
    <row r="113" ht="40" customHeight="1">
      <c r="A113" s="6" t="str">
        <v>CIS-ESX7</v>
      </c>
      <c r="B113" s="6" t="str">
        <v>7.6</v>
      </c>
      <c r="C113" s="6" t="str">
        <v>Ensure port groups are not configured to VLAN 4095 and 0 except for Virtual Guest Tagging (VGT)</v>
      </c>
      <c r="D113" s="6" t="str">
        <v>• Level 1 (L1) - Corporate/Enterprise Environment (general use)</v>
      </c>
      <c r="E113" s="6" t="str">
        <v>Automated</v>
      </c>
      <c r="F113" s="6" t="n">
        <v>116</v>
      </c>
      <c r="G113" s="6" t="n">
        <v>117</v>
      </c>
      <c r="H113" s="6" t="str">
        <v>ESX-040</v>
      </c>
      <c r="I113" s="6" t="str">
        <v>Aktif soruya bağlı</v>
      </c>
    </row>
    <row r="114" ht="40" customHeight="1">
      <c r="A114" s="6" t="str">
        <v>CIS-ESX7</v>
      </c>
      <c r="B114" s="6" t="str">
        <v>7.7</v>
      </c>
      <c r="C114" s="6" t="str">
        <v>Ensure Virtual Distributed Switch Netflow traffic is sent to an authorized collector</v>
      </c>
      <c r="D114" s="6" t="str">
        <v>• Level 1 (L1) - Corporate/Enterprise Environment (general use)</v>
      </c>
      <c r="E114" s="6" t="str">
        <v>Manual</v>
      </c>
      <c r="F114" s="6" t="n">
        <v>118</v>
      </c>
      <c r="G114" s="6" t="n">
        <v>119</v>
      </c>
      <c r="H114" s="6" t="str">
        <v>VDS-C02</v>
      </c>
      <c r="I114" s="6" t="str">
        <v>Aktif soruya bağlı</v>
      </c>
    </row>
    <row r="115" ht="40" customHeight="1">
      <c r="A115" s="6" t="str">
        <v>CIS-ESX7</v>
      </c>
      <c r="B115" s="6" t="str">
        <v>8.1.1</v>
      </c>
      <c r="C115" s="6" t="str">
        <v>Ensure only one remote console connection is permitted to a VM at any time</v>
      </c>
      <c r="D115" s="6" t="str">
        <v>• Level 2 (L2) - High Security/Sensitive Data Environment (limited functionality)</v>
      </c>
      <c r="E115" s="6" t="str">
        <v>Automated</v>
      </c>
      <c r="F115" s="6" t="n">
        <v>122</v>
      </c>
      <c r="G115" s="6" t="n">
        <v>123</v>
      </c>
      <c r="H115" s="6" t="str">
        <v>ESX-049</v>
      </c>
      <c r="I115" s="6" t="str">
        <v>Aktif soruya bağlı</v>
      </c>
    </row>
    <row r="116" ht="35" customHeight="1">
      <c r="A116" s="6" t="str">
        <v>CIS-ESX7</v>
      </c>
      <c r="B116" s="6" t="str">
        <v>8.2.1</v>
      </c>
      <c r="C116" s="6" t="str">
        <v>Ensure unnecessary floppy devices are disconnected</v>
      </c>
      <c r="D116" s="6" t="str">
        <v>• Level 1 (L1) - Corporate/Enterprise Environment (general use)</v>
      </c>
      <c r="E116" s="6" t="str">
        <v>Automated</v>
      </c>
      <c r="F116" s="6" t="n">
        <v>125</v>
      </c>
      <c r="G116" s="6" t="n">
        <v>126</v>
      </c>
      <c r="H116" s="6" t="str">
        <v>ESX-050</v>
      </c>
      <c r="I116" s="6" t="str">
        <v>Aktif soruya bağlı</v>
      </c>
    </row>
    <row r="117" ht="40" customHeight="1">
      <c r="A117" s="6" t="str">
        <v>CIS-ESX7</v>
      </c>
      <c r="B117" s="6" t="str">
        <v>8.2.2</v>
      </c>
      <c r="C117" s="6" t="str">
        <v>Ensure unnecessary CD/DVD devices are disconnected</v>
      </c>
      <c r="D117" s="6" t="str">
        <v>• Level 2 (L2) - High Security/Sensitive Data Environment (limited functionality)</v>
      </c>
      <c r="E117" s="6" t="str">
        <v>Automated</v>
      </c>
      <c r="F117" s="6" t="n">
        <v>127</v>
      </c>
      <c r="G117" s="6" t="n">
        <v>128</v>
      </c>
      <c r="H117" s="6" t="str">
        <v>ESX-050</v>
      </c>
      <c r="I117" s="6" t="str">
        <v>Aktif soruya bağlı</v>
      </c>
    </row>
    <row r="118" ht="35" customHeight="1">
      <c r="A118" s="6" t="str">
        <v>CIS-ESX7</v>
      </c>
      <c r="B118" s="6" t="str">
        <v>8.2.3</v>
      </c>
      <c r="C118" s="6" t="str">
        <v>Ensure unnecessary parallel ports are disconnected</v>
      </c>
      <c r="D118" s="6" t="str">
        <v>• Level 1 (L1) - Corporate/Enterprise Environment (general use)</v>
      </c>
      <c r="E118" s="6" t="str">
        <v>Automated</v>
      </c>
      <c r="F118" s="6" t="n">
        <v>129</v>
      </c>
      <c r="G118" s="6" t="n">
        <v>130</v>
      </c>
      <c r="H118" s="6" t="str">
        <v>ESX-050</v>
      </c>
      <c r="I118" s="6" t="str">
        <v>Aktif soruya bağlı</v>
      </c>
    </row>
    <row r="119" ht="35" customHeight="1">
      <c r="A119" s="6" t="str">
        <v>CIS-ESX7</v>
      </c>
      <c r="B119" s="6" t="str">
        <v>8.2.4</v>
      </c>
      <c r="C119" s="6" t="str">
        <v>Ensure unnecessary serial ports are disconnected</v>
      </c>
      <c r="D119" s="6" t="str">
        <v>• Level 1 (L1) - Corporate/Enterprise Environment (general use)</v>
      </c>
      <c r="E119" s="6" t="str">
        <v>Automated</v>
      </c>
      <c r="F119" s="6" t="n">
        <v>131</v>
      </c>
      <c r="G119" s="6" t="n">
        <v>132</v>
      </c>
      <c r="H119" s="6" t="str">
        <v>ESX-050</v>
      </c>
      <c r="I119" s="6" t="str">
        <v>Aktif soruya bağlı</v>
      </c>
    </row>
    <row r="120" ht="35" customHeight="1">
      <c r="A120" s="6" t="str">
        <v>CIS-ESX7</v>
      </c>
      <c r="B120" s="6" t="str">
        <v>8.2.5</v>
      </c>
      <c r="C120" s="6" t="str">
        <v>Ensure unnecessary USB devices are disconnected</v>
      </c>
      <c r="D120" s="6" t="str">
        <v>• Level 1 (L1) - Corporate/Enterprise Environment (general use)</v>
      </c>
      <c r="E120" s="6" t="str">
        <v>Automated</v>
      </c>
      <c r="F120" s="6" t="n">
        <v>133</v>
      </c>
      <c r="G120" s="6" t="n">
        <v>134</v>
      </c>
      <c r="H120" s="6" t="str">
        <v>ESX-050</v>
      </c>
      <c r="I120" s="6" t="str">
        <v>Aktif soruya bağlı</v>
      </c>
    </row>
    <row r="121" ht="35" customHeight="1">
      <c r="A121" s="6" t="str">
        <v>CIS-ESX7</v>
      </c>
      <c r="B121" s="6" t="str">
        <v>8.2.6</v>
      </c>
      <c r="C121" s="6" t="str">
        <v>Ensure unauthorized modification and disconnection of devices is disabled</v>
      </c>
      <c r="D121" s="6" t="str">
        <v>• Level 1 (L1) - Corporate/Enterprise Environment (general use)</v>
      </c>
      <c r="E121" s="6" t="str">
        <v>Automated</v>
      </c>
      <c r="F121" s="6" t="n">
        <v>135</v>
      </c>
      <c r="G121" s="6" t="n">
        <v>136</v>
      </c>
      <c r="H121" s="6" t="str">
        <v>ESX-051</v>
      </c>
      <c r="I121" s="6" t="str">
        <v>Aktif soruya bağlı</v>
      </c>
    </row>
    <row r="122" ht="35" customHeight="1">
      <c r="A122" s="6" t="str">
        <v>CIS-ESX7</v>
      </c>
      <c r="B122" s="6" t="str">
        <v>8.2.7</v>
      </c>
      <c r="C122" s="6" t="str">
        <v>Ensure unauthorized connection of devices is disabled</v>
      </c>
      <c r="D122" s="6" t="str">
        <v>• Level 1 (L1) - Corporate/Enterprise Environment (general use)</v>
      </c>
      <c r="E122" s="6" t="str">
        <v>Automated</v>
      </c>
      <c r="F122" s="6" t="n">
        <v>137</v>
      </c>
      <c r="G122" s="6" t="n">
        <v>138</v>
      </c>
      <c r="H122" s="6" t="str">
        <v>ESX-051</v>
      </c>
      <c r="I122" s="6" t="str">
        <v>Aktif soruya bağlı</v>
      </c>
    </row>
    <row r="123" ht="35" customHeight="1">
      <c r="A123" s="6" t="str">
        <v>CIS-ESX7</v>
      </c>
      <c r="B123" s="6" t="str">
        <v>8.2.8</v>
      </c>
      <c r="C123" s="6" t="str">
        <v>Ensure PCI and PCIe device passthrough is disabled</v>
      </c>
      <c r="D123" s="6" t="str">
        <v>• Level 1 (L1) - Corporate/Enterprise Environment (general use)</v>
      </c>
      <c r="E123" s="6" t="str">
        <v>Automated</v>
      </c>
      <c r="F123" s="6" t="n">
        <v>139</v>
      </c>
      <c r="G123" s="6" t="n">
        <v>140</v>
      </c>
      <c r="H123" s="6" t="str">
        <v>ESX-050</v>
      </c>
      <c r="I123" s="6" t="str">
        <v>Aktif soruya bağlı</v>
      </c>
    </row>
    <row r="124" ht="35" customHeight="1">
      <c r="A124" s="6" t="str">
        <v>CIS-ESX7</v>
      </c>
      <c r="B124" s="6" t="str">
        <v>8.3.1</v>
      </c>
      <c r="C124" s="6" t="str">
        <v>Ensure unnecessary or superfluous functions inside VMs are disabled</v>
      </c>
      <c r="D124" s="6" t="str">
        <v>• Level 1 (L1) - Corporate/Enterprise Environment (general use)</v>
      </c>
      <c r="E124" s="6" t="str">
        <v>Manual</v>
      </c>
      <c r="F124" s="6" t="n">
        <v>142</v>
      </c>
      <c r="G124" s="6" t="n">
        <v>143</v>
      </c>
      <c r="H124" s="6" t="str">
        <v>ESX-067</v>
      </c>
      <c r="I124" s="6" t="str">
        <v>Aktif soruya bağlı</v>
      </c>
    </row>
    <row r="125" ht="35" customHeight="1">
      <c r="A125" s="6" t="str">
        <v>CIS-ESX7</v>
      </c>
      <c r="B125" s="6" t="str">
        <v>8.3.2</v>
      </c>
      <c r="C125" s="6" t="str">
        <v>Ensure use of the VM console is limited</v>
      </c>
      <c r="D125" s="6" t="str">
        <v>• Level 1 (L1) - Corporate/Enterprise Environment (general use)</v>
      </c>
      <c r="E125" s="6" t="str">
        <v>Manual</v>
      </c>
      <c r="F125" s="6" t="n">
        <v>144</v>
      </c>
      <c r="G125" s="6" t="n">
        <v>145</v>
      </c>
      <c r="H125" s="6" t="str">
        <v>ESX-049</v>
      </c>
      <c r="I125" s="6" t="str">
        <v>Aktif soruya bağlı</v>
      </c>
    </row>
    <row r="126" ht="35" customHeight="1">
      <c r="A126" s="6" t="str">
        <v>CIS-ESX7</v>
      </c>
      <c r="B126" s="6" t="str">
        <v>8.3.3</v>
      </c>
      <c r="C126" s="6" t="str">
        <v>Ensure secure protocols are used for virtual serial port access</v>
      </c>
      <c r="D126" s="6" t="str">
        <v>• Level 1 (L1) - Corporate/Enterprise Environment (general use)</v>
      </c>
      <c r="E126" s="6" t="str">
        <v>Manual</v>
      </c>
      <c r="F126" s="6" t="n">
        <v>146</v>
      </c>
      <c r="G126" s="6" t="n">
        <v>147</v>
      </c>
      <c r="H126" s="6" t="str">
        <v>ESX-068</v>
      </c>
      <c r="I126" s="6" t="str">
        <v>Aktif soruya bağlı</v>
      </c>
    </row>
    <row r="127" ht="35" customHeight="1">
      <c r="A127" s="6" t="str">
        <v>CIS-ESX7</v>
      </c>
      <c r="B127" s="6" t="str">
        <v>8.3.4</v>
      </c>
      <c r="C127" s="6" t="str">
        <v>Ensure standard processes are used for VM deployment</v>
      </c>
      <c r="D127" s="6" t="str">
        <v>• Level 1 (L1) - Corporate/Enterprise Environment (general use)</v>
      </c>
      <c r="E127" s="6" t="str">
        <v>Manual</v>
      </c>
      <c r="F127" s="6" t="n">
        <v>148</v>
      </c>
      <c r="G127" s="6" t="n">
        <v>149</v>
      </c>
      <c r="H127" s="6" t="str">
        <v>ESX-072</v>
      </c>
      <c r="I127" s="6" t="str">
        <v>Aktif soruya bağlı</v>
      </c>
    </row>
    <row r="128" ht="40" customHeight="1">
      <c r="A128" s="6" t="str">
        <v>CIS-ESX7</v>
      </c>
      <c r="B128" s="6" t="str">
        <v>8.4.1</v>
      </c>
      <c r="C128" s="6" t="str">
        <v>Ensure access to VMs through the dvfilter network APIs is configured correctly</v>
      </c>
      <c r="D128" s="6" t="str">
        <v>• Level 1 (L1) - Corporate/Enterprise Environment (general use)</v>
      </c>
      <c r="E128" s="6" t="str">
        <v>Manual</v>
      </c>
      <c r="F128" s="6" t="n">
        <v>151</v>
      </c>
      <c r="G128" s="6" t="n">
        <v>152</v>
      </c>
      <c r="H128" s="6" t="str">
        <v>ESX-037</v>
      </c>
      <c r="I128" s="6" t="str">
        <v>Aktif soruya bağlı</v>
      </c>
    </row>
    <row r="129" ht="40" customHeight="1">
      <c r="A129" s="6" t="str">
        <v>CIS-ESX7</v>
      </c>
      <c r="B129" s="6" t="str">
        <v>8.4.2</v>
      </c>
      <c r="C129" s="6" t="str">
        <v>Ensure Autologon is disabled</v>
      </c>
      <c r="D129" s="6" t="str">
        <v>• Level 2 (L2) - High Security/Sensitive Data Environment (limited functionality)</v>
      </c>
      <c r="E129" s="6" t="str">
        <v>Automated</v>
      </c>
      <c r="F129" s="6" t="n">
        <v>154</v>
      </c>
      <c r="G129" s="6" t="n">
        <v>155</v>
      </c>
      <c r="H129" s="6" t="str">
        <v>ESX-069</v>
      </c>
      <c r="I129" s="6" t="str">
        <v>Aktif soruya bağlı</v>
      </c>
    </row>
    <row r="130" ht="40" customHeight="1">
      <c r="A130" s="6" t="str">
        <v>CIS-ESX7</v>
      </c>
      <c r="B130" s="6" t="str">
        <v>8.4.3</v>
      </c>
      <c r="C130" s="6" t="str">
        <v>Ensure BIOS BBS is disabled</v>
      </c>
      <c r="D130" s="6" t="str">
        <v>• Level 2 (L2) - High Security/Sensitive Data Environment (limited functionality)</v>
      </c>
      <c r="E130" s="6" t="str">
        <v>Automated</v>
      </c>
      <c r="F130" s="6" t="n">
        <v>156</v>
      </c>
      <c r="G130" s="6" t="n">
        <v>157</v>
      </c>
      <c r="H130" s="6" t="str">
        <v>ESX-069</v>
      </c>
      <c r="I130" s="6" t="str">
        <v>Aktif soruya bağlı</v>
      </c>
    </row>
    <row r="131" ht="40" customHeight="1">
      <c r="A131" s="6" t="str">
        <v>CIS-ESX7</v>
      </c>
      <c r="B131" s="6" t="str">
        <v>8.4.4</v>
      </c>
      <c r="C131" s="6" t="str">
        <v>Ensure Guest Host Interaction Protocol Handler is set to disabled</v>
      </c>
      <c r="D131" s="6" t="str">
        <v>• Level 2 (L2) - High Security/Sensitive Data Environment (limited functionality)</v>
      </c>
      <c r="E131" s="6" t="str">
        <v>Automated</v>
      </c>
      <c r="F131" s="6" t="n">
        <v>158</v>
      </c>
      <c r="G131" s="6" t="n">
        <v>159</v>
      </c>
      <c r="H131" s="6" t="str">
        <v>ESX-069</v>
      </c>
      <c r="I131" s="6" t="str">
        <v>Aktif soruya bağlı</v>
      </c>
    </row>
    <row r="132" ht="40" customHeight="1">
      <c r="A132" s="6" t="str">
        <v>CIS-ESX7</v>
      </c>
      <c r="B132" s="6" t="str">
        <v>8.4.5</v>
      </c>
      <c r="C132" s="6" t="str">
        <v>Ensure Unity Taskbar is disabled</v>
      </c>
      <c r="D132" s="6" t="str">
        <v>• Level 2 (L2) - High Security/Sensitive Data Environment (limited functionality)</v>
      </c>
      <c r="E132" s="6" t="str">
        <v>Automated</v>
      </c>
      <c r="F132" s="6" t="n">
        <v>160</v>
      </c>
      <c r="G132" s="6" t="n">
        <v>161</v>
      </c>
      <c r="H132" s="6" t="str">
        <v>ESX-069</v>
      </c>
      <c r="I132" s="6" t="str">
        <v>Aktif soruya bağlı</v>
      </c>
    </row>
    <row r="133" ht="40" customHeight="1">
      <c r="A133" s="6" t="str">
        <v>CIS-ESX7</v>
      </c>
      <c r="B133" s="6" t="str">
        <v>8.4.6</v>
      </c>
      <c r="C133" s="6" t="str">
        <v>Ensure Unity Active is disabled</v>
      </c>
      <c r="D133" s="6" t="str">
        <v>• Level 2 (L2) - High Security/Sensitive Data Environment (limited functionality)</v>
      </c>
      <c r="E133" s="6" t="str">
        <v>Automated</v>
      </c>
      <c r="F133" s="6" t="n">
        <v>162</v>
      </c>
      <c r="G133" s="6" t="n">
        <v>163</v>
      </c>
      <c r="H133" s="6" t="str">
        <v>ESX-069</v>
      </c>
      <c r="I133" s="6" t="str">
        <v>Aktif soruya bağlı</v>
      </c>
    </row>
    <row r="134" ht="40" customHeight="1">
      <c r="A134" s="6" t="str">
        <v>CIS-ESX7</v>
      </c>
      <c r="B134" s="6" t="str">
        <v>8.4.7</v>
      </c>
      <c r="C134" s="6" t="str">
        <v>Ensure Unity Window Contents is disabled</v>
      </c>
      <c r="D134" s="6" t="str">
        <v>• Level 2 (L2) - High Security/Sensitive Data Environment (limited functionality)</v>
      </c>
      <c r="E134" s="6" t="str">
        <v>Automated</v>
      </c>
      <c r="F134" s="6" t="n">
        <v>164</v>
      </c>
      <c r="G134" s="6" t="n">
        <v>165</v>
      </c>
      <c r="H134" s="6" t="str">
        <v>ESX-069</v>
      </c>
      <c r="I134" s="6" t="str">
        <v>Aktif soruya bağlı</v>
      </c>
    </row>
    <row r="135" ht="40" customHeight="1">
      <c r="A135" s="6" t="str">
        <v>CIS-ESX7</v>
      </c>
      <c r="B135" s="6" t="str">
        <v>8.4.8</v>
      </c>
      <c r="C135" s="6" t="str">
        <v>Ensure Unity Push Update is disabled</v>
      </c>
      <c r="D135" s="6" t="str">
        <v>• Level 2 (L2) - High Security/Sensitive Data Environment (limited functionality)</v>
      </c>
      <c r="E135" s="6" t="str">
        <v>Automated</v>
      </c>
      <c r="F135" s="6" t="n">
        <v>166</v>
      </c>
      <c r="G135" s="6" t="n">
        <v>167</v>
      </c>
      <c r="H135" s="6" t="str">
        <v>ESX-069</v>
      </c>
      <c r="I135" s="6" t="str">
        <v>Aktif soruya bağlı</v>
      </c>
    </row>
    <row r="136" ht="40" customHeight="1">
      <c r="A136" s="6" t="str">
        <v>CIS-ESX7</v>
      </c>
      <c r="B136" s="6" t="str">
        <v>8.4.9</v>
      </c>
      <c r="C136" s="6" t="str">
        <v>Ensure Drag and Drop Version Get is disabled</v>
      </c>
      <c r="D136" s="6" t="str">
        <v>• Level 2 (L2) - High Security/Sensitive Data Environment (limited functionality)</v>
      </c>
      <c r="E136" s="6" t="str">
        <v>Automated</v>
      </c>
      <c r="F136" s="6" t="n">
        <v>168</v>
      </c>
      <c r="G136" s="6" t="n">
        <v>169</v>
      </c>
      <c r="H136" s="6" t="str">
        <v>ESX-069</v>
      </c>
      <c r="I136" s="6" t="str">
        <v>Aktif soruya bağlı</v>
      </c>
    </row>
    <row r="137" ht="40" customHeight="1">
      <c r="A137" s="6" t="str">
        <v>CIS-ESX7</v>
      </c>
      <c r="B137" s="6" t="str">
        <v>8.4.10</v>
      </c>
      <c r="C137" s="6" t="str">
        <v>Ensure Drag and Drop Version Set is disabled</v>
      </c>
      <c r="D137" s="6" t="str">
        <v>• Level 2 (L2) - High Security/Sensitive Data Environment (limited functionality)</v>
      </c>
      <c r="E137" s="6" t="str">
        <v>Automated</v>
      </c>
      <c r="F137" s="6" t="n">
        <v>170</v>
      </c>
      <c r="G137" s="6" t="n">
        <v>171</v>
      </c>
      <c r="H137" s="6" t="str">
        <v>ESX-069</v>
      </c>
      <c r="I137" s="6" t="str">
        <v>Aktif soruya bağlı</v>
      </c>
    </row>
    <row r="138" ht="40" customHeight="1">
      <c r="A138" s="6" t="str">
        <v>CIS-ESX7</v>
      </c>
      <c r="B138" s="6" t="str">
        <v>8.4.11</v>
      </c>
      <c r="C138" s="6" t="str">
        <v>Ensure Shell Action is disabled</v>
      </c>
      <c r="D138" s="6" t="str">
        <v>• Level 2 (L2) - High Security/Sensitive Data Environment (limited functionality)</v>
      </c>
      <c r="E138" s="6" t="str">
        <v>Automated</v>
      </c>
      <c r="F138" s="6" t="n">
        <v>172</v>
      </c>
      <c r="G138" s="6" t="n">
        <v>173</v>
      </c>
      <c r="H138" s="6" t="str">
        <v>ESX-069</v>
      </c>
      <c r="I138" s="6" t="str">
        <v>Aktif soruya bağlı</v>
      </c>
    </row>
    <row r="139" ht="40" customHeight="1">
      <c r="A139" s="6" t="str">
        <v>CIS-ESX7</v>
      </c>
      <c r="B139" s="6" t="str">
        <v>8.4.12</v>
      </c>
      <c r="C139" s="6" t="str">
        <v>Ensure Request Disk Topology is disabled</v>
      </c>
      <c r="D139" s="6" t="str">
        <v>• Level 2 (L2) - High Security/Sensitive Data Environment (limited functionality)</v>
      </c>
      <c r="E139" s="6" t="str">
        <v>Automated</v>
      </c>
      <c r="F139" s="6" t="n">
        <v>174</v>
      </c>
      <c r="G139" s="6" t="n">
        <v>175</v>
      </c>
      <c r="H139" s="6" t="str">
        <v>ESX-069</v>
      </c>
      <c r="I139" s="6" t="str">
        <v>Aktif soruya bağlı</v>
      </c>
    </row>
    <row r="140" ht="40" customHeight="1">
      <c r="A140" s="6" t="str">
        <v>CIS-ESX7</v>
      </c>
      <c r="B140" s="6" t="str">
        <v>8.4.13</v>
      </c>
      <c r="C140" s="6" t="str">
        <v>Ensure Trash Folder State is disabled</v>
      </c>
      <c r="D140" s="6" t="str">
        <v>• Level 2 (L2) - High Security/Sensitive Data Environment (limited functionality)</v>
      </c>
      <c r="E140" s="6" t="str">
        <v>Automated</v>
      </c>
      <c r="F140" s="6" t="n">
        <v>176</v>
      </c>
      <c r="G140" s="6" t="n">
        <v>177</v>
      </c>
      <c r="H140" s="6" t="str">
        <v>ESX-069</v>
      </c>
      <c r="I140" s="6" t="str">
        <v>Aktif soruya bağlı</v>
      </c>
    </row>
    <row r="141" ht="40" customHeight="1">
      <c r="A141" s="6" t="str">
        <v>CIS-ESX7</v>
      </c>
      <c r="B141" s="6" t="str">
        <v>8.4.14</v>
      </c>
      <c r="C141" s="6" t="str">
        <v>Ensure Guest Host Interaction Tray Icon is disabled</v>
      </c>
      <c r="D141" s="6" t="str">
        <v>• Level 2 (L2) - High Security/Sensitive Data Environment (limited functionality)</v>
      </c>
      <c r="E141" s="6" t="str">
        <v>Automated</v>
      </c>
      <c r="F141" s="6" t="n">
        <v>178</v>
      </c>
      <c r="G141" s="6" t="n">
        <v>179</v>
      </c>
      <c r="H141" s="6" t="str">
        <v>ESX-069</v>
      </c>
      <c r="I141" s="6" t="str">
        <v>Aktif soruya bağlı</v>
      </c>
    </row>
    <row r="142" ht="40" customHeight="1">
      <c r="A142" s="6" t="str">
        <v>CIS-ESX7</v>
      </c>
      <c r="B142" s="6" t="str">
        <v>8.4.15</v>
      </c>
      <c r="C142" s="6" t="str">
        <v>Ensure Unity is disabled</v>
      </c>
      <c r="D142" s="6" t="str">
        <v>• Level 2 (L2) - High Security/Sensitive Data Environment (limited functionality)</v>
      </c>
      <c r="E142" s="6" t="str">
        <v>Automated</v>
      </c>
      <c r="F142" s="6" t="n">
        <v>180</v>
      </c>
      <c r="G142" s="6" t="n">
        <v>181</v>
      </c>
      <c r="H142" s="6" t="str">
        <v>ESX-069</v>
      </c>
      <c r="I142" s="6" t="str">
        <v>Aktif soruya bağlı</v>
      </c>
    </row>
    <row r="143" ht="40" customHeight="1">
      <c r="A143" s="6" t="str">
        <v>CIS-ESX7</v>
      </c>
      <c r="B143" s="6" t="str">
        <v>8.4.16</v>
      </c>
      <c r="C143" s="6" t="str">
        <v>Ensure Unity Interlock is disabled</v>
      </c>
      <c r="D143" s="6" t="str">
        <v>• Level 2 (L2) - High Security/Sensitive Data Environment (limited functionality)</v>
      </c>
      <c r="E143" s="6" t="str">
        <v>Automated</v>
      </c>
      <c r="F143" s="6" t="n">
        <v>182</v>
      </c>
      <c r="G143" s="6" t="n">
        <v>183</v>
      </c>
      <c r="H143" s="6" t="str">
        <v>ESX-069</v>
      </c>
      <c r="I143" s="6" t="str">
        <v>Aktif soruya bağlı</v>
      </c>
    </row>
    <row r="144" ht="40" customHeight="1">
      <c r="A144" s="6" t="str">
        <v>CIS-ESX7</v>
      </c>
      <c r="B144" s="6" t="str">
        <v>8.4.17</v>
      </c>
      <c r="C144" s="6" t="str">
        <v>Ensure GetCreds is disabled</v>
      </c>
      <c r="D144" s="6" t="str">
        <v>• Level 2 (L2) - High Security/Sensitive Data Environment (limited functionality)</v>
      </c>
      <c r="E144" s="6" t="str">
        <v>Automated</v>
      </c>
      <c r="F144" s="6" t="n">
        <v>184</v>
      </c>
      <c r="G144" s="6" t="n">
        <v>185</v>
      </c>
      <c r="H144" s="6" t="str">
        <v>ESX-069</v>
      </c>
      <c r="I144" s="6" t="str">
        <v>Aktif soruya bağlı</v>
      </c>
    </row>
    <row r="145" ht="40" customHeight="1">
      <c r="A145" s="6" t="str">
        <v>CIS-ESX7</v>
      </c>
      <c r="B145" s="6" t="str">
        <v>8.4.18</v>
      </c>
      <c r="C145" s="6" t="str">
        <v>Ensure Host Guest File System Server is disabled</v>
      </c>
      <c r="D145" s="6" t="str">
        <v>• Level 2 (L2) - High Security/Sensitive Data Environment (limited functionality)</v>
      </c>
      <c r="E145" s="6" t="str">
        <v>Automated</v>
      </c>
      <c r="F145" s="6" t="n">
        <v>186</v>
      </c>
      <c r="G145" s="6" t="n">
        <v>187</v>
      </c>
      <c r="H145" s="6" t="str">
        <v>ESX-069</v>
      </c>
      <c r="I145" s="6" t="str">
        <v>Aktif soruya bağlı</v>
      </c>
    </row>
    <row r="146" ht="40" customHeight="1">
      <c r="A146" s="6" t="str">
        <v>CIS-ESX7</v>
      </c>
      <c r="B146" s="6" t="str">
        <v>8.4.19</v>
      </c>
      <c r="C146" s="6" t="str">
        <v>Ensure Guest Host Interaction Launch Menu is disabled</v>
      </c>
      <c r="D146" s="6" t="str">
        <v>• Level 2 (L2) - High Security/Sensitive Data Environment (limited functionality)</v>
      </c>
      <c r="E146" s="6" t="str">
        <v>Automated</v>
      </c>
      <c r="F146" s="6" t="n">
        <v>188</v>
      </c>
      <c r="G146" s="6" t="n">
        <v>189</v>
      </c>
      <c r="H146" s="6" t="str">
        <v>ESX-069</v>
      </c>
      <c r="I146" s="6" t="str">
        <v>Aktif soruya bağlı</v>
      </c>
    </row>
    <row r="147" ht="40" customHeight="1">
      <c r="A147" s="6" t="str">
        <v>CIS-ESX7</v>
      </c>
      <c r="B147" s="6" t="str">
        <v>8.4.20</v>
      </c>
      <c r="C147" s="6" t="str">
        <v>Ensure memSchedFakeSampleStats is disabled</v>
      </c>
      <c r="D147" s="6" t="str">
        <v>• Level 2 (L2) - High Security/Sensitive Data Environment (limited functionality)</v>
      </c>
      <c r="E147" s="6" t="str">
        <v>Automated</v>
      </c>
      <c r="F147" s="6" t="n">
        <v>190</v>
      </c>
      <c r="G147" s="6" t="n">
        <v>191</v>
      </c>
      <c r="H147" s="6" t="str">
        <v>ESX-069</v>
      </c>
      <c r="I147" s="6" t="str">
        <v>Aktif soruya bağlı</v>
      </c>
    </row>
    <row r="148" ht="35" customHeight="1">
      <c r="A148" s="6" t="str">
        <v>CIS-ESX7</v>
      </c>
      <c r="B148" s="6" t="str">
        <v>8.4.21</v>
      </c>
      <c r="C148" s="6" t="str">
        <v>Ensure VM Console Copy operations are disabled</v>
      </c>
      <c r="D148" s="6" t="str">
        <v>• Level 1 (L1) - Corporate/Enterprise Environment (general use)</v>
      </c>
      <c r="E148" s="6" t="str">
        <v>Automated</v>
      </c>
      <c r="F148" s="6" t="n">
        <v>192</v>
      </c>
      <c r="G148" s="6" t="n">
        <v>193</v>
      </c>
      <c r="H148" s="6" t="str">
        <v>ESX-052</v>
      </c>
      <c r="I148" s="6" t="str">
        <v>Aktif soruya bağlı</v>
      </c>
    </row>
    <row r="149" ht="35" customHeight="1">
      <c r="A149" s="6" t="str">
        <v>CIS-ESX7</v>
      </c>
      <c r="B149" s="6" t="str">
        <v>8.4.22</v>
      </c>
      <c r="C149" s="6" t="str">
        <v>Ensure VM Console Drag and Drop operations is disabled</v>
      </c>
      <c r="D149" s="6" t="str">
        <v>• Level 1 (L1) - Corporate/Enterprise Environment (general use)</v>
      </c>
      <c r="E149" s="6" t="str">
        <v>Automated</v>
      </c>
      <c r="F149" s="6" t="n">
        <v>194</v>
      </c>
      <c r="G149" s="6" t="n">
        <v>195</v>
      </c>
      <c r="H149" s="6" t="str">
        <v>ESX-052</v>
      </c>
      <c r="I149" s="6" t="str">
        <v>Aktif soruya bağlı</v>
      </c>
    </row>
    <row r="150" ht="35" customHeight="1">
      <c r="A150" s="6" t="str">
        <v>CIS-ESX7</v>
      </c>
      <c r="B150" s="6" t="str">
        <v>8.4.23</v>
      </c>
      <c r="C150" s="6" t="str">
        <v>Ensure VM Console GUI Options is disabled</v>
      </c>
      <c r="D150" s="6" t="str">
        <v>• Level 1 (L1) - Corporate/Enterprise Environment (general use)</v>
      </c>
      <c r="E150" s="6" t="str">
        <v>Automated</v>
      </c>
      <c r="F150" s="6" t="n">
        <v>196</v>
      </c>
      <c r="G150" s="6" t="n">
        <v>197</v>
      </c>
      <c r="H150" s="6" t="str">
        <v>ESX-069</v>
      </c>
      <c r="I150" s="6" t="str">
        <v>Aktif soruya bağlı</v>
      </c>
    </row>
    <row r="151" ht="35" customHeight="1">
      <c r="A151" s="6" t="str">
        <v>CIS-ESX7</v>
      </c>
      <c r="B151" s="6" t="str">
        <v>8.4.24</v>
      </c>
      <c r="C151" s="6" t="str">
        <v>Ensure VM Console Paste operations are disabled</v>
      </c>
      <c r="D151" s="6" t="str">
        <v>• Level 1 (L1) - Corporate/Enterprise Environment (general use)</v>
      </c>
      <c r="E151" s="6" t="str">
        <v>Automated</v>
      </c>
      <c r="F151" s="6" t="n">
        <v>198</v>
      </c>
      <c r="G151" s="6" t="n">
        <v>199</v>
      </c>
      <c r="H151" s="6" t="str">
        <v>ESX-052</v>
      </c>
      <c r="I151" s="6" t="str">
        <v>Aktif soruya bağlı</v>
      </c>
    </row>
    <row r="152" ht="40" customHeight="1">
      <c r="A152" s="6" t="str">
        <v>CIS-ESX7</v>
      </c>
      <c r="B152" s="6" t="str">
        <v>8.5.1</v>
      </c>
      <c r="C152" s="6" t="str">
        <v>Ensure VM limits are configured correctly</v>
      </c>
      <c r="D152" s="6" t="str">
        <v>• Level 2 (L2) - High Security/Sensitive Data Environment (limited functionality)</v>
      </c>
      <c r="E152" s="6" t="str">
        <v>Manual</v>
      </c>
      <c r="F152" s="6" t="n">
        <v>201</v>
      </c>
      <c r="G152" s="6" t="n">
        <v>202</v>
      </c>
      <c r="H152" s="6" t="str">
        <v>ESX-070</v>
      </c>
      <c r="I152" s="6" t="str">
        <v>Aktif soruya bağlı</v>
      </c>
    </row>
    <row r="153" ht="40" customHeight="1">
      <c r="A153" s="6" t="str">
        <v>CIS-ESX7</v>
      </c>
      <c r="B153" s="6" t="str">
        <v>8.5.2</v>
      </c>
      <c r="C153" s="6" t="str">
        <v>Ensure hardware-based 3D acceleration is disabled and mks.enable3d is set to "False"</v>
      </c>
      <c r="D153" s="6" t="str">
        <v>• Level 2 (L2) - High Security/Sensitive Data Environment (limited functionality)</v>
      </c>
      <c r="E153" s="6" t="str">
        <v>Automated</v>
      </c>
      <c r="F153" s="6" t="n">
        <v>203</v>
      </c>
      <c r="G153" s="6" t="n">
        <v>204</v>
      </c>
      <c r="H153" s="6" t="str">
        <v>ESX-050</v>
      </c>
      <c r="I153" s="6" t="str">
        <v>Aktif soruya bağlı</v>
      </c>
    </row>
    <row r="154" ht="40" customHeight="1">
      <c r="A154" s="6" t="str">
        <v>CIS-ESX7</v>
      </c>
      <c r="B154" s="6" t="str">
        <v>8.6.1</v>
      </c>
      <c r="C154" s="6" t="str">
        <v>Ensure nonpersistent disks are limited</v>
      </c>
      <c r="D154" s="6" t="str">
        <v>• Level 2 (L2) - High Security/Sensitive Data Environment (limited functionality)</v>
      </c>
      <c r="E154" s="6" t="str">
        <v>Automated</v>
      </c>
      <c r="F154" s="6" t="n">
        <v>206</v>
      </c>
      <c r="G154" s="6" t="n">
        <v>207</v>
      </c>
      <c r="H154" s="6" t="str">
        <v>ESX-071</v>
      </c>
      <c r="I154" s="6" t="str">
        <v>Aktif soruya bağlı</v>
      </c>
    </row>
    <row r="155" ht="35" customHeight="1">
      <c r="A155" s="6" t="str">
        <v>CIS-ESX7</v>
      </c>
      <c r="B155" s="6" t="str">
        <v>8.6.2</v>
      </c>
      <c r="C155" s="6" t="str">
        <v>Ensure virtual disk shrinking is disabled</v>
      </c>
      <c r="D155" s="6" t="str">
        <v>• Level 1 (L1) - Corporate/Enterprise Environment (general use)</v>
      </c>
      <c r="E155" s="6" t="str">
        <v>Automated</v>
      </c>
      <c r="F155" s="6" t="n">
        <v>208</v>
      </c>
      <c r="G155" s="6" t="n">
        <v>209</v>
      </c>
      <c r="H155" s="6" t="str">
        <v>ESX-053</v>
      </c>
      <c r="I155" s="6" t="str">
        <v>Aktif soruya bağlı</v>
      </c>
    </row>
    <row r="156" ht="35" customHeight="1">
      <c r="A156" s="6" t="str">
        <v>CIS-ESX7</v>
      </c>
      <c r="B156" s="6" t="str">
        <v>8.6.3</v>
      </c>
      <c r="C156" s="6" t="str">
        <v>Ensure virtual disk wiping is disabled</v>
      </c>
      <c r="D156" s="6" t="str">
        <v>• Level 1 (L1) - Corporate/Enterprise Environment (general use)</v>
      </c>
      <c r="E156" s="6" t="str">
        <v>Automated</v>
      </c>
      <c r="F156" s="6" t="n">
        <v>210</v>
      </c>
      <c r="G156" s="6" t="n">
        <v>211</v>
      </c>
      <c r="H156" s="6" t="str">
        <v>ESX-053</v>
      </c>
      <c r="I156" s="6" t="str">
        <v>Aktif soruya bağlı</v>
      </c>
    </row>
    <row r="157" ht="35" customHeight="1">
      <c r="A157" s="6" t="str">
        <v>CIS-ESX7</v>
      </c>
      <c r="B157" s="6" t="str">
        <v>8.7.1</v>
      </c>
      <c r="C157" s="6" t="str">
        <v>Ensure the number of VM log files is configured properly</v>
      </c>
      <c r="D157" s="6" t="str">
        <v>• Level 1 (L1) - Corporate/Enterprise Environment (general use)</v>
      </c>
      <c r="E157" s="6" t="str">
        <v>Automated</v>
      </c>
      <c r="F157" s="6" t="n">
        <v>213</v>
      </c>
      <c r="G157" s="6" t="n">
        <v>214</v>
      </c>
      <c r="H157" s="6" t="str">
        <v>ESX-055</v>
      </c>
      <c r="I157" s="6" t="str">
        <v>Aktif soruya bağlı</v>
      </c>
    </row>
    <row r="158" ht="40" customHeight="1">
      <c r="A158" s="6" t="str">
        <v>CIS-ESX7</v>
      </c>
      <c r="B158" s="6" t="str">
        <v>8.7.2</v>
      </c>
      <c r="C158" s="6" t="str">
        <v>Ensure host information is not sent to guests</v>
      </c>
      <c r="D158" s="6" t="str">
        <v>• Level 2 (L2) - High Security/Sensitive Data Environment (limited functionality)</v>
      </c>
      <c r="E158" s="6" t="str">
        <v>Automated</v>
      </c>
      <c r="F158" s="6" t="n">
        <v>215</v>
      </c>
      <c r="G158" s="6" t="n">
        <v>216</v>
      </c>
      <c r="H158" s="6" t="str">
        <v>ESX-054</v>
      </c>
      <c r="I158" s="6" t="str">
        <v>Aktif soruya bağlı</v>
      </c>
    </row>
    <row r="159" ht="35" customHeight="1">
      <c r="A159" s="6" t="str">
        <v>CIS-ESX7</v>
      </c>
      <c r="B159" s="6" t="str">
        <v>8.7.3</v>
      </c>
      <c r="C159" s="6" t="str">
        <v>Ensure VM log file size is limited</v>
      </c>
      <c r="D159" s="6" t="str">
        <v>• Level 1 (L1) - Corporate/Enterprise Environment (general use)</v>
      </c>
      <c r="E159" s="6" t="str">
        <v>Automated</v>
      </c>
      <c r="F159" s="6" t="n">
        <v>217</v>
      </c>
      <c r="G159" s="6" t="n">
        <v>218</v>
      </c>
      <c r="H159" s="6" t="str">
        <v>ESX-055</v>
      </c>
      <c r="I159" s="6" t="str">
        <v>Aktif soruya bağlı</v>
      </c>
    </row>
    <row r="160" ht="40" customHeight="1">
      <c r="A160" s="6" t="str">
        <v>CIS-ESX8</v>
      </c>
      <c r="B160" s="6" t="str">
        <v>1.1</v>
      </c>
      <c r="C160" s="6" t="str">
        <v>Host hardware must have auditable, authentic, and up to date system &amp; device firmware</v>
      </c>
      <c r="D160" s="6" t="str">
        <v>• Level 1 (L1) - Corporate/Enterprise Environment (general use)</v>
      </c>
      <c r="E160" s="6" t="str">
        <v>Manual</v>
      </c>
      <c r="F160" s="6" t="n">
        <v>18</v>
      </c>
      <c r="G160" s="6" t="n">
        <v>19</v>
      </c>
      <c r="H160" s="6" t="str">
        <v>ESX-001</v>
      </c>
      <c r="I160" s="6" t="str">
        <v>Aktif soruya bağlı</v>
      </c>
    </row>
    <row r="161" ht="35" customHeight="1">
      <c r="A161" s="6" t="str">
        <v>CIS-ESX8</v>
      </c>
      <c r="B161" s="6" t="str">
        <v>1.2</v>
      </c>
      <c r="C161" s="6" t="str">
        <v>Host hardware must enable UEFI Secure Boot</v>
      </c>
      <c r="D161" s="6" t="str">
        <v>• Level 1 (L1) - Corporate/Enterprise Environment (general use)</v>
      </c>
      <c r="E161" s="6" t="str">
        <v>Manual</v>
      </c>
      <c r="F161" s="6" t="n">
        <v>21</v>
      </c>
      <c r="G161" s="6" t="n">
        <v>22</v>
      </c>
      <c r="H161" s="6" t="str">
        <v>ESX-002</v>
      </c>
      <c r="I161" s="6" t="str">
        <v>Aktif soruya bağlı</v>
      </c>
    </row>
    <row r="162" ht="35" customHeight="1">
      <c r="A162" s="6" t="str">
        <v>CIS-ESX8</v>
      </c>
      <c r="B162" s="6" t="str">
        <v>1.3</v>
      </c>
      <c r="C162" s="6" t="str">
        <v>Host hardware must enable Intel TXT, if available</v>
      </c>
      <c r="D162" s="6" t="str">
        <v>• Level 1 (L1) - Corporate/Enterprise Environment (general use)</v>
      </c>
      <c r="E162" s="6" t="str">
        <v>Manual</v>
      </c>
      <c r="F162" s="6" t="n">
        <v>23</v>
      </c>
      <c r="G162" s="6" t="n">
        <v>24</v>
      </c>
      <c r="H162" s="6" t="str">
        <v>ESX-004</v>
      </c>
      <c r="I162" s="6" t="str">
        <v>Aktif soruya bağlı</v>
      </c>
    </row>
    <row r="163" ht="35" customHeight="1">
      <c r="A163" s="6" t="str">
        <v>CIS-ESX8</v>
      </c>
      <c r="B163" s="6" t="str">
        <v>1.4</v>
      </c>
      <c r="C163" s="6" t="str">
        <v>Host hardware must enable and configure a TPM 2.0</v>
      </c>
      <c r="D163" s="6" t="str">
        <v>• Level 1 (L1) - Corporate/Enterprise Environment (general use)</v>
      </c>
      <c r="E163" s="6" t="str">
        <v>Manual</v>
      </c>
      <c r="F163" s="6" t="n">
        <v>25</v>
      </c>
      <c r="G163" s="6" t="n">
        <v>26</v>
      </c>
      <c r="H163" s="6" t="str">
        <v>ESX-003</v>
      </c>
      <c r="I163" s="6" t="str">
        <v>Aktif soruya bağlı</v>
      </c>
    </row>
    <row r="164" ht="35" customHeight="1">
      <c r="A164" s="6" t="str">
        <v>CIS-ESX8</v>
      </c>
      <c r="B164" s="6" t="str">
        <v>1.5</v>
      </c>
      <c r="C164" s="6" t="str">
        <v>Host integrated hardware management controller must be secure</v>
      </c>
      <c r="D164" s="6" t="str">
        <v>• Level 1 (L1) - Corporate/Enterprise Environment (general use)</v>
      </c>
      <c r="E164" s="6" t="str">
        <v>Manual</v>
      </c>
      <c r="F164" s="6" t="n">
        <v>27</v>
      </c>
      <c r="G164" s="6" t="n">
        <v>28</v>
      </c>
      <c r="H164" s="6" t="str">
        <v>ESX-005</v>
      </c>
      <c r="I164" s="6" t="str">
        <v>Aktif soruya bağlı</v>
      </c>
    </row>
    <row r="165" ht="40" customHeight="1">
      <c r="A165" s="6" t="str">
        <v>CIS-ESX8</v>
      </c>
      <c r="B165" s="6" t="str">
        <v>1.6</v>
      </c>
      <c r="C165" s="6" t="str">
        <v>Host integrated hardware management controller must enable time synchronization</v>
      </c>
      <c r="D165" s="6" t="str">
        <v>• Level 1 (L1) - Corporate/Enterprise Environment (general use)</v>
      </c>
      <c r="E165" s="6" t="str">
        <v>Manual</v>
      </c>
      <c r="F165" s="6" t="n">
        <v>29</v>
      </c>
      <c r="G165" s="6" t="n">
        <v>30</v>
      </c>
      <c r="H165" s="6" t="str">
        <v>ESX-006</v>
      </c>
      <c r="I165" s="6" t="str">
        <v>Aktif soruya bağlı</v>
      </c>
    </row>
    <row r="166" ht="40" customHeight="1">
      <c r="A166" s="6" t="str">
        <v>CIS-ESX8</v>
      </c>
      <c r="B166" s="6" t="str">
        <v>1.7</v>
      </c>
      <c r="C166" s="6" t="str">
        <v>Host integrated hardware management controller must enable remote logging of events</v>
      </c>
      <c r="D166" s="6" t="str">
        <v>• Level 1 (L1) - Corporate/Enterprise Environment (general use)</v>
      </c>
      <c r="E166" s="6" t="str">
        <v>Manual</v>
      </c>
      <c r="F166" s="6" t="n">
        <v>31</v>
      </c>
      <c r="G166" s="6" t="n">
        <v>32</v>
      </c>
      <c r="H166" s="6" t="str">
        <v>ESX-007</v>
      </c>
      <c r="I166" s="6" t="str">
        <v>Aktif soruya bağlı</v>
      </c>
    </row>
    <row r="167" ht="40" customHeight="1">
      <c r="A167" s="6" t="str">
        <v>CIS-ESX8</v>
      </c>
      <c r="B167" s="6" t="str">
        <v>1.8</v>
      </c>
      <c r="C167" s="6" t="str">
        <v>Host integrated hardware management controller must secure authentication</v>
      </c>
      <c r="D167" s="6" t="str">
        <v>• Level 2 (L2) - High Security/Sensitive Data Environment (limited functionality)</v>
      </c>
      <c r="E167" s="6" t="str">
        <v>Manual</v>
      </c>
      <c r="F167" s="6" t="n">
        <v>33</v>
      </c>
      <c r="G167" s="6" t="n">
        <v>34</v>
      </c>
      <c r="H167" s="6" t="str">
        <v>ESX-005</v>
      </c>
      <c r="I167" s="6" t="str">
        <v>Aktif soruya bağlı</v>
      </c>
    </row>
    <row r="168" ht="40" customHeight="1">
      <c r="A168" s="6" t="str">
        <v>CIS-ESX8</v>
      </c>
      <c r="B168" s="6" t="str">
        <v>1.9</v>
      </c>
      <c r="C168" s="6" t="str">
        <v>Host hardware must enable AMD SEV-ES, if available</v>
      </c>
      <c r="D168" s="6" t="str">
        <v>• Level 2 (L2) - High Security/Sensitive Data Environment (limited functionality)</v>
      </c>
      <c r="E168" s="6" t="str">
        <v>Manual</v>
      </c>
      <c r="F168" s="6" t="n">
        <v>35</v>
      </c>
      <c r="G168" s="6" t="n">
        <v>36</v>
      </c>
      <c r="H168" s="6" t="str">
        <v>AÇIK</v>
      </c>
      <c r="I168" s="6" t="str">
        <v>Çıkarıldı / açık konu</v>
      </c>
    </row>
    <row r="169" ht="40" customHeight="1">
      <c r="A169" s="6" t="str">
        <v>CIS-ESX8</v>
      </c>
      <c r="B169" s="6" t="str">
        <v>1.10</v>
      </c>
      <c r="C169" s="6" t="str">
        <v>Host hardware must enable Intel SGX, if available</v>
      </c>
      <c r="D169" s="6" t="str">
        <v>• Level 2 (L2) - High Security/Sensitive Data Environment (limited functionality)</v>
      </c>
      <c r="E169" s="6" t="str">
        <v>Manual</v>
      </c>
      <c r="F169" s="6" t="n">
        <v>37</v>
      </c>
      <c r="G169" s="6" t="n">
        <v>38</v>
      </c>
      <c r="H169" s="6" t="str">
        <v>ESX-008</v>
      </c>
      <c r="I169" s="6" t="str">
        <v>Aktif soruya bağlı</v>
      </c>
    </row>
    <row r="170" ht="40" customHeight="1">
      <c r="A170" s="6" t="str">
        <v>CIS-ESX8</v>
      </c>
      <c r="B170" s="6" t="str">
        <v>1.11</v>
      </c>
      <c r="C170" s="6" t="str">
        <v>Host hardware must secure unused external hardware ports</v>
      </c>
      <c r="D170" s="6" t="str">
        <v>• Level 2 (L2) - High Security/Sensitive Data Environment (limited functionality)</v>
      </c>
      <c r="E170" s="6" t="str">
        <v>Manual</v>
      </c>
      <c r="F170" s="6" t="n">
        <v>39</v>
      </c>
      <c r="G170" s="6" t="n">
        <v>40</v>
      </c>
      <c r="H170" s="6" t="str">
        <v>ESX-009</v>
      </c>
      <c r="I170" s="6" t="str">
        <v>Aktif soruya bağlı</v>
      </c>
    </row>
    <row r="171" ht="40" customHeight="1">
      <c r="A171" s="6" t="str">
        <v>CIS-ESX8</v>
      </c>
      <c r="B171" s="6" t="str">
        <v>1.12</v>
      </c>
      <c r="C171" s="6" t="str">
        <v>Host integrated hardware management controller must deactivate internal networking</v>
      </c>
      <c r="D171" s="6" t="str">
        <v>• Level 2 (L2) - High Security/Sensitive Data Environment (limited functionality)</v>
      </c>
      <c r="E171" s="6" t="str">
        <v>Manual</v>
      </c>
      <c r="F171" s="6" t="n">
        <v>41</v>
      </c>
      <c r="G171" s="6" t="n">
        <v>42</v>
      </c>
      <c r="H171" s="6" t="str">
        <v>ESX-010</v>
      </c>
      <c r="I171" s="6" t="str">
        <v>Aktif soruya bağlı</v>
      </c>
    </row>
    <row r="172" ht="35" customHeight="1">
      <c r="A172" s="6" t="str">
        <v>CIS-ESX8</v>
      </c>
      <c r="B172" s="6" t="str">
        <v>2.1</v>
      </c>
      <c r="C172" s="6" t="str">
        <v>Host must run software that has not reached End of General Support status</v>
      </c>
      <c r="D172" s="6" t="str">
        <v>• Level 1 (L1) - Corporate/Enterprise Environment (general use)</v>
      </c>
      <c r="E172" s="6" t="str">
        <v>Manual</v>
      </c>
      <c r="F172" s="6" t="n">
        <v>44</v>
      </c>
      <c r="G172" s="6" t="n">
        <v>45</v>
      </c>
      <c r="H172" s="6" t="str">
        <v>ESX-011</v>
      </c>
      <c r="I172" s="6" t="str">
        <v>Aktif soruya bağlı</v>
      </c>
    </row>
    <row r="173" ht="35" customHeight="1">
      <c r="A173" s="6" t="str">
        <v>CIS-ESX8</v>
      </c>
      <c r="B173" s="6" t="str">
        <v>2.2</v>
      </c>
      <c r="C173" s="6" t="str">
        <v>Host must have all software updates installed</v>
      </c>
      <c r="D173" s="6" t="str">
        <v>• Level 1 (L1) - Corporate/Enterprise Environment (general use)</v>
      </c>
      <c r="E173" s="6" t="str">
        <v>Manual</v>
      </c>
      <c r="F173" s="6" t="n">
        <v>46</v>
      </c>
      <c r="G173" s="6" t="n">
        <v>47</v>
      </c>
      <c r="H173" s="6" t="str">
        <v>ESX-011</v>
      </c>
      <c r="I173" s="6" t="str">
        <v>Aktif soruya bağlı</v>
      </c>
    </row>
    <row r="174" ht="35" customHeight="1">
      <c r="A174" s="6" t="str">
        <v>CIS-ESX8</v>
      </c>
      <c r="B174" s="6" t="str">
        <v>2.3</v>
      </c>
      <c r="C174" s="6" t="str">
        <v>Host must enable Secure Boot enforcement</v>
      </c>
      <c r="D174" s="6" t="str">
        <v>• Level 1 (L1) - Corporate/Enterprise Environment (general use)</v>
      </c>
      <c r="E174" s="6" t="str">
        <v>Manual</v>
      </c>
      <c r="F174" s="6" t="n">
        <v>48</v>
      </c>
      <c r="G174" s="6" t="n">
        <v>49</v>
      </c>
      <c r="H174" s="6" t="str">
        <v>ESX-002</v>
      </c>
      <c r="I174" s="6" t="str">
        <v>Aktif soruya bağlı</v>
      </c>
    </row>
    <row r="175" ht="35" customHeight="1">
      <c r="A175" s="6" t="str">
        <v>CIS-ESX8</v>
      </c>
      <c r="B175" s="6" t="str">
        <v>2.4</v>
      </c>
      <c r="C175" s="6" t="str">
        <v>(Host image profile acceptance level must be PartnerSupported or higher</v>
      </c>
      <c r="D175" s="6" t="str">
        <v>• Level 1 (L1) - Corporate/Enterprise Environment (general use)</v>
      </c>
      <c r="E175" s="6" t="str">
        <v>Automated</v>
      </c>
      <c r="F175" s="6" t="n">
        <v>50</v>
      </c>
      <c r="G175" s="6" t="n">
        <v>51</v>
      </c>
      <c r="H175" s="6" t="str">
        <v>ESX-012</v>
      </c>
      <c r="I175" s="6" t="str">
        <v>Aktif soruya bağlı</v>
      </c>
    </row>
    <row r="176" ht="35" customHeight="1">
      <c r="A176" s="6" t="str">
        <v>CIS-ESX8</v>
      </c>
      <c r="B176" s="6" t="str">
        <v>2.5</v>
      </c>
      <c r="C176" s="6" t="str">
        <v>Host must only run binaries delivered via signed VIB</v>
      </c>
      <c r="D176" s="6" t="str">
        <v>• Level 1 (L1) - Corporate/Enterprise Environment (general use)</v>
      </c>
      <c r="E176" s="6" t="str">
        <v>Manual</v>
      </c>
      <c r="F176" s="6" t="n">
        <v>53</v>
      </c>
      <c r="G176" s="6" t="n">
        <v>54</v>
      </c>
      <c r="H176" s="6" t="str">
        <v>ESX-013</v>
      </c>
      <c r="I176" s="6" t="str">
        <v>Aktif soruya bağlı</v>
      </c>
    </row>
    <row r="177" ht="35" customHeight="1">
      <c r="A177" s="6" t="str">
        <v>CIS-ESX8</v>
      </c>
      <c r="B177" s="6" t="str">
        <v>2.6</v>
      </c>
      <c r="C177" s="6" t="str">
        <v>Host must have reliable time synchronization sources</v>
      </c>
      <c r="D177" s="6" t="str">
        <v>• Level 1 (L1) - Corporate/Enterprise Environment (general use)</v>
      </c>
      <c r="E177" s="6" t="str">
        <v>Automated</v>
      </c>
      <c r="F177" s="6" t="n">
        <v>55</v>
      </c>
      <c r="G177" s="6" t="n">
        <v>56</v>
      </c>
      <c r="H177" s="6" t="str">
        <v>ESX-014</v>
      </c>
      <c r="I177" s="6" t="str">
        <v>Aktif soruya bağlı</v>
      </c>
    </row>
    <row r="178" ht="35" customHeight="1">
      <c r="A178" s="6" t="str">
        <v>CIS-ESX8</v>
      </c>
      <c r="B178" s="6" t="str">
        <v>2.7</v>
      </c>
      <c r="C178" s="6" t="str">
        <v>Host must have time synchronization services enabled and running</v>
      </c>
      <c r="D178" s="6" t="str">
        <v>• Level 1 (L1) - Corporate/Enterprise Environment (general use)</v>
      </c>
      <c r="E178" s="6" t="str">
        <v>Manual</v>
      </c>
      <c r="F178" s="6" t="n">
        <v>58</v>
      </c>
      <c r="G178" s="6" t="n">
        <v>59</v>
      </c>
      <c r="H178" s="6" t="str">
        <v>ESX-014</v>
      </c>
      <c r="I178" s="6" t="str">
        <v>Aktif soruya bağlı</v>
      </c>
    </row>
    <row r="179" ht="35" customHeight="1">
      <c r="A179" s="6" t="str">
        <v>CIS-ESX8</v>
      </c>
      <c r="B179" s="6" t="str">
        <v>2.8</v>
      </c>
      <c r="C179" s="6" t="str">
        <v>Host must require TPM-based configuration encryption</v>
      </c>
      <c r="D179" s="6" t="str">
        <v>• Level 1 (L1) - Corporate/Enterprise Environment (general use)</v>
      </c>
      <c r="E179" s="6" t="str">
        <v>Manual</v>
      </c>
      <c r="F179" s="6" t="n">
        <v>60</v>
      </c>
      <c r="G179" s="6" t="n">
        <v>61</v>
      </c>
      <c r="H179" s="6" t="str">
        <v>ESX-003</v>
      </c>
      <c r="I179" s="6" t="str">
        <v>Aktif soruya bağlı</v>
      </c>
    </row>
    <row r="180" ht="40" customHeight="1">
      <c r="A180" s="6" t="str">
        <v>CIS-ESX8</v>
      </c>
      <c r="B180" s="6" t="str">
        <v>2.9</v>
      </c>
      <c r="C180" s="6" t="str">
        <v>Host must not suppress warnings about unmitigated hyperthreading vulnerabilities</v>
      </c>
      <c r="D180" s="6" t="str">
        <v>• Level 1 (L1) - Corporate/Enterprise Environment (general use)</v>
      </c>
      <c r="E180" s="6" t="str">
        <v>Manual</v>
      </c>
      <c r="F180" s="6" t="n">
        <v>62</v>
      </c>
      <c r="G180" s="6" t="n">
        <v>63</v>
      </c>
      <c r="H180" s="6" t="str">
        <v>ESX-015</v>
      </c>
      <c r="I180" s="6" t="str">
        <v>Aktif soruya bağlı</v>
      </c>
    </row>
    <row r="181" ht="35" customHeight="1">
      <c r="A181" s="6" t="str">
        <v>CIS-ESX8</v>
      </c>
      <c r="B181" s="6" t="str">
        <v>2.10</v>
      </c>
      <c r="C181" s="6" t="str">
        <v>Host must restrict inter-VM transparent page sharing</v>
      </c>
      <c r="D181" s="6" t="str">
        <v>• Level 1 (L1) - Corporate/Enterprise Environment (general use)</v>
      </c>
      <c r="E181" s="6" t="str">
        <v>Automated</v>
      </c>
      <c r="F181" s="6" t="n">
        <v>64</v>
      </c>
      <c r="G181" s="6" t="n">
        <v>65</v>
      </c>
      <c r="H181" s="6" t="str">
        <v>ESX-016</v>
      </c>
      <c r="I181" s="6" t="str">
        <v>Aktif soruya bağlı</v>
      </c>
    </row>
    <row r="182" ht="35" customHeight="1">
      <c r="A182" s="6" t="str">
        <v>CIS-ESX8</v>
      </c>
      <c r="B182" s="6" t="str">
        <v>2.11</v>
      </c>
      <c r="C182" s="6" t="str">
        <v>Host must use sufficient entropy for cryptographic operations</v>
      </c>
      <c r="D182" s="6" t="str">
        <v>• Level 1 (L1) - Corporate/Enterprise Environment (general use)</v>
      </c>
      <c r="E182" s="6" t="str">
        <v>Manual</v>
      </c>
      <c r="F182" s="6" t="n">
        <v>66</v>
      </c>
      <c r="G182" s="6" t="n">
        <v>67</v>
      </c>
      <c r="H182" s="6" t="str">
        <v>ESX-017</v>
      </c>
      <c r="I182" s="6" t="str">
        <v>Aktif soruya bağlı</v>
      </c>
    </row>
    <row r="183" ht="40" customHeight="1">
      <c r="A183" s="6" t="str">
        <v>CIS-ESX8</v>
      </c>
      <c r="B183" s="6" t="str">
        <v>2.12</v>
      </c>
      <c r="C183" s="6" t="str">
        <v>Host must enable volatile key destruction</v>
      </c>
      <c r="D183" s="6" t="str">
        <v>• Level 2 (L2) - High Security/Sensitive Data Environment (limited functionality)</v>
      </c>
      <c r="E183" s="6" t="str">
        <v>Manual</v>
      </c>
      <c r="F183" s="6" t="n">
        <v>68</v>
      </c>
      <c r="G183" s="6" t="n">
        <v>69</v>
      </c>
      <c r="H183" s="6" t="str">
        <v>ESX-017</v>
      </c>
      <c r="I183" s="6" t="str">
        <v>Aktif soruya bağlı</v>
      </c>
    </row>
    <row r="184" ht="35" customHeight="1">
      <c r="A184" s="6" t="str">
        <v>CIS-ESX8</v>
      </c>
      <c r="B184" s="6" t="str">
        <v>3.1</v>
      </c>
      <c r="C184" s="6" t="str">
        <v>Host should deactivate SSH</v>
      </c>
      <c r="D184" s="6" t="str">
        <v>• Level 1 (L1) - Corporate/Enterprise Environment (general use)</v>
      </c>
      <c r="E184" s="6" t="str">
        <v>Automated</v>
      </c>
      <c r="F184" s="6" t="n">
        <v>71</v>
      </c>
      <c r="G184" s="6" t="n">
        <v>72</v>
      </c>
      <c r="H184" s="6" t="str">
        <v>ESX-018</v>
      </c>
      <c r="I184" s="6" t="str">
        <v>Aktif soruya bağlı</v>
      </c>
    </row>
    <row r="185" ht="35" customHeight="1">
      <c r="A185" s="6" t="str">
        <v>CIS-ESX8</v>
      </c>
      <c r="B185" s="6" t="str">
        <v>3.2</v>
      </c>
      <c r="C185" s="6" t="str">
        <v>Host must deactivate the ESXi shell</v>
      </c>
      <c r="D185" s="6" t="str">
        <v>• Level 1 (L1) - Corporate/Enterprise Environment (general use)</v>
      </c>
      <c r="E185" s="6" t="str">
        <v>Automated</v>
      </c>
      <c r="F185" s="6" t="n">
        <v>73</v>
      </c>
      <c r="G185" s="6" t="n">
        <v>74</v>
      </c>
      <c r="H185" s="6" t="str">
        <v>ESX-018</v>
      </c>
      <c r="I185" s="6" t="str">
        <v>Aktif soruya bağlı</v>
      </c>
    </row>
    <row r="186" ht="35" customHeight="1">
      <c r="A186" s="6" t="str">
        <v>CIS-ESX8</v>
      </c>
      <c r="B186" s="6" t="str">
        <v>3.3</v>
      </c>
      <c r="C186" s="6" t="str">
        <v>Host must deactivate the ESXi Managed Object Browser (MOB)</v>
      </c>
      <c r="D186" s="6" t="str">
        <v>• Level 1 (L1) - Corporate/Enterprise Environment (general use)</v>
      </c>
      <c r="E186" s="6" t="str">
        <v>Automated</v>
      </c>
      <c r="F186" s="6" t="n">
        <v>75</v>
      </c>
      <c r="G186" s="6" t="n">
        <v>76</v>
      </c>
      <c r="H186" s="6" t="str">
        <v>ESX-018</v>
      </c>
      <c r="I186" s="6" t="str">
        <v>Aktif soruya bağlı</v>
      </c>
    </row>
    <row r="187" ht="35" customHeight="1">
      <c r="A187" s="6" t="str">
        <v>CIS-ESX8</v>
      </c>
      <c r="B187" s="6" t="str">
        <v>3.4</v>
      </c>
      <c r="C187" s="6" t="str">
        <v>Host must deactivate SLP</v>
      </c>
      <c r="D187" s="6" t="str">
        <v>• Level 1 (L1) - Corporate/Enterprise Environment (general use)</v>
      </c>
      <c r="E187" s="6" t="str">
        <v>Manual</v>
      </c>
      <c r="F187" s="6" t="n">
        <v>77</v>
      </c>
      <c r="G187" s="6" t="n">
        <v>78</v>
      </c>
      <c r="H187" s="6" t="str">
        <v>ESX-018</v>
      </c>
      <c r="I187" s="6" t="str">
        <v>Aktif soruya bağlı</v>
      </c>
    </row>
    <row r="188" ht="35" customHeight="1">
      <c r="A188" s="6" t="str">
        <v>CIS-ESX8</v>
      </c>
      <c r="B188" s="6" t="str">
        <v>3.5</v>
      </c>
      <c r="C188" s="6" t="str">
        <v>Host must deactivate CIM</v>
      </c>
      <c r="D188" s="6" t="str">
        <v>• Level 1 (L1) - Corporate/Enterprise Environment (general use)</v>
      </c>
      <c r="E188" s="6" t="str">
        <v>Manual</v>
      </c>
      <c r="F188" s="6" t="n">
        <v>79</v>
      </c>
      <c r="G188" s="6" t="n">
        <v>80</v>
      </c>
      <c r="H188" s="6" t="str">
        <v>ESX-018</v>
      </c>
      <c r="I188" s="6" t="str">
        <v>Aktif soruya bağlı</v>
      </c>
    </row>
    <row r="189" ht="35" customHeight="1">
      <c r="A189" s="6" t="str">
        <v>CIS-ESX8</v>
      </c>
      <c r="B189" s="6" t="str">
        <v>3.6</v>
      </c>
      <c r="C189" s="6" t="str">
        <v>Host should deactivate SNMP</v>
      </c>
      <c r="D189" s="6" t="str">
        <v>• Level 1 (L1) - Corporate/Enterprise Environment (general use)</v>
      </c>
      <c r="E189" s="6" t="str">
        <v>Manual</v>
      </c>
      <c r="F189" s="6" t="n">
        <v>81</v>
      </c>
      <c r="G189" s="6" t="n">
        <v>82</v>
      </c>
      <c r="H189" s="6" t="str">
        <v>ESX-018</v>
      </c>
      <c r="I189" s="6" t="str">
        <v>Aktif soruya bağlı</v>
      </c>
    </row>
    <row r="190" ht="35" customHeight="1">
      <c r="A190" s="6" t="str">
        <v>CIS-ESX8</v>
      </c>
      <c r="B190" s="6" t="str">
        <v>3.7</v>
      </c>
      <c r="C190" s="6" t="str">
        <v>Host must automatically terminate idle DCUI sessions</v>
      </c>
      <c r="D190" s="6" t="str">
        <v>• Level 1 (L1) - Corporate/Enterprise Environment (general use)</v>
      </c>
      <c r="E190" s="6" t="str">
        <v>Automated</v>
      </c>
      <c r="F190" s="6" t="n">
        <v>83</v>
      </c>
      <c r="G190" s="6" t="n">
        <v>84</v>
      </c>
      <c r="H190" s="6" t="str">
        <v>ESX-019</v>
      </c>
      <c r="I190" s="6" t="str">
        <v>Aktif soruya bağlı</v>
      </c>
    </row>
    <row r="191" ht="35" customHeight="1">
      <c r="A191" s="6" t="str">
        <v>CIS-ESX8</v>
      </c>
      <c r="B191" s="6" t="str">
        <v>3.8</v>
      </c>
      <c r="C191" s="6" t="str">
        <v>Host must automatically terminate idle shells</v>
      </c>
      <c r="D191" s="6" t="str">
        <v>• Level 1 (L1) - Corporate/Enterprise Environment (general use)</v>
      </c>
      <c r="E191" s="6" t="str">
        <v>Automated</v>
      </c>
      <c r="F191" s="6" t="n">
        <v>85</v>
      </c>
      <c r="G191" s="6" t="n">
        <v>86</v>
      </c>
      <c r="H191" s="6" t="str">
        <v>ESX-020</v>
      </c>
      <c r="I191" s="6" t="str">
        <v>Aktif soruya bağlı</v>
      </c>
    </row>
    <row r="192" ht="35" customHeight="1">
      <c r="A192" s="6" t="str">
        <v>CIS-ESX8</v>
      </c>
      <c r="B192" s="6" t="str">
        <v>3.9</v>
      </c>
      <c r="C192" s="6" t="str">
        <v>Host must automatically deactivate shell services</v>
      </c>
      <c r="D192" s="6" t="str">
        <v>• Level 1 (L1) - Corporate/Enterprise Environment (general use)</v>
      </c>
      <c r="E192" s="6" t="str">
        <v>Automated</v>
      </c>
      <c r="F192" s="6" t="n">
        <v>87</v>
      </c>
      <c r="G192" s="6" t="n">
        <v>88</v>
      </c>
      <c r="H192" s="6" t="str">
        <v>ESX-021</v>
      </c>
      <c r="I192" s="6" t="str">
        <v>Aktif soruya bağlı</v>
      </c>
    </row>
    <row r="193" ht="35" customHeight="1">
      <c r="A193" s="6" t="str">
        <v>CIS-ESX8</v>
      </c>
      <c r="B193" s="6" t="str">
        <v>3.10</v>
      </c>
      <c r="C193" s="6" t="str">
        <v>Host must not suppress warnings that the shell is enabled</v>
      </c>
      <c r="D193" s="6" t="str">
        <v>• Level 1 (L1) - Corporate/Enterprise Environment (general use)</v>
      </c>
      <c r="E193" s="6" t="str">
        <v>Manual</v>
      </c>
      <c r="F193" s="6" t="n">
        <v>89</v>
      </c>
      <c r="G193" s="6" t="n">
        <v>90</v>
      </c>
      <c r="H193" s="6" t="str">
        <v>ESX-022</v>
      </c>
      <c r="I193" s="6" t="str">
        <v>Aktif soruya bağlı</v>
      </c>
    </row>
    <row r="194" ht="35" customHeight="1">
      <c r="A194" s="6" t="str">
        <v>CIS-ESX8</v>
      </c>
      <c r="B194" s="6" t="str">
        <v>3.11</v>
      </c>
      <c r="C194" s="6" t="str">
        <v>Host must enforce password complexity</v>
      </c>
      <c r="D194" s="6" t="str">
        <v>• Level 1 (L1) - Corporate/Enterprise Environment (general use)</v>
      </c>
      <c r="E194" s="6" t="str">
        <v>Manual</v>
      </c>
      <c r="F194" s="6" t="n">
        <v>91</v>
      </c>
      <c r="G194" s="6" t="n">
        <v>92</v>
      </c>
      <c r="H194" s="6" t="str">
        <v>ESX-023</v>
      </c>
      <c r="I194" s="6" t="str">
        <v>Aktif soruya bağlı</v>
      </c>
    </row>
    <row r="195" ht="40" customHeight="1">
      <c r="A195" s="6" t="str">
        <v>CIS-ESX8</v>
      </c>
      <c r="B195" s="6" t="str">
        <v>3.12</v>
      </c>
      <c r="C195" s="6" t="str">
        <v>Host must lock an account after a specified number of failed login attempts</v>
      </c>
      <c r="D195" s="6" t="str">
        <v>• Level 1 (L1) - Corporate/Enterprise Environment (general use)</v>
      </c>
      <c r="E195" s="6" t="str">
        <v>Automated</v>
      </c>
      <c r="F195" s="6" t="n">
        <v>93</v>
      </c>
      <c r="G195" s="6" t="n">
        <v>94</v>
      </c>
      <c r="H195" s="6" t="str">
        <v>ESX-024</v>
      </c>
      <c r="I195" s="6" t="str">
        <v>Aktif soruya bağlı</v>
      </c>
    </row>
    <row r="196" ht="35" customHeight="1">
      <c r="A196" s="6" t="str">
        <v>CIS-ESX8</v>
      </c>
      <c r="B196" s="6" t="str">
        <v>3.13</v>
      </c>
      <c r="C196" s="6" t="str">
        <v>Host must unlock accounts after a specified timeout period</v>
      </c>
      <c r="D196" s="6" t="str">
        <v>• Level 1 (L1) - Corporate/Enterprise Environment (general use)</v>
      </c>
      <c r="E196" s="6" t="str">
        <v>Automated</v>
      </c>
      <c r="F196" s="6" t="n">
        <v>95</v>
      </c>
      <c r="G196" s="6" t="n">
        <v>96</v>
      </c>
      <c r="H196" s="6" t="str">
        <v>ESX-024</v>
      </c>
      <c r="I196" s="6" t="str">
        <v>Aktif soruya bağlı</v>
      </c>
    </row>
    <row r="197" ht="40" customHeight="1">
      <c r="A197" s="6" t="str">
        <v>CIS-ESX8</v>
      </c>
      <c r="B197" s="6" t="str">
        <v>3.14</v>
      </c>
      <c r="C197" s="6" t="str">
        <v>Host must configure the password history setting to restrict the reuse of passwords</v>
      </c>
      <c r="D197" s="6" t="str">
        <v>• Level 1 (L1) - Corporate/Enterprise Environment (general use)</v>
      </c>
      <c r="E197" s="6" t="str">
        <v>Manual</v>
      </c>
      <c r="F197" s="6" t="n">
        <v>97</v>
      </c>
      <c r="G197" s="6" t="n">
        <v>98</v>
      </c>
      <c r="H197" s="6" t="str">
        <v>ESX-025</v>
      </c>
      <c r="I197" s="6" t="str">
        <v>Aktif soruya bağlı</v>
      </c>
    </row>
    <row r="198" ht="35" customHeight="1">
      <c r="A198" s="6" t="str">
        <v>CIS-ESX8</v>
      </c>
      <c r="B198" s="6" t="str">
        <v>3.15</v>
      </c>
      <c r="C198" s="6" t="str">
        <v>Host must be configured with an appropriate maximum password age</v>
      </c>
      <c r="D198" s="6" t="str">
        <v>• Level 1 (L1) - Corporate/Enterprise Environment (general use)</v>
      </c>
      <c r="E198" s="6" t="str">
        <v>Manual</v>
      </c>
      <c r="F198" s="6" t="n">
        <v>99</v>
      </c>
      <c r="G198" s="6" t="n">
        <v>100</v>
      </c>
      <c r="H198" s="6" t="str">
        <v>ESX-026</v>
      </c>
      <c r="I198" s="6" t="str">
        <v>Aktif soruya bağlı</v>
      </c>
    </row>
    <row r="199" ht="35" customHeight="1">
      <c r="A199" s="6" t="str">
        <v>CIS-ESX8</v>
      </c>
      <c r="B199" s="6" t="str">
        <v>3.16</v>
      </c>
      <c r="C199" s="6" t="str">
        <v>Host must configure a session timeout for the API</v>
      </c>
      <c r="D199" s="6" t="str">
        <v>• Level 1 (L1) - Corporate/Enterprise Environment (general use)</v>
      </c>
      <c r="E199" s="6" t="str">
        <v>Manual</v>
      </c>
      <c r="F199" s="6" t="n">
        <v>101</v>
      </c>
      <c r="G199" s="6" t="n">
        <v>102</v>
      </c>
      <c r="H199" s="6" t="str">
        <v>ESX-027</v>
      </c>
      <c r="I199" s="6" t="str">
        <v>Aktif soruya bağlı</v>
      </c>
    </row>
    <row r="200" ht="35" customHeight="1">
      <c r="A200" s="6" t="str">
        <v>CIS-ESX8</v>
      </c>
      <c r="B200" s="6" t="str">
        <v>3.17</v>
      </c>
      <c r="C200" s="6" t="str">
        <v>Host must automatically terminate idle host client sessions</v>
      </c>
      <c r="D200" s="6" t="str">
        <v>• Level 1 (L1) - Corporate/Enterprise Environment (general use)</v>
      </c>
      <c r="E200" s="6" t="str">
        <v>Manual</v>
      </c>
      <c r="F200" s="6" t="n">
        <v>103</v>
      </c>
      <c r="G200" s="6" t="n">
        <v>104</v>
      </c>
      <c r="H200" s="6" t="str">
        <v>ESX-027</v>
      </c>
      <c r="I200" s="6" t="str">
        <v>Aktif soruya bağlı</v>
      </c>
    </row>
    <row r="201" ht="35" customHeight="1">
      <c r="A201" s="6" t="str">
        <v>CIS-ESX8</v>
      </c>
      <c r="B201" s="6" t="str">
        <v>3.18</v>
      </c>
      <c r="C201" s="6" t="str">
        <v>Host must have an accurate DCUI.Access list</v>
      </c>
      <c r="D201" s="6" t="str">
        <v>• Level 1 (L1) - Corporate/Enterprise Environment (general use)</v>
      </c>
      <c r="E201" s="6" t="str">
        <v>Manual</v>
      </c>
      <c r="F201" s="6" t="n">
        <v>105</v>
      </c>
      <c r="G201" s="6" t="n">
        <v>106</v>
      </c>
      <c r="H201" s="6" t="str">
        <v>ESX-028</v>
      </c>
      <c r="I201" s="6" t="str">
        <v>Aktif soruya bağlı</v>
      </c>
    </row>
    <row r="202" ht="35" customHeight="1">
      <c r="A202" s="6" t="str">
        <v>CIS-ESX8</v>
      </c>
      <c r="B202" s="6" t="str">
        <v>3.19</v>
      </c>
      <c r="C202" s="6" t="str">
        <v>Host must have an accurate Exception Users list</v>
      </c>
      <c r="D202" s="6" t="str">
        <v>• Level 1 (L1) - Corporate/Enterprise Environment (general use)</v>
      </c>
      <c r="E202" s="6" t="str">
        <v>Manual</v>
      </c>
      <c r="F202" s="6" t="n">
        <v>107</v>
      </c>
      <c r="G202" s="6" t="n">
        <v>108</v>
      </c>
      <c r="H202" s="6" t="str">
        <v>ESX-028</v>
      </c>
      <c r="I202" s="6" t="str">
        <v>Aktif soruya bağlı</v>
      </c>
    </row>
    <row r="203" ht="35" customHeight="1">
      <c r="A203" s="6" t="str">
        <v>CIS-ESX8</v>
      </c>
      <c r="B203" s="6" t="str">
        <v>3.20</v>
      </c>
      <c r="C203" s="6" t="str">
        <v>Host must enable lockdown mode</v>
      </c>
      <c r="D203" s="6" t="str">
        <v>• Level 1 (L1) - Corporate/Enterprise Environment (general use)</v>
      </c>
      <c r="E203" s="6" t="str">
        <v>Automated</v>
      </c>
      <c r="F203" s="6" t="n">
        <v>109</v>
      </c>
      <c r="G203" s="6" t="n">
        <v>110</v>
      </c>
      <c r="H203" s="6" t="str">
        <v>ESX-028</v>
      </c>
      <c r="I203" s="6" t="str">
        <v>Aktif soruya bağlı</v>
      </c>
    </row>
    <row r="204" ht="40" customHeight="1">
      <c r="A204" s="6" t="str">
        <v>CIS-ESX8</v>
      </c>
      <c r="B204" s="6" t="str">
        <v>3.21</v>
      </c>
      <c r="C204" s="6" t="str">
        <v>Host should enable strict lockdown mode</v>
      </c>
      <c r="D204" s="6" t="str">
        <v>• Level 2 (L2) - High Security/Sensitive Data Environment (limited functionality)</v>
      </c>
      <c r="E204" s="6" t="str">
        <v>Automated</v>
      </c>
      <c r="F204" s="6" t="n">
        <v>111</v>
      </c>
      <c r="G204" s="6" t="n">
        <v>112</v>
      </c>
      <c r="H204" s="6" t="str">
        <v>ESX-028</v>
      </c>
      <c r="I204" s="6" t="str">
        <v>Aktif soruya bağlı</v>
      </c>
    </row>
    <row r="205" ht="35" customHeight="1">
      <c r="A205" s="6" t="str">
        <v>CIS-ESX8</v>
      </c>
      <c r="B205" s="6" t="str">
        <v>3.22</v>
      </c>
      <c r="C205" s="6" t="str">
        <v>Host must deny shell access for the dcui account</v>
      </c>
      <c r="D205" s="6" t="str">
        <v>• Level 1 (L1) - Corporate/Enterprise Environment (general use)</v>
      </c>
      <c r="E205" s="6" t="str">
        <v>Manual</v>
      </c>
      <c r="F205" s="6" t="n">
        <v>113</v>
      </c>
      <c r="G205" s="6" t="n">
        <v>114</v>
      </c>
      <c r="H205" s="6" t="str">
        <v>ESX-029</v>
      </c>
      <c r="I205" s="6" t="str">
        <v>Aktif soruya bağlı</v>
      </c>
    </row>
    <row r="206" ht="40" customHeight="1">
      <c r="A206" s="6" t="str">
        <v>CIS-ESX8</v>
      </c>
      <c r="B206" s="6" t="str">
        <v>3.23</v>
      </c>
      <c r="C206" s="6" t="str">
        <v>Host must deny shell access for the vpxuser account</v>
      </c>
      <c r="D206" s="6" t="str">
        <v>• Level 2 (L2) - High Security/Sensitive Data Environment (limited functionality)</v>
      </c>
      <c r="E206" s="6" t="str">
        <v>Manual</v>
      </c>
      <c r="F206" s="6" t="n">
        <v>115</v>
      </c>
      <c r="G206" s="6" t="n">
        <v>116</v>
      </c>
      <c r="H206" s="6" t="str">
        <v>ESX-029</v>
      </c>
      <c r="I206" s="6" t="str">
        <v>Aktif soruya bağlı</v>
      </c>
    </row>
    <row r="207" ht="35" customHeight="1">
      <c r="A207" s="6" t="str">
        <v>CIS-ESX8</v>
      </c>
      <c r="B207" s="6" t="str">
        <v>3.24</v>
      </c>
      <c r="C207" s="6" t="str">
        <v>Host must display a login banner for the DCUI and Host Client</v>
      </c>
      <c r="D207" s="6" t="str">
        <v>• Level 1 (L1) - Corporate/Enterprise Environment (general use)</v>
      </c>
      <c r="E207" s="6" t="str">
        <v>Manual</v>
      </c>
      <c r="F207" s="6" t="n">
        <v>117</v>
      </c>
      <c r="G207" s="6" t="n">
        <v>118</v>
      </c>
      <c r="H207" s="6" t="str">
        <v>ESX-030</v>
      </c>
      <c r="I207" s="6" t="str">
        <v>Aktif soruya bağlı</v>
      </c>
    </row>
    <row r="208" ht="35" customHeight="1">
      <c r="A208" s="6" t="str">
        <v>CIS-ESX8</v>
      </c>
      <c r="B208" s="6" t="str">
        <v>3.25</v>
      </c>
      <c r="C208" s="6" t="str">
        <v>Host must display a login banner for SSH connections</v>
      </c>
      <c r="D208" s="6" t="str">
        <v>• Level 1 (L1) - Corporate/Enterprise Environment (general use)</v>
      </c>
      <c r="E208" s="6" t="str">
        <v>Manual</v>
      </c>
      <c r="F208" s="6" t="n">
        <v>119</v>
      </c>
      <c r="G208" s="6" t="n">
        <v>120</v>
      </c>
      <c r="H208" s="6" t="str">
        <v>ESX-030</v>
      </c>
      <c r="I208" s="6" t="str">
        <v>Aktif soruya bağlı</v>
      </c>
    </row>
    <row r="209" ht="35" customHeight="1">
      <c r="A209" s="6" t="str">
        <v>CIS-ESX8</v>
      </c>
      <c r="B209" s="6" t="str">
        <v>3.26</v>
      </c>
      <c r="C209" s="6" t="str">
        <v>Host must enable the highest version of TLS supported</v>
      </c>
      <c r="D209" s="6" t="str">
        <v>• Level 1 (L1) - Corporate/Enterprise Environment (general use)</v>
      </c>
      <c r="E209" s="6" t="str">
        <v>Manual</v>
      </c>
      <c r="F209" s="6" t="n">
        <v>121</v>
      </c>
      <c r="G209" s="6" t="n">
        <v>122</v>
      </c>
      <c r="H209" s="6" t="str">
        <v>ESX-031</v>
      </c>
      <c r="I209" s="6" t="str">
        <v>Aktif soruya bağlı</v>
      </c>
    </row>
    <row r="210" ht="40" customHeight="1">
      <c r="A210" s="6" t="str">
        <v>CIS-ESX8</v>
      </c>
      <c r="B210" s="6" t="str">
        <v>4.1</v>
      </c>
      <c r="C210" s="6" t="str">
        <v>Host must configure a persistent log location for all locally stored system logs</v>
      </c>
      <c r="D210" s="6" t="str">
        <v>• Level 1 (L1) - Corporate/Enterprise Environment (general use)</v>
      </c>
      <c r="E210" s="6" t="str">
        <v>Manual</v>
      </c>
      <c r="F210" s="6" t="n">
        <v>124</v>
      </c>
      <c r="G210" s="6" t="n">
        <v>125</v>
      </c>
      <c r="H210" s="6" t="str">
        <v>ESX-032</v>
      </c>
      <c r="I210" s="6" t="str">
        <v>Aktif soruya bağlı</v>
      </c>
    </row>
    <row r="211" ht="35" customHeight="1">
      <c r="A211" s="6" t="str">
        <v>CIS-ESX8</v>
      </c>
      <c r="B211" s="6" t="str">
        <v>4.2</v>
      </c>
      <c r="C211" s="6" t="str">
        <v>Host must transmit system logs to a remote log collector</v>
      </c>
      <c r="D211" s="6" t="str">
        <v>• Level 1 (L1) - Corporate/Enterprise Environment (general use)</v>
      </c>
      <c r="E211" s="6" t="str">
        <v>Automated</v>
      </c>
      <c r="F211" s="6" t="n">
        <v>127</v>
      </c>
      <c r="G211" s="6" t="n">
        <v>128</v>
      </c>
      <c r="H211" s="6" t="str">
        <v>ESX-032</v>
      </c>
      <c r="I211" s="6" t="str">
        <v>Aktif soruya bağlı</v>
      </c>
    </row>
    <row r="212" ht="35" customHeight="1">
      <c r="A212" s="6" t="str">
        <v>CIS-ESX8</v>
      </c>
      <c r="B212" s="6" t="str">
        <v>4.3</v>
      </c>
      <c r="C212" s="6" t="str">
        <v>Host must log sufficient information for events</v>
      </c>
      <c r="D212" s="6" t="str">
        <v>• Level 1 (L1) - Corporate/Enterprise Environment (general use)</v>
      </c>
      <c r="E212" s="6" t="str">
        <v>Manual</v>
      </c>
      <c r="F212" s="6" t="n">
        <v>130</v>
      </c>
      <c r="G212" s="6" t="n">
        <v>131</v>
      </c>
      <c r="H212" s="6" t="str">
        <v>ESX-033</v>
      </c>
      <c r="I212" s="6" t="str">
        <v>Aktif soruya bağlı</v>
      </c>
    </row>
    <row r="213" ht="35" customHeight="1">
      <c r="A213" s="6" t="str">
        <v>CIS-ESX8</v>
      </c>
      <c r="B213" s="6" t="str">
        <v>4.4</v>
      </c>
      <c r="C213" s="6" t="str">
        <v>Host must set the logging informational level to info</v>
      </c>
      <c r="D213" s="6" t="str">
        <v>• Level 1 (L1) - Corporate/Enterprise Environment (general use)</v>
      </c>
      <c r="E213" s="6" t="str">
        <v>Manual</v>
      </c>
      <c r="F213" s="6" t="n">
        <v>132</v>
      </c>
      <c r="G213" s="6" t="n">
        <v>133</v>
      </c>
      <c r="H213" s="6" t="str">
        <v>ESX-033</v>
      </c>
      <c r="I213" s="6" t="str">
        <v>Aktif soruya bağlı</v>
      </c>
    </row>
    <row r="214" ht="35" customHeight="1">
      <c r="A214" s="6" t="str">
        <v>CIS-ESX8</v>
      </c>
      <c r="B214" s="6" t="str">
        <v>4.5</v>
      </c>
      <c r="C214" s="6" t="str">
        <v>Host must deactivate log filtering</v>
      </c>
      <c r="D214" s="6" t="str">
        <v>• Level 1 (L1) - Corporate/Enterprise Environment (general use)</v>
      </c>
      <c r="E214" s="6" t="str">
        <v>Manual</v>
      </c>
      <c r="F214" s="6" t="n">
        <v>134</v>
      </c>
      <c r="G214" s="6" t="n">
        <v>135</v>
      </c>
      <c r="H214" s="6" t="str">
        <v>ESX-033</v>
      </c>
      <c r="I214" s="6" t="str">
        <v>Aktif soruya bağlı</v>
      </c>
    </row>
    <row r="215" ht="35" customHeight="1">
      <c r="A215" s="6" t="str">
        <v>CIS-ESX8</v>
      </c>
      <c r="B215" s="6" t="str">
        <v>4.6</v>
      </c>
      <c r="C215" s="6" t="str">
        <v>Host must enable audit record logging</v>
      </c>
      <c r="D215" s="6" t="str">
        <v>• Level 1 (L1) - Corporate/Enterprise Environment (general use)</v>
      </c>
      <c r="E215" s="6" t="str">
        <v>Manual</v>
      </c>
      <c r="F215" s="6" t="n">
        <v>136</v>
      </c>
      <c r="G215" s="6" t="n">
        <v>137</v>
      </c>
      <c r="H215" s="6" t="str">
        <v>ESX-034</v>
      </c>
      <c r="I215" s="6" t="str">
        <v>Aktif soruya bağlı</v>
      </c>
    </row>
    <row r="216" ht="40" customHeight="1">
      <c r="A216" s="6" t="str">
        <v>CIS-ESX8</v>
      </c>
      <c r="B216" s="6" t="str">
        <v>4.7</v>
      </c>
      <c r="C216" s="6" t="str">
        <v>Host must configure a persistent log location for all locally stored audit records</v>
      </c>
      <c r="D216" s="6" t="str">
        <v>• Level 1 (L1) - Corporate/Enterprise Environment (general use)</v>
      </c>
      <c r="E216" s="6" t="str">
        <v>Manual</v>
      </c>
      <c r="F216" s="6" t="n">
        <v>138</v>
      </c>
      <c r="G216" s="6" t="n">
        <v>139</v>
      </c>
      <c r="H216" s="6" t="str">
        <v>ESX-034</v>
      </c>
      <c r="I216" s="6" t="str">
        <v>Aktif soruya bağlı</v>
      </c>
    </row>
    <row r="217" ht="35" customHeight="1">
      <c r="A217" s="6" t="str">
        <v>CIS-ESX8</v>
      </c>
      <c r="B217" s="6" t="str">
        <v>4.8</v>
      </c>
      <c r="C217" s="6" t="str">
        <v>Host must store one week of audit records</v>
      </c>
      <c r="D217" s="6" t="str">
        <v>• Level 1 (L1) - Corporate/Enterprise Environment (general use)</v>
      </c>
      <c r="E217" s="6" t="str">
        <v>Manual</v>
      </c>
      <c r="F217" s="6" t="n">
        <v>140</v>
      </c>
      <c r="G217" s="6" t="n">
        <v>141</v>
      </c>
      <c r="H217" s="6" t="str">
        <v>ESX-034</v>
      </c>
      <c r="I217" s="6" t="str">
        <v>Aktif soruya bağlı</v>
      </c>
    </row>
    <row r="218" ht="35" customHeight="1">
      <c r="A218" s="6" t="str">
        <v>CIS-ESX8</v>
      </c>
      <c r="B218" s="6" t="str">
        <v>4.9</v>
      </c>
      <c r="C218" s="6" t="str">
        <v>Host must transmit audit records to a remote log collector</v>
      </c>
      <c r="D218" s="6" t="str">
        <v>• Level 1 (L1) - Corporate/Enterprise Environment (general use)</v>
      </c>
      <c r="E218" s="6" t="str">
        <v>Manual</v>
      </c>
      <c r="F218" s="6" t="n">
        <v>142</v>
      </c>
      <c r="G218" s="6" t="n">
        <v>143</v>
      </c>
      <c r="H218" s="6" t="str">
        <v>ESX-034</v>
      </c>
      <c r="I218" s="6" t="str">
        <v>Aktif soruya bağlı</v>
      </c>
    </row>
    <row r="219" ht="35" customHeight="1">
      <c r="A219" s="6" t="str">
        <v>CIS-ESX8</v>
      </c>
      <c r="B219" s="6" t="str">
        <v>4.10</v>
      </c>
      <c r="C219" s="6" t="str">
        <v>Host must verify certificates for TLS remote logging endpoints</v>
      </c>
      <c r="D219" s="6" t="str">
        <v>• Level 1 (L1) - Corporate/Enterprise Environment (general use)</v>
      </c>
      <c r="E219" s="6" t="str">
        <v>Manual</v>
      </c>
      <c r="F219" s="6" t="n">
        <v>144</v>
      </c>
      <c r="G219" s="6" t="n">
        <v>145</v>
      </c>
      <c r="H219" s="6" t="str">
        <v>ESX-035</v>
      </c>
      <c r="I219" s="6" t="str">
        <v>Aktif soruya bağlı</v>
      </c>
    </row>
    <row r="220" ht="40" customHeight="1">
      <c r="A220" s="6" t="str">
        <v>CIS-ESX8</v>
      </c>
      <c r="B220" s="6" t="str">
        <v>4.11</v>
      </c>
      <c r="C220" s="6" t="str">
        <v>Host must use strict x509 verification for TLS-enabled remote logging endpoints</v>
      </c>
      <c r="D220" s="6" t="str">
        <v>• Level 1 (L1) - Corporate/Enterprise Environment (general use)</v>
      </c>
      <c r="E220" s="6" t="str">
        <v>Manual</v>
      </c>
      <c r="F220" s="6" t="n">
        <v>146</v>
      </c>
      <c r="G220" s="6" t="n">
        <v>147</v>
      </c>
      <c r="H220" s="6" t="str">
        <v>ESX-035</v>
      </c>
      <c r="I220" s="6" t="str">
        <v>Aktif soruya bağlı</v>
      </c>
    </row>
    <row r="221" ht="35" customHeight="1">
      <c r="A221" s="6" t="str">
        <v>CIS-ESX8</v>
      </c>
      <c r="B221" s="6" t="str">
        <v>5.1</v>
      </c>
      <c r="C221" s="6" t="str">
        <v>Host firewall must only allow traffic from authorized networks</v>
      </c>
      <c r="D221" s="6" t="str">
        <v>• Level 1 (L1) - Corporate/Enterprise Environment (general use)</v>
      </c>
      <c r="E221" s="6" t="str">
        <v>Manual</v>
      </c>
      <c r="F221" s="6" t="n">
        <v>149</v>
      </c>
      <c r="G221" s="6" t="n">
        <v>150</v>
      </c>
      <c r="H221" s="6" t="str">
        <v>ESX-036</v>
      </c>
      <c r="I221" s="6" t="str">
        <v>Aktif soruya bağlı</v>
      </c>
    </row>
    <row r="222" ht="35" customHeight="1">
      <c r="A222" s="6" t="str">
        <v>CIS-ESX8</v>
      </c>
      <c r="B222" s="6" t="str">
        <v>5.2</v>
      </c>
      <c r="C222" s="6" t="str">
        <v>Host must block network traffic by default</v>
      </c>
      <c r="D222" s="6" t="str">
        <v>• Level 1 (L1) - Corporate/Enterprise Environment (general use)</v>
      </c>
      <c r="E222" s="6" t="str">
        <v>Manual</v>
      </c>
      <c r="F222" s="6" t="n">
        <v>151</v>
      </c>
      <c r="G222" s="6" t="n">
        <v>152</v>
      </c>
      <c r="H222" s="6" t="str">
        <v>ESX-036</v>
      </c>
      <c r="I222" s="6" t="str">
        <v>Aktif soruya bağlı</v>
      </c>
    </row>
    <row r="223" ht="35" customHeight="1">
      <c r="A223" s="6" t="str">
        <v>CIS-ESX8</v>
      </c>
      <c r="B223" s="6" t="str">
        <v>5.3</v>
      </c>
      <c r="C223" s="6" t="str">
        <v>Host must restrict use of the dvFilter network API</v>
      </c>
      <c r="D223" s="6" t="str">
        <v>• Level 1 (L1) - Corporate/Enterprise Environment (general use)</v>
      </c>
      <c r="E223" s="6" t="str">
        <v>Manual</v>
      </c>
      <c r="F223" s="6" t="n">
        <v>153</v>
      </c>
      <c r="G223" s="6" t="n">
        <v>154</v>
      </c>
      <c r="H223" s="6" t="str">
        <v>ESX-037</v>
      </c>
      <c r="I223" s="6" t="str">
        <v>Aktif soruya bağlı</v>
      </c>
    </row>
    <row r="224" ht="35" customHeight="1">
      <c r="A224" s="6" t="str">
        <v>CIS-ESX8</v>
      </c>
      <c r="B224" s="6" t="str">
        <v>5.4</v>
      </c>
      <c r="C224" s="6" t="str">
        <v>Host must filter Bridge Protocol Data Unit (BPDU) packets</v>
      </c>
      <c r="D224" s="6" t="str">
        <v>• Level 1 (L1) - Corporate/Enterprise Environment (general use)</v>
      </c>
      <c r="E224" s="6" t="str">
        <v>Manual</v>
      </c>
      <c r="F224" s="6" t="n">
        <v>155</v>
      </c>
      <c r="G224" s="6" t="n">
        <v>156</v>
      </c>
      <c r="H224" s="6" t="str">
        <v>ESX-038</v>
      </c>
      <c r="I224" s="6" t="str">
        <v>Aktif soruya bağlı</v>
      </c>
    </row>
    <row r="225" ht="40" customHeight="1">
      <c r="A225" s="6" t="str">
        <v>CIS-ESX8</v>
      </c>
      <c r="B225" s="6" t="str">
        <v>5.5</v>
      </c>
      <c r="C225" s="6" t="str">
        <v>Host should deactivate virtual hardware management network interfaces</v>
      </c>
      <c r="D225" s="6" t="str">
        <v>• Level 2 (L2) - High Security/Sensitive Data Environment (limited functionality)</v>
      </c>
      <c r="E225" s="6" t="str">
        <v>Manual</v>
      </c>
      <c r="F225" s="6" t="n">
        <v>157</v>
      </c>
      <c r="G225" s="6" t="n">
        <v>158</v>
      </c>
      <c r="H225" s="6" t="str">
        <v>ESX-010</v>
      </c>
      <c r="I225" s="6" t="str">
        <v>Aktif soruya bağlı</v>
      </c>
    </row>
    <row r="226" ht="40" customHeight="1">
      <c r="A226" s="6" t="str">
        <v>CIS-ESX8</v>
      </c>
      <c r="B226" s="6" t="str">
        <v>5.6</v>
      </c>
      <c r="C226" s="6" t="str">
        <v>Host should reject forged transmits on standard virtual switches and port groups</v>
      </c>
      <c r="D226" s="6" t="str">
        <v>• Level 1 (L1) - Corporate/Enterprise Environment (general use)</v>
      </c>
      <c r="E226" s="6" t="str">
        <v>Automated</v>
      </c>
      <c r="F226" s="6" t="n">
        <v>159</v>
      </c>
      <c r="G226" s="6" t="n">
        <v>160</v>
      </c>
      <c r="H226" s="6" t="str">
        <v>ESX-039</v>
      </c>
      <c r="I226" s="6" t="str">
        <v>Aktif soruya bağlı</v>
      </c>
    </row>
    <row r="227" ht="40" customHeight="1">
      <c r="A227" s="6" t="str">
        <v>CIS-ESX8</v>
      </c>
      <c r="B227" s="6" t="str">
        <v>5.7</v>
      </c>
      <c r="C227" s="6" t="str">
        <v>Host should reject MAC address changes on standard virtual switches and port groups</v>
      </c>
      <c r="D227" s="6" t="str">
        <v>• Level 1 (L1) - Corporate/Enterprise Environment (general use)</v>
      </c>
      <c r="E227" s="6" t="str">
        <v>Automated</v>
      </c>
      <c r="F227" s="6" t="n">
        <v>161</v>
      </c>
      <c r="G227" s="6" t="n">
        <v>162</v>
      </c>
      <c r="H227" s="6" t="str">
        <v>ESX-039</v>
      </c>
      <c r="I227" s="6" t="str">
        <v>Aktif soruya bağlı</v>
      </c>
    </row>
    <row r="228" ht="40" customHeight="1">
      <c r="A228" s="6" t="str">
        <v>CIS-ESX8</v>
      </c>
      <c r="B228" s="6" t="str">
        <v>5.8</v>
      </c>
      <c r="C228" s="6" t="str">
        <v>Host should reject promiscuous mode requests on standard virtual switches and port groups</v>
      </c>
      <c r="D228" s="6" t="str">
        <v>• Level 1 (L1) - Corporate/Enterprise Environment (general use)</v>
      </c>
      <c r="E228" s="6" t="str">
        <v>Automated</v>
      </c>
      <c r="F228" s="6" t="n">
        <v>163</v>
      </c>
      <c r="G228" s="6" t="n">
        <v>164</v>
      </c>
      <c r="H228" s="6" t="str">
        <v>ESX-039</v>
      </c>
      <c r="I228" s="6" t="str">
        <v>Aktif soruya bağlı</v>
      </c>
    </row>
    <row r="229" ht="40" customHeight="1">
      <c r="A229" s="6" t="str">
        <v>CIS-ESX8</v>
      </c>
      <c r="B229" s="6" t="str">
        <v>5.9</v>
      </c>
      <c r="C229" s="6" t="str">
        <v>Host must restrict access to a default or native VLAN on standard virtual switches</v>
      </c>
      <c r="D229" s="6" t="str">
        <v>• Level 1 (L1) - Corporate/Enterprise Environment (general use)</v>
      </c>
      <c r="E229" s="6" t="str">
        <v>Automated</v>
      </c>
      <c r="F229" s="6" t="n">
        <v>166</v>
      </c>
      <c r="G229" s="6" t="n">
        <v>167</v>
      </c>
      <c r="H229" s="6" t="str">
        <v>ESX-040</v>
      </c>
      <c r="I229" s="6" t="str">
        <v>Aktif soruya bağlı</v>
      </c>
    </row>
    <row r="230" ht="40" customHeight="1">
      <c r="A230" s="6" t="str">
        <v>CIS-ESX8</v>
      </c>
      <c r="B230" s="6" t="str">
        <v>5.10</v>
      </c>
      <c r="C230" s="6" t="str">
        <v>Host must restrict the use of Virtual Guest Tagging (VGT) on standard virtual switches</v>
      </c>
      <c r="D230" s="6" t="str">
        <v>• Level 1 (L1) - Corporate/Enterprise Environment (general use)</v>
      </c>
      <c r="E230" s="6" t="str">
        <v>Automated</v>
      </c>
      <c r="F230" s="6" t="n">
        <v>168</v>
      </c>
      <c r="G230" s="6" t="n">
        <v>169</v>
      </c>
      <c r="H230" s="6" t="str">
        <v>ESX-040</v>
      </c>
      <c r="I230" s="6" t="str">
        <v>Aktif soruya bağlı</v>
      </c>
    </row>
    <row r="231" ht="35" customHeight="1">
      <c r="A231" s="6" t="str">
        <v>CIS-ESX8</v>
      </c>
      <c r="B231" s="6" t="str">
        <v>5.11</v>
      </c>
      <c r="C231" s="6" t="str">
        <v>Host must isolate management communications</v>
      </c>
      <c r="D231" s="6" t="str">
        <v>• Level 1 (L1) - Corporate/Enterprise Environment (general use)</v>
      </c>
      <c r="E231" s="6" t="str">
        <v>Manual</v>
      </c>
      <c r="F231" s="6" t="n">
        <v>170</v>
      </c>
      <c r="G231" s="6" t="n">
        <v>171</v>
      </c>
      <c r="H231" s="6" t="str">
        <v>ESX-036</v>
      </c>
      <c r="I231" s="6" t="str">
        <v>Aktif soruya bağlı</v>
      </c>
    </row>
    <row r="232" ht="35" customHeight="1">
      <c r="A232" s="6" t="str">
        <v>CIS-ESX8</v>
      </c>
      <c r="B232" s="6" t="str">
        <v>6.1.1</v>
      </c>
      <c r="C232" s="6" t="str">
        <v>Host CIM services, if enabled, must limit access</v>
      </c>
      <c r="D232" s="6" t="str">
        <v>• Level 1 (L1) - Corporate/Enterprise Environment (general use)</v>
      </c>
      <c r="E232" s="6" t="str">
        <v>Manual</v>
      </c>
      <c r="F232" s="6" t="n">
        <v>173</v>
      </c>
      <c r="G232" s="6" t="n">
        <v>174</v>
      </c>
      <c r="H232" s="6" t="str">
        <v>ESX-041</v>
      </c>
      <c r="I232" s="6" t="str">
        <v>Aktif soruya bağlı</v>
      </c>
    </row>
    <row r="233" ht="35" customHeight="1">
      <c r="A233" s="6" t="str">
        <v>CIS-ESX8</v>
      </c>
      <c r="B233" s="6" t="str">
        <v>6.2.1</v>
      </c>
      <c r="C233" s="6" t="str">
        <v>Host must isolate storage communications</v>
      </c>
      <c r="D233" s="6" t="str">
        <v>• Level 1 (L1) - Corporate/Enterprise Environment (general use)</v>
      </c>
      <c r="E233" s="6" t="str">
        <v>Manual</v>
      </c>
      <c r="F233" s="6" t="n">
        <v>176</v>
      </c>
      <c r="G233" s="6" t="n">
        <v>177</v>
      </c>
      <c r="H233" s="6" t="str">
        <v>ESX-042</v>
      </c>
      <c r="I233" s="6" t="str">
        <v>Aktif soruya bağlı</v>
      </c>
    </row>
    <row r="234" ht="35" customHeight="1">
      <c r="A234" s="6" t="str">
        <v>CIS-ESX8</v>
      </c>
      <c r="B234" s="6" t="str">
        <v>6.2.2</v>
      </c>
      <c r="C234" s="6" t="str">
        <v>Host must ensure all datastores have unique names</v>
      </c>
      <c r="D234" s="6" t="str">
        <v>• Level 1 (L1) - Corporate/Enterprise Environment (general use)</v>
      </c>
      <c r="E234" s="6" t="str">
        <v>Manual</v>
      </c>
      <c r="F234" s="6" t="n">
        <v>178</v>
      </c>
      <c r="G234" s="6" t="n">
        <v>179</v>
      </c>
      <c r="H234" s="6" t="str">
        <v>ESX-042</v>
      </c>
      <c r="I234" s="6" t="str">
        <v>Aktif soruya bağlı</v>
      </c>
    </row>
    <row r="235" ht="40" customHeight="1">
      <c r="A235" s="6" t="str">
        <v>CIS-ESX8</v>
      </c>
      <c r="B235" s="6" t="str">
        <v>6.3.1</v>
      </c>
      <c r="C235" s="6" t="str">
        <v>Host iSCSI client, if enabled, must employ bidirectional/mutual CHAP authentication</v>
      </c>
      <c r="D235" s="6" t="str">
        <v>• Level 1 (L1) - Corporate/Enterprise Environment (general use)</v>
      </c>
      <c r="E235" s="6" t="str">
        <v>Automated</v>
      </c>
      <c r="F235" s="6" t="n">
        <v>181</v>
      </c>
      <c r="G235" s="6" t="n">
        <v>182</v>
      </c>
      <c r="H235" s="6" t="str">
        <v>ESX-043</v>
      </c>
      <c r="I235" s="6" t="str">
        <v>Aktif soruya bağlı</v>
      </c>
    </row>
    <row r="236" ht="40" customHeight="1">
      <c r="A236" s="6" t="str">
        <v>CIS-ESX8</v>
      </c>
      <c r="B236" s="6" t="str">
        <v>6.3.2</v>
      </c>
      <c r="C236" s="6" t="str">
        <v>Host iSCSI client, if enabled, must employ unique CHAP authentication secrets</v>
      </c>
      <c r="D236" s="6" t="str">
        <v>• Level 1 (L1) - Corporate/Enterprise Environment (general use)</v>
      </c>
      <c r="E236" s="6" t="str">
        <v>Manual</v>
      </c>
      <c r="F236" s="6" t="n">
        <v>184</v>
      </c>
      <c r="G236" s="6" t="n">
        <v>185</v>
      </c>
      <c r="H236" s="6" t="str">
        <v>ESX-044</v>
      </c>
      <c r="I236" s="6" t="str">
        <v>Aktif soruya bağlı</v>
      </c>
    </row>
    <row r="237" ht="35" customHeight="1">
      <c r="A237" s="6" t="str">
        <v>CIS-ESX8</v>
      </c>
      <c r="B237" s="6" t="str">
        <v>6.4.1</v>
      </c>
      <c r="C237" s="6" t="str">
        <v>Host SNMP services, if enabled, must limit access</v>
      </c>
      <c r="D237" s="6" t="str">
        <v>• Level 1 (L1) - Corporate/Enterprise Environment (general use)</v>
      </c>
      <c r="E237" s="6" t="str">
        <v>Manual</v>
      </c>
      <c r="F237" s="6" t="n">
        <v>188</v>
      </c>
      <c r="G237" s="6" t="n">
        <v>189</v>
      </c>
      <c r="H237" s="6" t="str">
        <v>ESX-041</v>
      </c>
      <c r="I237" s="6" t="str">
        <v>Aktif soruya bağlı</v>
      </c>
    </row>
    <row r="238" ht="35" customHeight="1">
      <c r="A238" s="6" t="str">
        <v>CIS-ESX8</v>
      </c>
      <c r="B238" s="6" t="str">
        <v>6.5.1</v>
      </c>
      <c r="C238" s="6" t="str">
        <v>Host SSH daemon, if enabled, must use FIPS 140-2/140-3 validated ciphers</v>
      </c>
      <c r="D238" s="6" t="str">
        <v>• Level 1 (L1) - Corporate/Enterprise Environment (general use)</v>
      </c>
      <c r="E238" s="6" t="str">
        <v>Manual</v>
      </c>
      <c r="F238" s="6" t="n">
        <v>191</v>
      </c>
      <c r="G238" s="6" t="n">
        <v>192</v>
      </c>
      <c r="H238" s="6" t="str">
        <v>AÇIK</v>
      </c>
      <c r="I238" s="6" t="str">
        <v>Çıkarıldı / açık konu</v>
      </c>
    </row>
    <row r="239" ht="40" customHeight="1">
      <c r="A239" s="6" t="str">
        <v>CIS-ESX8</v>
      </c>
      <c r="B239" s="6" t="str">
        <v>6.5.2</v>
      </c>
      <c r="C239" s="6" t="str">
        <v>Host SSH daemon, if enabled, must use FIPS 140-2/140-3 validated cryptographic modules</v>
      </c>
      <c r="D239" s="6" t="str">
        <v>• Level 1 (L1) - Corporate/Enterprise Environment (general use)</v>
      </c>
      <c r="E239" s="6" t="str">
        <v>Manual</v>
      </c>
      <c r="F239" s="6" t="n">
        <v>193</v>
      </c>
      <c r="G239" s="6" t="n">
        <v>194</v>
      </c>
      <c r="H239" s="6" t="str">
        <v>AÇIK</v>
      </c>
      <c r="I239" s="6" t="str">
        <v>Çıkarıldı / açık konu</v>
      </c>
    </row>
    <row r="240" ht="35" customHeight="1">
      <c r="A240" s="6" t="str">
        <v>CIS-ESX8</v>
      </c>
      <c r="B240" s="6" t="str">
        <v>6.5.3</v>
      </c>
      <c r="C240" s="6" t="str">
        <v>Host SSH daemon, if enabled, must not allow use of gateway ports</v>
      </c>
      <c r="D240" s="6" t="str">
        <v>• Level 1 (L1) - Corporate/Enterprise Environment (general use)</v>
      </c>
      <c r="E240" s="6" t="str">
        <v>Manual</v>
      </c>
      <c r="F240" s="6" t="n">
        <v>195</v>
      </c>
      <c r="G240" s="6" t="n">
        <v>196</v>
      </c>
      <c r="H240" s="6" t="str">
        <v>ESX-045</v>
      </c>
      <c r="I240" s="6" t="str">
        <v>Aktif soruya bağlı</v>
      </c>
    </row>
    <row r="241" ht="35" customHeight="1">
      <c r="A241" s="6" t="str">
        <v>CIS-ESX8</v>
      </c>
      <c r="B241" s="6" t="str">
        <v>6.5.4</v>
      </c>
      <c r="C241" s="6" t="str">
        <v>Host SSH daemon, if enabled, must not allow host-based authentication</v>
      </c>
      <c r="D241" s="6" t="str">
        <v>• Level 1 (L1) - Corporate/Enterprise Environment (general use)</v>
      </c>
      <c r="E241" s="6" t="str">
        <v>Manual</v>
      </c>
      <c r="F241" s="6" t="n">
        <v>197</v>
      </c>
      <c r="G241" s="6" t="n">
        <v>198</v>
      </c>
      <c r="H241" s="6" t="str">
        <v>ESX-045</v>
      </c>
      <c r="I241" s="6" t="str">
        <v>Aktif soruya bağlı</v>
      </c>
    </row>
    <row r="242" ht="35" customHeight="1">
      <c r="A242" s="6" t="str">
        <v>CIS-ESX8</v>
      </c>
      <c r="B242" s="6" t="str">
        <v>6.5.5</v>
      </c>
      <c r="C242" s="6" t="str">
        <v>Host SSH daemon, if enabled, must set a timeout count on idle sessions</v>
      </c>
      <c r="D242" s="6" t="str">
        <v>• Level 1 (L1) - Corporate/Enterprise Environment (general use)</v>
      </c>
      <c r="E242" s="6" t="str">
        <v>Manual</v>
      </c>
      <c r="F242" s="6" t="n">
        <v>199</v>
      </c>
      <c r="G242" s="6" t="n">
        <v>200</v>
      </c>
      <c r="H242" s="6" t="str">
        <v>ESX-046</v>
      </c>
      <c r="I242" s="6" t="str">
        <v>Aktif soruya bağlı</v>
      </c>
    </row>
    <row r="243" ht="35" customHeight="1">
      <c r="A243" s="6" t="str">
        <v>CIS-ESX8</v>
      </c>
      <c r="B243" s="6" t="str">
        <v>6.5.6</v>
      </c>
      <c r="C243" s="6" t="str">
        <v>Host SSH daemon, if enabled, must set a timeout interval on idle sessions</v>
      </c>
      <c r="D243" s="6" t="str">
        <v>• Level 1 (L1) - Corporate/Enterprise Environment (general use)</v>
      </c>
      <c r="E243" s="6" t="str">
        <v>Manual</v>
      </c>
      <c r="F243" s="6" t="n">
        <v>201</v>
      </c>
      <c r="G243" s="6" t="n">
        <v>202</v>
      </c>
      <c r="H243" s="6" t="str">
        <v>ESX-046</v>
      </c>
      <c r="I243" s="6" t="str">
        <v>Aktif soruya bağlı</v>
      </c>
    </row>
    <row r="244" ht="40" customHeight="1">
      <c r="A244" s="6" t="str">
        <v>CIS-ESX8</v>
      </c>
      <c r="B244" s="6" t="str">
        <v>6.5.7</v>
      </c>
      <c r="C244" s="6" t="str">
        <v>Host SSH daemon, if enabled, must display the system login banner before granting access</v>
      </c>
      <c r="D244" s="6" t="str">
        <v>• Level 1 (L1) - Corporate/Enterprise Environment (general use)</v>
      </c>
      <c r="E244" s="6" t="str">
        <v>Manual</v>
      </c>
      <c r="F244" s="6" t="n">
        <v>203</v>
      </c>
      <c r="G244" s="6" t="n">
        <v>204</v>
      </c>
      <c r="H244" s="6" t="str">
        <v>ESX-030</v>
      </c>
      <c r="I244" s="6" t="str">
        <v>Aktif soruya bağlı</v>
      </c>
    </row>
    <row r="245" ht="35" customHeight="1">
      <c r="A245" s="6" t="str">
        <v>CIS-ESX8</v>
      </c>
      <c r="B245" s="6" t="str">
        <v>6.5.8</v>
      </c>
      <c r="C245" s="6" t="str">
        <v>Host SSH daemon, if enabled, must ignore .rhosts files</v>
      </c>
      <c r="D245" s="6" t="str">
        <v>• Level 1 (L1) - Corporate/Enterprise Environment (general use)</v>
      </c>
      <c r="E245" s="6" t="str">
        <v>Manual</v>
      </c>
      <c r="F245" s="6" t="n">
        <v>205</v>
      </c>
      <c r="G245" s="6" t="n">
        <v>206</v>
      </c>
      <c r="H245" s="6" t="str">
        <v>ESX-045</v>
      </c>
      <c r="I245" s="6" t="str">
        <v>Aktif soruya bağlı</v>
      </c>
    </row>
    <row r="246" ht="35" customHeight="1">
      <c r="A246" s="6" t="str">
        <v>CIS-ESX8</v>
      </c>
      <c r="B246" s="6" t="str">
        <v>6.5.9</v>
      </c>
      <c r="C246" s="6" t="str">
        <v>Host SSH daemon, if enabled, must disable stream local forwarding</v>
      </c>
      <c r="D246" s="6" t="str">
        <v>• Level 1 (L1) - Corporate/Enterprise Environment (general use)</v>
      </c>
      <c r="E246" s="6" t="str">
        <v>Manual</v>
      </c>
      <c r="F246" s="6" t="n">
        <v>207</v>
      </c>
      <c r="G246" s="6" t="n">
        <v>208</v>
      </c>
      <c r="H246" s="6" t="str">
        <v>ESX-045</v>
      </c>
      <c r="I246" s="6" t="str">
        <v>Aktif soruya bağlı</v>
      </c>
    </row>
    <row r="247" ht="35" customHeight="1">
      <c r="A247" s="6" t="str">
        <v>CIS-ESX8</v>
      </c>
      <c r="B247" s="6" t="str">
        <v>6.5.10</v>
      </c>
      <c r="C247" s="6" t="str">
        <v>Host SSH daemon, if enabled, must disable TCP forwarding</v>
      </c>
      <c r="D247" s="6" t="str">
        <v>• Level 1 (L1) - Corporate/Enterprise Environment (general use)</v>
      </c>
      <c r="E247" s="6" t="str">
        <v>Manual</v>
      </c>
      <c r="F247" s="6" t="n">
        <v>209</v>
      </c>
      <c r="G247" s="6" t="n">
        <v>210</v>
      </c>
      <c r="H247" s="6" t="str">
        <v>ESX-045</v>
      </c>
      <c r="I247" s="6" t="str">
        <v>Aktif soruya bağlı</v>
      </c>
    </row>
    <row r="248" ht="35" customHeight="1">
      <c r="A248" s="6" t="str">
        <v>CIS-ESX8</v>
      </c>
      <c r="B248" s="6" t="str">
        <v>6.5.11</v>
      </c>
      <c r="C248" s="6" t="str">
        <v>Host SSH daemon, if enabled, must not permit tunnels</v>
      </c>
      <c r="D248" s="6" t="str">
        <v>• Level 1 (L1) - Corporate/Enterprise Environment (general use)</v>
      </c>
      <c r="E248" s="6" t="str">
        <v>Manual</v>
      </c>
      <c r="F248" s="6" t="n">
        <v>211</v>
      </c>
      <c r="G248" s="6" t="n">
        <v>212</v>
      </c>
      <c r="H248" s="6" t="str">
        <v>ESX-045</v>
      </c>
      <c r="I248" s="6" t="str">
        <v>Aktif soruya bağlı</v>
      </c>
    </row>
    <row r="249" ht="35" customHeight="1">
      <c r="A249" s="6" t="str">
        <v>CIS-ESX8</v>
      </c>
      <c r="B249" s="6" t="str">
        <v>6.5.12</v>
      </c>
      <c r="C249" s="6" t="str">
        <v>Host SSH daemon, if enabled, must not permit user environment settings</v>
      </c>
      <c r="D249" s="6" t="str">
        <v>• Level 1 (L1) - Corporate/Enterprise Environment (general use)</v>
      </c>
      <c r="E249" s="6" t="str">
        <v>Manual</v>
      </c>
      <c r="F249" s="6" t="n">
        <v>213</v>
      </c>
      <c r="G249" s="6" t="n">
        <v>214</v>
      </c>
      <c r="H249" s="6" t="str">
        <v>ESX-045</v>
      </c>
      <c r="I249" s="6" t="str">
        <v>Aktif soruya bağlı</v>
      </c>
    </row>
    <row r="250" ht="40" customHeight="1">
      <c r="A250" s="6" t="str">
        <v>CIS-ESX8</v>
      </c>
      <c r="B250" s="6" t="str">
        <v>7.1</v>
      </c>
      <c r="C250" s="6" t="str">
        <v>Virtual machines must enable Secure Boot</v>
      </c>
      <c r="D250" s="6" t="str">
        <v>• Level 2 (L2) - High Security/Sensitive Data Environment (limited functionality)</v>
      </c>
      <c r="E250" s="6" t="str">
        <v>Manual</v>
      </c>
      <c r="F250" s="6" t="n">
        <v>216</v>
      </c>
      <c r="G250" s="6" t="n">
        <v>217</v>
      </c>
      <c r="H250" s="6" t="str">
        <v>ESX-047</v>
      </c>
      <c r="I250" s="6" t="str">
        <v>Aktif soruya bağlı</v>
      </c>
    </row>
    <row r="251" ht="35" customHeight="1">
      <c r="A251" s="6" t="str">
        <v>CIS-ESX8</v>
      </c>
      <c r="B251" s="6" t="str">
        <v>7.2</v>
      </c>
      <c r="C251" s="6" t="str">
        <v>Virtual machines must require encryption for vMotion</v>
      </c>
      <c r="D251" s="6" t="str">
        <v>• Level 1 (L1) - Corporate/Enterprise Environment (general use)</v>
      </c>
      <c r="E251" s="6" t="str">
        <v>Manual</v>
      </c>
      <c r="F251" s="6" t="n">
        <v>218</v>
      </c>
      <c r="G251" s="6" t="n">
        <v>219</v>
      </c>
      <c r="H251" s="6" t="str">
        <v>VMO-C01</v>
      </c>
      <c r="I251" s="6" t="str">
        <v>Aktif soruya bağlı</v>
      </c>
    </row>
    <row r="252" ht="35" customHeight="1">
      <c r="A252" s="6" t="str">
        <v>CIS-ESX8</v>
      </c>
      <c r="B252" s="6" t="str">
        <v>7.3</v>
      </c>
      <c r="C252" s="6" t="str">
        <v>Virtual machines must require encryption for Fault Tolerance</v>
      </c>
      <c r="D252" s="6" t="str">
        <v>• Level 1 (L1) - Corporate/Enterprise Environment (general use)</v>
      </c>
      <c r="E252" s="6" t="str">
        <v>Manual</v>
      </c>
      <c r="F252" s="6" t="n">
        <v>220</v>
      </c>
      <c r="G252" s="6" t="n">
        <v>221</v>
      </c>
      <c r="H252" s="6" t="str">
        <v>ESX-048</v>
      </c>
      <c r="I252" s="6" t="str">
        <v>Aktif soruya bağlı</v>
      </c>
    </row>
    <row r="253" ht="40" customHeight="1">
      <c r="A253" s="6" t="str">
        <v>CIS-ESX8</v>
      </c>
      <c r="B253" s="6" t="str">
        <v>7.4</v>
      </c>
      <c r="C253" s="6" t="str">
        <v>Virtual machines should deactivate 3D graphics features when not required</v>
      </c>
      <c r="D253" s="6" t="str">
        <v>• Level 2 (L2) - High Security/Sensitive Data Environment (limited functionality)</v>
      </c>
      <c r="E253" s="6" t="str">
        <v>Automated</v>
      </c>
      <c r="F253" s="6" t="n">
        <v>222</v>
      </c>
      <c r="G253" s="6" t="n">
        <v>223</v>
      </c>
      <c r="H253" s="6" t="str">
        <v>ESX-050</v>
      </c>
      <c r="I253" s="6" t="str">
        <v>Aktif soruya bağlı</v>
      </c>
    </row>
    <row r="254" ht="40" customHeight="1">
      <c r="A254" s="6" t="str">
        <v>CIS-ESX8</v>
      </c>
      <c r="B254" s="6" t="str">
        <v>7.5</v>
      </c>
      <c r="C254" s="6" t="str">
        <v>Virtual machines must be configured to lock when the last console connection is closed</v>
      </c>
      <c r="D254" s="6" t="str">
        <v>• Level 1 (L1) - Corporate/Enterprise Environment (general use)</v>
      </c>
      <c r="E254" s="6" t="str">
        <v>Manual</v>
      </c>
      <c r="F254" s="6" t="n">
        <v>224</v>
      </c>
      <c r="G254" s="6" t="n">
        <v>225</v>
      </c>
      <c r="H254" s="6" t="str">
        <v>ESX-049</v>
      </c>
      <c r="I254" s="6" t="str">
        <v>Aktif soruya bağlı</v>
      </c>
    </row>
    <row r="255" ht="35" customHeight="1">
      <c r="A255" s="6" t="str">
        <v>CIS-ESX8</v>
      </c>
      <c r="B255" s="6" t="str">
        <v>7.6</v>
      </c>
      <c r="C255" s="6" t="str">
        <v>Virtual machines must limit console sharing.</v>
      </c>
      <c r="D255" s="6" t="str">
        <v>• Level 1 (L1) - Corporate/Enterprise Environment (general use)</v>
      </c>
      <c r="E255" s="6" t="str">
        <v>Automated</v>
      </c>
      <c r="F255" s="6" t="n">
        <v>226</v>
      </c>
      <c r="G255" s="6" t="n">
        <v>227</v>
      </c>
      <c r="H255" s="6" t="str">
        <v>ESX-049</v>
      </c>
      <c r="I255" s="6" t="str">
        <v>Aktif soruya bağlı</v>
      </c>
    </row>
    <row r="256" ht="35" customHeight="1">
      <c r="A256" s="6" t="str">
        <v>CIS-ESX8</v>
      </c>
      <c r="B256" s="6" t="str">
        <v>7.7</v>
      </c>
      <c r="C256" s="6" t="str">
        <v>Virtual machines must limit PCI/PCIe device passthrough functionality</v>
      </c>
      <c r="D256" s="6" t="str">
        <v>• Level 1 (L1) - Corporate/Enterprise Environment (general use)</v>
      </c>
      <c r="E256" s="6" t="str">
        <v>Automated</v>
      </c>
      <c r="F256" s="6" t="n">
        <v>228</v>
      </c>
      <c r="G256" s="6" t="n">
        <v>229</v>
      </c>
      <c r="H256" s="6" t="str">
        <v>ESX-050</v>
      </c>
      <c r="I256" s="6" t="str">
        <v>Aktif soruya bağlı</v>
      </c>
    </row>
    <row r="257" ht="35" customHeight="1">
      <c r="A257" s="6" t="str">
        <v>CIS-ESX8</v>
      </c>
      <c r="B257" s="6" t="str">
        <v>7.8</v>
      </c>
      <c r="C257" s="6" t="str">
        <v>Ensure unauthorized modification and disconnection of devices is disabled</v>
      </c>
      <c r="D257" s="6" t="str">
        <v>• Level 1 (L1) - Corporate/Enterprise Environment (general use)</v>
      </c>
      <c r="E257" s="6" t="str">
        <v>Automated</v>
      </c>
      <c r="F257" s="6" t="n">
        <v>230</v>
      </c>
      <c r="G257" s="6" t="n">
        <v>231</v>
      </c>
      <c r="H257" s="6" t="str">
        <v>ESX-051</v>
      </c>
      <c r="I257" s="6" t="str">
        <v>Aktif soruya bağlı</v>
      </c>
    </row>
    <row r="258" ht="35" customHeight="1">
      <c r="A258" s="6" t="str">
        <v>CIS-ESX8</v>
      </c>
      <c r="B258" s="6" t="str">
        <v>7.9</v>
      </c>
      <c r="C258" s="6" t="str">
        <v>Virtual machines must prevent unauthorized connection of devices</v>
      </c>
      <c r="D258" s="6" t="str">
        <v>• Level 1 (L1) - Corporate/Enterprise Environment (general use)</v>
      </c>
      <c r="E258" s="6" t="str">
        <v>Automated</v>
      </c>
      <c r="F258" s="6" t="n">
        <v>232</v>
      </c>
      <c r="G258" s="6" t="n">
        <v>233</v>
      </c>
      <c r="H258" s="6" t="str">
        <v>ESX-051</v>
      </c>
      <c r="I258" s="6" t="str">
        <v>Aktif soruya bağlı</v>
      </c>
    </row>
    <row r="259" ht="35" customHeight="1">
      <c r="A259" s="6" t="str">
        <v>CIS-ESX8</v>
      </c>
      <c r="B259" s="6" t="str">
        <v>7.10</v>
      </c>
      <c r="C259" s="6" t="str">
        <v>Virtual machines must remove unnecessary audio devices</v>
      </c>
      <c r="D259" s="6" t="str">
        <v>• Level 1 (L1) - Corporate/Enterprise Environment (general use)</v>
      </c>
      <c r="E259" s="6" t="str">
        <v>Manual</v>
      </c>
      <c r="F259" s="6" t="n">
        <v>234</v>
      </c>
      <c r="G259" s="6" t="n">
        <v>235</v>
      </c>
      <c r="H259" s="6" t="str">
        <v>ESX-050</v>
      </c>
      <c r="I259" s="6" t="str">
        <v>Aktif soruya bağlı</v>
      </c>
    </row>
    <row r="260" ht="35" customHeight="1">
      <c r="A260" s="6" t="str">
        <v>CIS-ESX8</v>
      </c>
      <c r="B260" s="6" t="str">
        <v>7.11</v>
      </c>
      <c r="C260" s="6" t="str">
        <v>Virtual machines must remove unnecessary AHCI devices</v>
      </c>
      <c r="D260" s="6" t="str">
        <v>• Level 1 (L1) - Corporate/Enterprise Environment (general use)</v>
      </c>
      <c r="E260" s="6" t="str">
        <v>Manual</v>
      </c>
      <c r="F260" s="6" t="n">
        <v>236</v>
      </c>
      <c r="G260" s="6" t="n">
        <v>237</v>
      </c>
      <c r="H260" s="6" t="str">
        <v>ESX-050</v>
      </c>
      <c r="I260" s="6" t="str">
        <v>Aktif soruya bağlı</v>
      </c>
    </row>
    <row r="261" ht="35" customHeight="1">
      <c r="A261" s="6" t="str">
        <v>CIS-ESX8</v>
      </c>
      <c r="B261" s="6" t="str">
        <v>7.12</v>
      </c>
      <c r="C261" s="6" t="str">
        <v>Virtual machines must remove unnecessary USB/XHCI devices</v>
      </c>
      <c r="D261" s="6" t="str">
        <v>• Level 1 (L1) - Corporate/Enterprise Environment (general use)</v>
      </c>
      <c r="E261" s="6" t="str">
        <v>Automated</v>
      </c>
      <c r="F261" s="6" t="n">
        <v>238</v>
      </c>
      <c r="G261" s="6" t="n">
        <v>239</v>
      </c>
      <c r="H261" s="6" t="str">
        <v>ESX-050</v>
      </c>
      <c r="I261" s="6" t="str">
        <v>Aktif soruya bağlı</v>
      </c>
    </row>
    <row r="262" ht="35" customHeight="1">
      <c r="A262" s="6" t="str">
        <v>CIS-ESX8</v>
      </c>
      <c r="B262" s="6" t="str">
        <v>7.13</v>
      </c>
      <c r="C262" s="6" t="str">
        <v>Virtual machines must remove unnecessary serial port devices</v>
      </c>
      <c r="D262" s="6" t="str">
        <v>• Level 1 (L1) - Corporate/Enterprise Environment (general use)</v>
      </c>
      <c r="E262" s="6" t="str">
        <v>Automated</v>
      </c>
      <c r="F262" s="6" t="n">
        <v>240</v>
      </c>
      <c r="G262" s="6" t="n">
        <v>241</v>
      </c>
      <c r="H262" s="6" t="str">
        <v>ESX-050</v>
      </c>
      <c r="I262" s="6" t="str">
        <v>Aktif soruya bağlı</v>
      </c>
    </row>
    <row r="263" ht="35" customHeight="1">
      <c r="A263" s="6" t="str">
        <v>CIS-ESX8</v>
      </c>
      <c r="B263" s="6" t="str">
        <v>7.14</v>
      </c>
      <c r="C263" s="6" t="str">
        <v>Virtual machines must remove unnecessary parallel port devices</v>
      </c>
      <c r="D263" s="6" t="str">
        <v>• Level 1 (L1) - Corporate/Enterprise Environment (general use)</v>
      </c>
      <c r="E263" s="6" t="str">
        <v>Automated</v>
      </c>
      <c r="F263" s="6" t="n">
        <v>242</v>
      </c>
      <c r="G263" s="6" t="n">
        <v>243</v>
      </c>
      <c r="H263" s="6" t="str">
        <v>ESX-050</v>
      </c>
      <c r="I263" s="6" t="str">
        <v>Aktif soruya bağlı</v>
      </c>
    </row>
    <row r="264" ht="40" customHeight="1">
      <c r="A264" s="6" t="str">
        <v>CIS-ESX8</v>
      </c>
      <c r="B264" s="6" t="str">
        <v>7.15</v>
      </c>
      <c r="C264" s="6" t="str">
        <v>Virtual machines must remove unnecessary CD/DVD devices</v>
      </c>
      <c r="D264" s="6" t="str">
        <v>• Level 2 (L2) - High Security/Sensitive Data Environment (limited functionality)</v>
      </c>
      <c r="E264" s="6" t="str">
        <v>Automated</v>
      </c>
      <c r="F264" s="6" t="n">
        <v>244</v>
      </c>
      <c r="G264" s="6" t="n">
        <v>245</v>
      </c>
      <c r="H264" s="6" t="str">
        <v>ESX-050</v>
      </c>
      <c r="I264" s="6" t="str">
        <v>Aktif soruya bağlı</v>
      </c>
    </row>
    <row r="265" ht="35" customHeight="1">
      <c r="A265" s="6" t="str">
        <v>CIS-ESX8</v>
      </c>
      <c r="B265" s="6" t="str">
        <v>7.16</v>
      </c>
      <c r="C265" s="6" t="str">
        <v>Virtual machines must remove unnecessary floppy devices</v>
      </c>
      <c r="D265" s="6" t="str">
        <v>• Level 1 (L1) - Corporate/Enterprise Environment (general use)</v>
      </c>
      <c r="E265" s="6" t="str">
        <v>Automated</v>
      </c>
      <c r="F265" s="6" t="n">
        <v>246</v>
      </c>
      <c r="G265" s="6" t="n">
        <v>247</v>
      </c>
      <c r="H265" s="6" t="str">
        <v>ESX-050</v>
      </c>
      <c r="I265" s="6" t="str">
        <v>Aktif soruya bağlı</v>
      </c>
    </row>
    <row r="266" ht="35" customHeight="1">
      <c r="A266" s="6" t="str">
        <v>CIS-ESX8</v>
      </c>
      <c r="B266" s="6" t="str">
        <v>7.17</v>
      </c>
      <c r="C266" s="6" t="str">
        <v>Virtual machines must deactivate console drag and drop operations</v>
      </c>
      <c r="D266" s="6" t="str">
        <v>• Level 1 (L1) - Corporate/Enterprise Environment (general use)</v>
      </c>
      <c r="E266" s="6" t="str">
        <v>Automated</v>
      </c>
      <c r="F266" s="6" t="n">
        <v>248</v>
      </c>
      <c r="G266" s="6" t="n">
        <v>249</v>
      </c>
      <c r="H266" s="6" t="str">
        <v>ESX-052</v>
      </c>
      <c r="I266" s="6" t="str">
        <v>Aktif soruya bağlı</v>
      </c>
    </row>
    <row r="267" ht="35" customHeight="1">
      <c r="A267" s="6" t="str">
        <v>CIS-ESX8</v>
      </c>
      <c r="B267" s="6" t="str">
        <v>7.18</v>
      </c>
      <c r="C267" s="6" t="str">
        <v>Virtual machines must deactivate console copy operations</v>
      </c>
      <c r="D267" s="6" t="str">
        <v>• Level 1 (L1) - Corporate/Enterprise Environment (general use)</v>
      </c>
      <c r="E267" s="6" t="str">
        <v>Automated</v>
      </c>
      <c r="F267" s="6" t="n">
        <v>250</v>
      </c>
      <c r="G267" s="6" t="n">
        <v>251</v>
      </c>
      <c r="H267" s="6" t="str">
        <v>ESX-052</v>
      </c>
      <c r="I267" s="6" t="str">
        <v>Aktif soruya bağlı</v>
      </c>
    </row>
    <row r="268" ht="35" customHeight="1">
      <c r="A268" s="6" t="str">
        <v>CIS-ESX8</v>
      </c>
      <c r="B268" s="6" t="str">
        <v>7.19</v>
      </c>
      <c r="C268" s="6" t="str">
        <v>Virtual machines must deactivate console paste operations</v>
      </c>
      <c r="D268" s="6" t="str">
        <v>• Level 1 (L1) - Corporate/Enterprise Environment (general use)</v>
      </c>
      <c r="E268" s="6" t="str">
        <v>Automated</v>
      </c>
      <c r="F268" s="6" t="n">
        <v>252</v>
      </c>
      <c r="G268" s="6" t="n">
        <v>253</v>
      </c>
      <c r="H268" s="6" t="str">
        <v>ESX-052</v>
      </c>
      <c r="I268" s="6" t="str">
        <v>Aktif soruya bağlı</v>
      </c>
    </row>
    <row r="269" ht="35" customHeight="1">
      <c r="A269" s="6" t="str">
        <v>CIS-ESX8</v>
      </c>
      <c r="B269" s="6" t="str">
        <v>7.20</v>
      </c>
      <c r="C269" s="6" t="str">
        <v>Virtual machines must limit access through the "dvfilter" network API</v>
      </c>
      <c r="D269" s="6" t="str">
        <v>• Level 1 (L1) - Corporate/Enterprise Environment (general use)</v>
      </c>
      <c r="E269" s="6" t="str">
        <v>Manual</v>
      </c>
      <c r="F269" s="6" t="n">
        <v>254</v>
      </c>
      <c r="G269" s="6" t="n">
        <v>255</v>
      </c>
      <c r="H269" s="6" t="str">
        <v>ESX-037</v>
      </c>
      <c r="I269" s="6" t="str">
        <v>Aktif soruya bağlı</v>
      </c>
    </row>
    <row r="270" ht="35" customHeight="1">
      <c r="A270" s="6" t="str">
        <v>CIS-ESX8</v>
      </c>
      <c r="B270" s="6" t="str">
        <v>7.21</v>
      </c>
      <c r="C270" s="6" t="str">
        <v>Virtual machines must deactivate virtual disk shrinking operations</v>
      </c>
      <c r="D270" s="6" t="str">
        <v>• Level 1 (L1) - Corporate/Enterprise Environment (general use)</v>
      </c>
      <c r="E270" s="6" t="str">
        <v>Automated</v>
      </c>
      <c r="F270" s="6" t="n">
        <v>257</v>
      </c>
      <c r="G270" s="6" t="n">
        <v>258</v>
      </c>
      <c r="H270" s="6" t="str">
        <v>ESX-053</v>
      </c>
      <c r="I270" s="6" t="str">
        <v>Aktif soruya bağlı</v>
      </c>
    </row>
    <row r="271" ht="35" customHeight="1">
      <c r="A271" s="6" t="str">
        <v>CIS-ESX8</v>
      </c>
      <c r="B271" s="6" t="str">
        <v>7.22</v>
      </c>
      <c r="C271" s="6" t="str">
        <v>Virtual machines must deactivate virtual disk wiping operations</v>
      </c>
      <c r="D271" s="6" t="str">
        <v>• Level 1 (L1) - Corporate/Enterprise Environment (general use)</v>
      </c>
      <c r="E271" s="6" t="str">
        <v>Automated</v>
      </c>
      <c r="F271" s="6" t="n">
        <v>259</v>
      </c>
      <c r="G271" s="6" t="n">
        <v>260</v>
      </c>
      <c r="H271" s="6" t="str">
        <v>ESX-053</v>
      </c>
      <c r="I271" s="6" t="str">
        <v>Aktif soruya bağlı</v>
      </c>
    </row>
    <row r="272" ht="35" customHeight="1">
      <c r="A272" s="6" t="str">
        <v>CIS-ESX8</v>
      </c>
      <c r="B272" s="6" t="str">
        <v>7.23</v>
      </c>
      <c r="C272" s="6" t="str">
        <v>Virtual machines must restrict sharing of memory pages with other VMs</v>
      </c>
      <c r="D272" s="6" t="str">
        <v>• Level 1 (L1) - Corporate/Enterprise Environment (general use)</v>
      </c>
      <c r="E272" s="6" t="str">
        <v>Manual</v>
      </c>
      <c r="F272" s="6" t="n">
        <v>261</v>
      </c>
      <c r="G272" s="6" t="n">
        <v>262</v>
      </c>
      <c r="H272" s="6" t="str">
        <v>ESX-016</v>
      </c>
      <c r="I272" s="6" t="str">
        <v>Aktif soruya bağlı</v>
      </c>
    </row>
    <row r="273" ht="40" customHeight="1">
      <c r="A273" s="6" t="str">
        <v>CIS-ESX8</v>
      </c>
      <c r="B273" s="6" t="str">
        <v>7.24</v>
      </c>
      <c r="C273" s="6" t="str">
        <v>Virtual machines must not be able to obtain host information from the hypervisor</v>
      </c>
      <c r="D273" s="6" t="str">
        <v>• Level 1 (L1) - Corporate/Enterprise Environment (general use)</v>
      </c>
      <c r="E273" s="6" t="str">
        <v>Automated</v>
      </c>
      <c r="F273" s="6" t="n">
        <v>263</v>
      </c>
      <c r="G273" s="6" t="n">
        <v>264</v>
      </c>
      <c r="H273" s="6" t="str">
        <v>ESX-054</v>
      </c>
      <c r="I273" s="6" t="str">
        <v>Aktif soruya bağlı</v>
      </c>
    </row>
    <row r="274" ht="35" customHeight="1">
      <c r="A274" s="6" t="str">
        <v>CIS-ESX8</v>
      </c>
      <c r="B274" s="6" t="str">
        <v>7.25</v>
      </c>
      <c r="C274" s="6" t="str">
        <v>Virtual machines must enable diagnostic logging</v>
      </c>
      <c r="D274" s="6" t="str">
        <v>• Level 1 (L1) - Corporate/Enterprise Environment (general use)</v>
      </c>
      <c r="E274" s="6" t="str">
        <v>Manual</v>
      </c>
      <c r="F274" s="6" t="n">
        <v>265</v>
      </c>
      <c r="G274" s="6" t="n">
        <v>266</v>
      </c>
      <c r="H274" s="6" t="str">
        <v>ESX-055</v>
      </c>
      <c r="I274" s="6" t="str">
        <v>Aktif soruya bağlı</v>
      </c>
    </row>
    <row r="275" ht="35" customHeight="1">
      <c r="A275" s="6" t="str">
        <v>CIS-ESX8</v>
      </c>
      <c r="B275" s="6" t="str">
        <v>7.26</v>
      </c>
      <c r="C275" s="6" t="str">
        <v>Virtual machines must limit the number of retained diagnostic logs</v>
      </c>
      <c r="D275" s="6" t="str">
        <v>• Level 1 (L1) - Corporate/Enterprise Environment (general use)</v>
      </c>
      <c r="E275" s="6" t="str">
        <v>Automated</v>
      </c>
      <c r="F275" s="6" t="n">
        <v>267</v>
      </c>
      <c r="G275" s="6" t="n">
        <v>268</v>
      </c>
      <c r="H275" s="6" t="str">
        <v>ESX-055</v>
      </c>
      <c r="I275" s="6" t="str">
        <v>Aktif soruya bağlı</v>
      </c>
    </row>
    <row r="276" ht="35" customHeight="1">
      <c r="A276" s="6" t="str">
        <v>CIS-ESX8</v>
      </c>
      <c r="B276" s="6" t="str">
        <v>7.27</v>
      </c>
      <c r="C276" s="6" t="str">
        <v>Virtual machines must limit the size of diagnostic logs</v>
      </c>
      <c r="D276" s="6" t="str">
        <v>• Level 1 (L1) - Corporate/Enterprise Environment (general use)</v>
      </c>
      <c r="E276" s="6" t="str">
        <v>Automated</v>
      </c>
      <c r="F276" s="6" t="n">
        <v>269</v>
      </c>
      <c r="G276" s="6" t="n">
        <v>270</v>
      </c>
      <c r="H276" s="6" t="str">
        <v>ESX-055</v>
      </c>
      <c r="I276" s="6" t="str">
        <v>Aktif soruya bağlı</v>
      </c>
    </row>
    <row r="277" ht="40" customHeight="1">
      <c r="A277" s="6" t="str">
        <v>CIS-ESX8</v>
      </c>
      <c r="B277" s="6" t="str">
        <v>7.28</v>
      </c>
      <c r="C277" s="6" t="str">
        <v>Virtual machines must limit informational messages from the virtual machine to the VMX file</v>
      </c>
      <c r="D277" s="6" t="str">
        <v>• Level 1 (L1) - Corporate/Enterprise Environment (general use)</v>
      </c>
      <c r="E277" s="6" t="str">
        <v>Manual</v>
      </c>
      <c r="F277" s="6" t="n">
        <v>271</v>
      </c>
      <c r="G277" s="6" t="n">
        <v>272</v>
      </c>
      <c r="H277" s="6" t="str">
        <v>ESX-055</v>
      </c>
      <c r="I277" s="6" t="str">
        <v>Aktif soruya bağlı</v>
      </c>
    </row>
    <row r="278" ht="40" customHeight="1">
      <c r="A278" s="6" t="str">
        <v>CIS-ESX8</v>
      </c>
      <c r="B278" s="6" t="str">
        <v>7.29</v>
      </c>
      <c r="C278" s="6" t="str">
        <v>Virtual machines should have virtual machine hardware version 19 or newer</v>
      </c>
      <c r="D278" s="6" t="str">
        <v>• Level 2 (L2) - High Security/Sensitive Data Environment (limited functionality)</v>
      </c>
      <c r="E278" s="6" t="str">
        <v>Manual</v>
      </c>
      <c r="F278" s="6" t="n">
        <v>273</v>
      </c>
      <c r="G278" s="6" t="n">
        <v>274</v>
      </c>
      <c r="H278" s="6" t="str">
        <v>ESX-056</v>
      </c>
      <c r="I278" s="6" t="str">
        <v>Aktif soruya bağlı</v>
      </c>
    </row>
    <row r="279" ht="40" customHeight="1">
      <c r="A279" s="6" t="str">
        <v>CIS-ESX8</v>
      </c>
      <c r="B279" s="6" t="str">
        <v>8.1</v>
      </c>
      <c r="C279" s="6" t="str">
        <v>VMware Tools must be a version that has not reached End of General Support status</v>
      </c>
      <c r="D279" s="6" t="str">
        <v>• Level 1 (L1) - Corporate/Enterprise Environment (general use)</v>
      </c>
      <c r="E279" s="6" t="str">
        <v>Manual</v>
      </c>
      <c r="F279" s="6" t="n">
        <v>276</v>
      </c>
      <c r="G279" s="6" t="n">
        <v>277</v>
      </c>
      <c r="H279" s="6" t="str">
        <v>ESX-057</v>
      </c>
      <c r="I279" s="6" t="str">
        <v>Aktif soruya bağlı</v>
      </c>
    </row>
    <row r="280" ht="35" customHeight="1">
      <c r="A280" s="6" t="str">
        <v>CIS-ESX8</v>
      </c>
      <c r="B280" s="6" t="str">
        <v>8.2</v>
      </c>
      <c r="C280" s="6" t="str">
        <v>VMware Tools must have all software updates installed</v>
      </c>
      <c r="D280" s="6" t="str">
        <v>• Level 1 (L1) - Corporate/Enterprise Environment (general use)</v>
      </c>
      <c r="E280" s="6" t="str">
        <v>Manual</v>
      </c>
      <c r="F280" s="6" t="n">
        <v>278</v>
      </c>
      <c r="G280" s="6" t="n">
        <v>279</v>
      </c>
      <c r="H280" s="6" t="str">
        <v>ESX-057</v>
      </c>
      <c r="I280" s="6" t="str">
        <v>Aktif soruya bağlı</v>
      </c>
    </row>
    <row r="281" ht="40" customHeight="1">
      <c r="A281" s="6" t="str">
        <v>CIS-ESX8</v>
      </c>
      <c r="B281" s="6" t="str">
        <v>8.3</v>
      </c>
      <c r="C281" s="6" t="str">
        <v>VMware Tools should configure automatic upgrades as appropriate for the environment</v>
      </c>
      <c r="D281" s="6" t="str">
        <v>• Level 1 (L1) - Corporate/Enterprise Environment (general use)</v>
      </c>
      <c r="E281" s="6" t="str">
        <v>Manual</v>
      </c>
      <c r="F281" s="6" t="n">
        <v>280</v>
      </c>
      <c r="G281" s="6" t="n">
        <v>281</v>
      </c>
      <c r="H281" s="6" t="str">
        <v>ESX-057</v>
      </c>
      <c r="I281" s="6" t="str">
        <v>Aktif soruya bağlı</v>
      </c>
    </row>
    <row r="282" ht="40" customHeight="1">
      <c r="A282" s="6" t="str">
        <v>CIS-ESX8</v>
      </c>
      <c r="B282" s="6" t="str">
        <v>8.4</v>
      </c>
      <c r="C282" s="6" t="str">
        <v>VMware Tools on deployed virtual machines must prevent being recustomized</v>
      </c>
      <c r="D282" s="6" t="str">
        <v>• Level 2 (L2) - High Security/Sensitive Data Environment (limited functionality)</v>
      </c>
      <c r="E282" s="6" t="str">
        <v>Manual</v>
      </c>
      <c r="F282" s="6" t="n">
        <v>282</v>
      </c>
      <c r="G282" s="6" t="n">
        <v>283</v>
      </c>
      <c r="H282" s="6" t="str">
        <v>ESX-058</v>
      </c>
      <c r="I282" s="6" t="str">
        <v>Aktif soruya bağlı</v>
      </c>
    </row>
    <row r="283" ht="35" customHeight="1">
      <c r="A283" s="6" t="str">
        <v>CIS-ESX8</v>
      </c>
      <c r="B283" s="6" t="str">
        <v>8.5</v>
      </c>
      <c r="C283" s="6" t="str">
        <v>VMware Tools must limit the automatic addition of features</v>
      </c>
      <c r="D283" s="6" t="str">
        <v>• Level 1 (L1) - Corporate/Enterprise Environment (general use)</v>
      </c>
      <c r="E283" s="6" t="str">
        <v>Manual</v>
      </c>
      <c r="F283" s="6" t="n">
        <v>284</v>
      </c>
      <c r="G283" s="6" t="n">
        <v>285</v>
      </c>
      <c r="H283" s="6" t="str">
        <v>ESX-058</v>
      </c>
      <c r="I283" s="6" t="str">
        <v>Aktif soruya bağlı</v>
      </c>
    </row>
    <row r="284" ht="35" customHeight="1">
      <c r="A284" s="6" t="str">
        <v>CIS-ESX8</v>
      </c>
      <c r="B284" s="6" t="str">
        <v>8.6</v>
      </c>
      <c r="C284" s="6" t="str">
        <v>VMware Tools must limit the automatic removal of features</v>
      </c>
      <c r="D284" s="6" t="str">
        <v>• Level 1 (L1) - Corporate/Enterprise Environment (general use)</v>
      </c>
      <c r="E284" s="6" t="str">
        <v>Manual</v>
      </c>
      <c r="F284" s="6" t="n">
        <v>286</v>
      </c>
      <c r="G284" s="6" t="n">
        <v>287</v>
      </c>
      <c r="H284" s="6" t="str">
        <v>ESX-058</v>
      </c>
      <c r="I284" s="6" t="str">
        <v>Aktif soruya bağlı</v>
      </c>
    </row>
    <row r="285" ht="35" customHeight="1">
      <c r="A285" s="6" t="str">
        <v>CIS-ESX8</v>
      </c>
      <c r="B285" s="6" t="str">
        <v>8.7</v>
      </c>
      <c r="C285" s="6" t="str">
        <v>VMware Tools must deactivate GlobalConf unless required</v>
      </c>
      <c r="D285" s="6" t="str">
        <v>• Level 1 (L1) - Corporate/Enterprise Environment (general use)</v>
      </c>
      <c r="E285" s="6" t="str">
        <v>Manual</v>
      </c>
      <c r="F285" s="6" t="n">
        <v>288</v>
      </c>
      <c r="G285" s="6" t="n">
        <v>289</v>
      </c>
      <c r="H285" s="6" t="str">
        <v>ESX-059</v>
      </c>
      <c r="I285" s="6" t="str">
        <v>Aktif soruya bağlı</v>
      </c>
    </row>
    <row r="286" ht="40" customHeight="1">
      <c r="A286" s="6" t="str">
        <v>CIS-ESX8</v>
      </c>
      <c r="B286" s="6" t="str">
        <v>8.8</v>
      </c>
      <c r="C286" s="6" t="str">
        <v>VMware Tools must deactivate ContainerInfo unless required</v>
      </c>
      <c r="D286" s="6" t="str">
        <v>• Level 2 (L2) - High Security/Sensitive Data Environment (limited functionality)</v>
      </c>
      <c r="E286" s="6" t="str">
        <v>Manual</v>
      </c>
      <c r="F286" s="6" t="n">
        <v>290</v>
      </c>
      <c r="G286" s="6" t="n">
        <v>291</v>
      </c>
      <c r="H286" s="6" t="str">
        <v>ESX-059</v>
      </c>
      <c r="I286" s="6" t="str">
        <v>Aktif soruya bağlı</v>
      </c>
    </row>
    <row r="287" ht="40" customHeight="1">
      <c r="A287" s="6" t="str">
        <v>CIS-ESX8</v>
      </c>
      <c r="B287" s="6" t="str">
        <v>8.9</v>
      </c>
      <c r="C287" s="6" t="str">
        <v>VMware Tools must deactivate Appinfo information gathering unless required</v>
      </c>
      <c r="D287" s="6" t="str">
        <v>• Level 2 (L2) - High Security/Sensitive Data Environment (limited functionality)</v>
      </c>
      <c r="E287" s="6" t="str">
        <v>Manual</v>
      </c>
      <c r="F287" s="6" t="n">
        <v>292</v>
      </c>
      <c r="G287" s="6" t="n">
        <v>293</v>
      </c>
      <c r="H287" s="6" t="str">
        <v>ESX-059</v>
      </c>
      <c r="I287" s="6" t="str">
        <v>Aktif soruya bağlı</v>
      </c>
    </row>
    <row r="288" ht="40" customHeight="1">
      <c r="A288" s="6" t="str">
        <v>CIS-ESX8</v>
      </c>
      <c r="B288" s="6" t="str">
        <v>8.10</v>
      </c>
      <c r="C288" s="6" t="str">
        <v>VMware Tools must deactivate Guest Store Upgrade operations unless required</v>
      </c>
      <c r="D288" s="6" t="str">
        <v>• Level 1 (L1) - Corporate/Enterprise Environment (general use)</v>
      </c>
      <c r="E288" s="6" t="str">
        <v>Manual</v>
      </c>
      <c r="F288" s="6" t="n">
        <v>294</v>
      </c>
      <c r="G288" s="6" t="n">
        <v>295</v>
      </c>
      <c r="H288" s="6" t="str">
        <v>ESX-059</v>
      </c>
      <c r="I288" s="6" t="str">
        <v>Aktif soruya bağlı</v>
      </c>
    </row>
    <row r="289" ht="40" customHeight="1">
      <c r="A289" s="6" t="str">
        <v>CIS-ESX8</v>
      </c>
      <c r="B289" s="6" t="str">
        <v>8.11</v>
      </c>
      <c r="C289" s="6" t="str">
        <v>VMware Tools must deactivate Service Discovery unless required</v>
      </c>
      <c r="D289" s="6" t="str">
        <v>• Level 2 (L2) - High Security/Sensitive Data Environment (limited functionality)</v>
      </c>
      <c r="E289" s="6" t="str">
        <v>Manual</v>
      </c>
      <c r="F289" s="6" t="n">
        <v>296</v>
      </c>
      <c r="G289" s="6" t="n">
        <v>297</v>
      </c>
      <c r="H289" s="6" t="str">
        <v>ESX-059</v>
      </c>
      <c r="I289" s="6" t="str">
        <v>Aktif soruya bağlı</v>
      </c>
    </row>
    <row r="290" ht="40" customHeight="1">
      <c r="A290" s="6" t="str">
        <v>CIS-ESX8</v>
      </c>
      <c r="B290" s="6" t="str">
        <v>8.12</v>
      </c>
      <c r="C290" s="6" t="str">
        <v>VMware Tools must limit the use of MSI transforms when reconfiguring VMware Tools</v>
      </c>
      <c r="D290" s="6" t="str">
        <v>• Level 1 (L1) - Corporate/Enterprise Environment (general use)</v>
      </c>
      <c r="E290" s="6" t="str">
        <v>Manual</v>
      </c>
      <c r="F290" s="6" t="n">
        <v>298</v>
      </c>
      <c r="G290" s="6" t="n">
        <v>299</v>
      </c>
      <c r="H290" s="6" t="str">
        <v>ESX-059</v>
      </c>
      <c r="I290" s="6" t="str">
        <v>Aktif soruya bağlı</v>
      </c>
    </row>
    <row r="291" ht="35" customHeight="1">
      <c r="A291" s="6" t="str">
        <v>CIS-ESX8</v>
      </c>
      <c r="B291" s="6" t="str">
        <v>8.13</v>
      </c>
      <c r="C291" s="6" t="str">
        <v>VMware Tools must enable VMware Tools logging</v>
      </c>
      <c r="D291" s="6" t="str">
        <v>• Level 1 (L1) - Corporate/Enterprise Environment (general use)</v>
      </c>
      <c r="E291" s="6" t="str">
        <v>Manual</v>
      </c>
      <c r="F291" s="6" t="n">
        <v>300</v>
      </c>
      <c r="G291" s="6" t="n">
        <v>301</v>
      </c>
      <c r="H291" s="6" t="str">
        <v>ESX-060</v>
      </c>
      <c r="I291" s="6" t="str">
        <v>Aktif soruya bağlı</v>
      </c>
    </row>
    <row r="292" ht="35" customHeight="1">
      <c r="A292" s="6" t="str">
        <v>CIS-ESX8</v>
      </c>
      <c r="B292" s="6" t="str">
        <v>8.14</v>
      </c>
      <c r="C292" s="6" t="str">
        <v>VMware Tools must send VMware Tools logs to the system log service</v>
      </c>
      <c r="D292" s="6" t="str">
        <v>• Level 1 (L1) - Corporate/Enterprise Environment (general use)</v>
      </c>
      <c r="E292" s="6" t="str">
        <v>Manual</v>
      </c>
      <c r="F292" s="6" t="n">
        <v>301</v>
      </c>
      <c r="G292" s="6" t="n">
        <v>302</v>
      </c>
      <c r="H292" s="6" t="str">
        <v>ESX-060</v>
      </c>
      <c r="I292" s="6" t="str">
        <v>Aktif soruya bağlı</v>
      </c>
    </row>
    <row r="293" ht="40" customHeight="1">
      <c r="A293" s="6" t="str">
        <v>CIS-ESX8</v>
      </c>
      <c r="B293" s="6" t="str">
        <v>8.15</v>
      </c>
      <c r="C293" s="6" t="str">
        <v>VMware Tools must deactivate Guest Operations unless required</v>
      </c>
      <c r="D293" s="6" t="str">
        <v>• Level 2 (L2) - High Security/Sensitive Data Environment (limited functionality)</v>
      </c>
      <c r="E293" s="6" t="str">
        <v>Manual</v>
      </c>
      <c r="F293" s="6" t="n">
        <v>303</v>
      </c>
      <c r="G293" s="6" t="n">
        <v>304</v>
      </c>
      <c r="H293" s="6" t="str">
        <v>ESX-059</v>
      </c>
      <c r="I293" s="6" t="str">
        <v>Aktif soruya bağlı</v>
      </c>
    </row>
    <row r="294" ht="35" customHeight="1">
      <c r="A294" s="6" t="str">
        <v>CIS-EXC</v>
      </c>
      <c r="B294" s="6" t="str">
        <v>1.1</v>
      </c>
      <c r="C294" s="6" t="str">
        <v>Ensure 'Enable sender ID agent' is configured</v>
      </c>
      <c r="D294" s="6" t="str">
        <v>• Level 1 - Edge Services Security</v>
      </c>
      <c r="E294" s="6" t="str">
        <v>Automated</v>
      </c>
      <c r="F294" s="6" t="n">
        <v>14</v>
      </c>
      <c r="G294" s="6" t="n">
        <v>15</v>
      </c>
      <c r="H294" s="6" t="str">
        <v>EXC-001</v>
      </c>
      <c r="I294" s="6" t="str">
        <v>Aktif soruya bağlı</v>
      </c>
    </row>
    <row r="295" ht="35" customHeight="1">
      <c r="A295" s="6" t="str">
        <v>CIS-EXC</v>
      </c>
      <c r="B295" s="6" t="str">
        <v>1.2</v>
      </c>
      <c r="C295" s="6" t="str">
        <v>Ensure 'Configure sender filtering' is set to 'Enabled'</v>
      </c>
      <c r="D295" s="6" t="str">
        <v>• Level 1 - Edge Services Security</v>
      </c>
      <c r="E295" s="6" t="str">
        <v>Automated</v>
      </c>
      <c r="F295" s="6" t="n">
        <v>16</v>
      </c>
      <c r="G295" s="6" t="n">
        <v>17</v>
      </c>
      <c r="H295" s="6" t="str">
        <v>EXC-001</v>
      </c>
      <c r="I295" s="6" t="str">
        <v>Aktif soruya bağlı</v>
      </c>
    </row>
    <row r="296" ht="35" customHeight="1">
      <c r="A296" s="6" t="str">
        <v>CIS-EXC</v>
      </c>
      <c r="B296" s="6" t="str">
        <v>1.3</v>
      </c>
      <c r="C296" s="6" t="str">
        <v>Ensure 'Sender reputation' is configured</v>
      </c>
      <c r="D296" s="6" t="str">
        <v>• Level 1 - Edge Services Security</v>
      </c>
      <c r="E296" s="6" t="str">
        <v>Automated</v>
      </c>
      <c r="F296" s="6" t="n">
        <v>18</v>
      </c>
      <c r="G296" s="6" t="n">
        <v>19</v>
      </c>
      <c r="H296" s="6" t="str">
        <v>EXC-002</v>
      </c>
      <c r="I296" s="6" t="str">
        <v>Aktif soruya bağlı</v>
      </c>
    </row>
    <row r="297" ht="35" customHeight="1">
      <c r="A297" s="6" t="str">
        <v>CIS-EXC</v>
      </c>
      <c r="B297" s="6" t="str">
        <v>1.4</v>
      </c>
      <c r="C297" s="6" t="str">
        <v>Ensure ‘Blank sender field’ is configured</v>
      </c>
      <c r="D297" s="6" t="str">
        <v>• Level 1 - Edge Services Security</v>
      </c>
      <c r="E297" s="6" t="str">
        <v>Automated</v>
      </c>
      <c r="F297" s="6" t="n">
        <v>20</v>
      </c>
      <c r="G297" s="6" t="n">
        <v>21</v>
      </c>
      <c r="H297" s="6" t="str">
        <v>AÇIK</v>
      </c>
      <c r="I297" s="6" t="str">
        <v>Çıkarıldı / açık konu</v>
      </c>
    </row>
    <row r="298" ht="35" customHeight="1">
      <c r="A298" s="6" t="str">
        <v>CIS-EXC</v>
      </c>
      <c r="B298" s="6" t="str">
        <v>1.5</v>
      </c>
      <c r="C298" s="6" t="str">
        <v>Ensure ‘Spam quarantine mailbox exists’ is set to ‘’</v>
      </c>
      <c r="D298" s="6" t="str">
        <v>• Level 1 - Edge Services Security</v>
      </c>
      <c r="E298" s="6" t="str">
        <v>Manual</v>
      </c>
      <c r="F298" s="6" t="n">
        <v>22</v>
      </c>
      <c r="G298" s="6" t="n">
        <v>23</v>
      </c>
      <c r="H298" s="6" t="str">
        <v>EXC-003</v>
      </c>
      <c r="I298" s="6" t="str">
        <v>Aktif soruya bağlı</v>
      </c>
    </row>
    <row r="299" ht="35" customHeight="1">
      <c r="A299" s="6" t="str">
        <v>CIS-EXC</v>
      </c>
      <c r="B299" s="6" t="str">
        <v>1.6</v>
      </c>
      <c r="C299" s="6" t="str">
        <v>Ensure 'SCL Quarantine' is 'Enabled'</v>
      </c>
      <c r="D299" s="6" t="str">
        <v>• Level 1 - Edge Services Security</v>
      </c>
      <c r="E299" s="6" t="str">
        <v>Automated</v>
      </c>
      <c r="F299" s="6" t="n">
        <v>24</v>
      </c>
      <c r="G299" s="6" t="n">
        <v>25</v>
      </c>
      <c r="H299" s="6" t="str">
        <v>EXC-003</v>
      </c>
      <c r="I299" s="6" t="str">
        <v>Aktif soruya bağlı</v>
      </c>
    </row>
    <row r="300" ht="35" customHeight="1">
      <c r="A300" s="6" t="str">
        <v>CIS-EXC</v>
      </c>
      <c r="B300" s="6" t="str">
        <v>1.7</v>
      </c>
      <c r="C300" s="6" t="str">
        <v>Ensure ‘Nonexistent recipients’ is set to ‘True’</v>
      </c>
      <c r="D300" s="6" t="str">
        <v>• Level 1 - Edge Services Security</v>
      </c>
      <c r="E300" s="6" t="str">
        <v>Manual</v>
      </c>
      <c r="F300" s="6" t="n">
        <v>26</v>
      </c>
      <c r="G300" s="6" t="n">
        <v>27</v>
      </c>
      <c r="H300" s="6" t="str">
        <v>EXC-004</v>
      </c>
      <c r="I300" s="6" t="str">
        <v>Aktif soruya bağlı</v>
      </c>
    </row>
    <row r="301" ht="35" customHeight="1">
      <c r="A301" s="6" t="str">
        <v>CIS-EXC</v>
      </c>
      <c r="B301" s="6" t="str">
        <v>1.8</v>
      </c>
      <c r="C301" s="6" t="str">
        <v>Ensure 'Attachment Filtering Agent' is configured</v>
      </c>
      <c r="D301" s="6" t="str">
        <v>• Level 1 - Edge Services Security</v>
      </c>
      <c r="E301" s="6" t="str">
        <v>Automated</v>
      </c>
      <c r="F301" s="6" t="n">
        <v>28</v>
      </c>
      <c r="G301" s="6" t="n">
        <v>29</v>
      </c>
      <c r="H301" s="6" t="str">
        <v>EXC-005</v>
      </c>
      <c r="I301" s="6" t="str">
        <v>Aktif soruya bağlı</v>
      </c>
    </row>
    <row r="302" ht="35" customHeight="1">
      <c r="A302" s="6" t="str">
        <v>CIS-EXC</v>
      </c>
      <c r="B302" s="6" t="str">
        <v>1.9</v>
      </c>
      <c r="C302" s="6" t="str">
        <v>Ensure 'Maximum receive size: Connector level' is set to '25'</v>
      </c>
      <c r="D302" s="6" t="str">
        <v>• Level 1 - Edge Services Security</v>
      </c>
      <c r="E302" s="6" t="str">
        <v>Automated</v>
      </c>
      <c r="F302" s="6" t="n">
        <v>32</v>
      </c>
      <c r="G302" s="6" t="n">
        <v>33</v>
      </c>
      <c r="H302" s="6" t="str">
        <v>EXC-006</v>
      </c>
      <c r="I302" s="6" t="str">
        <v>Aktif soruya bağlı</v>
      </c>
    </row>
    <row r="303" ht="35" customHeight="1">
      <c r="A303" s="6" t="str">
        <v>CIS-EXC</v>
      </c>
      <c r="B303" s="6" t="str">
        <v>1.10</v>
      </c>
      <c r="C303" s="6" t="str">
        <v>Ensure 'Transport Pickup Directory Path' is not set</v>
      </c>
      <c r="D303" s="6" t="str">
        <v>• Level 1 - Edge Services Security</v>
      </c>
      <c r="E303" s="6" t="str">
        <v>Automated</v>
      </c>
      <c r="F303" s="6" t="n">
        <v>34</v>
      </c>
      <c r="G303" s="6" t="n">
        <v>35</v>
      </c>
      <c r="H303" s="6" t="str">
        <v>EXC-007</v>
      </c>
      <c r="I303" s="6" t="str">
        <v>Aktif soruya bağlı</v>
      </c>
    </row>
    <row r="304" ht="35" customHeight="1">
      <c r="A304" s="6" t="str">
        <v>CIS-EXC</v>
      </c>
      <c r="B304" s="6" t="str">
        <v>1.11</v>
      </c>
      <c r="C304" s="6" t="str">
        <v>Ensure ‘Exchange recipient filter’ is set to ‘True’</v>
      </c>
      <c r="D304" s="6" t="str">
        <v>• Level 1 - Edge Services Security</v>
      </c>
      <c r="E304" s="6" t="str">
        <v>Automated</v>
      </c>
      <c r="F304" s="6" t="n">
        <v>36</v>
      </c>
      <c r="G304" s="6" t="n">
        <v>37</v>
      </c>
      <c r="H304" s="6" t="str">
        <v>EXC-004</v>
      </c>
      <c r="I304" s="6" t="str">
        <v>Aktif soruya bağlı</v>
      </c>
    </row>
    <row r="305" ht="40" customHeight="1">
      <c r="A305" s="6" t="str">
        <v>CIS-EXC</v>
      </c>
      <c r="B305" s="6" t="str">
        <v>1.12</v>
      </c>
      <c r="C305" s="6" t="str">
        <v>Ensure ‘Internet-facing receive connectors’ is set to ‘Tls, BasicAuth, BasicAuthRequireTLS’</v>
      </c>
      <c r="D305" s="6" t="str">
        <v>• Level 1 - Edge Services Security</v>
      </c>
      <c r="E305" s="6" t="str">
        <v>Automated</v>
      </c>
      <c r="F305" s="6" t="n">
        <v>38</v>
      </c>
      <c r="G305" s="6" t="n">
        <v>39</v>
      </c>
      <c r="H305" s="6" t="str">
        <v>AÇIK</v>
      </c>
      <c r="I305" s="6" t="str">
        <v>Çıkarıldı / açık konu</v>
      </c>
    </row>
    <row r="306" ht="35" customHeight="1">
      <c r="A306" s="6" t="str">
        <v>CIS-EXC</v>
      </c>
      <c r="B306" s="6" t="str">
        <v>2.1.1</v>
      </c>
      <c r="C306" s="6" t="str">
        <v>Ensure 'Mailbox quotas: Issue warning at' is set to ''</v>
      </c>
      <c r="D306" s="6" t="str">
        <v>• Level 1 - Mailbox Services Security</v>
      </c>
      <c r="E306" s="6" t="str">
        <v>Automated</v>
      </c>
      <c r="F306" s="6" t="n">
        <v>41</v>
      </c>
      <c r="G306" s="6" t="n">
        <v>42</v>
      </c>
      <c r="H306" s="6" t="str">
        <v>EXC-008</v>
      </c>
      <c r="I306" s="6" t="str">
        <v>Aktif soruya bağlı</v>
      </c>
    </row>
    <row r="307" ht="40" customHeight="1">
      <c r="A307" s="6" t="str">
        <v>CIS-EXC</v>
      </c>
      <c r="B307" s="6" t="str">
        <v>2.1.2</v>
      </c>
      <c r="C307" s="6" t="str">
        <v>Ensure 'Retain deleted items for the specified number of days' is set to '14'</v>
      </c>
      <c r="D307" s="6" t="str">
        <v>• Level 1 - Mailbox Services Security</v>
      </c>
      <c r="E307" s="6" t="str">
        <v>Automated</v>
      </c>
      <c r="F307" s="6" t="n">
        <v>43</v>
      </c>
      <c r="G307" s="6" t="n">
        <v>44</v>
      </c>
      <c r="H307" s="6" t="str">
        <v>EXC-009</v>
      </c>
      <c r="I307" s="6" t="str">
        <v>Aktif soruya bağlı</v>
      </c>
    </row>
    <row r="308" ht="35" customHeight="1">
      <c r="A308" s="6" t="str">
        <v>CIS-EXC</v>
      </c>
      <c r="B308" s="6" t="str">
        <v>2.1.3</v>
      </c>
      <c r="C308" s="6" t="str">
        <v>Ensure 'Mailbox quotas: Prohibit send and receive at' is set to ''</v>
      </c>
      <c r="D308" s="6" t="str">
        <v>• Level 1 - Mailbox Services Security</v>
      </c>
      <c r="E308" s="6" t="str">
        <v>Automated</v>
      </c>
      <c r="F308" s="6" t="n">
        <v>45</v>
      </c>
      <c r="G308" s="6" t="n">
        <v>46</v>
      </c>
      <c r="H308" s="6" t="str">
        <v>EXC-008</v>
      </c>
      <c r="I308" s="6" t="str">
        <v>Aktif soruya bağlı</v>
      </c>
    </row>
    <row r="309" ht="35" customHeight="1">
      <c r="A309" s="6" t="str">
        <v>CIS-EXC</v>
      </c>
      <c r="B309" s="6" t="str">
        <v>2.1.4</v>
      </c>
      <c r="C309" s="6" t="str">
        <v>Ensure 'Mailbox quotas: Prohibit send at' is set to ''</v>
      </c>
      <c r="D309" s="6" t="str">
        <v>• Level 1 - Mailbox Services Security</v>
      </c>
      <c r="E309" s="6" t="str">
        <v>Automated</v>
      </c>
      <c r="F309" s="6" t="n">
        <v>47</v>
      </c>
      <c r="G309" s="6" t="n">
        <v>48</v>
      </c>
      <c r="H309" s="6" t="str">
        <v>EXC-008</v>
      </c>
      <c r="I309" s="6" t="str">
        <v>Aktif soruya bağlı</v>
      </c>
    </row>
    <row r="310" ht="40" customHeight="1">
      <c r="A310" s="6" t="str">
        <v>CIS-EXC</v>
      </c>
      <c r="B310" s="6" t="str">
        <v>2.1.5</v>
      </c>
      <c r="C310" s="6" t="str">
        <v>Ensure 'Keep deleted mailboxes for the specified number of days' is set to '30'</v>
      </c>
      <c r="D310" s="6" t="str">
        <v>• Level 1 - Mailbox Services Security</v>
      </c>
      <c r="E310" s="6" t="str">
        <v>Automated</v>
      </c>
      <c r="F310" s="6" t="n">
        <v>49</v>
      </c>
      <c r="G310" s="6" t="n">
        <v>50</v>
      </c>
      <c r="H310" s="6" t="str">
        <v>EXC-009</v>
      </c>
      <c r="I310" s="6" t="str">
        <v>Aktif soruya bağlı</v>
      </c>
    </row>
    <row r="311" ht="40" customHeight="1">
      <c r="A311" s="6" t="str">
        <v>CIS-EXC</v>
      </c>
      <c r="B311" s="6" t="str">
        <v>2.1.6</v>
      </c>
      <c r="C311" s="6" t="str">
        <v>Ensure 'Do not permanently delete items until the database has been backed up' is set to 'True'</v>
      </c>
      <c r="D311" s="6" t="str">
        <v>• Level 1 - Mailbox Services Security</v>
      </c>
      <c r="E311" s="6" t="str">
        <v>Automated</v>
      </c>
      <c r="F311" s="6" t="n">
        <v>51</v>
      </c>
      <c r="G311" s="6" t="n">
        <v>52</v>
      </c>
      <c r="H311" s="6" t="str">
        <v>EXC-010</v>
      </c>
      <c r="I311" s="6" t="str">
        <v>Aktif soruya bağlı</v>
      </c>
    </row>
    <row r="312" ht="35" customHeight="1">
      <c r="A312" s="6" t="str">
        <v>CIS-EXC</v>
      </c>
      <c r="B312" s="6" t="str">
        <v>2.2.1</v>
      </c>
      <c r="C312" s="6" t="str">
        <v>Ensure 'Transport Pickup Directory Path' is not set</v>
      </c>
      <c r="D312" s="6" t="str">
        <v>• Level 1 - Mailbox Services Security</v>
      </c>
      <c r="E312" s="6" t="str">
        <v>Automated</v>
      </c>
      <c r="F312" s="6" t="n">
        <v>54</v>
      </c>
      <c r="G312" s="6" t="n">
        <v>55</v>
      </c>
      <c r="H312" s="6" t="str">
        <v>EXC-007</v>
      </c>
      <c r="I312" s="6" t="str">
        <v>Aktif soruya bağlı</v>
      </c>
    </row>
    <row r="313" ht="35" customHeight="1">
      <c r="A313" s="6" t="str">
        <v>CIS-EXC</v>
      </c>
      <c r="B313" s="6" t="str">
        <v>2.2.2</v>
      </c>
      <c r="C313" s="6" t="str">
        <v>Ensure 'Maximum send size: Organization level' is set to '25'</v>
      </c>
      <c r="D313" s="6" t="str">
        <v>• Level 1 - Mailbox Services Security</v>
      </c>
      <c r="E313" s="6" t="str">
        <v>Automated</v>
      </c>
      <c r="F313" s="6" t="n">
        <v>56</v>
      </c>
      <c r="G313" s="6" t="n">
        <v>57</v>
      </c>
      <c r="H313" s="6" t="str">
        <v>EXC-006</v>
      </c>
      <c r="I313" s="6" t="str">
        <v>Aktif soruya bağlı</v>
      </c>
    </row>
    <row r="314" ht="35" customHeight="1">
      <c r="A314" s="6" t="str">
        <v>CIS-EXC</v>
      </c>
      <c r="B314" s="6" t="str">
        <v>2.2.3</v>
      </c>
      <c r="C314" s="6" t="str">
        <v>Ensure 'Maximum receive size: Organization level' is set to '25'</v>
      </c>
      <c r="D314" s="6" t="str">
        <v>• Level 1 - Mailbox Services Security</v>
      </c>
      <c r="E314" s="6" t="str">
        <v>Automated</v>
      </c>
      <c r="F314" s="6" t="n">
        <v>58</v>
      </c>
      <c r="G314" s="6" t="n">
        <v>59</v>
      </c>
      <c r="H314" s="6" t="str">
        <v>EXC-006</v>
      </c>
      <c r="I314" s="6" t="str">
        <v>Aktif soruya bağlı</v>
      </c>
    </row>
    <row r="315" ht="35" customHeight="1">
      <c r="A315" s="6" t="str">
        <v>CIS-EXC</v>
      </c>
      <c r="B315" s="6" t="str">
        <v>2.2.4</v>
      </c>
      <c r="C315" s="6" t="str">
        <v>Ensure 'Maximum send size: Connector level' is set to '25'</v>
      </c>
      <c r="D315" s="6" t="str">
        <v>• Level 1 - Mailbox Services Security</v>
      </c>
      <c r="E315" s="6" t="str">
        <v>Automated</v>
      </c>
      <c r="F315" s="6" t="n">
        <v>60</v>
      </c>
      <c r="G315" s="6" t="n">
        <v>61</v>
      </c>
      <c r="H315" s="6" t="str">
        <v>EXC-006</v>
      </c>
      <c r="I315" s="6" t="str">
        <v>Aktif soruya bağlı</v>
      </c>
    </row>
    <row r="316" ht="35" customHeight="1">
      <c r="A316" s="6" t="str">
        <v>CIS-EXC</v>
      </c>
      <c r="B316" s="6" t="str">
        <v>2.2.5</v>
      </c>
      <c r="C316" s="6" t="str">
        <v>Ensure 'Maximum receive size: Connector level' is set to '25'</v>
      </c>
      <c r="D316" s="6" t="str">
        <v>• Level 1 - Mailbox Services Security</v>
      </c>
      <c r="E316" s="6" t="str">
        <v>Automated</v>
      </c>
      <c r="F316" s="6" t="n">
        <v>62</v>
      </c>
      <c r="G316" s="6" t="n">
        <v>63</v>
      </c>
      <c r="H316" s="6" t="str">
        <v>EXC-006</v>
      </c>
      <c r="I316" s="6" t="str">
        <v>Aktif soruya bağlı</v>
      </c>
    </row>
    <row r="317" ht="35" customHeight="1">
      <c r="A317" s="6" t="str">
        <v>CIS-EXC</v>
      </c>
      <c r="B317" s="6" t="str">
        <v>2.2.6</v>
      </c>
      <c r="C317" s="6" t="str">
        <v>Ensure ‘Send connector timeout’ is set to '10'</v>
      </c>
      <c r="D317" s="6" t="str">
        <v>• Level 1 - Mailbox Services Security</v>
      </c>
      <c r="E317" s="6" t="str">
        <v>Automated</v>
      </c>
      <c r="F317" s="6" t="n">
        <v>64</v>
      </c>
      <c r="G317" s="6" t="n">
        <v>65</v>
      </c>
      <c r="H317" s="6" t="str">
        <v>EXC-011</v>
      </c>
      <c r="I317" s="6" t="str">
        <v>Aktif soruya bağlı</v>
      </c>
    </row>
    <row r="318" ht="35" customHeight="1">
      <c r="A318" s="6" t="str">
        <v>CIS-EXC</v>
      </c>
      <c r="B318" s="6" t="str">
        <v>2.2.7</v>
      </c>
      <c r="C318" s="6" t="str">
        <v>Ensure ‘Receive connector timeout’ is set to '5'</v>
      </c>
      <c r="D318" s="6" t="str">
        <v>• Level 1 - Mailbox Services Security</v>
      </c>
      <c r="E318" s="6" t="str">
        <v>Automated</v>
      </c>
      <c r="F318" s="6" t="n">
        <v>66</v>
      </c>
      <c r="G318" s="6" t="n">
        <v>67</v>
      </c>
      <c r="H318" s="6" t="str">
        <v>EXC-011</v>
      </c>
      <c r="I318" s="6" t="str">
        <v>Aktif soruya bağlı</v>
      </c>
    </row>
    <row r="319" ht="40" customHeight="1">
      <c r="A319" s="6" t="str">
        <v>CIS-EXC</v>
      </c>
      <c r="B319" s="6" t="str">
        <v>2.2.8</v>
      </c>
      <c r="C319" s="6" t="str">
        <v>Ensure 'External send connector authentication: DNS routing' is set to 'True'</v>
      </c>
      <c r="D319" s="6" t="str">
        <v>• Level 1 - Mailbox Services Security</v>
      </c>
      <c r="E319" s="6" t="str">
        <v>Automated</v>
      </c>
      <c r="F319" s="6" t="n">
        <v>68</v>
      </c>
      <c r="G319" s="6" t="n">
        <v>69</v>
      </c>
      <c r="H319" s="6" t="str">
        <v>EXC-012</v>
      </c>
      <c r="I319" s="6" t="str">
        <v>Aktif soruya bağlı</v>
      </c>
    </row>
    <row r="320" ht="40" customHeight="1">
      <c r="A320" s="6" t="str">
        <v>CIS-EXC</v>
      </c>
      <c r="B320" s="6" t="str">
        <v>2.2.9</v>
      </c>
      <c r="C320" s="6" t="str">
        <v>Ensure 'External send connector authentication: IgnoreStartTLS' is set to 'False'</v>
      </c>
      <c r="D320" s="6" t="str">
        <v>• Level 1 - Mailbox Services Security</v>
      </c>
      <c r="E320" s="6" t="str">
        <v>Automated</v>
      </c>
      <c r="F320" s="6" t="n">
        <v>70</v>
      </c>
      <c r="G320" s="6" t="n">
        <v>71</v>
      </c>
      <c r="H320" s="6" t="str">
        <v>AÇIK</v>
      </c>
      <c r="I320" s="6" t="str">
        <v>Çıkarıldı / açık konu</v>
      </c>
    </row>
    <row r="321" ht="40" customHeight="1">
      <c r="A321" s="6" t="str">
        <v>CIS-EXC</v>
      </c>
      <c r="B321" s="6" t="str">
        <v>2.2.10</v>
      </c>
      <c r="C321" s="6" t="str">
        <v>Ensure 'External send connector authentication: Domain security' is set to 'True'</v>
      </c>
      <c r="D321" s="6" t="str">
        <v>• Level 1 - Mailbox Services Security</v>
      </c>
      <c r="E321" s="6" t="str">
        <v>Automated</v>
      </c>
      <c r="F321" s="6" t="n">
        <v>72</v>
      </c>
      <c r="G321" s="6" t="n">
        <v>73</v>
      </c>
      <c r="H321" s="6" t="str">
        <v>AÇIK</v>
      </c>
      <c r="I321" s="6" t="str">
        <v>Çıkarıldı / açık konu</v>
      </c>
    </row>
    <row r="322" ht="35" customHeight="1">
      <c r="A322" s="6" t="str">
        <v>CIS-EXC</v>
      </c>
      <c r="B322" s="6" t="str">
        <v>2.3.1</v>
      </c>
      <c r="C322" s="6" t="str">
        <v>Ensure 'Enable non-delivery reports to remote domains' is set to 'False'</v>
      </c>
      <c r="D322" s="6" t="str">
        <v>• Level 2 - Mailbox Services Security</v>
      </c>
      <c r="E322" s="6" t="str">
        <v>Automated</v>
      </c>
      <c r="F322" s="6" t="n">
        <v>75</v>
      </c>
      <c r="G322" s="6" t="n">
        <v>76</v>
      </c>
      <c r="H322" s="6" t="str">
        <v>EXC-013</v>
      </c>
      <c r="I322" s="6" t="str">
        <v>Aktif soruya bağlı</v>
      </c>
    </row>
    <row r="323" ht="35" customHeight="1">
      <c r="A323" s="6" t="str">
        <v>CIS-EXC</v>
      </c>
      <c r="B323" s="6" t="str">
        <v>2.3.2</v>
      </c>
      <c r="C323" s="6" t="str">
        <v>Ensure 'Enable OOF messages to remote domains' is set to 'None'</v>
      </c>
      <c r="D323" s="6" t="str">
        <v>• Level 2 - Mailbox Services Security</v>
      </c>
      <c r="E323" s="6" t="str">
        <v>Automated</v>
      </c>
      <c r="F323" s="6" t="n">
        <v>77</v>
      </c>
      <c r="G323" s="6" t="n">
        <v>78</v>
      </c>
      <c r="H323" s="6" t="str">
        <v>EXC-013</v>
      </c>
      <c r="I323" s="6" t="str">
        <v>Aktif soruya bağlı</v>
      </c>
    </row>
    <row r="324" ht="35" customHeight="1">
      <c r="A324" s="6" t="str">
        <v>CIS-EXC</v>
      </c>
      <c r="B324" s="6" t="str">
        <v>2.3.3</v>
      </c>
      <c r="C324" s="6" t="str">
        <v>Ensure 'Enable automatic replies to remote domains' is set to 'False'</v>
      </c>
      <c r="D324" s="6" t="str">
        <v>• Level 1 - Mailbox Services Security</v>
      </c>
      <c r="E324" s="6" t="str">
        <v>Automated</v>
      </c>
      <c r="F324" s="6" t="n">
        <v>78</v>
      </c>
      <c r="G324" s="6" t="n">
        <v>79</v>
      </c>
      <c r="H324" s="6" t="str">
        <v>EXC-013</v>
      </c>
      <c r="I324" s="6" t="str">
        <v>Aktif soruya bağlı</v>
      </c>
    </row>
    <row r="325" ht="35" customHeight="1">
      <c r="A325" s="6" t="str">
        <v>CIS-EXC</v>
      </c>
      <c r="B325" s="6" t="str">
        <v>2.3.4</v>
      </c>
      <c r="C325" s="6" t="str">
        <v>Ensure 'Enable automatic forwards to remote domains' is set to 'False'</v>
      </c>
      <c r="D325" s="6" t="str">
        <v>• Level 1 - Mailbox Services Security</v>
      </c>
      <c r="E325" s="6" t="str">
        <v>Automated</v>
      </c>
      <c r="F325" s="6" t="n">
        <v>80</v>
      </c>
      <c r="G325" s="6" t="n">
        <v>81</v>
      </c>
      <c r="H325" s="6" t="str">
        <v>EXC-013</v>
      </c>
      <c r="I325" s="6" t="str">
        <v>Aktif soruya bağlı</v>
      </c>
    </row>
    <row r="326" ht="35" customHeight="1">
      <c r="A326" s="6" t="str">
        <v>CIS-EXC</v>
      </c>
      <c r="B326" s="6" t="str">
        <v>2.3.5</v>
      </c>
      <c r="C326" s="6" t="str">
        <v>Ensure 'Enable S/MIME for OWA' is set to 'True'</v>
      </c>
      <c r="D326" s="6" t="str">
        <v>• Level 1 - Mailbox Services Security</v>
      </c>
      <c r="E326" s="6" t="str">
        <v>Automated</v>
      </c>
      <c r="F326" s="6" t="n">
        <v>82</v>
      </c>
      <c r="G326" s="6" t="n">
        <v>83</v>
      </c>
      <c r="H326" s="6" t="str">
        <v>AÇIK</v>
      </c>
      <c r="I326" s="6" t="str">
        <v>Çıkarıldı / açık konu</v>
      </c>
    </row>
    <row r="327" ht="35" customHeight="1">
      <c r="A327" s="6" t="str">
        <v>CIS-EXC</v>
      </c>
      <c r="B327" s="6" t="str">
        <v>2.3.6</v>
      </c>
      <c r="C327" s="6" t="str">
        <v>Ensure 'Require client MAPI encryption' is set to 'True'</v>
      </c>
      <c r="D327" s="6" t="str">
        <v>• Level 1 - Mailbox Services Security</v>
      </c>
      <c r="E327" s="6" t="str">
        <v>Automated</v>
      </c>
      <c r="F327" s="6" t="n">
        <v>84</v>
      </c>
      <c r="G327" s="6" t="n">
        <v>85</v>
      </c>
      <c r="H327" s="6" t="str">
        <v>EXC-014</v>
      </c>
      <c r="I327" s="6" t="str">
        <v>Aktif soruya bağlı</v>
      </c>
    </row>
    <row r="328" ht="35" customHeight="1">
      <c r="A328" s="6" t="str">
        <v>CIS-EXC</v>
      </c>
      <c r="B328" s="6" t="str">
        <v>2.4.1</v>
      </c>
      <c r="C328" s="6" t="str">
        <v>Ensure 'POP3' Windows services are 'Disabled'</v>
      </c>
      <c r="D328" s="6" t="str">
        <v>• Level 1 - Mailbox Services Security</v>
      </c>
      <c r="E328" s="6" t="str">
        <v>Automated</v>
      </c>
      <c r="F328" s="6" t="n">
        <v>87</v>
      </c>
      <c r="G328" s="6" t="n">
        <v>88</v>
      </c>
      <c r="H328" s="6" t="str">
        <v>EXC-015</v>
      </c>
      <c r="I328" s="6" t="str">
        <v>Aktif soruya bağlı</v>
      </c>
    </row>
    <row r="329" ht="35" customHeight="1">
      <c r="A329" s="6" t="str">
        <v>CIS-EXC</v>
      </c>
      <c r="B329" s="6" t="str">
        <v>2.4.2</v>
      </c>
      <c r="C329" s="6" t="str">
        <v>Ensure 'IMAP4' Windows services are 'Disabled'</v>
      </c>
      <c r="D329" s="6" t="str">
        <v>• Level 1 - Mailbox Services Security</v>
      </c>
      <c r="E329" s="6" t="str">
        <v>Automated</v>
      </c>
      <c r="F329" s="6" t="n">
        <v>89</v>
      </c>
      <c r="G329" s="6" t="n">
        <v>90</v>
      </c>
      <c r="H329" s="6" t="str">
        <v>EXC-015</v>
      </c>
      <c r="I329" s="6" t="str">
        <v>Aktif soruya bağlı</v>
      </c>
    </row>
    <row r="330" ht="35" customHeight="1">
      <c r="A330" s="6" t="str">
        <v>CIS-EXC</v>
      </c>
      <c r="B330" s="6" t="str">
        <v>2.4.3</v>
      </c>
      <c r="C330" s="6" t="str">
        <v>Ensure 'Receive connector’ is set to ‘TLS’</v>
      </c>
      <c r="D330" s="6" t="str">
        <v>• Level 1 - Mailbox Services Security</v>
      </c>
      <c r="E330" s="6" t="str">
        <v>Manual</v>
      </c>
      <c r="F330" s="6" t="n">
        <v>91</v>
      </c>
      <c r="G330" s="6" t="n">
        <v>92</v>
      </c>
      <c r="H330" s="6" t="str">
        <v>AÇIK</v>
      </c>
      <c r="I330" s="6" t="str">
        <v>Çıkarıldı / açık konu</v>
      </c>
    </row>
    <row r="331" ht="35" customHeight="1">
      <c r="A331" s="6" t="str">
        <v>CIS-EXC</v>
      </c>
      <c r="B331" s="6" t="str">
        <v>2.4.4</v>
      </c>
      <c r="C331" s="6" t="str">
        <v>Ensure ‘Send Exchange Customer Experience reports’ is set to ‘False’</v>
      </c>
      <c r="D331" s="6" t="str">
        <v>• Level 2 - Mailbox Services Security</v>
      </c>
      <c r="E331" s="6" t="str">
        <v>Automated</v>
      </c>
      <c r="F331" s="6" t="n">
        <v>93</v>
      </c>
      <c r="G331" s="6" t="n">
        <v>94</v>
      </c>
      <c r="H331" s="6" t="str">
        <v>EXC-016</v>
      </c>
      <c r="I331" s="6" t="str">
        <v>Aktif soruya bağlı</v>
      </c>
    </row>
    <row r="332" ht="35" customHeight="1">
      <c r="A332" s="6" t="str">
        <v>CIS-EXC</v>
      </c>
      <c r="B332" s="6" t="str">
        <v>2.4.5</v>
      </c>
      <c r="C332" s="6" t="str">
        <v>Ensure 'SMTP automated banner response’ is set to ‘220 SMTP Server Ready’</v>
      </c>
      <c r="D332" s="6" t="str">
        <v>• Level 1 - Mailbox Services Security</v>
      </c>
      <c r="E332" s="6" t="str">
        <v>Automated</v>
      </c>
      <c r="F332" s="6" t="n">
        <v>95</v>
      </c>
      <c r="G332" s="6" t="n">
        <v>96</v>
      </c>
      <c r="H332" s="6" t="str">
        <v>EXC-017</v>
      </c>
      <c r="I332" s="6" t="str">
        <v>Aktif soruya bağlı</v>
      </c>
    </row>
    <row r="333" ht="35" customHeight="1">
      <c r="A333" s="6" t="str">
        <v>CIS-EXC</v>
      </c>
      <c r="B333" s="6" t="str">
        <v>3.1</v>
      </c>
      <c r="C333" s="6" t="str">
        <v>Ensure 'Allow simple passwords' is set to 'False'</v>
      </c>
      <c r="D333" s="6" t="str">
        <v>• Level 1 - MDM Services Security</v>
      </c>
      <c r="E333" s="6" t="str">
        <v>Automated</v>
      </c>
      <c r="F333" s="6" t="n">
        <v>98</v>
      </c>
      <c r="G333" s="6" t="n">
        <v>99</v>
      </c>
      <c r="H333" s="6" t="str">
        <v>EXC-018</v>
      </c>
      <c r="I333" s="6" t="str">
        <v>Aktif soruya bağlı</v>
      </c>
    </row>
    <row r="334" ht="35" customHeight="1">
      <c r="A334" s="6" t="str">
        <v>CIS-EXC</v>
      </c>
      <c r="B334" s="6" t="str">
        <v>3.2</v>
      </c>
      <c r="C334" s="6" t="str">
        <v>Ensure 'Allow unmanaged devices' is set to 'False'</v>
      </c>
      <c r="D334" s="6" t="str">
        <v>• Level 1 - MDM Services Security</v>
      </c>
      <c r="E334" s="6" t="str">
        <v>Automated</v>
      </c>
      <c r="F334" s="6" t="n">
        <v>100</v>
      </c>
      <c r="G334" s="6" t="n">
        <v>101</v>
      </c>
      <c r="H334" s="6" t="str">
        <v>EXC-019</v>
      </c>
      <c r="I334" s="6" t="str">
        <v>Aktif soruya bağlı</v>
      </c>
    </row>
    <row r="335" ht="35" customHeight="1">
      <c r="A335" s="6" t="str">
        <v>CIS-EXC</v>
      </c>
      <c r="B335" s="6" t="str">
        <v>3.3</v>
      </c>
      <c r="C335" s="6" t="str">
        <v>Ensure 'Enforce password history' is set to '4' or greater</v>
      </c>
      <c r="D335" s="6" t="str">
        <v>• Level 1 - MDM Services Security</v>
      </c>
      <c r="E335" s="6" t="str">
        <v>Automated</v>
      </c>
      <c r="F335" s="6" t="n">
        <v>102</v>
      </c>
      <c r="G335" s="6" t="n">
        <v>103</v>
      </c>
      <c r="H335" s="6" t="str">
        <v>EXC-018</v>
      </c>
      <c r="I335" s="6" t="str">
        <v>Aktif soruya bağlı</v>
      </c>
    </row>
    <row r="336" ht="35" customHeight="1">
      <c r="A336" s="6" t="str">
        <v>CIS-EXC</v>
      </c>
      <c r="B336" s="6" t="str">
        <v>3.4</v>
      </c>
      <c r="C336" s="6" t="str">
        <v>Ensure 'Minimum password length' is set to '4' or more</v>
      </c>
      <c r="D336" s="6" t="str">
        <v>• Level 1 - MDM Services Security</v>
      </c>
      <c r="E336" s="6" t="str">
        <v>Automated</v>
      </c>
      <c r="F336" s="6" t="n">
        <v>104</v>
      </c>
      <c r="G336" s="6" t="n">
        <v>105</v>
      </c>
      <c r="H336" s="6" t="str">
        <v>EXC-018</v>
      </c>
      <c r="I336" s="6" t="str">
        <v>Aktif soruya bağlı</v>
      </c>
    </row>
    <row r="337" ht="35" customHeight="1">
      <c r="A337" s="6" t="str">
        <v>CIS-EXC</v>
      </c>
      <c r="B337" s="6" t="str">
        <v>3.5</v>
      </c>
      <c r="C337" s="6" t="str">
        <v>Ensure 'Number of attempts allowed' is set to '10'</v>
      </c>
      <c r="D337" s="6" t="str">
        <v>• Level 1 - MDM Services Security</v>
      </c>
      <c r="E337" s="6" t="str">
        <v>Automated</v>
      </c>
      <c r="F337" s="6" t="n">
        <v>106</v>
      </c>
      <c r="G337" s="6" t="n">
        <v>107</v>
      </c>
      <c r="H337" s="6" t="str">
        <v>EXC-020</v>
      </c>
      <c r="I337" s="6" t="str">
        <v>Aktif soruya bağlı</v>
      </c>
    </row>
    <row r="338" ht="35" customHeight="1">
      <c r="A338" s="6" t="str">
        <v>CIS-EXC</v>
      </c>
      <c r="B338" s="6" t="str">
        <v>3.6</v>
      </c>
      <c r="C338" s="6" t="str">
        <v>Ensure 'Password expiration' is set to '365' or less</v>
      </c>
      <c r="D338" s="6" t="str">
        <v>• Level 1 - MDM Services Security</v>
      </c>
      <c r="E338" s="6" t="str">
        <v>Automated</v>
      </c>
      <c r="F338" s="6" t="n">
        <v>108</v>
      </c>
      <c r="G338" s="6" t="n">
        <v>109</v>
      </c>
      <c r="H338" s="6" t="str">
        <v>EXC-018</v>
      </c>
      <c r="I338" s="6" t="str">
        <v>Aktif soruya bağlı</v>
      </c>
    </row>
    <row r="339" ht="35" customHeight="1">
      <c r="A339" s="6" t="str">
        <v>CIS-EXC</v>
      </c>
      <c r="B339" s="6" t="str">
        <v>3.7</v>
      </c>
      <c r="C339" s="6" t="str">
        <v>Ensure 'Refresh interval' is set to '1'</v>
      </c>
      <c r="D339" s="6" t="str">
        <v>• Level 1 - MDM Services Security</v>
      </c>
      <c r="E339" s="6" t="str">
        <v>Automated</v>
      </c>
      <c r="F339" s="6" t="n">
        <v>110</v>
      </c>
      <c r="G339" s="6" t="n">
        <v>111</v>
      </c>
      <c r="H339" s="6" t="str">
        <v>EXC-021</v>
      </c>
      <c r="I339" s="6" t="str">
        <v>Aktif soruya bağlı</v>
      </c>
    </row>
    <row r="340" ht="35" customHeight="1">
      <c r="A340" s="6" t="str">
        <v>CIS-EXC</v>
      </c>
      <c r="B340" s="6" t="str">
        <v>3.8</v>
      </c>
      <c r="C340" s="6" t="str">
        <v>Ensure 'Require alphanumeric password' is set to 'True'</v>
      </c>
      <c r="D340" s="6" t="str">
        <v>• Level 1 - MDM Services Security</v>
      </c>
      <c r="E340" s="6" t="str">
        <v>Automated</v>
      </c>
      <c r="F340" s="6" t="n">
        <v>112</v>
      </c>
      <c r="G340" s="6" t="n">
        <v>113</v>
      </c>
      <c r="H340" s="6" t="str">
        <v>AÇIK</v>
      </c>
      <c r="I340" s="6" t="str">
        <v>Çıkarıldı / açık konu</v>
      </c>
    </row>
    <row r="341" ht="35" customHeight="1">
      <c r="A341" s="6" t="str">
        <v>CIS-EXC</v>
      </c>
      <c r="B341" s="6" t="str">
        <v>3.9</v>
      </c>
      <c r="C341" s="6" t="str">
        <v>Ensure 'Require encryption on device' is set to 'True'</v>
      </c>
      <c r="D341" s="6" t="str">
        <v>• Level 1 - MDM Services Security</v>
      </c>
      <c r="E341" s="6" t="str">
        <v>Automated</v>
      </c>
      <c r="F341" s="6" t="n">
        <v>114</v>
      </c>
      <c r="G341" s="6" t="n">
        <v>115</v>
      </c>
      <c r="H341" s="6" t="str">
        <v>EXC-019</v>
      </c>
      <c r="I341" s="6" t="str">
        <v>Aktif soruya bağlı</v>
      </c>
    </row>
    <row r="342" ht="35" customHeight="1">
      <c r="A342" s="6" t="str">
        <v>CIS-EXC</v>
      </c>
      <c r="B342" s="6" t="str">
        <v>3.10</v>
      </c>
      <c r="C342" s="6" t="str">
        <v>Ensure 'Require password' is set to 'True'</v>
      </c>
      <c r="D342" s="6" t="str">
        <v>• Level 1 - MDM Services Security</v>
      </c>
      <c r="E342" s="6" t="str">
        <v>Automated</v>
      </c>
      <c r="F342" s="6" t="n">
        <v>116</v>
      </c>
      <c r="G342" s="6" t="n">
        <v>117</v>
      </c>
      <c r="H342" s="6" t="str">
        <v>EXC-018</v>
      </c>
      <c r="I342" s="6" t="str">
        <v>Aktif soruya bağlı</v>
      </c>
    </row>
    <row r="343" ht="40" customHeight="1">
      <c r="A343" s="6" t="str">
        <v>CIS-EXC</v>
      </c>
      <c r="B343" s="6" t="str">
        <v>3.11</v>
      </c>
      <c r="C343" s="6" t="str">
        <v>Ensure 'Time without user input before password must be re-entered' is set to '15'</v>
      </c>
      <c r="D343" s="6" t="str">
        <v>• Level 1 - MDM Services Security</v>
      </c>
      <c r="E343" s="6" t="str">
        <v>Automated</v>
      </c>
      <c r="F343" s="6" t="n">
        <v>118</v>
      </c>
      <c r="G343" s="6" t="n">
        <v>119</v>
      </c>
      <c r="H343" s="6" t="str">
        <v>EXC-018</v>
      </c>
      <c r="I343" s="6" t="str">
        <v>Aktif soruya bağlı</v>
      </c>
    </row>
    <row r="344" ht="40" customHeight="1">
      <c r="A344" s="6" t="str">
        <v>CIS-EXC</v>
      </c>
      <c r="B344" s="6" t="str">
        <v>4.1</v>
      </c>
      <c r="C344" s="6" t="str">
        <v>Ensure 'Receive connector: Configure protocol logging' is set to 'Verbose'</v>
      </c>
      <c r="D344" s="6" t="str">
        <v>• Level 1 - Edge Services Security • Level 1 - Mailbox Services Security</v>
      </c>
      <c r="E344" s="6" t="str">
        <v>Automated</v>
      </c>
      <c r="F344" s="6" t="n">
        <v>121</v>
      </c>
      <c r="G344" s="6" t="n">
        <v>122</v>
      </c>
      <c r="H344" s="6" t="str">
        <v>EXC-022</v>
      </c>
      <c r="I344" s="6" t="str">
        <v>Aktif soruya bağlı</v>
      </c>
    </row>
    <row r="345" ht="35" customHeight="1">
      <c r="A345" s="6" t="str">
        <v>CIS-EXC</v>
      </c>
      <c r="B345" s="6" t="str">
        <v>4.2</v>
      </c>
      <c r="C345" s="6" t="str">
        <v>Ensure 'Turn on administrator audit logging' is set to ''</v>
      </c>
      <c r="D345" s="6" t="str">
        <v>• Level 1 - Mailbox Services Security</v>
      </c>
      <c r="E345" s="6" t="str">
        <v>Automated</v>
      </c>
      <c r="F345" s="6" t="n">
        <v>123</v>
      </c>
      <c r="G345" s="6" t="n">
        <v>124</v>
      </c>
      <c r="H345" s="6" t="str">
        <v>EXC-023</v>
      </c>
      <c r="I345" s="6" t="str">
        <v>Aktif soruya bağlı</v>
      </c>
    </row>
    <row r="346" ht="35" customHeight="1">
      <c r="A346" s="6" t="str">
        <v>CIS-EXC</v>
      </c>
      <c r="B346" s="6" t="str">
        <v>4.3</v>
      </c>
      <c r="C346" s="6" t="str">
        <v>Ensure 'Turn on connectivity logging' is set to 'True'</v>
      </c>
      <c r="D346" s="6" t="str">
        <v>• Level 1 - Edge Services Security • Level 1 - Mailbox Services Security</v>
      </c>
      <c r="E346" s="6" t="str">
        <v>Automated</v>
      </c>
      <c r="F346" s="6" t="n">
        <v>125</v>
      </c>
      <c r="G346" s="6" t="n">
        <v>126</v>
      </c>
      <c r="H346" s="6" t="str">
        <v>EXC-022</v>
      </c>
      <c r="I346" s="6" t="str">
        <v>Aktif soruya bağlı</v>
      </c>
    </row>
    <row r="347" ht="35" customHeight="1">
      <c r="A347" s="6" t="str">
        <v>CIS-EXC</v>
      </c>
      <c r="B347" s="6" t="str">
        <v>4.4</v>
      </c>
      <c r="C347" s="6" t="str">
        <v>Ensure 'Send connector: Configure protocol logging' is set to 'Verbose'</v>
      </c>
      <c r="D347" s="6" t="str">
        <v>• Level 1 - Edge Services Security • Level 1 - Mailbox Services Security</v>
      </c>
      <c r="E347" s="6" t="str">
        <v>Automated</v>
      </c>
      <c r="F347" s="6" t="n">
        <v>127</v>
      </c>
      <c r="G347" s="6" t="n">
        <v>128</v>
      </c>
      <c r="H347" s="6" t="str">
        <v>EXC-022</v>
      </c>
      <c r="I347" s="6" t="str">
        <v>Aktif soruya bağlı</v>
      </c>
    </row>
    <row r="348" ht="35" customHeight="1">
      <c r="A348" s="6" t="str">
        <v>CIS-EXC</v>
      </c>
      <c r="B348" s="6" t="str">
        <v>4.5</v>
      </c>
      <c r="C348" s="6" t="str">
        <v>Ensure 'Message tracking logging' is set to 'True'</v>
      </c>
      <c r="D348" s="6" t="str">
        <v>• Level 1 - Edge Services Security • Level 1 - Mailbox Services Security</v>
      </c>
      <c r="E348" s="6" t="str">
        <v>Automated</v>
      </c>
      <c r="F348" s="6" t="n">
        <v>129</v>
      </c>
      <c r="G348" s="6" t="n">
        <v>130</v>
      </c>
      <c r="H348" s="6" t="str">
        <v>EXC-022</v>
      </c>
      <c r="I348" s="6" t="str">
        <v>Aktif soruya bağlı</v>
      </c>
    </row>
  </sheetData>
  <conditionalFormatting sqref="H6:I348">
    <cfRule type="containsText" dxfId="6" priority="1" operator="containsText" text="AÇIK"/>
  </conditionalFormatting>
  <hyperlinks>
    <hyperlink ref="H6" location="'FortiGate VDOM'!A6"/>
    <hyperlink ref="H7" location="'FortiGate VDOM'!A7"/>
    <hyperlink ref="H8" location="'FortiGate VDOM'!A8"/>
    <hyperlink ref="H9" location="'FortiGate VDOM'!A9"/>
    <hyperlink ref="H10" location="'FortiGate VDOM'!A9"/>
    <hyperlink ref="H11" location="'FortiGate VDOM'!A6"/>
    <hyperlink ref="H12" location="'FortiGate VDOM'!A6"/>
    <hyperlink ref="H13" location="'FortiGate VDOM'!A9"/>
    <hyperlink ref="H14" location="'FortiGate VDOM'!A10"/>
    <hyperlink ref="H15" location="'FortiGate VDOM'!A11"/>
    <hyperlink ref="H16" location="'FortiGate VDOM'!A12"/>
    <hyperlink ref="H17" location="'FortiGate VDOM'!A12"/>
    <hyperlink ref="H18" location="'FortiGate VDOM'!A12"/>
    <hyperlink ref="H20" location="'FortiGate VDOM'!A13"/>
    <hyperlink ref="H21" location="'FortiGate VDOM'!A9"/>
    <hyperlink ref="H22" location="'FortiGate VDOM'!A14"/>
    <hyperlink ref="H23" location="'FortiGate VDOM'!A14"/>
    <hyperlink ref="H24" location="'FortiGate VDOM'!A15"/>
    <hyperlink ref="H25" location="'FortiGate VDOM'!A15"/>
    <hyperlink ref="H26" location="'FortiGate VDOM'!A15"/>
    <hyperlink ref="H28" location="'FortiGate VDOM'!A16"/>
    <hyperlink ref="H29" location="'FortiGate VDOM'!A16"/>
    <hyperlink ref="H30" location="'FortiGate VDOM'!A16"/>
    <hyperlink ref="H31" location="'FortiGate VDOM'!A17"/>
    <hyperlink ref="H32" location="'FortiGate VDOM'!A8"/>
    <hyperlink ref="H33" location="'FortiGate VDOM'!A18"/>
    <hyperlink ref="H34" location="'FortiGate VDOM'!A19"/>
    <hyperlink ref="H35" location="'FortiGate VDOM'!A20"/>
    <hyperlink ref="H36" location="'FortiGate VDOM'!A21"/>
    <hyperlink ref="H37" location="'FortiGate VDOM'!A21"/>
    <hyperlink ref="H38" location="'FortiGate VDOM'!A21"/>
    <hyperlink ref="H39" location="'FortiGate VDOM'!A21"/>
    <hyperlink ref="H40" location="'FortiGate VDOM'!A22"/>
    <hyperlink ref="H42" location="'FortiGate VDOM'!A23"/>
    <hyperlink ref="H43" location="'FortiGate VDOM'!A24"/>
    <hyperlink ref="H44" location="'Forti IPS'!A6"/>
    <hyperlink ref="H45" location="'Forti IPS'!A6"/>
    <hyperlink ref="H46" location="'FortiGate VDOM'!A25"/>
    <hyperlink ref="H47" location="'FortiGate VDOM'!A26"/>
    <hyperlink ref="H48" location="'FortiGate VDOM'!A26"/>
    <hyperlink ref="H49" location="'FortiGate VDOM'!A26"/>
    <hyperlink ref="H50" location="'FortiGate VDOM'!A26"/>
    <hyperlink ref="H51" location="'FortiGate VDOM'!A27"/>
    <hyperlink ref="H52" location="'FortiGate VDOM'!A28"/>
    <hyperlink ref="H53" location="'FortiGate VDOM'!A29"/>
    <hyperlink ref="H54" location="'FortiGate VDOM'!A29"/>
    <hyperlink ref="H55" location="'FortiGate VDOM'!A29"/>
    <hyperlink ref="H56" location="'FortiGate VDOM'!A30"/>
    <hyperlink ref="H57" location="'FortiGate VDOM'!A31"/>
    <hyperlink ref="H58" location="'FortiGate VDOM'!A31"/>
    <hyperlink ref="H59" location="'FortiGate VDOM'!A31"/>
    <hyperlink ref="H60" location="'FortiGate VDOM'!A31"/>
    <hyperlink ref="H61" location="'FortiGate VDOM'!A32"/>
    <hyperlink ref="H62" location="'FortiGate VDOM'!A33"/>
    <hyperlink ref="H63" location="'FortiGate VDOM'!A34"/>
    <hyperlink ref="H64" location="'FortiGate VDOM'!A34"/>
    <hyperlink ref="H65" location="'FortiGate VDOM'!A35"/>
    <hyperlink ref="H66" location="'FortiGate VDOM'!A35"/>
    <hyperlink ref="H67" location="'FortiGate VDOM'!A36"/>
    <hyperlink ref="H68" location="'FortiGate VDOM'!A37"/>
    <hyperlink ref="H69" location="'FortiGate VDOM'!A37"/>
    <hyperlink ref="H70" location="'VMware ESXi'!A16"/>
    <hyperlink ref="H71" location="'VMware ESXi'!A17"/>
    <hyperlink ref="H72" location="'VMware ESXi'!A17"/>
    <hyperlink ref="H73" location="'VMware ESXi'!A21"/>
    <hyperlink ref="H74" location="'VMware ESXi'!A19"/>
    <hyperlink ref="H75" location="'VMware ESXi'!A41"/>
    <hyperlink ref="H76" location="'VMware ESXi'!A23"/>
    <hyperlink ref="H77" location="'VMware ESXi'!A66"/>
    <hyperlink ref="H78" location="'VMware ESXi'!A46"/>
    <hyperlink ref="H79" location="'VMware ESXi'!A42"/>
    <hyperlink ref="H80" location="'VMware ESXi'!A66"/>
    <hyperlink ref="H81" location="'VMware ESXi'!A67"/>
    <hyperlink ref="H82" location="'VMware Distributed Switch'!A12"/>
    <hyperlink ref="H83" location="'VMware ESXi'!A71"/>
    <hyperlink ref="H84" location="'VMware ESXi'!A37"/>
    <hyperlink ref="H85" location="'VMware ESXi'!A37"/>
    <hyperlink ref="H86" location="'VMware ESXi'!A68"/>
    <hyperlink ref="H87" location="'VMware ESXi'!A28"/>
    <hyperlink ref="H88" location="'VMware ESXi'!A29"/>
    <hyperlink ref="H89" location="'VMware ESXi'!A29"/>
    <hyperlink ref="H90" location="'VMware ESXi'!A30"/>
    <hyperlink ref="H91" location="'VMware ESXi'!A67"/>
    <hyperlink ref="H92" location="'VMware ESXi'!A67"/>
    <hyperlink ref="H93" location="'VMware ESXi'!A33"/>
    <hyperlink ref="H94" location="'VMware ESXi'!A24"/>
    <hyperlink ref="H95" location="'VMware ESXi'!A23"/>
    <hyperlink ref="H96" location="'VMware ESXi'!A23"/>
    <hyperlink ref="H97" location="'VMware ESXi'!A46"/>
    <hyperlink ref="H98" location="'VMware ESXi'!A33"/>
    <hyperlink ref="H99" location="'VMware ESXi'!A33"/>
    <hyperlink ref="H100" location="'VMware ESXi'!A69"/>
    <hyperlink ref="H101" location="'VMware ESXi'!A25"/>
    <hyperlink ref="H102" location="'VMware ESXi'!A26"/>
    <hyperlink ref="H103" location="'VMware ESXi'!A33"/>
    <hyperlink ref="H104" location="'VMware ESXi'!A70"/>
    <hyperlink ref="H105" location="'VMware ESXi'!A48"/>
    <hyperlink ref="H106" location="'VMware ESXi'!A49"/>
    <hyperlink ref="H107" location="'VMware ESXi'!A47"/>
    <hyperlink ref="H108" location="'VMware ESXi'!A44"/>
    <hyperlink ref="H109" location="'VMware ESXi'!A44"/>
    <hyperlink ref="H110" location="'VMware ESXi'!A44"/>
    <hyperlink ref="H111" location="'VMware ESXi'!A45"/>
    <hyperlink ref="H112" location="'VMware ESXi'!A45"/>
    <hyperlink ref="H113" location="'VMware ESXi'!A45"/>
    <hyperlink ref="H114" location="'VMware Distributed Switch'!A13"/>
    <hyperlink ref="H115" location="'VMware ESXi'!A54"/>
    <hyperlink ref="H116" location="'VMware ESXi'!A55"/>
    <hyperlink ref="H117" location="'VMware ESXi'!A55"/>
    <hyperlink ref="H118" location="'VMware ESXi'!A55"/>
    <hyperlink ref="H119" location="'VMware ESXi'!A55"/>
    <hyperlink ref="H120" location="'VMware ESXi'!A55"/>
    <hyperlink ref="H121" location="'VMware ESXi'!A56"/>
    <hyperlink ref="H122" location="'VMware ESXi'!A56"/>
    <hyperlink ref="H123" location="'VMware ESXi'!A55"/>
    <hyperlink ref="H124" location="'VMware ESXi'!A72"/>
    <hyperlink ref="H125" location="'VMware ESXi'!A54"/>
    <hyperlink ref="H126" location="'VMware ESXi'!A73"/>
    <hyperlink ref="H127" location="'VMware ESXi'!A77"/>
    <hyperlink ref="H128" location="'VMware ESXi'!A42"/>
    <hyperlink ref="H129" location="'VMware ESXi'!A74"/>
    <hyperlink ref="H130" location="'VMware ESXi'!A74"/>
    <hyperlink ref="H131" location="'VMware ESXi'!A74"/>
    <hyperlink ref="H132" location="'VMware ESXi'!A74"/>
    <hyperlink ref="H133" location="'VMware ESXi'!A74"/>
    <hyperlink ref="H134" location="'VMware ESXi'!A74"/>
    <hyperlink ref="H135" location="'VMware ESXi'!A74"/>
    <hyperlink ref="H136" location="'VMware ESXi'!A74"/>
    <hyperlink ref="H137" location="'VMware ESXi'!A74"/>
    <hyperlink ref="H138" location="'VMware ESXi'!A74"/>
    <hyperlink ref="H139" location="'VMware ESXi'!A74"/>
    <hyperlink ref="H140" location="'VMware ESXi'!A74"/>
    <hyperlink ref="H141" location="'VMware ESXi'!A74"/>
    <hyperlink ref="H142" location="'VMware ESXi'!A74"/>
    <hyperlink ref="H143" location="'VMware ESXi'!A74"/>
    <hyperlink ref="H144" location="'VMware ESXi'!A74"/>
    <hyperlink ref="H145" location="'VMware ESXi'!A74"/>
    <hyperlink ref="H146" location="'VMware ESXi'!A74"/>
    <hyperlink ref="H147" location="'VMware ESXi'!A74"/>
    <hyperlink ref="H148" location="'VMware ESXi'!A57"/>
    <hyperlink ref="H149" location="'VMware ESXi'!A57"/>
    <hyperlink ref="H150" location="'VMware ESXi'!A74"/>
    <hyperlink ref="H151" location="'VMware ESXi'!A57"/>
    <hyperlink ref="H152" location="'VMware ESXi'!A75"/>
    <hyperlink ref="H153" location="'VMware ESXi'!A55"/>
    <hyperlink ref="H154" location="'VMware ESXi'!A76"/>
    <hyperlink ref="H155" location="'VMware ESXi'!A58"/>
    <hyperlink ref="H156" location="'VMware ESXi'!A58"/>
    <hyperlink ref="H157" location="'VMware ESXi'!A60"/>
    <hyperlink ref="H158" location="'VMware ESXi'!A59"/>
    <hyperlink ref="H159" location="'VMware ESXi'!A60"/>
    <hyperlink ref="H160" location="'VMware ESXi'!A6"/>
    <hyperlink ref="H161" location="'VMware ESXi'!A7"/>
    <hyperlink ref="H162" location="'VMware ESXi'!A9"/>
    <hyperlink ref="H163" location="'VMware ESXi'!A8"/>
    <hyperlink ref="H164" location="'VMware ESXi'!A10"/>
    <hyperlink ref="H165" location="'VMware ESXi'!A11"/>
    <hyperlink ref="H166" location="'VMware ESXi'!A12"/>
    <hyperlink ref="H167" location="'VMware ESXi'!A10"/>
    <hyperlink ref="H169" location="'VMware ESXi'!A13"/>
    <hyperlink ref="H170" location="'VMware ESXi'!A14"/>
    <hyperlink ref="H171" location="'VMware ESXi'!A15"/>
    <hyperlink ref="H172" location="'VMware ESXi'!A16"/>
    <hyperlink ref="H173" location="'VMware ESXi'!A16"/>
    <hyperlink ref="H174" location="'VMware ESXi'!A7"/>
    <hyperlink ref="H175" location="'VMware ESXi'!A17"/>
    <hyperlink ref="H176" location="'VMware ESXi'!A18"/>
    <hyperlink ref="H177" location="'VMware ESXi'!A19"/>
    <hyperlink ref="H178" location="'VMware ESXi'!A19"/>
    <hyperlink ref="H179" location="'VMware ESXi'!A8"/>
    <hyperlink ref="H180" location="'VMware ESXi'!A20"/>
    <hyperlink ref="H181" location="'VMware ESXi'!A21"/>
    <hyperlink ref="H182" location="'VMware ESXi'!A22"/>
    <hyperlink ref="H183" location="'VMware ESXi'!A22"/>
    <hyperlink ref="H184" location="'VMware ESXi'!A23"/>
    <hyperlink ref="H185" location="'VMware ESXi'!A23"/>
    <hyperlink ref="H186" location="'VMware ESXi'!A23"/>
    <hyperlink ref="H187" location="'VMware ESXi'!A23"/>
    <hyperlink ref="H188" location="'VMware ESXi'!A23"/>
    <hyperlink ref="H189" location="'VMware ESXi'!A23"/>
    <hyperlink ref="H190" location="'VMware ESXi'!A24"/>
    <hyperlink ref="H191" location="'VMware ESXi'!A25"/>
    <hyperlink ref="H192" location="'VMware ESXi'!A26"/>
    <hyperlink ref="H193" location="'VMware ESXi'!A27"/>
    <hyperlink ref="H194" location="'VMware ESXi'!A28"/>
    <hyperlink ref="H195" location="'VMware ESXi'!A29"/>
    <hyperlink ref="H196" location="'VMware ESXi'!A29"/>
    <hyperlink ref="H197" location="'VMware ESXi'!A30"/>
    <hyperlink ref="H198" location="'VMware ESXi'!A31"/>
    <hyperlink ref="H199" location="'VMware ESXi'!A32"/>
    <hyperlink ref="H200" location="'VMware ESXi'!A32"/>
    <hyperlink ref="H201" location="'VMware ESXi'!A33"/>
    <hyperlink ref="H202" location="'VMware ESXi'!A33"/>
    <hyperlink ref="H203" location="'VMware ESXi'!A33"/>
    <hyperlink ref="H204" location="'VMware ESXi'!A33"/>
    <hyperlink ref="H205" location="'VMware ESXi'!A34"/>
    <hyperlink ref="H206" location="'VMware ESXi'!A34"/>
    <hyperlink ref="H207" location="'VMware ESXi'!A35"/>
    <hyperlink ref="H208" location="'VMware ESXi'!A35"/>
    <hyperlink ref="H209" location="'VMware ESXi'!A36"/>
    <hyperlink ref="H210" location="'VMware ESXi'!A37"/>
    <hyperlink ref="H211" location="'VMware ESXi'!A37"/>
    <hyperlink ref="H212" location="'VMware ESXi'!A38"/>
    <hyperlink ref="H213" location="'VMware ESXi'!A38"/>
    <hyperlink ref="H214" location="'VMware ESXi'!A38"/>
    <hyperlink ref="H215" location="'VMware ESXi'!A39"/>
    <hyperlink ref="H216" location="'VMware ESXi'!A39"/>
    <hyperlink ref="H217" location="'VMware ESXi'!A39"/>
    <hyperlink ref="H218" location="'VMware ESXi'!A39"/>
    <hyperlink ref="H219" location="'VMware ESXi'!A40"/>
    <hyperlink ref="H220" location="'VMware ESXi'!A40"/>
    <hyperlink ref="H221" location="'VMware ESXi'!A41"/>
    <hyperlink ref="H222" location="'VMware ESXi'!A41"/>
    <hyperlink ref="H223" location="'VMware ESXi'!A42"/>
    <hyperlink ref="H224" location="'VMware ESXi'!A43"/>
    <hyperlink ref="H225" location="'VMware ESXi'!A15"/>
    <hyperlink ref="H226" location="'VMware ESXi'!A44"/>
    <hyperlink ref="H227" location="'VMware ESXi'!A44"/>
    <hyperlink ref="H228" location="'VMware ESXi'!A44"/>
    <hyperlink ref="H229" location="'VMware ESXi'!A45"/>
    <hyperlink ref="H230" location="'VMware ESXi'!A45"/>
    <hyperlink ref="H231" location="'VMware ESXi'!A41"/>
    <hyperlink ref="H232" location="'VMware ESXi'!A46"/>
    <hyperlink ref="H233" location="'VMware ESXi'!A47"/>
    <hyperlink ref="H234" location="'VMware ESXi'!A47"/>
    <hyperlink ref="H235" location="'VMware ESXi'!A48"/>
    <hyperlink ref="H236" location="'VMware ESXi'!A49"/>
    <hyperlink ref="H237" location="'VMware ESXi'!A46"/>
    <hyperlink ref="H240" location="'VMware ESXi'!A50"/>
    <hyperlink ref="H241" location="'VMware ESXi'!A50"/>
    <hyperlink ref="H242" location="'VMware ESXi'!A51"/>
    <hyperlink ref="H243" location="'VMware ESXi'!A51"/>
    <hyperlink ref="H244" location="'VMware ESXi'!A35"/>
    <hyperlink ref="H245" location="'VMware ESXi'!A50"/>
    <hyperlink ref="H246" location="'VMware ESXi'!A50"/>
    <hyperlink ref="H247" location="'VMware ESXi'!A50"/>
    <hyperlink ref="H248" location="'VMware ESXi'!A50"/>
    <hyperlink ref="H249" location="'VMware ESXi'!A50"/>
    <hyperlink ref="H250" location="'VMware ESXi'!A52"/>
    <hyperlink ref="H251" location="'VMware vMotion'!A9"/>
    <hyperlink ref="H252" location="'VMware ESXi'!A53"/>
    <hyperlink ref="H253" location="'VMware ESXi'!A55"/>
    <hyperlink ref="H254" location="'VMware ESXi'!A54"/>
    <hyperlink ref="H255" location="'VMware ESXi'!A54"/>
    <hyperlink ref="H256" location="'VMware ESXi'!A55"/>
    <hyperlink ref="H257" location="'VMware ESXi'!A56"/>
    <hyperlink ref="H258" location="'VMware ESXi'!A56"/>
    <hyperlink ref="H259" location="'VMware ESXi'!A55"/>
    <hyperlink ref="H260" location="'VMware ESXi'!A55"/>
    <hyperlink ref="H261" location="'VMware ESXi'!A55"/>
    <hyperlink ref="H262" location="'VMware ESXi'!A55"/>
    <hyperlink ref="H263" location="'VMware ESXi'!A55"/>
    <hyperlink ref="H264" location="'VMware ESXi'!A55"/>
    <hyperlink ref="H265" location="'VMware ESXi'!A55"/>
    <hyperlink ref="H266" location="'VMware ESXi'!A57"/>
    <hyperlink ref="H267" location="'VMware ESXi'!A57"/>
    <hyperlink ref="H268" location="'VMware ESXi'!A57"/>
    <hyperlink ref="H269" location="'VMware ESXi'!A42"/>
    <hyperlink ref="H270" location="'VMware ESXi'!A58"/>
    <hyperlink ref="H271" location="'VMware ESXi'!A58"/>
    <hyperlink ref="H272" location="'VMware ESXi'!A21"/>
    <hyperlink ref="H273" location="'VMware ESXi'!A59"/>
    <hyperlink ref="H274" location="'VMware ESXi'!A60"/>
    <hyperlink ref="H275" location="'VMware ESXi'!A60"/>
    <hyperlink ref="H276" location="'VMware ESXi'!A60"/>
    <hyperlink ref="H277" location="'VMware ESXi'!A60"/>
    <hyperlink ref="H278" location="'VMware ESXi'!A61"/>
    <hyperlink ref="H279" location="'VMware ESXi'!A62"/>
    <hyperlink ref="H280" location="'VMware ESXi'!A62"/>
    <hyperlink ref="H281" location="'VMware ESXi'!A62"/>
    <hyperlink ref="H282" location="'VMware ESXi'!A63"/>
    <hyperlink ref="H283" location="'VMware ESXi'!A63"/>
    <hyperlink ref="H284" location="'VMware ESXi'!A63"/>
    <hyperlink ref="H285" location="'VMware ESXi'!A64"/>
    <hyperlink ref="H286" location="'VMware ESXi'!A64"/>
    <hyperlink ref="H287" location="'VMware ESXi'!A64"/>
    <hyperlink ref="H288" location="'VMware ESXi'!A64"/>
    <hyperlink ref="H289" location="'VMware ESXi'!A64"/>
    <hyperlink ref="H290" location="'VMware ESXi'!A64"/>
    <hyperlink ref="H291" location="'VMware ESXi'!A65"/>
    <hyperlink ref="H292" location="'VMware ESXi'!A65"/>
    <hyperlink ref="H293" location="'VMware ESXi'!A64"/>
    <hyperlink ref="H294" location="'Exchange 2019'!A6"/>
    <hyperlink ref="H295" location="'Exchange 2019'!A6"/>
    <hyperlink ref="H296" location="'Exchange 2019'!A7"/>
    <hyperlink ref="H298" location="'Exchange 2019'!A8"/>
    <hyperlink ref="H299" location="'Exchange 2019'!A8"/>
    <hyperlink ref="H300" location="'Exchange 2019'!A9"/>
    <hyperlink ref="H301" location="'Exchange 2019'!A10"/>
    <hyperlink ref="H302" location="'Exchange 2019'!A11"/>
    <hyperlink ref="H303" location="'Exchange 2019'!A12"/>
    <hyperlink ref="H304" location="'Exchange 2019'!A9"/>
    <hyperlink ref="H306" location="'Exchange 2019'!A13"/>
    <hyperlink ref="H307" location="'Exchange 2019'!A14"/>
    <hyperlink ref="H308" location="'Exchange 2019'!A13"/>
    <hyperlink ref="H309" location="'Exchange 2019'!A13"/>
    <hyperlink ref="H310" location="'Exchange 2019'!A14"/>
    <hyperlink ref="H311" location="'Exchange 2019'!A15"/>
    <hyperlink ref="H312" location="'Exchange 2019'!A12"/>
    <hyperlink ref="H313" location="'Exchange 2019'!A11"/>
    <hyperlink ref="H314" location="'Exchange 2019'!A11"/>
    <hyperlink ref="H315" location="'Exchange 2019'!A11"/>
    <hyperlink ref="H316" location="'Exchange 2019'!A11"/>
    <hyperlink ref="H317" location="'Exchange 2019'!A16"/>
    <hyperlink ref="H318" location="'Exchange 2019'!A16"/>
    <hyperlink ref="H319" location="'Exchange 2019'!A17"/>
    <hyperlink ref="H322" location="'Exchange 2019'!A18"/>
    <hyperlink ref="H323" location="'Exchange 2019'!A18"/>
    <hyperlink ref="H324" location="'Exchange 2019'!A18"/>
    <hyperlink ref="H325" location="'Exchange 2019'!A18"/>
    <hyperlink ref="H327" location="'Exchange 2019'!A19"/>
    <hyperlink ref="H328" location="'Exchange 2019'!A20"/>
    <hyperlink ref="H329" location="'Exchange 2019'!A20"/>
    <hyperlink ref="H331" location="'Exchange 2019'!A21"/>
    <hyperlink ref="H332" location="'Exchange 2019'!A22"/>
    <hyperlink ref="H333" location="'Exchange 2019'!A23"/>
    <hyperlink ref="H334" location="'Exchange 2019'!A24"/>
    <hyperlink ref="H335" location="'Exchange 2019'!A23"/>
    <hyperlink ref="H336" location="'Exchange 2019'!A23"/>
    <hyperlink ref="H337" location="'Exchange 2019'!A25"/>
    <hyperlink ref="H338" location="'Exchange 2019'!A23"/>
    <hyperlink ref="H339" location="'Exchange 2019'!A26"/>
    <hyperlink ref="H341" location="'Exchange 2019'!A24"/>
    <hyperlink ref="H342" location="'Exchange 2019'!A23"/>
    <hyperlink ref="H343" location="'Exchange 2019'!A23"/>
    <hyperlink ref="H344" location="'Exchange 2019'!A27"/>
    <hyperlink ref="H345" location="'Exchange 2019'!A28"/>
    <hyperlink ref="H346" location="'Exchange 2019'!A27"/>
    <hyperlink ref="H347" location="'Exchange 2019'!A27"/>
    <hyperlink ref="H348" location="'Exchange 2019'!A27"/>
  </hyperlinks>
  <pageMargins left="0.7" right="0.7" top="0.75" bottom="0.75" header="0.3" footer="0.3"/>
  <tableParts count="1">
    <tablePart r:id="Ref7f1f6506c34c4c"/>
  </tableParts>
</worksheet>
</file>

<file path=xl/worksheets/sheet3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9" hidden="0" customWidth="1"/>
    <x:col min="2" max="2" width="20" hidden="0" customWidth="1"/>
    <x:col min="3" max="3" width="17" hidden="0" customWidth="1"/>
    <x:col min="4" max="4" width="80" hidden="0" customWidth="1"/>
    <x:col min="5" max="5" width="70" hidden="0" customWidth="1"/>
    <x:col min="6" max="6" width="72" hidden="0" customWidth="1"/>
    <x:col min="7" max="7" width="18" hidden="0" customWidth="1"/>
    <x:col min="8" max="8" width="18" hidden="0" customWidth="1"/>
  </x:cols>
  <x:sheetData>
    <x:row r="1">
      <x:c r="A1" s="1"/>
      <x:c r="B1" s="1"/>
      <x:c r="C1" s="1"/>
      <x:c r="D1" s="1"/>
      <x:c r="E1" s="1"/>
      <x:c r="F1" s="1"/>
      <x:c r="G1" s="1"/>
      <x:c r="H1" s="1"/>
    </x:row>
    <x:row r="2" ht="29" customHeight="1">
      <x:c r="A2" s="2" t="str">
        <x:v>Teknik Ölçütler</x:v>
      </x:c>
      <x:c r="B2" s="2"/>
      <x:c r="C2" s="2"/>
      <x:c r="D2" s="2"/>
      <x:c r="E2" s="2"/>
      <x:c r="F2" s="2"/>
      <x:c r="G2" s="2"/>
      <x:c r="H2" s="2"/>
    </x:row>
    <x:row r="3" ht="8" customHeight="1">
      <x:c r="A3" s="3"/>
      <x:c r="B3" s="3"/>
      <x:c r="C3" s="3"/>
      <x:c r="D3" s="3"/>
      <x:c r="E3" s="3"/>
      <x:c r="F3" s="3"/>
      <x:c r="G3" s="3"/>
      <x:c r="H3" s="3"/>
    </x:row>
    <x:row r="4" ht="24" customHeight="1">
      <x:c r="A4" s="4" t="str">
        <x:v>Gruplanmış ESXi parametrelerinin ayrı test listesi. Diğer ölçütler ilgili ürün satırında ve CIS kaynak maddesinde.</x:v>
      </x:c>
      <x:c r="B4" s="4"/>
      <x:c r="C4" s="4"/>
      <x:c r="D4" s="4"/>
      <x:c r="E4" s="4"/>
      <x:c r="F4" s="4"/>
      <x:c r="G4" s="4"/>
      <x:c r="H4" s="4"/>
    </x:row>
    <x:row r="5" ht="36" customHeight="1">
      <x:c r="A5" s="10" t="str">
        <x:v>Kontrol ID</x:v>
      </x:c>
      <x:c r="B5" s="10" t="str">
        <x:v>KaynakID</x:v>
      </x:c>
      <x:c r="C5" s="10" t="str">
        <x:v>CIS madde</x:v>
      </x:c>
      <x:c r="D5" s="10" t="str">
        <x:v>Parametre</x:v>
      </x:c>
      <x:c r="E5" s="10" t="str">
        <x:v>Beklenen değer</x:v>
      </x:c>
      <x:c r="F5" s="10" t="str">
        <x:v>Salt okunur doğrulama</x:v>
      </x:c>
      <x:c r="G5" s="10" t="str">
        <x:v>Basılı sayfa</x:v>
      </x:c>
      <x:c r="H5" s="10" t="str">
        <x:v>PDF sayfası</x:v>
      </x:c>
    </x:row>
    <x:row r="6" ht="35" customHeight="1">
      <x:c r="A6" s="6" t="str">
        <x:v>ESX-069</x:v>
      </x:c>
      <x:c r="B6" s="6" t="str">
        <x:v>CIS-ESX7</x:v>
      </x:c>
      <x:c r="C6" s="6" t="str">
        <x:v>8.4.2</x:v>
      </x:c>
      <x:c r="D6" s="6" t="str">
        <x:v>isolation.tools.ghi.autologon.disable</x:v>
      </x:c>
      <x:c r="E6" s="6" t="str">
        <x:v>TRUE</x:v>
      </x:c>
      <x:c r="F6" s="6" t="str">
        <x:v>VM advanced settings / VMX salt okunur exportu</x:v>
      </x:c>
      <x:c r="G6" s="6" t="n">
        <x:v>154</x:v>
      </x:c>
      <x:c r="H6" s="6" t="n">
        <x:v>155</x:v>
      </x:c>
    </x:row>
    <x:row r="7" ht="35" customHeight="1">
      <x:c r="A7" s="6" t="str">
        <x:v>ESX-069</x:v>
      </x:c>
      <x:c r="B7" s="6" t="str">
        <x:v>CIS-ESX7</x:v>
      </x:c>
      <x:c r="C7" s="6" t="str">
        <x:v>8.4.3</x:v>
      </x:c>
      <x:c r="D7" s="6" t="str">
        <x:v>isolation.bios.bbs.disable</x:v>
      </x:c>
      <x:c r="E7" s="6" t="str">
        <x:v>TRUE</x:v>
      </x:c>
      <x:c r="F7" s="6" t="str">
        <x:v>VM advanced settings / VMX salt okunur exportu</x:v>
      </x:c>
      <x:c r="G7" s="6" t="n">
        <x:v>156</x:v>
      </x:c>
      <x:c r="H7" s="6" t="n">
        <x:v>157</x:v>
      </x:c>
    </x:row>
    <x:row r="8" ht="35" customHeight="1">
      <x:c r="A8" s="6" t="str">
        <x:v>ESX-069</x:v>
      </x:c>
      <x:c r="B8" s="6" t="str">
        <x:v>CIS-ESX7</x:v>
      </x:c>
      <x:c r="C8" s="6" t="str">
        <x:v>8.4.4</x:v>
      </x:c>
      <x:c r="D8" s="6" t="str">
        <x:v>isolation.tools.ghi.protocolhandler.info.disable</x:v>
      </x:c>
      <x:c r="E8" s="6" t="str">
        <x:v>TRUE</x:v>
      </x:c>
      <x:c r="F8" s="6" t="str">
        <x:v>VM advanced settings / VMX salt okunur exportu</x:v>
      </x:c>
      <x:c r="G8" s="6" t="n">
        <x:v>158</x:v>
      </x:c>
      <x:c r="H8" s="6" t="n">
        <x:v>159</x:v>
      </x:c>
    </x:row>
    <x:row r="9" ht="35" customHeight="1">
      <x:c r="A9" s="6" t="str">
        <x:v>ESX-069</x:v>
      </x:c>
      <x:c r="B9" s="6" t="str">
        <x:v>CIS-ESX7</x:v>
      </x:c>
      <x:c r="C9" s="6" t="str">
        <x:v>8.4.5</x:v>
      </x:c>
      <x:c r="D9" s="6" t="str">
        <x:v>isolation.tools.unity.taskbar.disable</x:v>
      </x:c>
      <x:c r="E9" s="6" t="str">
        <x:v>TRUE</x:v>
      </x:c>
      <x:c r="F9" s="6" t="str">
        <x:v>VM advanced settings / VMX salt okunur exportu</x:v>
      </x:c>
      <x:c r="G9" s="6" t="n">
        <x:v>160</x:v>
      </x:c>
      <x:c r="H9" s="6" t="n">
        <x:v>161</x:v>
      </x:c>
    </x:row>
    <x:row r="10" ht="35" customHeight="1">
      <x:c r="A10" s="6" t="str">
        <x:v>ESX-069</x:v>
      </x:c>
      <x:c r="B10" s="6" t="str">
        <x:v>CIS-ESX7</x:v>
      </x:c>
      <x:c r="C10" s="6" t="str">
        <x:v>8.4.6</x:v>
      </x:c>
      <x:c r="D10" s="6" t="str">
        <x:v>isolation.tools.unityActive.disable</x:v>
      </x:c>
      <x:c r="E10" s="6" t="str">
        <x:v>TRUE</x:v>
      </x:c>
      <x:c r="F10" s="6" t="str">
        <x:v>VM advanced settings / VMX salt okunur exportu</x:v>
      </x:c>
      <x:c r="G10" s="6" t="n">
        <x:v>162</x:v>
      </x:c>
      <x:c r="H10" s="6" t="n">
        <x:v>163</x:v>
      </x:c>
    </x:row>
    <x:row r="11" ht="35" customHeight="1">
      <x:c r="A11" s="6" t="str">
        <x:v>ESX-069</x:v>
      </x:c>
      <x:c r="B11" s="6" t="str">
        <x:v>CIS-ESX7</x:v>
      </x:c>
      <x:c r="C11" s="6" t="str">
        <x:v>8.4.7</x:v>
      </x:c>
      <x:c r="D11" s="6" t="str">
        <x:v>isolation.tools.unity.windowContents.disable</x:v>
      </x:c>
      <x:c r="E11" s="6" t="str">
        <x:v>TRUE</x:v>
      </x:c>
      <x:c r="F11" s="6" t="str">
        <x:v>VM advanced settings / VMX salt okunur exportu</x:v>
      </x:c>
      <x:c r="G11" s="6" t="n">
        <x:v>164</x:v>
      </x:c>
      <x:c r="H11" s="6" t="n">
        <x:v>165</x:v>
      </x:c>
    </x:row>
    <x:row r="12" ht="35" customHeight="1">
      <x:c r="A12" s="6" t="str">
        <x:v>ESX-069</x:v>
      </x:c>
      <x:c r="B12" s="6" t="str">
        <x:v>CIS-ESX7</x:v>
      </x:c>
      <x:c r="C12" s="6" t="str">
        <x:v>8.4.8</x:v>
      </x:c>
      <x:c r="D12" s="6" t="str">
        <x:v>isolation.tools.unity.push.update.disable</x:v>
      </x:c>
      <x:c r="E12" s="6" t="str">
        <x:v>TRUE</x:v>
      </x:c>
      <x:c r="F12" s="6" t="str">
        <x:v>VM advanced settings / VMX salt okunur exportu</x:v>
      </x:c>
      <x:c r="G12" s="6" t="n">
        <x:v>166</x:v>
      </x:c>
      <x:c r="H12" s="6" t="n">
        <x:v>167</x:v>
      </x:c>
    </x:row>
    <x:row r="13" ht="35" customHeight="1">
      <x:c r="A13" s="6" t="str">
        <x:v>ESX-069</x:v>
      </x:c>
      <x:c r="B13" s="6" t="str">
        <x:v>CIS-ESX7</x:v>
      </x:c>
      <x:c r="C13" s="6" t="str">
        <x:v>8.4.9</x:v>
      </x:c>
      <x:c r="D13" s="6" t="str">
        <x:v>isolation.tools.vmxDnDVersionGet.disable</x:v>
      </x:c>
      <x:c r="E13" s="6" t="str">
        <x:v>TRUE</x:v>
      </x:c>
      <x:c r="F13" s="6" t="str">
        <x:v>VM advanced settings / VMX salt okunur exportu</x:v>
      </x:c>
      <x:c r="G13" s="6" t="n">
        <x:v>168</x:v>
      </x:c>
      <x:c r="H13" s="6" t="n">
        <x:v>169</x:v>
      </x:c>
    </x:row>
    <x:row r="14" ht="35" customHeight="1">
      <x:c r="A14" s="6" t="str">
        <x:v>ESX-069</x:v>
      </x:c>
      <x:c r="B14" s="6" t="str">
        <x:v>CIS-ESX7</x:v>
      </x:c>
      <x:c r="C14" s="6" t="str">
        <x:v>8.4.10</x:v>
      </x:c>
      <x:c r="D14" s="6" t="str">
        <x:v>isolation.tools.guestDnDVersionSet.disable</x:v>
      </x:c>
      <x:c r="E14" s="6" t="str">
        <x:v>TRUE</x:v>
      </x:c>
      <x:c r="F14" s="6" t="str">
        <x:v>VM advanced settings / VMX salt okunur exportu</x:v>
      </x:c>
      <x:c r="G14" s="6" t="n">
        <x:v>170</x:v>
      </x:c>
      <x:c r="H14" s="6" t="n">
        <x:v>171</x:v>
      </x:c>
    </x:row>
    <x:row r="15" ht="35" customHeight="1">
      <x:c r="A15" s="6" t="str">
        <x:v>ESX-069</x:v>
      </x:c>
      <x:c r="B15" s="6" t="str">
        <x:v>CIS-ESX7</x:v>
      </x:c>
      <x:c r="C15" s="6" t="str">
        <x:v>8.4.11</x:v>
      </x:c>
      <x:c r="D15" s="6" t="str">
        <x:v>isolation.ghi.host.shellAction.disable</x:v>
      </x:c>
      <x:c r="E15" s="6" t="str">
        <x:v>TRUE</x:v>
      </x:c>
      <x:c r="F15" s="6" t="str">
        <x:v>VM advanced settings / VMX salt okunur exportu</x:v>
      </x:c>
      <x:c r="G15" s="6" t="n">
        <x:v>172</x:v>
      </x:c>
      <x:c r="H15" s="6" t="n">
        <x:v>173</x:v>
      </x:c>
    </x:row>
    <x:row r="16" ht="35" customHeight="1">
      <x:c r="A16" s="6" t="str">
        <x:v>ESX-069</x:v>
      </x:c>
      <x:c r="B16" s="6" t="str">
        <x:v>CIS-ESX7</x:v>
      </x:c>
      <x:c r="C16" s="6" t="str">
        <x:v>8.4.12</x:v>
      </x:c>
      <x:c r="D16" s="6" t="str">
        <x:v>isolation.tools.dispTopoRequest.disable</x:v>
      </x:c>
      <x:c r="E16" s="6" t="str">
        <x:v>TRUE</x:v>
      </x:c>
      <x:c r="F16" s="6" t="str">
        <x:v>VM advanced settings / VMX salt okunur exportu</x:v>
      </x:c>
      <x:c r="G16" s="6" t="n">
        <x:v>174</x:v>
      </x:c>
      <x:c r="H16" s="6" t="n">
        <x:v>175</x:v>
      </x:c>
    </x:row>
    <x:row r="17" ht="35" customHeight="1">
      <x:c r="A17" s="6" t="str">
        <x:v>ESX-069</x:v>
      </x:c>
      <x:c r="B17" s="6" t="str">
        <x:v>CIS-ESX7</x:v>
      </x:c>
      <x:c r="C17" s="6" t="str">
        <x:v>8.4.13</x:v>
      </x:c>
      <x:c r="D17" s="6" t="str">
        <x:v>isolation.tools.trashFolderState.disable</x:v>
      </x:c>
      <x:c r="E17" s="6" t="str">
        <x:v>TRUE</x:v>
      </x:c>
      <x:c r="F17" s="6" t="str">
        <x:v>VM advanced settings / VMX salt okunur exportu</x:v>
      </x:c>
      <x:c r="G17" s="6" t="n">
        <x:v>176</x:v>
      </x:c>
      <x:c r="H17" s="6" t="n">
        <x:v>177</x:v>
      </x:c>
    </x:row>
    <x:row r="18" ht="35" customHeight="1">
      <x:c r="A18" s="6" t="str">
        <x:v>ESX-069</x:v>
      </x:c>
      <x:c r="B18" s="6" t="str">
        <x:v>CIS-ESX7</x:v>
      </x:c>
      <x:c r="C18" s="6" t="str">
        <x:v>8.4.14</x:v>
      </x:c>
      <x:c r="D18" s="6" t="str">
        <x:v>isolation.tools.ghi.trayicon.disable</x:v>
      </x:c>
      <x:c r="E18" s="6" t="str">
        <x:v>TRUE</x:v>
      </x:c>
      <x:c r="F18" s="6" t="str">
        <x:v>VM advanced settings / VMX salt okunur exportu</x:v>
      </x:c>
      <x:c r="G18" s="6" t="n">
        <x:v>178</x:v>
      </x:c>
      <x:c r="H18" s="6" t="n">
        <x:v>179</x:v>
      </x:c>
    </x:row>
    <x:row r="19" ht="35" customHeight="1">
      <x:c r="A19" s="6" t="str">
        <x:v>ESX-069</x:v>
      </x:c>
      <x:c r="B19" s="6" t="str">
        <x:v>CIS-ESX7</x:v>
      </x:c>
      <x:c r="C19" s="6" t="str">
        <x:v>8.4.15</x:v>
      </x:c>
      <x:c r="D19" s="6" t="str">
        <x:v>isolation.tools.unity.disable</x:v>
      </x:c>
      <x:c r="E19" s="6" t="str">
        <x:v>TRUE</x:v>
      </x:c>
      <x:c r="F19" s="6" t="str">
        <x:v>VM advanced settings / VMX salt okunur exportu</x:v>
      </x:c>
      <x:c r="G19" s="6" t="n">
        <x:v>180</x:v>
      </x:c>
      <x:c r="H19" s="6" t="n">
        <x:v>181</x:v>
      </x:c>
    </x:row>
    <x:row r="20" ht="35" customHeight="1">
      <x:c r="A20" s="6" t="str">
        <x:v>ESX-069</x:v>
      </x:c>
      <x:c r="B20" s="6" t="str">
        <x:v>CIS-ESX7</x:v>
      </x:c>
      <x:c r="C20" s="6" t="str">
        <x:v>8.4.16</x:v>
      </x:c>
      <x:c r="D20" s="6" t="str">
        <x:v>isolation.tools.unityInterlockOperation.disable</x:v>
      </x:c>
      <x:c r="E20" s="6" t="str">
        <x:v>TRUE</x:v>
      </x:c>
      <x:c r="F20" s="6" t="str">
        <x:v>VM advanced settings / VMX salt okunur exportu</x:v>
      </x:c>
      <x:c r="G20" s="6" t="n">
        <x:v>182</x:v>
      </x:c>
      <x:c r="H20" s="6" t="n">
        <x:v>183</x:v>
      </x:c>
    </x:row>
    <x:row r="21" ht="35" customHeight="1">
      <x:c r="A21" s="6" t="str">
        <x:v>ESX-069</x:v>
      </x:c>
      <x:c r="B21" s="6" t="str">
        <x:v>CIS-ESX7</x:v>
      </x:c>
      <x:c r="C21" s="6" t="str">
        <x:v>8.4.17</x:v>
      </x:c>
      <x:c r="D21" s="6" t="str">
        <x:v>isolation.tools.getCreds.disable</x:v>
      </x:c>
      <x:c r="E21" s="6" t="str">
        <x:v>TRUE</x:v>
      </x:c>
      <x:c r="F21" s="6" t="str">
        <x:v>VM advanced settings / VMX salt okunur exportu</x:v>
      </x:c>
      <x:c r="G21" s="6" t="n">
        <x:v>184</x:v>
      </x:c>
      <x:c r="H21" s="6" t="n">
        <x:v>185</x:v>
      </x:c>
    </x:row>
    <x:row r="22" ht="35" customHeight="1">
      <x:c r="A22" s="6" t="str">
        <x:v>ESX-069</x:v>
      </x:c>
      <x:c r="B22" s="6" t="str">
        <x:v>CIS-ESX7</x:v>
      </x:c>
      <x:c r="C22" s="6" t="str">
        <x:v>8.4.18</x:v>
      </x:c>
      <x:c r="D22" s="6" t="str">
        <x:v>isolation.tools.hgfsServerSet.disable</x:v>
      </x:c>
      <x:c r="E22" s="6" t="str">
        <x:v>TRUE</x:v>
      </x:c>
      <x:c r="F22" s="6" t="str">
        <x:v>VM advanced settings / VMX salt okunur exportu</x:v>
      </x:c>
      <x:c r="G22" s="6" t="n">
        <x:v>186</x:v>
      </x:c>
      <x:c r="H22" s="6" t="n">
        <x:v>187</x:v>
      </x:c>
    </x:row>
    <x:row r="23" ht="35" customHeight="1">
      <x:c r="A23" s="6" t="str">
        <x:v>ESX-069</x:v>
      </x:c>
      <x:c r="B23" s="6" t="str">
        <x:v>CIS-ESX7</x:v>
      </x:c>
      <x:c r="C23" s="6" t="str">
        <x:v>8.4.19</x:v>
      </x:c>
      <x:c r="D23" s="6" t="str">
        <x:v>isolation.tools.ghi.launchmenu.change</x:v>
      </x:c>
      <x:c r="E23" s="6" t="str">
        <x:v>TRUE</x:v>
      </x:c>
      <x:c r="F23" s="6" t="str">
        <x:v>VM advanced settings / VMX salt okunur exportu</x:v>
      </x:c>
      <x:c r="G23" s="6" t="n">
        <x:v>188</x:v>
      </x:c>
      <x:c r="H23" s="6" t="n">
        <x:v>189</x:v>
      </x:c>
    </x:row>
    <x:row r="24" ht="35" customHeight="1">
      <x:c r="A24" s="6" t="str">
        <x:v>ESX-069</x:v>
      </x:c>
      <x:c r="B24" s="6" t="str">
        <x:v>CIS-ESX7</x:v>
      </x:c>
      <x:c r="C24" s="6" t="str">
        <x:v>8.4.20</x:v>
      </x:c>
      <x:c r="D24" s="6" t="str">
        <x:v>isolation.tools.memSchedFakeSampleStats.disable</x:v>
      </x:c>
      <x:c r="E24" s="6" t="str">
        <x:v>TRUE</x:v>
      </x:c>
      <x:c r="F24" s="6" t="str">
        <x:v>VM advanced settings / VMX salt okunur exportu</x:v>
      </x:c>
      <x:c r="G24" s="6" t="n">
        <x:v>190</x:v>
      </x:c>
      <x:c r="H24" s="6" t="n">
        <x:v>191</x:v>
      </x:c>
    </x:row>
    <x:row r="25" ht="35" customHeight="1">
      <x:c r="A25" s="6" t="str">
        <x:v>ESX-069</x:v>
      </x:c>
      <x:c r="B25" s="6" t="str">
        <x:v>CIS-ESX7</x:v>
      </x:c>
      <x:c r="C25" s="6" t="str">
        <x:v>8.4.23</x:v>
      </x:c>
      <x:c r="D25" s="6" t="str">
        <x:v>isolation.tools.setGUIOptions.enable</x:v>
      </x:c>
      <x:c r="E25" s="6" t="str">
        <x:v>FALSE veya ayar yok</x:v>
      </x:c>
      <x:c r="F25" s="6" t="str">
        <x:v>VM advanced settings / VMX salt okunur exportu</x:v>
      </x:c>
      <x:c r="G25" s="6" t="n">
        <x:v>196</x:v>
      </x:c>
      <x:c r="H25" s="6" t="n">
        <x:v>197</x:v>
      </x:c>
    </x:row>
    <x:row r="26" ht="35" customHeight="1">
      <x:c r="A26" s="6" t="str">
        <x:v>ESX-017</x:v>
      </x:c>
      <x:c r="B26" s="6" t="str">
        <x:v>CIS-ESX8</x:v>
      </x:c>
      <x:c r="C26" s="6" t="str">
        <x:v>2.11</x:v>
      </x:c>
      <x:c r="D26" s="6" t="str">
        <x:v>disableHwrng</x:v>
      </x:c>
      <x:c r="E26" s="6" t="str">
        <x:v>Yok veya FALSE; donanım desteği ayrıca</x:v>
      </x:c>
      <x:c r="F26" s="6" t="str">
        <x:v>Kernel etkin/yapılandırılmış ayarı</x:v>
      </x:c>
      <x:c r="G26" s="6" t="n">
        <x:v>66</x:v>
      </x:c>
      <x:c r="H26" s="6" t="n">
        <x:v>67</x:v>
      </x:c>
    </x:row>
    <x:row r="27" ht="35" customHeight="1">
      <x:c r="A27" s="6" t="str">
        <x:v>ESX-017</x:v>
      </x:c>
      <x:c r="B27" s="6" t="str">
        <x:v>CIS-ESX8</x:v>
      </x:c>
      <x:c r="C27" s="6" t="str">
        <x:v>2.12</x:v>
      </x:c>
      <x:c r="D27" s="6" t="str">
        <x:v>Mem.MemEagerZero</x:v>
      </x:c>
      <x:c r="E27" s="6" t="str">
        <x:v>1</x:v>
      </x:c>
      <x:c r="F27" s="6" t="str">
        <x:v>Host advanced setting</x:v>
      </x:c>
      <x:c r="G27" s="6" t="n">
        <x:v>68</x:v>
      </x:c>
      <x:c r="H27" s="6" t="n">
        <x:v>69</x:v>
      </x:c>
    </x:row>
    <x:row r="28" ht="35" customHeight="1">
      <x:c r="A28" s="6" t="str">
        <x:v>ESX-023</x:v>
      </x:c>
      <x:c r="B28" s="6" t="str">
        <x:v>CIS-ESX7</x:v>
      </x:c>
      <x:c r="C28" s="6" t="str">
        <x:v>4.2</x:v>
      </x:c>
      <x:c r="D28" s="6" t="str">
        <x:v>Security.PasswordQualityControl</x:v>
      </x:c>
      <x:c r="E28" s="6" t="str">
        <x:v>N0–N3 disabled; N4≥14</x:v>
      </x:c>
      <x:c r="F28" s="6" t="str">
        <x:v>Host advanced setting</x:v>
      </x:c>
      <x:c r="G28" s="6" t="n">
        <x:v>57</x:v>
      </x:c>
      <x:c r="H28" s="6" t="n">
        <x:v>58</x:v>
      </x:c>
    </x:row>
    <x:row r="29" ht="35" customHeight="1">
      <x:c r="A29" s="6" t="str">
        <x:v>ESX-023</x:v>
      </x:c>
      <x:c r="B29" s="6" t="str">
        <x:v>CIS-ESX8</x:v>
      </x:c>
      <x:c r="C29" s="6" t="str">
        <x:v>3.11</x:v>
      </x:c>
      <x:c r="D29" s="6" t="str">
        <x:v>Security.PasswordQualityControl</x:v>
      </x:c>
      <x:c r="E29" s="6" t="str">
        <x:v>N0–N3 disabled; N4≥15</x:v>
      </x:c>
      <x:c r="F29" s="6" t="str">
        <x:v>Host advanced setting</x:v>
      </x:c>
      <x:c r="G29" s="6" t="n">
        <x:v>91</x:v>
      </x:c>
      <x:c r="H29" s="6" t="n">
        <x:v>92</x:v>
      </x:c>
    </x:row>
  </x:sheetData>
  <x:pageMargins left="0.7" right="0.7" top="0.75" bottom="0.75" header="0.3" footer="0.3"/>
  <x:tableParts count="1">
    <x:tablePart xmlns:r="http://schemas.openxmlformats.org/officeDocument/2006/relationships" r:id="R568be0f2afec4628"/>
  </x:tableParts>
</x:worksheet>
</file>

<file path=xl/worksheets/sheet3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25" hidden="0" customWidth="1"/>
    <x:col min="3" max="3" width="42" hidden="0" customWidth="1"/>
    <x:col min="4" max="4" width="31" hidden="0" customWidth="1"/>
    <x:col min="5" max="5" width="112" hidden="0" customWidth="1"/>
    <x:col min="6" max="6" width="97" hidden="0" customWidth="1"/>
  </x:cols>
  <x:sheetData>
    <x:row r="1">
      <x:c r="A1" s="1"/>
      <x:c r="B1" s="1"/>
      <x:c r="C1" s="1"/>
      <x:c r="D1" s="1"/>
      <x:c r="E1" s="1"/>
      <x:c r="F1" s="1"/>
    </x:row>
    <x:row r="2" ht="29" customHeight="1">
      <x:c r="A2" s="2" t="str">
        <x:v>Birleştirme İzi</x:v>
      </x:c>
      <x:c r="B2" s="2"/>
      <x:c r="C2" s="2"/>
      <x:c r="D2" s="2"/>
      <x:c r="E2" s="2"/>
      <x:c r="F2" s="2"/>
    </x:row>
    <x:row r="3" ht="8" customHeight="1">
      <x:c r="A3" s="3"/>
      <x:c r="B3" s="3"/>
      <x:c r="C3" s="3"/>
      <x:c r="D3" s="3"/>
      <x:c r="E3" s="3"/>
      <x:c r="F3" s="3"/>
    </x:row>
    <x:row r="4" ht="24" customHeight="1">
      <x:c r="A4" s="4" t="str">
        <x:v>A: 319 soru. V6: 408 soru. Köken tablosu; eski metin veya kanıt talebi yeni kabul ölçütünün yerine geçmez.</x:v>
      </x:c>
      <x:c r="B4" s="4"/>
      <x:c r="C4" s="4"/>
      <x:c r="D4" s="4"/>
      <x:c r="E4" s="4"/>
      <x:c r="F4" s="4"/>
    </x:row>
    <x:row r="5" ht="36" customHeight="1">
      <x:c r="A5" s="10" t="str">
        <x:v>Kaynak set</x:v>
      </x:c>
      <x:c r="B5" s="10" t="str">
        <x:v>Eski soru ID</x:v>
      </x:c>
      <x:c r="C5" s="10" t="str">
        <x:v>Yeni kontrol ID</x:v>
      </x:c>
      <x:c r="D5" s="10" t="str">
        <x:v>Karar</x:v>
      </x:c>
      <x:c r="E5" s="10" t="str">
        <x:v>Kararın gerekçesi</x:v>
      </x:c>
      <x:c r="F5" s="10" t="str">
        <x:v>Eski ek kanıt talebi</x:v>
      </x:c>
    </x:row>
    <x:row r="6" ht="40" customHeight="1">
      <x:c r="A6" s="6" t="str">
        <x:v>V6</x:v>
      </x:c>
      <x:c r="B6" s="6" t="str">
        <x:v>MSP-K20/S02</x:v>
      </x:c>
      <x:c r="C6" s="6" t="str"/>
      <x:c r="D6" s="6" t="str">
        <x:v>Doğrulama bekliyor</x:v>
      </x:c>
      <x:c r="E6" s="6" t="str">
        <x:v>Güncel resmî BDDK konsolide metni doğrulanamadı; Md.25 ülke zorunluluğuna ilişkin uygunluk sorusu aktif setten çıkarıldı. Konum envanteri GNL-20-01 ve GNL-02-04 ile sürer.</x:v>
      </x:c>
      <x:c r="F6" s="6" t="str">
        <x:v>Müşteri sınıflandırması, mimari yerleşim, hukuk/uyum değerlendirmesi</x:v>
      </x:c>
    </x:row>
    <x:row r="7" ht="40" customHeight="1">
      <x:c r="A7" s="6" t="str">
        <x:v>V6</x:v>
      </x:c>
      <x:c r="B7" s="6" t="str">
        <x:v>MSP-K26/S02</x:v>
      </x:c>
      <x:c r="C7" s="6" t="str"/>
      <x:c r="D7" s="6" t="str">
        <x:v>Doğrulama bekliyor</x:v>
      </x:c>
      <x:c r="E7" s="6" t="str">
        <x:v>Güncel BDDK Md.18/7 metni doğrulanamadı; yasal yıllık sıklık iddiası aktif setten çıkarıldı. Risk temelli sızma testi GNL-19-02 ile sürer.</x:v>
      </x:c>
      <x:c r="F7" s="6" t="str">
        <x:v>Sızma testi planı ve raporu, kapsam listesi</x:v>
      </x:c>
    </x:row>
    <x:row r="8" ht="40" customHeight="1">
      <x:c r="A8" s="6" t="str">
        <x:v>V6</x:v>
      </x:c>
      <x:c r="B8" s="6" t="str">
        <x:v>MSP-K01/S01</x:v>
      </x:c>
      <x:c r="C8" s="6" t="str">
        <x:v>GNL-01-01</x:v>
      </x:c>
      <x:c r="D8" s="6" t="str">
        <x:v>Yeniden kaynaklandırıldı</x:v>
      </x:c>
      <x:c r="E8" s="6" t="str">
        <x:v>NIST kontrol amacı kullanıldı; doğrulanmamış BDDK/ISO/CIS Controls çapraz atıfları ve sabit örneklem sayıları taşınmadı.</x:v>
      </x:c>
      <x:c r="F8" s="6" t="str">
        <x:v>Hizmet kataloğu, RACI, yönetim onayı</x:v>
      </x:c>
    </x:row>
    <x:row r="9" ht="40" customHeight="1">
      <x:c r="A9" s="6" t="str">
        <x:v>V6</x:v>
      </x:c>
      <x:c r="B9" s="6" t="str">
        <x:v>MSP-K01/S02</x:v>
      </x:c>
      <x:c r="C9" s="6" t="str">
        <x:v>GNL-01-02</x:v>
      </x:c>
      <x:c r="D9" s="6" t="str">
        <x:v>Yeniden kaynaklandırıldı</x:v>
      </x:c>
      <x:c r="E9" s="6" t="str">
        <x:v>NIST kontrol amacı kullanıldı; doğrulanmamış BDDK/ISO/CIS Controls çapraz atıfları ve sabit örneklem sayıları taşınmadı.</x:v>
      </x:c>
      <x:c r="F9" s="6" t="str">
        <x:v>Politika seti, revizyon ve onay kayıtları</x:v>
      </x:c>
    </x:row>
    <x:row r="10" ht="40" customHeight="1">
      <x:c r="A10" s="6" t="str">
        <x:v>V6</x:v>
      </x:c>
      <x:c r="B10" s="6" t="str">
        <x:v>MSP-K01/S03</x:v>
      </x:c>
      <x:c r="C10" s="6" t="str">
        <x:v>GNL-01-03</x:v>
      </x:c>
      <x:c r="D10" s="6" t="str">
        <x:v>Yeniden kaynaklandırıldı</x:v>
      </x:c>
      <x:c r="E10" s="6" t="str">
        <x:v>NIST kontrol amacı kullanıldı; doğrulanmamış BDDK/ISO/CIS Controls çapraz atıfları ve sabit örneklem sayıları taşınmadı.</x:v>
      </x:c>
      <x:c r="F10" s="6" t="str">
        <x:v>Paylaşılan sorumluluk matrisi, sözleşme ekleri</x:v>
      </x:c>
    </x:row>
    <x:row r="11" ht="40" customHeight="1">
      <x:c r="A11" s="6" t="str">
        <x:v>V6</x:v>
      </x:c>
      <x:c r="B11" s="6" t="str">
        <x:v>MSP-K01/S04</x:v>
      </x:c>
      <x:c r="C11" s="6" t="str">
        <x:v>GNL-01-04</x:v>
      </x:c>
      <x:c r="D11" s="6" t="str">
        <x:v>Yeniden kaynaklandırıldı</x:v>
      </x:c>
      <x:c r="E11" s="6" t="str">
        <x:v>NIST kontrol amacı kullanıldı; doğrulanmamış BDDK/ISO/CIS Controls çapraz atıfları ve sabit örneklem sayıları taşınmadı.</x:v>
      </x:c>
      <x:c r="F11" s="6" t="str">
        <x:v>Komite gündem/tutanakları, KPI/KRI raporları</x:v>
      </x:c>
    </x:row>
    <x:row r="12" ht="40" customHeight="1">
      <x:c r="A12" s="6" t="str">
        <x:v>V6</x:v>
      </x:c>
      <x:c r="B12" s="6" t="str">
        <x:v>MSP-K01/S05</x:v>
      </x:c>
      <x:c r="C12" s="6" t="str">
        <x:v>GNL-01-05</x:v>
      </x:c>
      <x:c r="D12" s="6" t="str">
        <x:v>Yeniden kaynaklandırıldı</x:v>
      </x:c>
      <x:c r="E12" s="6" t="str">
        <x:v>NIST kontrol amacı kullanıldı; doğrulanmamış BDDK/ISO/CIS Controls çapraz atıfları ve sabit örneklem sayıları taşınmadı.</x:v>
      </x:c>
      <x:c r="F12" s="6" t="str">
        <x:v>Organizasyon şeması, görev tanımları, denetim evreni</x:v>
      </x:c>
    </x:row>
    <x:row r="13" ht="40" customHeight="1">
      <x:c r="A13" s="6" t="str">
        <x:v>V6</x:v>
      </x:c>
      <x:c r="B13" s="6" t="str">
        <x:v>MSP-K01/S06</x:v>
      </x:c>
      <x:c r="C13" s="6" t="str">
        <x:v>GNL-01-06</x:v>
      </x:c>
      <x:c r="D13" s="6" t="str">
        <x:v>Yeniden kaynaklandırıldı</x:v>
      </x:c>
      <x:c r="E13" s="6" t="str">
        <x:v>NIST kontrol amacı kullanıldı; doğrulanmamış BDDK/ISO/CIS Controls çapraz atıfları ve sabit örneklem sayıları taşınmadı.</x:v>
      </x:c>
      <x:c r="F13" s="6" t="str">
        <x:v>KPI/KRI kataloğu, örnek rapor ve ham veri</x:v>
      </x:c>
    </x:row>
    <x:row r="14" ht="40" customHeight="1">
      <x:c r="A14" s="6" t="str">
        <x:v>V6</x:v>
      </x:c>
      <x:c r="B14" s="6" t="str">
        <x:v>MSP-K02/S01</x:v>
      </x:c>
      <x:c r="C14" s="6" t="str">
        <x:v>GNL-02-01</x:v>
      </x:c>
      <x:c r="D14" s="6" t="str">
        <x:v>Yeniden kaynaklandırıldı</x:v>
      </x:c>
      <x:c r="E14" s="6" t="str">
        <x:v>NIST kontrol amacı kullanıldı; doğrulanmamış BDDK/ISO/CIS Controls çapraz atıfları ve sabit örneklem sayıları taşınmadı.</x:v>
      </x:c>
      <x:c r="F14" s="6" t="str">
        <x:v>CMDB/varlık envanteri dışa aktarımı</x:v>
      </x:c>
    </x:row>
    <x:row r="15" ht="40" customHeight="1">
      <x:c r="A15" s="6" t="str">
        <x:v>V6</x:v>
      </x:c>
      <x:c r="B15" s="6" t="str">
        <x:v>MSP-K02/S02</x:v>
      </x:c>
      <x:c r="C15" s="6" t="str">
        <x:v>GNL-02-02</x:v>
      </x:c>
      <x:c r="D15" s="6" t="str">
        <x:v>Yeniden kaynaklandırıldı</x:v>
      </x:c>
      <x:c r="E15" s="6" t="str">
        <x:v>NIST kontrol amacı kullanıldı; doğrulanmamış BDDK/ISO/CIS Controls çapraz atıfları ve sabit örneklem sayıları taşınmadı.</x:v>
      </x:c>
      <x:c r="F15" s="6" t="str">
        <x:v>Müşteri-hizmet eşleşme matrisi, platform exportları</x:v>
      </x:c>
    </x:row>
    <x:row r="16" ht="40" customHeight="1">
      <x:c r="A16" s="6" t="str">
        <x:v>V6</x:v>
      </x:c>
      <x:c r="B16" s="6" t="str">
        <x:v>MSP-K02/S03</x:v>
      </x:c>
      <x:c r="C16" s="6" t="str">
        <x:v>GNL-02-03</x:v>
      </x:c>
      <x:c r="D16" s="6" t="str">
        <x:v>Yeniden kaynaklandırıldı</x:v>
      </x:c>
      <x:c r="E16" s="6" t="str">
        <x:v>NIST kontrol amacı kullanıldı; doğrulanmamış BDDK/ISO/CIS Controls çapraz atıfları ve sabit örneklem sayıları taşınmadı.</x:v>
      </x:c>
      <x:c r="F16" s="6" t="str">
        <x:v>Dış yüzey envanteri, DNS/sertifika/port taraması</x:v>
      </x:c>
    </x:row>
    <x:row r="17" ht="40" customHeight="1">
      <x:c r="A17" s="6" t="str">
        <x:v>V6</x:v>
      </x:c>
      <x:c r="B17" s="6" t="str">
        <x:v>MSP-K02/S04</x:v>
      </x:c>
      <x:c r="C17" s="6" t="str">
        <x:v>GNL-02-04</x:v>
      </x:c>
      <x:c r="D17" s="6" t="str">
        <x:v>Yeniden kaynaklandırıldı</x:v>
      </x:c>
      <x:c r="E17" s="6" t="str">
        <x:v>NIST kontrol amacı kullanıldı; doğrulanmamış BDDK/ISO/CIS Controls çapraz atıfları ve sabit örneklem sayıları taşınmadı.</x:v>
      </x:c>
      <x:c r="F17" s="6" t="str">
        <x:v>Ağ/veri akış diyagramı, veri işleme envanteri</x:v>
      </x:c>
    </x:row>
    <x:row r="18" ht="40" customHeight="1">
      <x:c r="A18" s="6" t="str">
        <x:v>V6</x:v>
      </x:c>
      <x:c r="B18" s="6" t="str">
        <x:v>MSP-K03/S01</x:v>
      </x:c>
      <x:c r="C18" s="6" t="str">
        <x:v>GNL-03-01</x:v>
      </x:c>
      <x:c r="D18" s="6" t="str">
        <x:v>Yeniden kaynaklandırıldı</x:v>
      </x:c>
      <x:c r="E18" s="6" t="str">
        <x:v>NIST kontrol amacı kullanıldı; doğrulanmamış BDDK/ISO/CIS Controls çapraz atıfları ve sabit örneklem sayıları taşınmadı.</x:v>
      </x:c>
      <x:c r="F18" s="6" t="str">
        <x:v>İzolasyon standardı ve kontrol matrisi</x:v>
      </x:c>
    </x:row>
    <x:row r="19" ht="40" customHeight="1">
      <x:c r="A19" s="6" t="str">
        <x:v>V6</x:v>
      </x:c>
      <x:c r="B19" s="6" t="str">
        <x:v>MSP-K03/S02</x:v>
      </x:c>
      <x:c r="C19" s="6" t="str">
        <x:v>GNL-03-02</x:v>
      </x:c>
      <x:c r="D19" s="6" t="str">
        <x:v>Yeniden kaynaklandırıldı</x:v>
      </x:c>
      <x:c r="E19" s="6" t="str">
        <x:v>NIST kontrol amacı kullanıldı; doğrulanmamış BDDK/ISO/CIS Controls çapraz atıfları ve sabit örneklem sayıları taşınmadı.</x:v>
      </x:c>
      <x:c r="F19" s="6" t="str">
        <x:v>Cross-tenant negatif test planı ve sonuçları</x:v>
      </x:c>
    </x:row>
    <x:row r="20" ht="40" customHeight="1">
      <x:c r="A20" s="6" t="str">
        <x:v>V6</x:v>
      </x:c>
      <x:c r="B20" s="6" t="str">
        <x:v>MSP-K03/S03</x:v>
      </x:c>
      <x:c r="C20" s="6" t="str">
        <x:v>GNL-05-02</x:v>
      </x:c>
      <x:c r="D20" s="6" t="str">
        <x:v>Birleştirildi</x:v>
      </x:c>
      <x:c r="E20" s="6" t="str">
        <x:v>NIST kontrol amacı kullanıldı; doğrulanmamış BDDK/ISO/CIS Controls çapraz atıfları ve sabit örneklem sayıları taşınmadı.</x:v>
      </x:c>
      <x:c r="F20" s="6" t="str">
        <x:v>Yetki matrisi ve platform rol exportları</x:v>
      </x:c>
    </x:row>
    <x:row r="21" ht="40" customHeight="1">
      <x:c r="A21" s="6" t="str">
        <x:v>V6</x:v>
      </x:c>
      <x:c r="B21" s="6" t="str">
        <x:v>MSP-K03/S04</x:v>
      </x:c>
      <x:c r="C21" s="6" t="str">
        <x:v>GNL-03-04</x:v>
      </x:c>
      <x:c r="D21" s="6" t="str">
        <x:v>Yeniden kaynaklandırıldı</x:v>
      </x:c>
      <x:c r="E21" s="6" t="str">
        <x:v>NIST kontrol amacı kullanıldı; doğrulanmamış BDDK/ISO/CIS Controls çapraz atıfları ve sabit örneklem sayıları taşınmadı.</x:v>
      </x:c>
      <x:c r="F21" s="6" t="str">
        <x:v>Rapor şablonları, örnek exportlar, test kayıtları</x:v>
      </x:c>
    </x:row>
    <x:row r="22" ht="40" customHeight="1">
      <x:c r="A22" s="6" t="str">
        <x:v>V6</x:v>
      </x:c>
      <x:c r="B22" s="6" t="str">
        <x:v>MSP-K03/S05</x:v>
      </x:c>
      <x:c r="C22" s="6" t="str">
        <x:v>GNL-05-02</x:v>
      </x:c>
      <x:c r="D22" s="6" t="str">
        <x:v>Birleştirildi</x:v>
      </x:c>
      <x:c r="E22" s="6" t="str">
        <x:v>NIST kontrol amacı kullanıldı; doğrulanmamış BDDK/ISO/CIS Controls çapraz atıfları ve sabit örneklem sayıları taşınmadı.</x:v>
      </x:c>
      <x:c r="F22" s="6" t="str">
        <x:v>PAM/jump/otomasyon yetki exportu ve oturum kaydı</x:v>
      </x:c>
    </x:row>
    <x:row r="23" ht="40" customHeight="1">
      <x:c r="A23" s="6" t="str">
        <x:v>V6</x:v>
      </x:c>
      <x:c r="B23" s="6" t="str">
        <x:v>MSP-K04/S01</x:v>
      </x:c>
      <x:c r="C23" s="6" t="str">
        <x:v>GNL-04-01</x:v>
      </x:c>
      <x:c r="D23" s="6" t="str">
        <x:v>Yeniden kaynaklandırıldı</x:v>
      </x:c>
      <x:c r="E23" s="6" t="str">
        <x:v>NIST kontrol amacı kullanıldı; doğrulanmamış BDDK/ISO/CIS Controls çapraz atıfları ve sabit örneklem sayıları taşınmadı.</x:v>
      </x:c>
      <x:c r="F23" s="6" t="str">
        <x:v>Hesap envanteri ve platform exportları</x:v>
      </x:c>
    </x:row>
    <x:row r="24" ht="40" customHeight="1">
      <x:c r="A24" s="6" t="str">
        <x:v>V6</x:v>
      </x:c>
      <x:c r="B24" s="6" t="str">
        <x:v>MSP-K04/S02</x:v>
      </x:c>
      <x:c r="C24" s="6" t="str">
        <x:v>GNL-04-02</x:v>
      </x:c>
      <x:c r="D24" s="6" t="str">
        <x:v>Yeniden kaynaklandırıldı</x:v>
      </x:c>
      <x:c r="E24" s="6" t="str">
        <x:v>NIST kontrol amacı kullanıldı; doğrulanmamış BDDK/ISO/CIS Controls çapraz atıfları ve sabit örneklem sayıları taşınmadı.</x:v>
      </x:c>
      <x:c r="F24" s="6" t="str">
        <x:v>JML prosedürü, biletler, HR/IGA ve sistem kayıtları</x:v>
      </x:c>
    </x:row>
    <x:row r="25" ht="40" customHeight="1">
      <x:c r="A25" s="6" t="str">
        <x:v>V6</x:v>
      </x:c>
      <x:c r="B25" s="6" t="str">
        <x:v>MSP-K04/S03</x:v>
      </x:c>
      <x:c r="C25" s="6" t="str">
        <x:v>GNL-04-03</x:v>
      </x:c>
      <x:c r="D25" s="6" t="str">
        <x:v>Yeniden kaynaklandırıldı</x:v>
      </x:c>
      <x:c r="E25" s="6" t="str">
        <x:v>NIST kontrol amacı kullanıldı; doğrulanmamış BDDK/ISO/CIS Controls çapraz atıfları ve sabit örneklem sayıları taşınmadı.</x:v>
      </x:c>
      <x:c r="F25" s="6" t="str">
        <x:v>Hesap listesi, istisna kayıtları, kasa logları</x:v>
      </x:c>
    </x:row>
    <x:row r="26" ht="40" customHeight="1">
      <x:c r="A26" s="6" t="str">
        <x:v>V6</x:v>
      </x:c>
      <x:c r="B26" s="6" t="str">
        <x:v>MSP-K04/S04</x:v>
      </x:c>
      <x:c r="C26" s="6" t="str">
        <x:v>GNL-04-04</x:v>
      </x:c>
      <x:c r="D26" s="6" t="str">
        <x:v>Yeniden kaynaklandırıldı</x:v>
      </x:c>
      <x:c r="E26" s="6" t="str">
        <x:v>NIST kontrol amacı kullanıldı; doğrulanmamış BDDK/ISO/CIS Controls çapraz atıfları ve sabit örneklem sayıları taşınmadı.</x:v>
      </x:c>
      <x:c r="F26" s="6" t="str">
        <x:v>Erişim gözden geçirme kampanyası ve kapanış kayıtları</x:v>
      </x:c>
    </x:row>
    <x:row r="27" ht="40" customHeight="1">
      <x:c r="A27" s="6" t="str">
        <x:v>V6</x:v>
      </x:c>
      <x:c r="B27" s="6" t="str">
        <x:v>MSP-K04/S05</x:v>
      </x:c>
      <x:c r="C27" s="6" t="str">
        <x:v>GNL-04-05</x:v>
      </x:c>
      <x:c r="D27" s="6" t="str">
        <x:v>Yeniden kaynaklandırıldı</x:v>
      </x:c>
      <x:c r="E27" s="6" t="str">
        <x:v>NIST kontrol amacı kullanıldı; doğrulanmamış BDDK/ISO/CIS Controls çapraz atıfları ve sabit örneklem sayıları taşınmadı.</x:v>
      </x:c>
      <x:c r="F27" s="6" t="str">
        <x:v>Servis hesabı envanteri, politika ve erişim logları</x:v>
      </x:c>
    </x:row>
    <x:row r="28" ht="40" customHeight="1">
      <x:c r="A28" s="6" t="str">
        <x:v>V6</x:v>
      </x:c>
      <x:c r="B28" s="6" t="str">
        <x:v>MSP-K05/S01</x:v>
      </x:c>
      <x:c r="C28" s="6" t="str">
        <x:v>GNL-05-01</x:v>
      </x:c>
      <x:c r="D28" s="6" t="str">
        <x:v>Yeniden kaynaklandırıldı</x:v>
      </x:c>
      <x:c r="E28" s="6" t="str">
        <x:v>NIST kontrol amacı kullanıldı; doğrulanmamış BDDK/ISO/CIS Controls çapraz atıfları ve sabit örneklem sayıları taşınmadı.</x:v>
      </x:c>
      <x:c r="F28" s="6" t="str">
        <x:v>Kimlik sağlayıcı/MFA politikası ve örnek giriş logları</x:v>
      </x:c>
    </x:row>
    <x:row r="29" ht="40" customHeight="1">
      <x:c r="A29" s="6" t="str">
        <x:v>V6</x:v>
      </x:c>
      <x:c r="B29" s="6" t="str">
        <x:v>MSP-K05/S02</x:v>
      </x:c>
      <x:c r="C29" s="6" t="str">
        <x:v>GNL-05-02</x:v>
      </x:c>
      <x:c r="D29" s="6" t="str">
        <x:v>Yeniden kaynaklandırıldı</x:v>
      </x:c>
      <x:c r="E29" s="6" t="str">
        <x:v>NIST kontrol amacı kullanıldı; doğrulanmamış BDDK/ISO/CIS Controls çapraz atıfları ve sabit örneklem sayıları taşınmadı.</x:v>
      </x:c>
      <x:c r="F29" s="6" t="str">
        <x:v>PAM kayıtları, erişim biletleri, platform logları</x:v>
      </x:c>
    </x:row>
    <x:row r="30" ht="40" customHeight="1">
      <x:c r="A30" s="6" t="str">
        <x:v>V6</x:v>
      </x:c>
      <x:c r="B30" s="6" t="str">
        <x:v>MSP-K05/S03</x:v>
      </x:c>
      <x:c r="C30" s="6" t="str">
        <x:v>GNL-05-03</x:v>
      </x:c>
      <x:c r="D30" s="6" t="str">
        <x:v>Yeniden kaynaklandırıldı</x:v>
      </x:c>
      <x:c r="E30" s="6" t="str">
        <x:v>NIST kontrol amacı kullanıldı; doğrulanmamış BDDK/ISO/CIS Controls çapraz atıfları ve sabit örneklem sayıları taşınmadı.</x:v>
      </x:c>
      <x:c r="F30" s="6" t="str">
        <x:v>Break-glass prosedürü, kasa ve alarm kayıtları</x:v>
      </x:c>
    </x:row>
    <x:row r="31" ht="40" customHeight="1">
      <x:c r="A31" s="6" t="str">
        <x:v>V6</x:v>
      </x:c>
      <x:c r="B31" s="6" t="str">
        <x:v>MSP-K05/S04</x:v>
      </x:c>
      <x:c r="C31" s="6" t="str">
        <x:v>GNL-05-04</x:v>
      </x:c>
      <x:c r="D31" s="6" t="str">
        <x:v>Yeniden kaynaklandırıldı</x:v>
      </x:c>
      <x:c r="E31" s="6" t="str">
        <x:v>NIST kontrol amacı kullanıldı; doğrulanmamış BDDK/ISO/CIS Controls çapraz atıfları ve sabit örneklem sayıları taşınmadı.</x:v>
      </x:c>
      <x:c r="F31" s="6" t="str">
        <x:v>PAM oturum kaydı, platform audit logu, yetki ayarları</x:v>
      </x:c>
    </x:row>
    <x:row r="32" ht="40" customHeight="1">
      <x:c r="A32" s="6" t="str">
        <x:v>V6</x:v>
      </x:c>
      <x:c r="B32" s="6" t="str">
        <x:v>MSP-K05/S05</x:v>
      </x:c>
      <x:c r="C32" s="6" t="str">
        <x:v>GNL-01-05</x:v>
      </x:c>
      <x:c r="D32" s="6" t="str">
        <x:v>Birleştirildi</x:v>
      </x:c>
      <x:c r="E32" s="6" t="str">
        <x:v>NIST kontrol amacı kullanıldı; doğrulanmamış BDDK/ISO/CIS Controls çapraz atıfları ve sabit örneklem sayıları taşınmadı.</x:v>
      </x:c>
      <x:c r="F32" s="6" t="str">
        <x:v>SoD matrisi, rol exportları, onay akışları</x:v>
      </x:c>
    </x:row>
    <x:row r="33" ht="40" customHeight="1">
      <x:c r="A33" s="6" t="str">
        <x:v>V6</x:v>
      </x:c>
      <x:c r="B33" s="6" t="str">
        <x:v>MSP-K06/S01</x:v>
      </x:c>
      <x:c r="C33" s="6" t="str">
        <x:v>GNL-06-01</x:v>
      </x:c>
      <x:c r="D33" s="6" t="str">
        <x:v>Yeniden kaynaklandırıldı</x:v>
      </x:c>
      <x:c r="E33" s="6" t="str">
        <x:v>NIST kontrol amacı kullanıldı; doğrulanmamış BDDK/ISO/CIS Controls çapraz atıfları ve sabit örneklem sayıları taşınmadı.</x:v>
      </x:c>
      <x:c r="F33" s="6" t="str">
        <x:v>Baseline dokümanı, CIS-CAT/uyum taraması veya eşdeğer rapor</x:v>
      </x:c>
    </x:row>
    <x:row r="34" ht="40" customHeight="1">
      <x:c r="A34" s="6" t="str">
        <x:v>V6</x:v>
      </x:c>
      <x:c r="B34" s="6" t="str">
        <x:v>MSP-K06/S02</x:v>
      </x:c>
      <x:c r="C34" s="6" t="str">
        <x:v>GNL-06-02</x:v>
      </x:c>
      <x:c r="D34" s="6" t="str">
        <x:v>Yeniden kaynaklandırıldı</x:v>
      </x:c>
      <x:c r="E34" s="6" t="str">
        <x:v>NIST kontrol amacı kullanıldı; doğrulanmamış BDDK/ISO/CIS Controls çapraz atıfları ve sabit örneklem sayıları taşınmadı.</x:v>
      </x:c>
      <x:c r="F34" s="6" t="str">
        <x:v>Sapma raporu, risk kabul/istisna kayıtları</x:v>
      </x:c>
    </x:row>
    <x:row r="35" ht="40" customHeight="1">
      <x:c r="A35" s="6" t="str">
        <x:v>V6</x:v>
      </x:c>
      <x:c r="B35" s="6" t="str">
        <x:v>MSP-K06/S03</x:v>
      </x:c>
      <x:c r="C35" s="6" t="str">
        <x:v>GNL-06-03</x:v>
      </x:c>
      <x:c r="D35" s="6" t="str">
        <x:v>Yeniden kaynaklandırıldı</x:v>
      </x:c>
      <x:c r="E35" s="6" t="str">
        <x:v>NIST kontrol amacı kullanıldı; doğrulanmamış BDDK/ISO/CIS Controls çapraz atıfları ve sabit örneklem sayıları taşınmadı.</x:v>
      </x:c>
      <x:c r="F35" s="6" t="str">
        <x:v>Yapılandırma exportu ve port/servis doğrulaması</x:v>
      </x:c>
    </x:row>
    <x:row r="36" ht="40" customHeight="1">
      <x:c r="A36" s="6" t="str">
        <x:v>V6</x:v>
      </x:c>
      <x:c r="B36" s="6" t="str">
        <x:v>MSP-K07/S01</x:v>
      </x:c>
      <x:c r="C36" s="6" t="str">
        <x:v>GNL-07-01</x:v>
      </x:c>
      <x:c r="D36" s="6" t="str">
        <x:v>Yeniden kaynaklandırıldı</x:v>
      </x:c>
      <x:c r="E36" s="6" t="str">
        <x:v>NIST kontrol amacı kullanıldı; doğrulanmamış BDDK/ISO/CIS Controls çapraz atıfları ve sabit örneklem sayıları taşınmadı.</x:v>
      </x:c>
      <x:c r="F36" s="6" t="str">
        <x:v>Değişiklik kayıtları ve platform audit logları</x:v>
      </x:c>
    </x:row>
    <x:row r="37" ht="40" customHeight="1">
      <x:c r="A37" s="6" t="str">
        <x:v>V6</x:v>
      </x:c>
      <x:c r="B37" s="6" t="str">
        <x:v>MSP-K07/S02</x:v>
      </x:c>
      <x:c r="C37" s="6" t="str">
        <x:v>GNL-07-02</x:v>
      </x:c>
      <x:c r="D37" s="6" t="str">
        <x:v>Yeniden kaynaklandırıldı</x:v>
      </x:c>
      <x:c r="E37" s="6" t="str">
        <x:v>NIST kontrol amacı kullanıldı; doğrulanmamış BDDK/ISO/CIS Controls çapraz atıfları ve sabit örneklem sayıları taşınmadı.</x:v>
      </x:c>
      <x:c r="F37" s="6" t="str">
        <x:v>Acil değişiklik listesi ve PIR kayıtları</x:v>
      </x:c>
    </x:row>
    <x:row r="38" ht="40" customHeight="1">
      <x:c r="A38" s="6" t="str">
        <x:v>V6</x:v>
      </x:c>
      <x:c r="B38" s="6" t="str">
        <x:v>MSP-K07/S03</x:v>
      </x:c>
      <x:c r="C38" s="6" t="str">
        <x:v>GNL-07-03</x:v>
      </x:c>
      <x:c r="D38" s="6" t="str">
        <x:v>Yeniden kaynaklandırıldı</x:v>
      </x:c>
      <x:c r="E38" s="6" t="str">
        <x:v>NIST kontrol amacı kullanıldı; doğrulanmamış BDDK/ISO/CIS Controls çapraz atıfları ve sabit örneklem sayıları taşınmadı.</x:v>
      </x:c>
      <x:c r="F38" s="6" t="str">
        <x:v>Config revision/diff, yedek ve geri dönüş testi</x:v>
      </x:c>
    </x:row>
    <x:row r="39" ht="40" customHeight="1">
      <x:c r="A39" s="6" t="str">
        <x:v>V6</x:v>
      </x:c>
      <x:c r="B39" s="6" t="str">
        <x:v>MSP-K08/S01</x:v>
      </x:c>
      <x:c r="C39" s="6" t="str">
        <x:v>GNL-08-01</x:v>
      </x:c>
      <x:c r="D39" s="6" t="str">
        <x:v>Yeniden kaynaklandırıldı</x:v>
      </x:c>
      <x:c r="E39" s="6" t="str">
        <x:v>NIST kontrol amacı kullanıldı; doğrulanmamış BDDK/ISO/CIS Controls çapraz atıfları ve sabit örneklem sayıları taşınmadı.</x:v>
      </x:c>
      <x:c r="F39" s="6" t="str">
        <x:v>Advisory kayıtları, zafiyet biletleri, SLA raporu</x:v>
      </x:c>
    </x:row>
    <x:row r="40" ht="40" customHeight="1">
      <x:c r="A40" s="6" t="str">
        <x:v>V6</x:v>
      </x:c>
      <x:c r="B40" s="6" t="str">
        <x:v>MSP-K08/S02</x:v>
      </x:c>
      <x:c r="C40" s="6" t="str">
        <x:v>GNL-08-02</x:v>
      </x:c>
      <x:c r="D40" s="6" t="str">
        <x:v>Yeniden kaynaklandırıldı</x:v>
      </x:c>
      <x:c r="E40" s="6" t="str">
        <x:v>NIST kontrol amacı kullanıldı; doğrulanmamış BDDK/ISO/CIS Controls çapraz atıfları ve sabit örneklem sayıları taşınmadı.</x:v>
      </x:c>
      <x:c r="F40" s="6" t="str">
        <x:v>Zafiyet yaşlandırma raporu, bilet ve istisnalar</x:v>
      </x:c>
    </x:row>
    <x:row r="41" ht="40" customHeight="1">
      <x:c r="A41" s="6" t="str">
        <x:v>V6</x:v>
      </x:c>
      <x:c r="B41" s="6" t="str">
        <x:v>MSP-K08/S03</x:v>
      </x:c>
      <x:c r="C41" s="6" t="str">
        <x:v>GNL-08-03</x:v>
      </x:c>
      <x:c r="D41" s="6" t="str">
        <x:v>Yeniden kaynaklandırıldı</x:v>
      </x:c>
      <x:c r="E41" s="6" t="str">
        <x:v>NIST kontrol amacı kullanıldı; doğrulanmamış BDDK/ISO/CIS Controls çapraz atıfları ve sabit örneklem sayıları taşınmadı.</x:v>
      </x:c>
      <x:c r="F41" s="6" t="str">
        <x:v>Destek matrisi, EOL listesi, dönüşüm planı</x:v>
      </x:c>
    </x:row>
    <x:row r="42" ht="40" customHeight="1">
      <x:c r="A42" s="6" t="str">
        <x:v>V6</x:v>
      </x:c>
      <x:c r="B42" s="6" t="str">
        <x:v>MSP-K08/S04</x:v>
      </x:c>
      <x:c r="C42" s="6" t="str">
        <x:v>GNL-08-04</x:v>
      </x:c>
      <x:c r="D42" s="6" t="str">
        <x:v>Yeniden kaynaklandırıldı</x:v>
      </x:c>
      <x:c r="E42" s="6" t="str">
        <x:v>NIST kontrol amacı kullanıldı; doğrulanmamış BDDK/ISO/CIS Controls çapraz atıfları ve sabit örneklem sayıları taşınmadı.</x:v>
      </x:c>
      <x:c r="F42" s="6" t="str">
        <x:v>Test sonuçları, değişiklik ve izleme kayıtları</x:v>
      </x:c>
    </x:row>
    <x:row r="43" ht="40" customHeight="1">
      <x:c r="A43" s="6" t="str">
        <x:v>V6</x:v>
      </x:c>
      <x:c r="B43" s="6" t="str">
        <x:v>MSP-K09/S01</x:v>
      </x:c>
      <x:c r="C43" s="6" t="str">
        <x:v>GNL-09-01</x:v>
      </x:c>
      <x:c r="D43" s="6" t="str">
        <x:v>Yeniden kaynaklandırıldı</x:v>
      </x:c>
      <x:c r="E43" s="6" t="str">
        <x:v>NIST kontrol amacı kullanıldı; doğrulanmamış BDDK/ISO/CIS Controls çapraz atıfları ve sabit örneklem sayıları taşınmadı.</x:v>
      </x:c>
      <x:c r="F43" s="6" t="str">
        <x:v>Log standardı ve ürün-kaynak matrisi</x:v>
      </x:c>
    </x:row>
    <x:row r="44" ht="40" customHeight="1">
      <x:c r="A44" s="6" t="str">
        <x:v>V6</x:v>
      </x:c>
      <x:c r="B44" s="6" t="str">
        <x:v>MSP-K09/S02</x:v>
      </x:c>
      <x:c r="C44" s="6" t="str">
        <x:v>GNL-09-02</x:v>
      </x:c>
      <x:c r="D44" s="6" t="str">
        <x:v>Yeniden kaynaklandırıldı</x:v>
      </x:c>
      <x:c r="E44" s="6" t="str">
        <x:v>NIST kontrol amacı kullanıldı; doğrulanmamış BDDK/ISO/CIS Controls çapraz atıfları ve sabit örneklem sayıları taşınmadı.</x:v>
      </x:c>
      <x:c r="F44" s="6" t="str">
        <x:v>Kaynak listesi, ham log örnekleri, SIEM aramaları</x:v>
      </x:c>
    </x:row>
    <x:row r="45" ht="40" customHeight="1">
      <x:c r="A45" s="6" t="str">
        <x:v>V6</x:v>
      </x:c>
      <x:c r="B45" s="6" t="str">
        <x:v>MSP-K09/S03</x:v>
      </x:c>
      <x:c r="C45" s="6" t="str">
        <x:v>GNL-09-03</x:v>
      </x:c>
      <x:c r="D45" s="6" t="str">
        <x:v>Yeniden kaynaklandırıldı</x:v>
      </x:c>
      <x:c r="E45" s="6" t="str">
        <x:v>NIST kontrol amacı kullanıldı; doğrulanmamış BDDK/ISO/CIS Controls çapraz atıfları ve sabit örneklem sayıları taşınmadı.</x:v>
      </x:c>
      <x:c r="F45" s="6" t="str">
        <x:v>Kaynak sağlık dashboardu ve alarm testleri</x:v>
      </x:c>
    </x:row>
    <x:row r="46" ht="40" customHeight="1">
      <x:c r="A46" s="6" t="str">
        <x:v>V6</x:v>
      </x:c>
      <x:c r="B46" s="6" t="str">
        <x:v>MSP-K09/S04</x:v>
      </x:c>
      <x:c r="C46" s="6" t="str">
        <x:v>GNL-09-04</x:v>
      </x:c>
      <x:c r="D46" s="6" t="str">
        <x:v>Yeniden kaynaklandırıldı</x:v>
      </x:c>
      <x:c r="E46" s="6" t="str">
        <x:v>NIST kontrol amacı kullanıldı; doğrulanmamış BDDK/ISO/CIS Controls çapraz atıfları ve sabit örneklem sayıları taşınmadı.</x:v>
      </x:c>
      <x:c r="F46" s="6" t="str">
        <x:v>Depolama politikası, rol listesi, bütünlük/immutability ayarı</x:v>
      </x:c>
    </x:row>
    <x:row r="47" ht="40" customHeight="1">
      <x:c r="A47" s="6" t="str">
        <x:v>V6</x:v>
      </x:c>
      <x:c r="B47" s="6" t="str">
        <x:v>MSP-K09/S05</x:v>
      </x:c>
      <x:c r="C47" s="6" t="str">
        <x:v>GNL-09-05</x:v>
      </x:c>
      <x:c r="D47" s="6" t="str">
        <x:v>Yeniden kaynaklandırıldı</x:v>
      </x:c>
      <x:c r="E47" s="6" t="str">
        <x:v>NIST kontrol amacı kullanıldı; doğrulanmamış BDDK/ISO/CIS Controls çapraz atıfları ve sabit örneklem sayıları taşınmadı.</x:v>
      </x:c>
      <x:c r="F47" s="6" t="str">
        <x:v>Saklama matrisi, indeks/depo ayarları</x:v>
      </x:c>
    </x:row>
    <x:row r="48" ht="40" customHeight="1">
      <x:c r="A48" s="6" t="str">
        <x:v>V6</x:v>
      </x:c>
      <x:c r="B48" s="6" t="str">
        <x:v>MSP-K10/S01</x:v>
      </x:c>
      <x:c r="C48" s="6" t="str">
        <x:v>GNL-10-01</x:v>
      </x:c>
      <x:c r="D48" s="6" t="str">
        <x:v>Yeniden kaynaklandırıldı</x:v>
      </x:c>
      <x:c r="E48" s="6" t="str">
        <x:v>NIST kontrol amacı kullanıldı; doğrulanmamış BDDK/ISO/CIS Controls çapraz atıfları ve sabit örneklem sayıları taşınmadı.</x:v>
      </x:c>
      <x:c r="F48" s="6" t="str">
        <x:v>Use-case kataloğu, kural içeriği, test sonuçları</x:v>
      </x:c>
    </x:row>
    <x:row r="49" ht="40" customHeight="1">
      <x:c r="A49" s="6" t="str">
        <x:v>V6</x:v>
      </x:c>
      <x:c r="B49" s="6" t="str">
        <x:v>MSP-K10/S02</x:v>
      </x:c>
      <x:c r="C49" s="6" t="str">
        <x:v>GNL-10-01</x:v>
      </x:c>
      <x:c r="D49" s="6" t="str">
        <x:v>Birleştirildi</x:v>
      </x:c>
      <x:c r="E49" s="6" t="str">
        <x:v>NIST kontrol amacı kullanıldı; doğrulanmamış BDDK/ISO/CIS Controls çapraz atıfları ve sabit örneklem sayıları taşınmadı.</x:v>
      </x:c>
      <x:c r="F49" s="6" t="str">
        <x:v>Test planı, örnek olay ve bildirim kayıtları</x:v>
      </x:c>
    </x:row>
    <x:row r="50" ht="40" customHeight="1">
      <x:c r="A50" s="6" t="str">
        <x:v>V6</x:v>
      </x:c>
      <x:c r="B50" s="6" t="str">
        <x:v>MSP-K10/S03</x:v>
      </x:c>
      <x:c r="C50" s="6" t="str">
        <x:v>GNL-09-03</x:v>
      </x:c>
      <x:c r="D50" s="6" t="str">
        <x:v>Birleştirildi</x:v>
      </x:c>
      <x:c r="E50" s="6" t="str">
        <x:v>NIST kontrol amacı kullanıldı; doğrulanmamış BDDK/ISO/CIS Controls çapraz atıfları ve sabit örneklem sayıları taşınmadı.</x:v>
      </x:c>
      <x:c r="F50" s="6" t="str">
        <x:v>Sağlık dashboardları ve alarm yapılandırmau</x:v>
      </x:c>
    </x:row>
    <x:row r="51" ht="40" customHeight="1">
      <x:c r="A51" s="6" t="str">
        <x:v>V6</x:v>
      </x:c>
      <x:c r="B51" s="6" t="str">
        <x:v>MSP-K11/S01</x:v>
      </x:c>
      <x:c r="C51" s="6" t="str">
        <x:v>GNL-11-01</x:v>
      </x:c>
      <x:c r="D51" s="6" t="str">
        <x:v>Yeniden kaynaklandırıldı</x:v>
      </x:c>
      <x:c r="E51" s="6" t="str">
        <x:v>NIST kontrol amacı kullanıldı; doğrulanmamış BDDK/ISO/CIS Controls çapraz atıfları ve sabit örneklem sayıları taşınmadı.</x:v>
      </x:c>
      <x:c r="F51" s="6" t="str">
        <x:v>Kriptografi standardı, tarama/yapılandırma çıktısı</x:v>
      </x:c>
    </x:row>
    <x:row r="52" ht="40" customHeight="1">
      <x:c r="A52" s="6" t="str">
        <x:v>V6</x:v>
      </x:c>
      <x:c r="B52" s="6" t="str">
        <x:v>MSP-K11/S02</x:v>
      </x:c>
      <x:c r="C52" s="6" t="str">
        <x:v>GNL-11-02</x:v>
      </x:c>
      <x:c r="D52" s="6" t="str">
        <x:v>Yeniden kaynaklandırıldı</x:v>
      </x:c>
      <x:c r="E52" s="6" t="str">
        <x:v>NIST kontrol amacı kullanıldı; doğrulanmamış BDDK/ISO/CIS Controls çapraz atıfları ve sabit örneklem sayıları taşınmadı.</x:v>
      </x:c>
      <x:c r="F52" s="6" t="str">
        <x:v>Sertifika envanteri, tarama ve alarm kayıtları</x:v>
      </x:c>
    </x:row>
    <x:row r="53" ht="40" customHeight="1">
      <x:c r="A53" s="6" t="str">
        <x:v>V6</x:v>
      </x:c>
      <x:c r="B53" s="6" t="str">
        <x:v>MSP-K11/S03</x:v>
      </x:c>
      <x:c r="C53" s="6" t="str">
        <x:v>GNL-11-03</x:v>
      </x:c>
      <x:c r="D53" s="6" t="str">
        <x:v>Yeniden kaynaklandırıldı</x:v>
      </x:c>
      <x:c r="E53" s="6" t="str">
        <x:v>NIST kontrol amacı kullanıldı; doğrulanmamış BDDK/ISO/CIS Controls çapraz atıfları ve sabit örneklem sayıları taşınmadı.</x:v>
      </x:c>
      <x:c r="F53" s="6" t="str">
        <x:v>KMS/HSM politikası, rol ve audit logları</x:v>
      </x:c>
    </x:row>
    <x:row r="54" ht="40" customHeight="1">
      <x:c r="A54" s="6" t="str">
        <x:v>V6</x:v>
      </x:c>
      <x:c r="B54" s="6" t="str">
        <x:v>MSP-K12/S01</x:v>
      </x:c>
      <x:c r="C54" s="6" t="str">
        <x:v>GNL-12-01</x:v>
      </x:c>
      <x:c r="D54" s="6" t="str">
        <x:v>Yeniden kaynaklandırıldı</x:v>
      </x:c>
      <x:c r="E54" s="6" t="str">
        <x:v>NIST kontrol amacı kullanıldı; doğrulanmamış BDDK/ISO/CIS Controls çapraz atıfları ve sabit örneklem sayıları taşınmadı.</x:v>
      </x:c>
      <x:c r="F54" s="6" t="str">
        <x:v>Vault envanteri, kod/config taraması ve erişim logları</x:v>
      </x:c>
    </x:row>
    <x:row r="55" ht="40" customHeight="1">
      <x:c r="A55" s="6" t="str">
        <x:v>V6</x:v>
      </x:c>
      <x:c r="B55" s="6" t="str">
        <x:v>MSP-K12/S02</x:v>
      </x:c>
      <x:c r="C55" s="6" t="str">
        <x:v>GNL-12-01</x:v>
      </x:c>
      <x:c r="D55" s="6" t="str">
        <x:v>Birleştirildi</x:v>
      </x:c>
      <x:c r="E55" s="6" t="str">
        <x:v>NIST kontrol amacı kullanıldı; doğrulanmamış BDDK/ISO/CIS Controls çapraz atıfları ve sabit örneklem sayıları taşınmadı.</x:v>
      </x:c>
      <x:c r="F55" s="6" t="str">
        <x:v>Sır politikaları, rotasyon ve kullanım logları</x:v>
      </x:c>
    </x:row>
    <x:row r="56" ht="40" customHeight="1">
      <x:c r="A56" s="6" t="str">
        <x:v>V6</x:v>
      </x:c>
      <x:c r="B56" s="6" t="str">
        <x:v>MSP-K13/S01</x:v>
      </x:c>
      <x:c r="C56" s="6" t="str">
        <x:v>GNL-13-01</x:v>
      </x:c>
      <x:c r="D56" s="6" t="str">
        <x:v>Yeniden kaynaklandırıldı</x:v>
      </x:c>
      <x:c r="E56" s="6" t="str">
        <x:v>NIST kontrol amacı kullanıldı; doğrulanmamış BDDK/ISO/CIS Controls çapraz atıfları ve sabit örneklem sayıları taşınmadı.</x:v>
      </x:c>
      <x:c r="F56" s="6" t="str">
        <x:v>Ağ diyagramı, firewall/ACL ve platform port grubu exportu</x:v>
      </x:c>
    </x:row>
    <x:row r="57" ht="40" customHeight="1">
      <x:c r="A57" s="6" t="str">
        <x:v>V6</x:v>
      </x:c>
      <x:c r="B57" s="6" t="str">
        <x:v>MSP-K13/S02</x:v>
      </x:c>
      <x:c r="C57" s="6" t="str">
        <x:v>GNL-13-02</x:v>
      </x:c>
      <x:c r="D57" s="6" t="str">
        <x:v>Yeniden kaynaklandırıldı</x:v>
      </x:c>
      <x:c r="E57" s="6" t="str">
        <x:v>NIST kontrol amacı kullanıldı; doğrulanmamış BDDK/ISO/CIS Controls çapraz atıfları ve sabit örneklem sayıları taşınmadı.</x:v>
      </x:c>
      <x:c r="F57" s="6" t="str">
        <x:v>Dış tarama, firewall/local-in/ACL ve erişim logları</x:v>
      </x:c>
    </x:row>
    <x:row r="58" ht="40" customHeight="1">
      <x:c r="A58" s="6" t="str">
        <x:v>V6</x:v>
      </x:c>
      <x:c r="B58" s="6" t="str">
        <x:v>MSP-K13/S03</x:v>
      </x:c>
      <x:c r="C58" s="6" t="str">
        <x:v>GNL-13-03</x:v>
      </x:c>
      <x:c r="D58" s="6" t="str">
        <x:v>Yeniden kaynaklandırıldı</x:v>
      </x:c>
      <x:c r="E58" s="6" t="str">
        <x:v>NIST kontrol amacı kullanıldı; doğrulanmamış BDDK/ISO/CIS Controls çapraz atıfları ve sabit örneklem sayıları taşınmadı.</x:v>
      </x:c>
      <x:c r="F58" s="6" t="str">
        <x:v>Kural tabanı exportu, recertification ve hit-count</x:v>
      </x:c>
    </x:row>
    <x:row r="59" ht="40" customHeight="1">
      <x:c r="A59" s="6" t="str">
        <x:v>V6</x:v>
      </x:c>
      <x:c r="B59" s="6" t="str">
        <x:v>MSP-K14/S01</x:v>
      </x:c>
      <x:c r="C59" s="6" t="str">
        <x:v>GNL-14-01</x:v>
      </x:c>
      <x:c r="D59" s="6" t="str">
        <x:v>Yeniden kaynaklandırıldı</x:v>
      </x:c>
      <x:c r="E59" s="6" t="str">
        <x:v>NIST kontrol amacı kullanıldı; doğrulanmamış BDDK/ISO/CIS Controls çapraz atıfları ve sabit örneklem sayıları taşınmadı.</x:v>
      </x:c>
      <x:c r="F59" s="6" t="str">
        <x:v>Kapasite planı, trend ve alarm raporları</x:v>
      </x:c>
    </x:row>
    <x:row r="60" ht="40" customHeight="1">
      <x:c r="A60" s="6" t="str">
        <x:v>V6</x:v>
      </x:c>
      <x:c r="B60" s="6" t="str">
        <x:v>MSP-K14/S02</x:v>
      </x:c>
      <x:c r="C60" s="6" t="str">
        <x:v>GNL-14-02</x:v>
      </x:c>
      <x:c r="D60" s="6" t="str">
        <x:v>Yeniden kaynaklandırıldı</x:v>
      </x:c>
      <x:c r="E60" s="6" t="str">
        <x:v>NIST kontrol amacı kullanıldı; doğrulanmamış BDDK/ISO/CIS Controls çapraz atıfları ve sabit örneklem sayıları taşınmadı.</x:v>
      </x:c>
      <x:c r="F60" s="6" t="str">
        <x:v>Yük testi ve izolasyon sonuçları</x:v>
      </x:c>
    </x:row>
    <x:row r="61" ht="40" customHeight="1">
      <x:c r="A61" s="6" t="str">
        <x:v>V6</x:v>
      </x:c>
      <x:c r="B61" s="6" t="str">
        <x:v>MSP-K15/S01</x:v>
      </x:c>
      <x:c r="C61" s="6" t="str">
        <x:v>GNL-15-01</x:v>
      </x:c>
      <x:c r="D61" s="6" t="str">
        <x:v>Yeniden kaynaklandırıldı</x:v>
      </x:c>
      <x:c r="E61" s="6" t="str">
        <x:v>NIST kontrol amacı kullanıldı; doğrulanmamış BDDK/ISO/CIS Controls çapraz atıfları ve sabit örneklem sayıları taşınmadı.</x:v>
      </x:c>
      <x:c r="F61" s="6" t="str">
        <x:v>Yedek envanteri, iş tanımı ve RPO/RTO matrisi</x:v>
      </x:c>
    </x:row>
    <x:row r="62" ht="40" customHeight="1">
      <x:c r="A62" s="6" t="str">
        <x:v>V6</x:v>
      </x:c>
      <x:c r="B62" s="6" t="str">
        <x:v>MSP-K15/S02</x:v>
      </x:c>
      <x:c r="C62" s="6" t="str">
        <x:v>GNL-15-02</x:v>
      </x:c>
      <x:c r="D62" s="6" t="str">
        <x:v>Yeniden kaynaklandırıldı</x:v>
      </x:c>
      <x:c r="E62" s="6" t="str">
        <x:v>NIST kontrol amacı kullanıldı; doğrulanmamış BDDK/ISO/CIS Controls çapraz atıfları ve sabit örneklem sayıları taşınmadı.</x:v>
      </x:c>
      <x:c r="F62" s="6" t="str">
        <x:v>Repository/immutability ayarı, rol ve ağ diyagramı</x:v>
      </x:c>
    </x:row>
    <x:row r="63" ht="40" customHeight="1">
      <x:c r="A63" s="6" t="str">
        <x:v>V6</x:v>
      </x:c>
      <x:c r="B63" s="6" t="str">
        <x:v>MSP-K15/S03</x:v>
      </x:c>
      <x:c r="C63" s="6" t="str">
        <x:v>GNL-15-03</x:v>
      </x:c>
      <x:c r="D63" s="6" t="str">
        <x:v>Yeniden kaynaklandırıldı</x:v>
      </x:c>
      <x:c r="E63" s="6" t="str">
        <x:v>NIST kontrol amacı kullanıldı; doğrulanmamış BDDK/ISO/CIS Controls çapraz atıfları ve sabit örneklem sayıları taşınmadı.</x:v>
      </x:c>
      <x:c r="F63" s="6" t="str">
        <x:v>Restore test raporu ve ham oturum logları</x:v>
      </x:c>
    </x:row>
    <x:row r="64" ht="40" customHeight="1">
      <x:c r="A64" s="6" t="str">
        <x:v>V6</x:v>
      </x:c>
      <x:c r="B64" s="6" t="str">
        <x:v>MSP-K16/S01</x:v>
      </x:c>
      <x:c r="C64" s="6" t="str">
        <x:v>GNL-16-01</x:v>
      </x:c>
      <x:c r="D64" s="6" t="str">
        <x:v>Yeniden kaynaklandırıldı</x:v>
      </x:c>
      <x:c r="E64" s="6" t="str">
        <x:v>NIST kontrol amacı kullanıldı; doğrulanmamış BDDK/ISO/CIS Controls çapraz atıfları ve sabit örneklem sayıları taşınmadı.</x:v>
      </x:c>
      <x:c r="F64" s="6" t="str">
        <x:v>Olay müdahale planı, iletişim matrisi</x:v>
      </x:c>
    </x:row>
    <x:row r="65" ht="40" customHeight="1">
      <x:c r="A65" s="6" t="str">
        <x:v>V6</x:v>
      </x:c>
      <x:c r="B65" s="6" t="str">
        <x:v>MSP-K16/S02</x:v>
      </x:c>
      <x:c r="C65" s="6" t="str">
        <x:v>GNL-16-02</x:v>
      </x:c>
      <x:c r="D65" s="6" t="str">
        <x:v>Yeniden kaynaklandırıldı</x:v>
      </x:c>
      <x:c r="E65" s="6" t="str">
        <x:v>NIST kontrol amacı kullanıldı; doğrulanmamış BDDK/ISO/CIS Controls çapraz atıfları ve sabit örneklem sayıları taşınmadı.</x:v>
      </x:c>
      <x:c r="F65" s="6" t="str">
        <x:v>Sözleşme, prosedür, örnek olay zaman çizelgesi</x:v>
      </x:c>
    </x:row>
    <x:row r="66" ht="40" customHeight="1">
      <x:c r="A66" s="6" t="str">
        <x:v>V6</x:v>
      </x:c>
      <x:c r="B66" s="6" t="str">
        <x:v>MSP-K16/S03</x:v>
      </x:c>
      <x:c r="C66" s="6" t="str">
        <x:v>GNL-16-03</x:v>
      </x:c>
      <x:c r="D66" s="6" t="str">
        <x:v>Yeniden kaynaklandırıldı</x:v>
      </x:c>
      <x:c r="E66" s="6" t="str">
        <x:v>NIST kontrol amacı kullanıldı; doğrulanmamış BDDK/ISO/CIS Controls çapraz atıfları ve sabit örneklem sayıları taşınmadı.</x:v>
      </x:c>
      <x:c r="F66" s="6" t="str">
        <x:v>Masa başı/teknik tatbikat raporları</x:v>
      </x:c>
    </x:row>
    <x:row r="67" ht="40" customHeight="1">
      <x:c r="A67" s="6" t="str">
        <x:v>V6</x:v>
      </x:c>
      <x:c r="B67" s="6" t="str">
        <x:v>MSP-K17/S01</x:v>
      </x:c>
      <x:c r="C67" s="6" t="str">
        <x:v>GNL-17-01</x:v>
      </x:c>
      <x:c r="D67" s="6" t="str">
        <x:v>Yeniden kaynaklandırıldı</x:v>
      </x:c>
      <x:c r="E67" s="6" t="str">
        <x:v>NIST kontrol amacı kullanıldı; doğrulanmamış BDDK/ISO/CIS Controls çapraz atıfları ve sabit örneklem sayıları taşınmadı.</x:v>
      </x:c>
      <x:c r="F67" s="6" t="str">
        <x:v>Sözleşme ve güvenlik eki</x:v>
      </x:c>
    </x:row>
    <x:row r="68" ht="40" customHeight="1">
      <x:c r="A68" s="6" t="str">
        <x:v>V6</x:v>
      </x:c>
      <x:c r="B68" s="6" t="str">
        <x:v>MSP-K17/S02</x:v>
      </x:c>
      <x:c r="C68" s="6" t="str">
        <x:v>GNL-17-01</x:v>
      </x:c>
      <x:c r="D68" s="6" t="str">
        <x:v>Birleştirildi</x:v>
      </x:c>
      <x:c r="E68" s="6" t="str">
        <x:v>NIST kontrol amacı kullanıldı; doğrulanmamış BDDK/ISO/CIS Controls çapraz atıfları ve sabit örneklem sayıları taşınmadı.</x:v>
      </x:c>
      <x:c r="F68" s="6" t="str">
        <x:v>Alt yüklenici envanteri, due diligence, sözleşmeler</x:v>
      </x:c>
    </x:row>
    <x:row r="69" ht="40" customHeight="1">
      <x:c r="A69" s="6" t="str">
        <x:v>V6</x:v>
      </x:c>
      <x:c r="B69" s="6" t="str">
        <x:v>MSP-K17/S03</x:v>
      </x:c>
      <x:c r="C69" s="6" t="str">
        <x:v>GNL-17-03</x:v>
      </x:c>
      <x:c r="D69" s="6" t="str">
        <x:v>Yeniden kaynaklandırıldı</x:v>
      </x:c>
      <x:c r="E69" s="6" t="str">
        <x:v>NIST kontrol amacı kullanıldı; doğrulanmamış BDDK/ISO/CIS Controls çapraz atıfları ve sabit örneklem sayıları taşınmadı.</x:v>
      </x:c>
      <x:c r="F69" s="6" t="str">
        <x:v>SOC/ISO/pen-test raporu değerlendirmesi, SLA scorecard</x:v>
      </x:c>
    </x:row>
    <x:row r="70" ht="40" customHeight="1">
      <x:c r="A70" s="6" t="str">
        <x:v>V6</x:v>
      </x:c>
      <x:c r="B70" s="6" t="str">
        <x:v>MSP-K18/S01</x:v>
      </x:c>
      <x:c r="C70" s="6" t="str">
        <x:v>GNL-18-01</x:v>
      </x:c>
      <x:c r="D70" s="6" t="str">
        <x:v>Yeniden kaynaklandırıldı</x:v>
      </x:c>
      <x:c r="E70" s="6" t="str">
        <x:v>NIST kontrol amacı kullanıldı; doğrulanmamış BDDK/ISO/CIS Controls çapraz atıfları ve sabit örneklem sayıları taşınmadı.</x:v>
      </x:c>
      <x:c r="F70" s="6" t="str">
        <x:v>Saklama-silme matrisi ve platform ayarları</x:v>
      </x:c>
    </x:row>
    <x:row r="71" ht="40" customHeight="1">
      <x:c r="A71" s="6" t="str">
        <x:v>V6</x:v>
      </x:c>
      <x:c r="B71" s="6" t="str">
        <x:v>MSP-K18/S02</x:v>
      </x:c>
      <x:c r="C71" s="6" t="str">
        <x:v>GNL-18-02</x:v>
      </x:c>
      <x:c r="D71" s="6" t="str">
        <x:v>Yeniden kaynaklandırıldı</x:v>
      </x:c>
      <x:c r="E71" s="6" t="str">
        <x:v>NIST kontrol amacı kullanıldı; doğrulanmamış BDDK/ISO/CIS Controls çapraz atıfları ve sabit örneklem sayıları taşınmadı.</x:v>
      </x:c>
      <x:c r="F71" s="6" t="str">
        <x:v>Çıkış planı, silme sertifikası, hesap ve KMS kayıtları</x:v>
      </x:c>
    </x:row>
    <x:row r="72" ht="40" customHeight="1">
      <x:c r="A72" s="6" t="str">
        <x:v>V6</x:v>
      </x:c>
      <x:c r="B72" s="6" t="str">
        <x:v>MSP-K19/S01</x:v>
      </x:c>
      <x:c r="C72" s="6" t="str">
        <x:v>GNL-19-01</x:v>
      </x:c>
      <x:c r="D72" s="6" t="str">
        <x:v>Yeniden kaynaklandırıldı</x:v>
      </x:c>
      <x:c r="E72" s="6" t="str">
        <x:v>NIST kontrol amacı kullanıldı; doğrulanmamış BDDK/ISO/CIS Controls çapraz atıfları ve sabit örneklem sayıları taşınmadı.</x:v>
      </x:c>
      <x:c r="F72" s="6" t="str">
        <x:v>Denetim planı, risk evreni ve raporlar</x:v>
      </x:c>
    </x:row>
    <x:row r="73" ht="40" customHeight="1">
      <x:c r="A73" s="6" t="str">
        <x:v>V6</x:v>
      </x:c>
      <x:c r="B73" s="6" t="str">
        <x:v>MSP-K19/S02</x:v>
      </x:c>
      <x:c r="C73" s="6" t="str">
        <x:v>GNL-19-02</x:v>
      </x:c>
      <x:c r="D73" s="6" t="str">
        <x:v>Yeniden kaynaklandırıldı</x:v>
      </x:c>
      <x:c r="E73" s="6" t="str">
        <x:v>NIST kontrol amacı kullanıldı; doğrulanmamış BDDK/ISO/CIS Controls çapraz atıfları ve sabit örneklem sayıları taşınmadı.</x:v>
      </x:c>
      <x:c r="F73" s="6" t="str">
        <x:v>Kapsam, kurallar, rapor ve retest</x:v>
      </x:c>
    </x:row>
    <x:row r="74" ht="40" customHeight="1">
      <x:c r="A74" s="6" t="str">
        <x:v>V6</x:v>
      </x:c>
      <x:c r="B74" s="6" t="str">
        <x:v>MSP-K19/S03</x:v>
      </x:c>
      <x:c r="C74" s="6" t="str">
        <x:v>GNL-19-03</x:v>
      </x:c>
      <x:c r="D74" s="6" t="str">
        <x:v>Yeniden kaynaklandırıldı</x:v>
      </x:c>
      <x:c r="E74" s="6" t="str">
        <x:v>NIST kontrol amacı kullanıldı; doğrulanmamış BDDK/ISO/CIS Controls çapraz atıfları ve sabit örneklem sayıları taşınmadı.</x:v>
      </x:c>
      <x:c r="F74" s="6" t="str">
        <x:v>Kanıt standardı ve örnek denetim dosyaları</x:v>
      </x:c>
    </x:row>
    <x:row r="75" ht="40" customHeight="1">
      <x:c r="A75" s="6" t="str">
        <x:v>V6</x:v>
      </x:c>
      <x:c r="B75" s="6" t="str">
        <x:v>MSP-K20/S01</x:v>
      </x:c>
      <x:c r="C75" s="6" t="str">
        <x:v>GNL-20-01</x:v>
      </x:c>
      <x:c r="D75" s="6" t="str">
        <x:v>Yeniden kaynaklandırıldı</x:v>
      </x:c>
      <x:c r="E75" s="6" t="str">
        <x:v>NIST kontrol amacı kullanıldı; doğrulanmamış BDDK/ISO/CIS Controls çapraz atıfları ve sabit örneklem sayıları taşınmadı.</x:v>
      </x:c>
      <x:c r="F75" s="6" t="str">
        <x:v>Onaylı mimari envanter, veri merkezi/kolokasyon listesi, sözleşme ekleri</x:v>
      </x:c>
    </x:row>
    <x:row r="76" ht="40" customHeight="1">
      <x:c r="A76" s="6" t="str">
        <x:v>V6</x:v>
      </x:c>
      <x:c r="B76" s="6" t="str">
        <x:v>MSP-K20/S03</x:v>
      </x:c>
      <x:c r="C76" s="6" t="str">
        <x:v>GNL-02-04</x:v>
      </x:c>
      <x:c r="D76" s="6" t="str">
        <x:v>Birleştirildi</x:v>
      </x:c>
      <x:c r="E76" s="6" t="str">
        <x:v>NIST kontrol amacı kullanıldı; doğrulanmamış BDDK/ISO/CIS Controls çapraz atıfları ve sabit örneklem sayıları taşınmadı.</x:v>
      </x:c>
      <x:c r="F76" s="6" t="str">
        <x:v>Veri akış diyagramı, depolama politikaları, ürün yapılandırma çıktıları</x:v>
      </x:c>
    </x:row>
    <x:row r="77" ht="40" customHeight="1">
      <x:c r="A77" s="6" t="str">
        <x:v>V6</x:v>
      </x:c>
      <x:c r="B77" s="6" t="str">
        <x:v>MSP-K20/S04</x:v>
      </x:c>
      <x:c r="C77" s="6" t="str">
        <x:v>GNL-20-04</x:v>
      </x:c>
      <x:c r="D77" s="6" t="str">
        <x:v>Yeniden kaynaklandırıldı</x:v>
      </x:c>
      <x:c r="E77" s="6" t="str">
        <x:v>NIST kontrol amacı kullanıldı; doğrulanmamış BDDK/ISO/CIS Controls çapraz atıfları ve sabit örneklem sayıları taşınmadı.</x:v>
      </x:c>
      <x:c r="F77" s="6" t="str">
        <x:v>Değişiklik kayıtları, onaylar, müşteri bildirimleri</x:v>
      </x:c>
    </x:row>
    <x:row r="78" ht="40" customHeight="1">
      <x:c r="A78" s="6" t="str">
        <x:v>V6</x:v>
      </x:c>
      <x:c r="B78" s="6" t="str">
        <x:v>MSP-K20/S05</x:v>
      </x:c>
      <x:c r="C78" s="6" t="str">
        <x:v>GNL-15-03</x:v>
      </x:c>
      <x:c r="D78" s="6" t="str">
        <x:v>Birleştirildi</x:v>
      </x:c>
      <x:c r="E78" s="6" t="str">
        <x:v>NIST kontrol amacı kullanıldı; doğrulanmamış BDDK/ISO/CIS Controls çapraz atıfları ve sabit örneklem sayıları taşınmadı.</x:v>
      </x:c>
      <x:c r="F78" s="6" t="str">
        <x:v>DR mimarisi, yedek hedefleri, test raporları</x:v>
      </x:c>
    </x:row>
    <x:row r="79" ht="40" customHeight="1">
      <x:c r="A79" s="6" t="str">
        <x:v>V6</x:v>
      </x:c>
      <x:c r="B79" s="6" t="str">
        <x:v>MSP-K20/S06</x:v>
      </x:c>
      <x:c r="C79" s="6" t="str">
        <x:v>GNL-20-04</x:v>
      </x:c>
      <x:c r="D79" s="6" t="str">
        <x:v>Birleştirildi</x:v>
      </x:c>
      <x:c r="E79" s="6" t="str">
        <x:v>NIST kontrol amacı kullanıldı; doğrulanmamış BDDK/ISO/CIS Controls çapraz atıfları ve sabit örneklem sayıları taşınmadı.</x:v>
      </x:c>
      <x:c r="F79" s="6" t="str">
        <x:v>Bulut hesap politikaları, bölge ayarları, sözleşme/SLA</x:v>
      </x:c>
    </x:row>
    <x:row r="80" ht="40" customHeight="1">
      <x:c r="A80" s="6" t="str">
        <x:v>V6</x:v>
      </x:c>
      <x:c r="B80" s="6" t="str">
        <x:v>MSP-K20/S07</x:v>
      </x:c>
      <x:c r="C80" s="6" t="str">
        <x:v>GNL-02-04</x:v>
      </x:c>
      <x:c r="D80" s="6" t="str">
        <x:v>Birleştirildi</x:v>
      </x:c>
      <x:c r="E80" s="6" t="str">
        <x:v>NIST kontrol amacı kullanıldı; doğrulanmamış BDDK/ISO/CIS Controls çapraz atıfları ve sabit örneklem sayıları taşınmadı.</x:v>
      </x:c>
      <x:c r="F80" s="6" t="str">
        <x:v>Gözden geçirme kaydı, yönetim onayı, istisna listesi</x:v>
      </x:c>
    </x:row>
    <x:row r="81" ht="40" customHeight="1">
      <x:c r="A81" s="6" t="str">
        <x:v>V6</x:v>
      </x:c>
      <x:c r="B81" s="6" t="str">
        <x:v>MSP-K21/S01</x:v>
      </x:c>
      <x:c r="C81" s="6" t="str">
        <x:v>GNL-21-01</x:v>
      </x:c>
      <x:c r="D81" s="6" t="str">
        <x:v>Yeniden kaynaklandırıldı</x:v>
      </x:c>
      <x:c r="E81" s="6" t="str">
        <x:v>NIST kontrol amacı kullanıldı; doğrulanmamış BDDK/ISO/CIS Controls çapraz atıfları ve sabit örneklem sayıları taşınmadı.</x:v>
      </x:c>
      <x:c r="F81" s="6" t="str">
        <x:v>Yerleşim planı, giriş prosedürü, ziyaretçi kayıtları</x:v>
      </x:c>
    </x:row>
    <x:row r="82" ht="40" customHeight="1">
      <x:c r="A82" s="6" t="str">
        <x:v>V6</x:v>
      </x:c>
      <x:c r="B82" s="6" t="str">
        <x:v>MSP-K21/S02</x:v>
      </x:c>
      <x:c r="C82" s="6" t="str">
        <x:v>GNL-21-01</x:v>
      </x:c>
      <x:c r="D82" s="6" t="str">
        <x:v>Birleştirildi</x:v>
      </x:c>
      <x:c r="E82" s="6" t="str">
        <x:v>NIST kontrol amacı kullanıldı; doğrulanmamış BDDK/ISO/CIS Controls çapraz atıfları ve sabit örneklem sayıları taşınmadı.</x:v>
      </x:c>
      <x:c r="F82" s="6" t="str">
        <x:v>Kartlı geçiş listesi, onaylar, periyodik gözden geçirme</x:v>
      </x:c>
    </x:row>
    <x:row r="83" ht="40" customHeight="1">
      <x:c r="A83" s="6" t="str">
        <x:v>V6</x:v>
      </x:c>
      <x:c r="B83" s="6" t="str">
        <x:v>MSP-K21/S03</x:v>
      </x:c>
      <x:c r="C83" s="6" t="str">
        <x:v>GNL-21-03</x:v>
      </x:c>
      <x:c r="D83" s="6" t="str">
        <x:v>Yeniden kaynaklandırıldı</x:v>
      </x:c>
      <x:c r="E83" s="6" t="str">
        <x:v>NIST kontrol amacı kullanıldı; doğrulanmamış BDDK/ISO/CIS Controls çapraz atıfları ve sabit örneklem sayıları taşınmadı.</x:v>
      </x:c>
      <x:c r="F83" s="6" t="str">
        <x:v>Kamera yerleşimi, saklama ayarı, erişim kayıtları</x:v>
      </x:c>
    </x:row>
    <x:row r="84" ht="40" customHeight="1">
      <x:c r="A84" s="6" t="str">
        <x:v>V6</x:v>
      </x:c>
      <x:c r="B84" s="6" t="str">
        <x:v>MSP-K21/S04</x:v>
      </x:c>
      <x:c r="C84" s="6" t="str">
        <x:v>GNL-21-04</x:v>
      </x:c>
      <x:c r="D84" s="6" t="str">
        <x:v>Yeniden kaynaklandırıldı</x:v>
      </x:c>
      <x:c r="E84" s="6" t="str">
        <x:v>NIST kontrol amacı kullanıldı; doğrulanmamış BDDK/ISO/CIS Controls çapraz atıfları ve sabit örneklem sayıları taşınmadı.</x:v>
      </x:c>
      <x:c r="F84" s="6" t="str">
        <x:v>Bakım/test kayıtları, kapasite raporları, alarm kayıtları</x:v>
      </x:c>
    </x:row>
    <x:row r="85" ht="40" customHeight="1">
      <x:c r="A85" s="6" t="str">
        <x:v>V6</x:v>
      </x:c>
      <x:c r="B85" s="6" t="str">
        <x:v>MSP-K21/S05</x:v>
      </x:c>
      <x:c r="C85" s="6" t="str">
        <x:v>GNL-21-05</x:v>
      </x:c>
      <x:c r="D85" s="6" t="str">
        <x:v>Yeniden kaynaklandırıldı</x:v>
      </x:c>
      <x:c r="E85" s="6" t="str">
        <x:v>NIST kontrol amacı kullanıldı; doğrulanmamış BDDK/ISO/CIS Controls çapraz atıfları ve sabit örneklem sayıları taşınmadı.</x:v>
      </x:c>
      <x:c r="F85" s="6" t="str">
        <x:v>Sensör envanteri, alarm testleri, olay kayıtları</x:v>
      </x:c>
    </x:row>
    <x:row r="86" ht="40" customHeight="1">
      <x:c r="A86" s="6" t="str">
        <x:v>V6</x:v>
      </x:c>
      <x:c r="B86" s="6" t="str">
        <x:v>MSP-K21/S06</x:v>
      </x:c>
      <x:c r="C86" s="6" t="str">
        <x:v>GNL-21-06</x:v>
      </x:c>
      <x:c r="D86" s="6" t="str">
        <x:v>Yeniden kaynaklandırıldı</x:v>
      </x:c>
      <x:c r="E86" s="6" t="str">
        <x:v>NIST kontrol amacı kullanıldı; doğrulanmamış BDDK/ISO/CIS Controls çapraz atıfları ve sabit örneklem sayıları taşınmadı.</x:v>
      </x:c>
      <x:c r="F86" s="6" t="str">
        <x:v>Bakım kayıtları, varlık hareket formu, tedarikçi erişim kaydı</x:v>
      </x:c>
    </x:row>
    <x:row r="87" ht="40" customHeight="1">
      <x:c r="A87" s="6" t="str">
        <x:v>V6</x:v>
      </x:c>
      <x:c r="B87" s="6" t="str">
        <x:v>MSP-K21/S07</x:v>
      </x:c>
      <x:c r="C87" s="6" t="str">
        <x:v>GNL-21-07</x:v>
      </x:c>
      <x:c r="D87" s="6" t="str">
        <x:v>Yeniden kaynaklandırıldı</x:v>
      </x:c>
      <x:c r="E87" s="6" t="str">
        <x:v>NIST kontrol amacı kullanıldı; doğrulanmamış BDDK/ISO/CIS Controls çapraz atıfları ve sabit örneklem sayıları taşınmadı.</x:v>
      </x:c>
      <x:c r="F87" s="6" t="str">
        <x:v>Kablo güzergâhı, saha inceleme kaydı, fotoğraf</x:v>
      </x:c>
    </x:row>
    <x:row r="88" ht="40" customHeight="1">
      <x:c r="A88" s="6" t="str">
        <x:v>V6</x:v>
      </x:c>
      <x:c r="B88" s="6" t="str">
        <x:v>MSP-K21/S08</x:v>
      </x:c>
      <x:c r="C88" s="6" t="str">
        <x:v>GNL-21-08</x:v>
      </x:c>
      <x:c r="D88" s="6" t="str">
        <x:v>Yeniden kaynaklandırıldı</x:v>
      </x:c>
      <x:c r="E88" s="6" t="str">
        <x:v>NIST kontrol amacı kullanıldı; doğrulanmamış BDDK/ISO/CIS Controls çapraz atıfları ve sabit örneklem sayıları taşınmadı.</x:v>
      </x:c>
      <x:c r="F88" s="6" t="str">
        <x:v>Sözleşme, denetim hakkı, hizmet sağlayıcı güvence raporu veya yerinde inceleme</x:v>
      </x:c>
    </x:row>
    <x:row r="89" ht="40" customHeight="1">
      <x:c r="A89" s="6" t="str">
        <x:v>V6</x:v>
      </x:c>
      <x:c r="B89" s="6" t="str">
        <x:v>MSP-K22/S01</x:v>
      </x:c>
      <x:c r="C89" s="6" t="str">
        <x:v>GNL-22-01</x:v>
      </x:c>
      <x:c r="D89" s="6" t="str">
        <x:v>Yeniden kaynaklandırıldı</x:v>
      </x:c>
      <x:c r="E89" s="6" t="str">
        <x:v>NIST kontrol amacı kullanıldı; doğrulanmamış BDDK/ISO/CIS Controls çapraz atıfları ve sabit örneklem sayıları taşınmadı.</x:v>
      </x:c>
      <x:c r="F89" s="6" t="str">
        <x:v>İK politikası, rol risk sınıflandırması, örnek kontrol kayıtları</x:v>
      </x:c>
    </x:row>
    <x:row r="90" ht="40" customHeight="1">
      <x:c r="A90" s="6" t="str">
        <x:v>V6</x:v>
      </x:c>
      <x:c r="B90" s="6" t="str">
        <x:v>MSP-K22/S02</x:v>
      </x:c>
      <x:c r="C90" s="6" t="str">
        <x:v>GNL-22-02</x:v>
      </x:c>
      <x:c r="D90" s="6" t="str">
        <x:v>Yeniden kaynaklandırıldı</x:v>
      </x:c>
      <x:c r="E90" s="6" t="str">
        <x:v>NIST kontrol amacı kullanıldı; doğrulanmamış BDDK/ISO/CIS Controls çapraz atıfları ve sabit örneklem sayıları taşınmadı.</x:v>
      </x:c>
      <x:c r="F90" s="6" t="str">
        <x:v>İş/yüklenici sözleşmesi şablonları, taahhütnameler</x:v>
      </x:c>
    </x:row>
    <x:row r="91" ht="40" customHeight="1">
      <x:c r="A91" s="6" t="str">
        <x:v>V6</x:v>
      </x:c>
      <x:c r="B91" s="6" t="str">
        <x:v>MSP-K22/S03</x:v>
      </x:c>
      <x:c r="C91" s="6" t="str">
        <x:v>GNL-04-02</x:v>
      </x:c>
      <x:c r="D91" s="6" t="str">
        <x:v>Birleştirildi</x:v>
      </x:c>
      <x:c r="E91" s="6" t="str">
        <x:v>NIST kontrol amacı kullanıldı; doğrulanmamış BDDK/ISO/CIS Controls çapraz atıfları ve sabit örneklem sayıları taşınmadı.</x:v>
      </x:c>
      <x:c r="F91" s="6" t="str">
        <x:v>İK-ITSM akışı, örnek işe giriş/çıkış kayıtları</x:v>
      </x:c>
    </x:row>
    <x:row r="92" ht="40" customHeight="1">
      <x:c r="A92" s="6" t="str">
        <x:v>V6</x:v>
      </x:c>
      <x:c r="B92" s="6" t="str">
        <x:v>MSP-K22/S04</x:v>
      </x:c>
      <x:c r="C92" s="6" t="str">
        <x:v>GNL-01-05</x:v>
      </x:c>
      <x:c r="D92" s="6" t="str">
        <x:v>Birleştirildi</x:v>
      </x:c>
      <x:c r="E92" s="6" t="str">
        <x:v>NIST kontrol amacı kullanıldı; doğrulanmamış BDDK/ISO/CIS Controls çapraz atıfları ve sabit örneklem sayıları taşınmadı.</x:v>
      </x:c>
      <x:c r="F92" s="6" t="str">
        <x:v>Rol matrisi, izin/rotasyon kayıtları, istisnalar</x:v>
      </x:c>
    </x:row>
    <x:row r="93" ht="40" customHeight="1">
      <x:c r="A93" s="6" t="str">
        <x:v>V6</x:v>
      </x:c>
      <x:c r="B93" s="6" t="str">
        <x:v>MSP-K22/S05</x:v>
      </x:c>
      <x:c r="C93" s="6" t="str">
        <x:v>GNL-22-05</x:v>
      </x:c>
      <x:c r="D93" s="6" t="str">
        <x:v>Yeniden kaynaklandırıldı</x:v>
      </x:c>
      <x:c r="E93" s="6" t="str">
        <x:v>NIST kontrol amacı kullanıldı; doğrulanmamış BDDK/ISO/CIS Controls çapraz atıfları ve sabit örneklem sayıları taşınmadı.</x:v>
      </x:c>
      <x:c r="F93" s="6" t="str">
        <x:v>Eğitim planı, katılım/başarı kayıtları</x:v>
      </x:c>
    </x:row>
    <x:row r="94" ht="40" customHeight="1">
      <x:c r="A94" s="6" t="str">
        <x:v>V6</x:v>
      </x:c>
      <x:c r="B94" s="6" t="str">
        <x:v>MSP-K22/S06</x:v>
      </x:c>
      <x:c r="C94" s="6" t="str">
        <x:v>GNL-22-06</x:v>
      </x:c>
      <x:c r="D94" s="6" t="str">
        <x:v>Yeniden kaynaklandırıldı</x:v>
      </x:c>
      <x:c r="E94" s="6" t="str">
        <x:v>NIST kontrol amacı kullanıldı; doğrulanmamış BDDK/ISO/CIS Controls çapraz atıfları ve sabit örneklem sayıları taşınmadı.</x:v>
      </x:c>
      <x:c r="F94" s="6" t="str">
        <x:v>Tatbikat raporu, hedefli eğitim, aksiyon kaydı</x:v>
      </x:c>
    </x:row>
    <x:row r="95" ht="40" customHeight="1">
      <x:c r="A95" s="6" t="str">
        <x:v>V6</x:v>
      </x:c>
      <x:c r="B95" s="6" t="str">
        <x:v>MSP-K22/S07</x:v>
      </x:c>
      <x:c r="C95" s="6" t="str">
        <x:v>GNL-22-07</x:v>
      </x:c>
      <x:c r="D95" s="6" t="str">
        <x:v>Yeniden kaynaklandırıldı</x:v>
      </x:c>
      <x:c r="E95" s="6" t="str">
        <x:v>NIST kontrol amacı kullanıldı; doğrulanmamış BDDK/ISO/CIS Controls çapraz atıfları ve sabit örneklem sayıları taşınmadı.</x:v>
      </x:c>
      <x:c r="F95" s="6" t="str">
        <x:v>Disiplin prosedürü, anonim örnek olay kayıtları</x:v>
      </x:c>
    </x:row>
    <x:row r="96" ht="40" customHeight="1">
      <x:c r="A96" s="6" t="str">
        <x:v>V6</x:v>
      </x:c>
      <x:c r="B96" s="6" t="str">
        <x:v>MSP-K23/S01</x:v>
      </x:c>
      <x:c r="C96" s="6" t="str">
        <x:v>GNL-17-01</x:v>
      </x:c>
      <x:c r="D96" s="6" t="str">
        <x:v>Birleştirildi</x:v>
      </x:c>
      <x:c r="E96" s="6" t="str">
        <x:v>NIST kontrol amacı kullanıldı; doğrulanmamış BDDK/ISO/CIS Controls çapraz atıfları ve sabit örneklem sayıları taşınmadı.</x:v>
      </x:c>
      <x:c r="F96" s="6" t="str">
        <x:v>Tedarikçi envanteri, veri akışı, bağımlılık haritası</x:v>
      </x:c>
    </x:row>
    <x:row r="97" ht="40" customHeight="1">
      <x:c r="A97" s="6" t="str">
        <x:v>V6</x:v>
      </x:c>
      <x:c r="B97" s="6" t="str">
        <x:v>MSP-K23/S02</x:v>
      </x:c>
      <x:c r="C97" s="6" t="str">
        <x:v>GNL-17-01</x:v>
      </x:c>
      <x:c r="D97" s="6" t="str">
        <x:v>Birleştirildi</x:v>
      </x:c>
      <x:c r="E97" s="6" t="str">
        <x:v>NIST kontrol amacı kullanıldı; doğrulanmamış BDDK/ISO/CIS Controls çapraz atıfları ve sabit örneklem sayıları taşınmadı.</x:v>
      </x:c>
      <x:c r="F97" s="6" t="str">
        <x:v>Değişiklik kaydı, risk değerlendirmesi, müşteri bildirimi</x:v>
      </x:c>
    </x:row>
    <x:row r="98" ht="40" customHeight="1">
      <x:c r="A98" s="6" t="str">
        <x:v>V6</x:v>
      </x:c>
      <x:c r="B98" s="6" t="str">
        <x:v>MSP-K23/S03</x:v>
      </x:c>
      <x:c r="C98" s="6" t="str">
        <x:v>GNL-17-01</x:v>
      </x:c>
      <x:c r="D98" s="6" t="str">
        <x:v>Birleştirildi</x:v>
      </x:c>
      <x:c r="E98" s="6" t="str">
        <x:v>NIST kontrol amacı kullanıldı; doğrulanmamış BDDK/ISO/CIS Controls çapraz atıfları ve sabit örneklem sayıları taşınmadı.</x:v>
      </x:c>
      <x:c r="F98" s="6" t="str">
        <x:v>Ana ve alt sözleşmeler, kontrol karşılaştırması</x:v>
      </x:c>
    </x:row>
    <x:row r="99" ht="40" customHeight="1">
      <x:c r="A99" s="6" t="str">
        <x:v>V6</x:v>
      </x:c>
      <x:c r="B99" s="6" t="str">
        <x:v>MSP-K23/S04</x:v>
      </x:c>
      <x:c r="C99" s="6" t="str">
        <x:v>GNL-17-01</x:v>
      </x:c>
      <x:c r="D99" s="6" t="str">
        <x:v>Birleştirildi</x:v>
      </x:c>
      <x:c r="E99" s="6" t="str">
        <x:v>NIST kontrol amacı kullanıldı; doğrulanmamış BDDK/ISO/CIS Controls çapraz atıfları ve sabit örneklem sayıları taşınmadı.</x:v>
      </x:c>
      <x:c r="F99" s="6" t="str">
        <x:v>Denetim hakkı hükümleri, geçmiş incelemeler</x:v>
      </x:c>
    </x:row>
    <x:row r="100" ht="40" customHeight="1">
      <x:c r="A100" s="6" t="str">
        <x:v>V6</x:v>
      </x:c>
      <x:c r="B100" s="6" t="str">
        <x:v>MSP-K23/S05</x:v>
      </x:c>
      <x:c r="C100" s="6" t="str">
        <x:v>GNL-17-03</x:v>
      </x:c>
      <x:c r="D100" s="6" t="str">
        <x:v>Birleştirildi</x:v>
      </x:c>
      <x:c r="E100" s="6" t="str">
        <x:v>NIST kontrol amacı kullanıldı; doğrulanmamış BDDK/ISO/CIS Controls çapraz atıfları ve sabit örneklem sayıları taşınmadı.</x:v>
      </x:c>
      <x:c r="F100" s="6" t="str">
        <x:v>SLA/KRI, olay bildirimleri, güvence raporu ve aksiyonlar</x:v>
      </x:c>
    </x:row>
    <x:row r="101" ht="40" customHeight="1">
      <x:c r="A101" s="6" t="str">
        <x:v>V6</x:v>
      </x:c>
      <x:c r="B101" s="6" t="str">
        <x:v>MSP-K23/S06</x:v>
      </x:c>
      <x:c r="C101" s="6" t="str">
        <x:v>GNL-18-02</x:v>
      </x:c>
      <x:c r="D101" s="6" t="str">
        <x:v>Birleştirildi</x:v>
      </x:c>
      <x:c r="E101" s="6" t="str">
        <x:v>NIST kontrol amacı kullanıldı; doğrulanmamış BDDK/ISO/CIS Controls çapraz atıfları ve sabit örneklem sayıları taşınmadı.</x:v>
      </x:c>
      <x:c r="F101" s="6" t="str">
        <x:v>Çıkış planı, test/tatbikat, silme ve erişim kapatma kanıtı</x:v>
      </x:c>
    </x:row>
    <x:row r="102" ht="40" customHeight="1">
      <x:c r="A102" s="6" t="str">
        <x:v>V6</x:v>
      </x:c>
      <x:c r="B102" s="6" t="str">
        <x:v>MSP-K23/S07</x:v>
      </x:c>
      <x:c r="C102" s="6" t="str">
        <x:v>GNL-23-07</x:v>
      </x:c>
      <x:c r="D102" s="6" t="str">
        <x:v>Yeniden kaynaklandırıldı</x:v>
      </x:c>
      <x:c r="E102" s="6" t="str">
        <x:v>NIST kontrol amacı kullanıldı; doğrulanmamış BDDK/ISO/CIS Controls çapraz atıfları ve sabit örneklem sayıları taşınmadı.</x:v>
      </x:c>
      <x:c r="F102" s="6" t="str">
        <x:v>Kritiklik analizi, escrow/alternatif plan, hukuk görüşü</x:v>
      </x:c>
    </x:row>
    <x:row r="103" ht="40" customHeight="1">
      <x:c r="A103" s="6" t="str">
        <x:v>V6</x:v>
      </x:c>
      <x:c r="B103" s="6" t="str">
        <x:v>MSP-K24/S01</x:v>
      </x:c>
      <x:c r="C103" s="6" t="str">
        <x:v>GNL-24-01</x:v>
      </x:c>
      <x:c r="D103" s="6" t="str">
        <x:v>Yeniden kaynaklandırıldı</x:v>
      </x:c>
      <x:c r="E103" s="6" t="str">
        <x:v>NIST kontrol amacı kullanıldı; doğrulanmamış BDDK/ISO/CIS Controls çapraz atıfları ve sabit örneklem sayıları taşınmadı.</x:v>
      </x:c>
      <x:c r="F103" s="6" t="str">
        <x:v>Uzak erişim politikası, cihaz uyum kuralı, bağlantı kayıtları</x:v>
      </x:c>
    </x:row>
    <x:row r="104" ht="40" customHeight="1">
      <x:c r="A104" s="6" t="str">
        <x:v>V6</x:v>
      </x:c>
      <x:c r="B104" s="6" t="str">
        <x:v>MSP-K24/S02</x:v>
      </x:c>
      <x:c r="C104" s="6" t="str">
        <x:v>GNL-05-01</x:v>
      </x:c>
      <x:c r="D104" s="6" t="str">
        <x:v>Birleştirildi</x:v>
      </x:c>
      <x:c r="E104" s="6" t="str">
        <x:v>NIST kontrol amacı kullanıldı; doğrulanmamış BDDK/ISO/CIS Controls çapraz atıfları ve sabit örneklem sayıları taşınmadı.</x:v>
      </x:c>
      <x:c r="F104" s="6" t="str">
        <x:v>PAM/MFA politikası, yetki ve oturum kayıtları</x:v>
      </x:c>
    </x:row>
    <x:row r="105" ht="40" customHeight="1">
      <x:c r="A105" s="6" t="str">
        <x:v>V6</x:v>
      </x:c>
      <x:c r="B105" s="6" t="str">
        <x:v>MSP-K24/S03</x:v>
      </x:c>
      <x:c r="C105" s="6" t="str">
        <x:v>GNL-24-03</x:v>
      </x:c>
      <x:c r="D105" s="6" t="str">
        <x:v>Yeniden kaynaklandırıldı</x:v>
      </x:c>
      <x:c r="E105" s="6" t="str">
        <x:v>NIST kontrol amacı kullanıldı; doğrulanmamış BDDK/ISO/CIS Controls çapraz atıfları ve sabit örneklem sayıları taşınmadı.</x:v>
      </x:c>
      <x:c r="F105" s="6" t="str">
        <x:v>Yönetici cihaz standardı, uygulama listesi, örnek cihaz çıktısı</x:v>
      </x:c>
    </x:row>
    <x:row r="106" ht="40" customHeight="1">
      <x:c r="A106" s="6" t="str">
        <x:v>V6</x:v>
      </x:c>
      <x:c r="B106" s="6" t="str">
        <x:v>MSP-K24/S04</x:v>
      </x:c>
      <x:c r="C106" s="6" t="str">
        <x:v>GNL-13-02</x:v>
      </x:c>
      <x:c r="D106" s="6" t="str">
        <x:v>Birleştirildi</x:v>
      </x:c>
      <x:c r="E106" s="6" t="str">
        <x:v>NIST kontrol amacı kullanıldı; doğrulanmamış BDDK/ISO/CIS Controls çapraz atıfları ve sabit örneklem sayıları taşınmadı.</x:v>
      </x:c>
      <x:c r="F106" s="6" t="str">
        <x:v>Ağ akışları, güvenlik duvarı kuralları, yönetim geçiş sunucusu (jump server) kayıtları</x:v>
      </x:c>
    </x:row>
    <x:row r="107" ht="40" customHeight="1">
      <x:c r="A107" s="6" t="str">
        <x:v>V6</x:v>
      </x:c>
      <x:c r="B107" s="6" t="str">
        <x:v>MSP-K24/S05</x:v>
      </x:c>
      <x:c r="C107" s="6" t="str">
        <x:v>GNL-05-04</x:v>
      </x:c>
      <x:c r="D107" s="6" t="str">
        <x:v>Birleştirildi</x:v>
      </x:c>
      <x:c r="E107" s="6" t="str">
        <x:v>NIST kontrol amacı kullanıldı; doğrulanmamış BDDK/ISO/CIS Controls çapraz atıfları ve sabit örneklem sayıları taşınmadı.</x:v>
      </x:c>
      <x:c r="F107" s="6" t="str">
        <x:v>PAM oturum kayıtları, ürün audit logları, örnek olay</x:v>
      </x:c>
    </x:row>
    <x:row r="108" ht="40" customHeight="1">
      <x:c r="A108" s="6" t="str">
        <x:v>V6</x:v>
      </x:c>
      <x:c r="B108" s="6" t="str">
        <x:v>MSP-K24/S06</x:v>
      </x:c>
      <x:c r="C108" s="6" t="str">
        <x:v>GNL-24-06</x:v>
      </x:c>
      <x:c r="D108" s="6" t="str">
        <x:v>Yeniden kaynaklandırıldı</x:v>
      </x:c>
      <x:c r="E108" s="6" t="str">
        <x:v>NIST kontrol amacı kullanıldı; doğrulanmamış BDDK/ISO/CIS Controls çapraz atıfları ve sabit örneklem sayıları taşınmadı.</x:v>
      </x:c>
      <x:c r="F108" s="6" t="str">
        <x:v>Uç nokta uyum raporu, EDR/yama durumu</x:v>
      </x:c>
    </x:row>
    <x:row r="109" ht="40" customHeight="1">
      <x:c r="A109" s="6" t="str">
        <x:v>V6</x:v>
      </x:c>
      <x:c r="B109" s="6" t="str">
        <x:v>MSP-K25/S01</x:v>
      </x:c>
      <x:c r="C109" s="6" t="str">
        <x:v>GNL-25-01</x:v>
      </x:c>
      <x:c r="D109" s="6" t="str">
        <x:v>Yeniden kaynaklandırıldı</x:v>
      </x:c>
      <x:c r="E109" s="6" t="str">
        <x:v>NIST kontrol amacı kullanıldı; doğrulanmamış BDDK/ISO/CIS Controls çapraz atıfları ve sabit örneklem sayıları taşınmadı.</x:v>
      </x:c>
      <x:c r="F109" s="6" t="str">
        <x:v>Veri envanteri, işleme amacı, müşteri/veri sahibi eşleştirmesi</x:v>
      </x:c>
    </x:row>
    <x:row r="110" ht="40" customHeight="1">
      <x:c r="A110" s="6" t="str">
        <x:v>V6</x:v>
      </x:c>
      <x:c r="B110" s="6" t="str">
        <x:v>MSP-K25/S02</x:v>
      </x:c>
      <x:c r="C110" s="6" t="str">
        <x:v>GNL-01-03</x:v>
      </x:c>
      <x:c r="D110" s="6" t="str">
        <x:v>Birleştirildi</x:v>
      </x:c>
      <x:c r="E110" s="6" t="str">
        <x:v>NIST kontrol amacı kullanıldı; doğrulanmamış BDDK/ISO/CIS Controls çapraz atıfları ve sabit örneklem sayıları taşınmadı.</x:v>
      </x:c>
      <x:c r="F110" s="6" t="str">
        <x:v>Hukuk/uyum değerlendirmesi, sözleşme ve ekleri</x:v>
      </x:c>
    </x:row>
    <x:row r="111" ht="40" customHeight="1">
      <x:c r="A111" s="6" t="str">
        <x:v>V6</x:v>
      </x:c>
      <x:c r="B111" s="6" t="str">
        <x:v>MSP-K25/S03</x:v>
      </x:c>
      <x:c r="C111" s="6" t="str">
        <x:v>GNL-03-02</x:v>
      </x:c>
      <x:c r="D111" s="6" t="str">
        <x:v>Birleştirildi</x:v>
      </x:c>
      <x:c r="E111" s="6" t="str">
        <x:v>NIST kontrol amacı kullanıldı; doğrulanmamış BDDK/ISO/CIS Controls çapraz atıfları ve sabit örneklem sayıları taşınmadı.</x:v>
      </x:c>
      <x:c r="F111" s="6" t="str">
        <x:v>Rol/yetki listesi, müşteri onayları, erişim kayıtları</x:v>
      </x:c>
    </x:row>
    <x:row r="112" ht="40" customHeight="1">
      <x:c r="A112" s="6" t="str">
        <x:v>V6</x:v>
      </x:c>
      <x:c r="B112" s="6" t="str">
        <x:v>MSP-K25/S04</x:v>
      </x:c>
      <x:c r="C112" s="6" t="str">
        <x:v>GNL-11-03</x:v>
      </x:c>
      <x:c r="D112" s="6" t="str">
        <x:v>Birleştirildi</x:v>
      </x:c>
      <x:c r="E112" s="6" t="str">
        <x:v>NIST kontrol amacı kullanıldı; doğrulanmamış BDDK/ISO/CIS Controls çapraz atıfları ve sabit örneklem sayıları taşınmadı.</x:v>
      </x:c>
      <x:c r="F112" s="6" t="str">
        <x:v>Şifreleme ayarları, KMS/HSM yetkileri, anahtar rotasyonu</x:v>
      </x:c>
    </x:row>
    <x:row r="113" ht="40" customHeight="1">
      <x:c r="A113" s="6" t="str">
        <x:v>V6</x:v>
      </x:c>
      <x:c r="B113" s="6" t="str">
        <x:v>MSP-K25/S05</x:v>
      </x:c>
      <x:c r="C113" s="6" t="str">
        <x:v>GNL-25-05</x:v>
      </x:c>
      <x:c r="D113" s="6" t="str">
        <x:v>Yeniden kaynaklandırıldı</x:v>
      </x:c>
      <x:c r="E113" s="6" t="str">
        <x:v>NIST kontrol amacı kullanıldı; doğrulanmamış BDDK/ISO/CIS Controls çapraz atıfları ve sabit örneklem sayıları taşınmadı.</x:v>
      </x:c>
      <x:c r="F113" s="6" t="str">
        <x:v>Maskeleme politikası, örnek veri/çıktı, destek paketi prosedürü</x:v>
      </x:c>
    </x:row>
    <x:row r="114" ht="40" customHeight="1">
      <x:c r="A114" s="6" t="str">
        <x:v>V6</x:v>
      </x:c>
      <x:c r="B114" s="6" t="str">
        <x:v>MSP-K25/S06</x:v>
      </x:c>
      <x:c r="C114" s="6" t="str">
        <x:v>GNL-16-02</x:v>
      </x:c>
      <x:c r="D114" s="6" t="str">
        <x:v>Birleştirildi</x:v>
      </x:c>
      <x:c r="E114" s="6" t="str">
        <x:v>NIST kontrol amacı kullanıldı; doğrulanmamış BDDK/ISO/CIS Controls çapraz atıfları ve sabit örneklem sayıları taşınmadı.</x:v>
      </x:c>
      <x:c r="F114" s="6" t="str">
        <x:v>Olay/bildirim prosedürü, sözleşmesel süreler, tatbikat</x:v>
      </x:c>
    </x:row>
    <x:row r="115" ht="40" customHeight="1">
      <x:c r="A115" s="6" t="str">
        <x:v>V6</x:v>
      </x:c>
      <x:c r="B115" s="6" t="str">
        <x:v>MSP-K25/S07</x:v>
      </x:c>
      <x:c r="C115" s="6" t="str">
        <x:v>GNL-18-01</x:v>
      </x:c>
      <x:c r="D115" s="6" t="str">
        <x:v>Birleştirildi</x:v>
      </x:c>
      <x:c r="E115" s="6" t="str">
        <x:v>NIST kontrol amacı kullanıldı; doğrulanmamış BDDK/ISO/CIS Controls çapraz atıfları ve sabit örneklem sayıları taşınmadı.</x:v>
      </x:c>
      <x:c r="F115" s="6" t="str">
        <x:v>Saklama çizelgesi, silme kayıtları, yedek yaşam döngüsü</x:v>
      </x:c>
    </x:row>
    <x:row r="116" ht="40" customHeight="1">
      <x:c r="A116" s="6" t="str">
        <x:v>V6</x:v>
      </x:c>
      <x:c r="B116" s="6" t="str">
        <x:v>MSP-K26/S01</x:v>
      </x:c>
      <x:c r="C116" s="6" t="str">
        <x:v>GNL-19-01</x:v>
      </x:c>
      <x:c r="D116" s="6" t="str">
        <x:v>Birleştirildi</x:v>
      </x:c>
      <x:c r="E116" s="6" t="str">
        <x:v>NIST kontrol amacı kullanıldı; doğrulanmamış BDDK/ISO/CIS Controls çapraz atıfları ve sabit örneklem sayıları taşınmadı.</x:v>
      </x:c>
      <x:c r="F116" s="6" t="str">
        <x:v>Denetim/güvence planı, risk değerlendirmesi</x:v>
      </x:c>
    </x:row>
    <x:row r="117" ht="40" customHeight="1">
      <x:c r="A117" s="6" t="str">
        <x:v>V6</x:v>
      </x:c>
      <x:c r="B117" s="6" t="str">
        <x:v>MSP-K26/S03</x:v>
      </x:c>
      <x:c r="C117" s="6" t="str">
        <x:v>GNL-19-02</x:v>
      </x:c>
      <x:c r="D117" s="6" t="str">
        <x:v>Birleştirildi</x:v>
      </x:c>
      <x:c r="E117" s="6" t="str">
        <x:v>NIST kontrol amacı kullanıldı; doğrulanmamış BDDK/ISO/CIS Controls çapraz atıfları ve sabit örneklem sayıları taşınmadı.</x:v>
      </x:c>
      <x:c r="F117" s="6" t="str">
        <x:v>Test senaryoları, negatif test sonuçları</x:v>
      </x:c>
    </x:row>
    <x:row r="118" ht="40" customHeight="1">
      <x:c r="A118" s="6" t="str">
        <x:v>V6</x:v>
      </x:c>
      <x:c r="B118" s="6" t="str">
        <x:v>MSP-K26/S04</x:v>
      </x:c>
      <x:c r="C118" s="6" t="str">
        <x:v>GNL-26-04</x:v>
      </x:c>
      <x:c r="D118" s="6" t="str">
        <x:v>Yeniden kaynaklandırıldı</x:v>
      </x:c>
      <x:c r="E118" s="6" t="str">
        <x:v>NIST kontrol amacı kullanıldı; doğrulanmamış BDDK/ISO/CIS Controls çapraz atıfları ve sabit örneklem sayıları taşınmadı.</x:v>
      </x:c>
      <x:c r="F118" s="6" t="str">
        <x:v>Bağımsızlık beyanı, yetkinlik kayıtları, sözleşme</x:v>
      </x:c>
    </x:row>
    <x:row r="119" ht="40" customHeight="1">
      <x:c r="A119" s="6" t="str">
        <x:v>V6</x:v>
      </x:c>
      <x:c r="B119" s="6" t="str">
        <x:v>MSP-K26/S05</x:v>
      </x:c>
      <x:c r="C119" s="6" t="str">
        <x:v>GNL-26-05</x:v>
      </x:c>
      <x:c r="D119" s="6" t="str">
        <x:v>Yeniden kaynaklandırıldı</x:v>
      </x:c>
      <x:c r="E119" s="6" t="str">
        <x:v>NIST kontrol amacı kullanıldı; doğrulanmamış BDDK/ISO/CIS Controls çapraz atıfları ve sabit örneklem sayıları taşınmadı.</x:v>
      </x:c>
      <x:c r="F119" s="6" t="str">
        <x:v>Bulgu kayıtları, kök neden/yayılım analizi, aksiyonlar</x:v>
      </x:c>
    </x:row>
    <x:row r="120" ht="40" customHeight="1">
      <x:c r="A120" s="6" t="str">
        <x:v>V6</x:v>
      </x:c>
      <x:c r="B120" s="6" t="str">
        <x:v>MSP-K26/S06</x:v>
      </x:c>
      <x:c r="C120" s="6" t="str">
        <x:v>GNL-19-02</x:v>
      </x:c>
      <x:c r="D120" s="6" t="str">
        <x:v>Birleştirildi</x:v>
      </x:c>
      <x:c r="E120" s="6" t="str">
        <x:v>NIST kontrol amacı kullanıldı; doğrulanmamış BDDK/ISO/CIS Controls çapraz atıfları ve sabit örneklem sayıları taşınmadı.</x:v>
      </x:c>
      <x:c r="F120" s="6" t="str">
        <x:v>Retest raporu, kapatma onayı, çalışma kâğıdı</x:v>
      </x:c>
    </x:row>
    <x:row r="121" ht="40" customHeight="1">
      <x:c r="A121" s="6" t="str">
        <x:v>V6</x:v>
      </x:c>
      <x:c r="B121" s="6" t="str">
        <x:v>MSP-K26/S07</x:v>
      </x:c>
      <x:c r="C121" s="6" t="str">
        <x:v>GNL-26-07</x:v>
      </x:c>
      <x:c r="D121" s="6" t="str">
        <x:v>Yeniden kaynaklandırıldı</x:v>
      </x:c>
      <x:c r="E121" s="6" t="str">
        <x:v>NIST kontrol amacı kullanıldı; doğrulanmamış BDDK/ISO/CIS Controls çapraz atıfları ve sabit örneklem sayıları taşınmadı.</x:v>
      </x:c>
      <x:c r="F121" s="6" t="str">
        <x:v>Tehdit modeli, güvence gerekçesi, test raporu</x:v>
      </x:c>
    </x:row>
    <x:row r="122" ht="40" customHeight="1">
      <x:c r="A122" s="6" t="str">
        <x:v>A</x:v>
      </x:c>
      <x:c r="B122" s="6" t="str">
        <x:v>MSP-001</x:v>
      </x:c>
      <x:c r="C122" s="6" t="str">
        <x:v>GNL-01-01</x:v>
      </x:c>
      <x:c r="D122" s="6" t="str">
        <x:v>Birleştirildi</x:v>
      </x:c>
      <x:c r="E122" s="6" t="str">
        <x:v>Ortak kontrol her ürün/tenant hedefi için Uygulama kaydında tekrar yürütülür; soru metni tekilleştirildi.</x:v>
      </x:c>
      <x:c r="F122" s="6" t="str">
        <x:v>Önceki setin ilgili soru satırı</x:v>
      </x:c>
    </x:row>
    <x:row r="123" ht="40" customHeight="1">
      <x:c r="A123" s="6" t="str">
        <x:v>A</x:v>
      </x:c>
      <x:c r="B123" s="6" t="str">
        <x:v>MSP-002</x:v>
      </x:c>
      <x:c r="C123" s="6" t="str"/>
      <x:c r="D123" s="6" t="str">
        <x:v>Doğrulama bekliyor</x:v>
      </x:c>
      <x:c r="E123" s="6" t="str">
        <x:v>Güncel BDDK metninin karşılaştırılması hizmet kataloğu kontrolüyle eşdeğer değildir. BDDK-GUNCEL açık konusuna alındı; güncel resmî metin sağlanmadan aktif hukuki ölçüt oluşturulmadı.</x:v>
      </x:c>
      <x:c r="F123" s="6" t="str">
        <x:v>Önceki setin ilgili soru satırı</x:v>
      </x:c>
    </x:row>
    <x:row r="124" ht="40" customHeight="1">
      <x:c r="A124" s="6" t="str">
        <x:v>A</x:v>
      </x:c>
      <x:c r="B124" s="6" t="str">
        <x:v>MSP-003</x:v>
      </x:c>
      <x:c r="C124" s="6" t="str">
        <x:v>MSP-003</x:v>
      </x:c>
      <x:c r="D124" s="6" t="str">
        <x:v>Korundu</x:v>
      </x:c>
      <x:c r="E124" s="6" t="str">
        <x:v>Ortak kontrol her ürün/tenant hedefi için Uygulama kaydında tekrar yürütülür; soru metni tekilleştirildi.</x:v>
      </x:c>
      <x:c r="F124" s="6" t="str">
        <x:v>Önceki setin ilgili soru satırı</x:v>
      </x:c>
    </x:row>
    <x:row r="125" ht="40" customHeight="1">
      <x:c r="A125" s="6" t="str">
        <x:v>A</x:v>
      </x:c>
      <x:c r="B125" s="6" t="str">
        <x:v>MSP-004</x:v>
      </x:c>
      <x:c r="C125" s="6" t="str">
        <x:v>MSP-004</x:v>
      </x:c>
      <x:c r="D125" s="6" t="str">
        <x:v>Korundu</x:v>
      </x:c>
      <x:c r="E125" s="6" t="str">
        <x:v>Ortak kontrol her ürün/tenant hedefi için Uygulama kaydında tekrar yürütülür; soru metni tekilleştirildi.</x:v>
      </x:c>
      <x:c r="F125" s="6" t="str">
        <x:v>Önceki setin ilgili soru satırı</x:v>
      </x:c>
    </x:row>
    <x:row r="126" ht="40" customHeight="1">
      <x:c r="A126" s="6" t="str">
        <x:v>A</x:v>
      </x:c>
      <x:c r="B126" s="6" t="str">
        <x:v>MSP-005</x:v>
      </x:c>
      <x:c r="C126" s="6" t="str">
        <x:v>MSP-005</x:v>
      </x:c>
      <x:c r="D126" s="6" t="str">
        <x:v>Korundu</x:v>
      </x:c>
      <x:c r="E126" s="6" t="str">
        <x:v>Ortak kontrol her ürün/tenant hedefi için Uygulama kaydında tekrar yürütülür; soru metni tekilleştirildi.</x:v>
      </x:c>
      <x:c r="F126" s="6" t="str">
        <x:v>Önceki setin ilgili soru satırı</x:v>
      </x:c>
    </x:row>
    <x:row r="127" ht="40" customHeight="1">
      <x:c r="A127" s="6" t="str">
        <x:v>A</x:v>
      </x:c>
      <x:c r="B127" s="6" t="str">
        <x:v>MSP-006</x:v>
      </x:c>
      <x:c r="C127" s="6" t="str">
        <x:v>GNL-01-03</x:v>
      </x:c>
      <x:c r="D127" s="6" t="str">
        <x:v>Birleştirildi</x:v>
      </x:c>
      <x:c r="E127" s="6" t="str">
        <x:v>Ortak kontrol her ürün/tenant hedefi için Uygulama kaydında tekrar yürütülür; soru metni tekilleştirildi.</x:v>
      </x:c>
      <x:c r="F127" s="6" t="str">
        <x:v>Önceki setin ilgili soru satırı</x:v>
      </x:c>
    </x:row>
    <x:row r="128" ht="40" customHeight="1">
      <x:c r="A128" s="6" t="str">
        <x:v>A</x:v>
      </x:c>
      <x:c r="B128" s="6" t="str">
        <x:v>MSP-007</x:v>
      </x:c>
      <x:c r="C128" s="6" t="str"/>
      <x:c r="D128" s="6" t="str">
        <x:v>Doğrulama bekliyor</x:v>
      </x:c>
      <x:c r="E128" s="6" t="str">
        <x:v>Güncel resmî BDDK hükmü teyit edilemediği için hukuki uygunluk ölçütü taşınmadı; konum/sözleşme teknik kontrolleri sürer.</x:v>
      </x:c>
      <x:c r="F128" s="6" t="str">
        <x:v>Önceki setin ilgili soru satırı</x:v>
      </x:c>
    </x:row>
    <x:row r="129" ht="40" customHeight="1">
      <x:c r="A129" s="6" t="str">
        <x:v>A</x:v>
      </x:c>
      <x:c r="B129" s="6" t="str">
        <x:v>MSP-008</x:v>
      </x:c>
      <x:c r="C129" s="6" t="str"/>
      <x:c r="D129" s="6" t="str">
        <x:v>Doğrulama bekliyor</x:v>
      </x:c>
      <x:c r="E129" s="6" t="str">
        <x:v>Güncel resmî BDDK hükmü teyit edilemediği için hukuki uygunluk ölçütü taşınmadı; konum/sözleşme teknik kontrolleri sürer.</x:v>
      </x:c>
      <x:c r="F129" s="6" t="str">
        <x:v>Önceki setin ilgili soru satırı</x:v>
      </x:c>
    </x:row>
    <x:row r="130" ht="40" customHeight="1">
      <x:c r="A130" s="6" t="str">
        <x:v>A</x:v>
      </x:c>
      <x:c r="B130" s="6" t="str">
        <x:v>MSP-009</x:v>
      </x:c>
      <x:c r="C130" s="6" t="str">
        <x:v>GNL-17-01</x:v>
      </x:c>
      <x:c r="D130" s="6" t="str">
        <x:v>Birleştirildi</x:v>
      </x:c>
      <x:c r="E130" s="6" t="str">
        <x:v>Ortak kontrol her ürün/tenant hedefi için Uygulama kaydında tekrar yürütülür; soru metni tekilleştirildi.</x:v>
      </x:c>
      <x:c r="F130" s="6" t="str">
        <x:v>Önceki setin ilgili soru satırı</x:v>
      </x:c>
    </x:row>
    <x:row r="131" ht="40" customHeight="1">
      <x:c r="A131" s="6" t="str">
        <x:v>A</x:v>
      </x:c>
      <x:c r="B131" s="6" t="str">
        <x:v>MSP-010</x:v>
      </x:c>
      <x:c r="C131" s="6" t="str">
        <x:v>GNL-17-01</x:v>
      </x:c>
      <x:c r="D131" s="6" t="str">
        <x:v>Birleştirildi</x:v>
      </x:c>
      <x:c r="E131" s="6" t="str">
        <x:v>Ortak kontrol her ürün/tenant hedefi için Uygulama kaydında tekrar yürütülür; soru metni tekilleştirildi.</x:v>
      </x:c>
      <x:c r="F131" s="6" t="str">
        <x:v>Önceki setin ilgili soru satırı</x:v>
      </x:c>
    </x:row>
    <x:row r="132" ht="40" customHeight="1">
      <x:c r="A132" s="6" t="str">
        <x:v>A</x:v>
      </x:c>
      <x:c r="B132" s="6" t="str">
        <x:v>MSP-011</x:v>
      </x:c>
      <x:c r="C132" s="6" t="str">
        <x:v>GNL-01-06</x:v>
      </x:c>
      <x:c r="D132" s="6" t="str">
        <x:v>Birleştirildi</x:v>
      </x:c>
      <x:c r="E132" s="6" t="str">
        <x:v>Ortak kontrol her ürün/tenant hedefi için Uygulama kaydında tekrar yürütülür; soru metni tekilleştirildi.</x:v>
      </x:c>
      <x:c r="F132" s="6" t="str">
        <x:v>Önceki setin ilgili soru satırı</x:v>
      </x:c>
    </x:row>
    <x:row r="133" ht="40" customHeight="1">
      <x:c r="A133" s="6" t="str">
        <x:v>A</x:v>
      </x:c>
      <x:c r="B133" s="6" t="str">
        <x:v>MSP-012</x:v>
      </x:c>
      <x:c r="C133" s="6" t="str">
        <x:v>GNL-03-02</x:v>
      </x:c>
      <x:c r="D133" s="6" t="str">
        <x:v>Birleştirildi</x:v>
      </x:c>
      <x:c r="E133" s="6" t="str">
        <x:v>Ortak kontrol her ürün/tenant hedefi için Uygulama kaydında tekrar yürütülür; soru metni tekilleştirildi.</x:v>
      </x:c>
      <x:c r="F133" s="6" t="str">
        <x:v>Önceki setin ilgili soru satırı</x:v>
      </x:c>
    </x:row>
    <x:row r="134" ht="40" customHeight="1">
      <x:c r="A134" s="6" t="str">
        <x:v>A</x:v>
      </x:c>
      <x:c r="B134" s="6" t="str">
        <x:v>MSP-013</x:v>
      </x:c>
      <x:c r="C134" s="6" t="str">
        <x:v>MSP-013</x:v>
      </x:c>
      <x:c r="D134" s="6" t="str">
        <x:v>Korundu</x:v>
      </x:c>
      <x:c r="E134" s="6" t="str">
        <x:v>Ortak kontrol her ürün/tenant hedefi için Uygulama kaydında tekrar yürütülür; soru metni tekilleştirildi.</x:v>
      </x:c>
      <x:c r="F134" s="6" t="str">
        <x:v>Önceki setin ilgili soru satırı</x:v>
      </x:c>
    </x:row>
    <x:row r="135" ht="40" customHeight="1">
      <x:c r="A135" s="6" t="str">
        <x:v>A</x:v>
      </x:c>
      <x:c r="B135" s="6" t="str">
        <x:v>MSP-014</x:v>
      </x:c>
      <x:c r="C135" s="6" t="str">
        <x:v>GNL-13-02</x:v>
      </x:c>
      <x:c r="D135" s="6" t="str">
        <x:v>Birleştirildi</x:v>
      </x:c>
      <x:c r="E135" s="6" t="str">
        <x:v>Ortak kontrol her ürün/tenant hedefi için Uygulama kaydında tekrar yürütülür; soru metni tekilleştirildi.</x:v>
      </x:c>
      <x:c r="F135" s="6" t="str">
        <x:v>Önceki setin ilgili soru satırı</x:v>
      </x:c>
    </x:row>
    <x:row r="136" ht="40" customHeight="1">
      <x:c r="A136" s="6" t="str">
        <x:v>A</x:v>
      </x:c>
      <x:c r="B136" s="6" t="str">
        <x:v>MSP-015</x:v>
      </x:c>
      <x:c r="C136" s="6" t="str">
        <x:v>GNL-04-01</x:v>
      </x:c>
      <x:c r="D136" s="6" t="str">
        <x:v>Birleştirildi</x:v>
      </x:c>
      <x:c r="E136" s="6" t="str">
        <x:v>Ortak kontrol her ürün/tenant hedefi için Uygulama kaydında tekrar yürütülür; soru metni tekilleştirildi.</x:v>
      </x:c>
      <x:c r="F136" s="6" t="str">
        <x:v>Önceki setin ilgili soru satırı</x:v>
      </x:c>
    </x:row>
    <x:row r="137" ht="40" customHeight="1">
      <x:c r="A137" s="6" t="str">
        <x:v>A</x:v>
      </x:c>
      <x:c r="B137" s="6" t="str">
        <x:v>MSP-016</x:v>
      </x:c>
      <x:c r="C137" s="6" t="str">
        <x:v>GNL-11-03</x:v>
      </x:c>
      <x:c r="D137" s="6" t="str">
        <x:v>Birleştirildi</x:v>
      </x:c>
      <x:c r="E137" s="6" t="str">
        <x:v>Ortak kontrol her ürün/tenant hedefi için Uygulama kaydında tekrar yürütülür; soru metni tekilleştirildi.</x:v>
      </x:c>
      <x:c r="F137" s="6" t="str">
        <x:v>Önceki setin ilgili soru satırı</x:v>
      </x:c>
    </x:row>
    <x:row r="138" ht="40" customHeight="1">
      <x:c r="A138" s="6" t="str">
        <x:v>A</x:v>
      </x:c>
      <x:c r="B138" s="6" t="str">
        <x:v>MSP-017</x:v>
      </x:c>
      <x:c r="C138" s="6" t="str">
        <x:v>GNL-06-01</x:v>
      </x:c>
      <x:c r="D138" s="6" t="str">
        <x:v>Birleştirildi</x:v>
      </x:c>
      <x:c r="E138" s="6" t="str">
        <x:v>Ortak kontrol her ürün/tenant hedefi için Uygulama kaydında tekrar yürütülür; soru metni tekilleştirildi.</x:v>
      </x:c>
      <x:c r="F138" s="6" t="str">
        <x:v>Önceki setin ilgili soru satırı</x:v>
      </x:c>
    </x:row>
    <x:row r="139" ht="40" customHeight="1">
      <x:c r="A139" s="6" t="str">
        <x:v>A</x:v>
      </x:c>
      <x:c r="B139" s="6" t="str">
        <x:v>MSP-018</x:v>
      </x:c>
      <x:c r="C139" s="6" t="str">
        <x:v>GNL-08-01
GNL-08-02</x:v>
      </x:c>
      <x:c r="D139" s="6" t="str">
        <x:v>Birleştirildi</x:v>
      </x:c>
      <x:c r="E139" s="6" t="str">
        <x:v>Ortak kontrol her ürün/tenant hedefi için Uygulama kaydında tekrar yürütülür; soru metni tekilleştirildi.</x:v>
      </x:c>
      <x:c r="F139" s="6" t="str">
        <x:v>Önceki setin ilgili soru satırı</x:v>
      </x:c>
    </x:row>
    <x:row r="140" ht="40" customHeight="1">
      <x:c r="A140" s="6" t="str">
        <x:v>A</x:v>
      </x:c>
      <x:c r="B140" s="6" t="str">
        <x:v>MSP-019</x:v>
      </x:c>
      <x:c r="C140" s="6" t="str">
        <x:v>GNL-19-02</x:v>
      </x:c>
      <x:c r="D140" s="6" t="str">
        <x:v>Birleştirildi</x:v>
      </x:c>
      <x:c r="E140" s="6" t="str">
        <x:v>Ortak kontrol her ürün/tenant hedefi için Uygulama kaydında tekrar yürütülür; soru metni tekilleştirildi.</x:v>
      </x:c>
      <x:c r="F140" s="6" t="str">
        <x:v>Önceki setin ilgili soru satırı</x:v>
      </x:c>
    </x:row>
    <x:row r="141" ht="40" customHeight="1">
      <x:c r="A141" s="6" t="str">
        <x:v>A</x:v>
      </x:c>
      <x:c r="B141" s="6" t="str">
        <x:v>MSP-020</x:v>
      </x:c>
      <x:c r="C141" s="6" t="str">
        <x:v>GNL-07-01</x:v>
      </x:c>
      <x:c r="D141" s="6" t="str">
        <x:v>Birleştirildi</x:v>
      </x:c>
      <x:c r="E141" s="6" t="str">
        <x:v>Ortak kontrol her ürün/tenant hedefi için Uygulama kaydında tekrar yürütülür; soru metni tekilleştirildi.</x:v>
      </x:c>
      <x:c r="F141" s="6" t="str">
        <x:v>Önceki setin ilgili soru satırı</x:v>
      </x:c>
    </x:row>
    <x:row r="142" ht="40" customHeight="1">
      <x:c r="A142" s="6" t="str">
        <x:v>A</x:v>
      </x:c>
      <x:c r="B142" s="6" t="str">
        <x:v>MSP-021</x:v>
      </x:c>
      <x:c r="C142" s="6" t="str">
        <x:v>GNL-09-04
GNL-09-05</x:v>
      </x:c>
      <x:c r="D142" s="6" t="str">
        <x:v>Birleştirildi</x:v>
      </x:c>
      <x:c r="E142" s="6" t="str">
        <x:v>Ortak kontrol her ürün/tenant hedefi için Uygulama kaydında tekrar yürütülür; soru metni tekilleştirildi.</x:v>
      </x:c>
      <x:c r="F142" s="6" t="str">
        <x:v>Önceki setin ilgili soru satırı</x:v>
      </x:c>
    </x:row>
    <x:row r="143" ht="40" customHeight="1">
      <x:c r="A143" s="6" t="str">
        <x:v>A</x:v>
      </x:c>
      <x:c r="B143" s="6" t="str">
        <x:v>MSP-022</x:v>
      </x:c>
      <x:c r="C143" s="6" t="str">
        <x:v>GNL-16-01
GNL-16-02</x:v>
      </x:c>
      <x:c r="D143" s="6" t="str">
        <x:v>Birleştirildi</x:v>
      </x:c>
      <x:c r="E143" s="6" t="str">
        <x:v>Ortak kontrol her ürün/tenant hedefi için Uygulama kaydında tekrar yürütülür; soru metni tekilleştirildi.</x:v>
      </x:c>
      <x:c r="F143" s="6" t="str">
        <x:v>Önceki setin ilgili soru satırı</x:v>
      </x:c>
    </x:row>
    <x:row r="144" ht="40" customHeight="1">
      <x:c r="A144" s="6" t="str">
        <x:v>A</x:v>
      </x:c>
      <x:c r="B144" s="6" t="str">
        <x:v>MSP-023</x:v>
      </x:c>
      <x:c r="C144" s="6" t="str">
        <x:v>GNL-15-03</x:v>
      </x:c>
      <x:c r="D144" s="6" t="str">
        <x:v>Birleştirildi</x:v>
      </x:c>
      <x:c r="E144" s="6" t="str">
        <x:v>Ortak kontrol her ürün/tenant hedefi için Uygulama kaydında tekrar yürütülür; soru metni tekilleştirildi.</x:v>
      </x:c>
      <x:c r="F144" s="6" t="str">
        <x:v>Önceki setin ilgili soru satırı</x:v>
      </x:c>
    </x:row>
    <x:row r="145" ht="40" customHeight="1">
      <x:c r="A145" s="6" t="str">
        <x:v>A</x:v>
      </x:c>
      <x:c r="B145" s="6" t="str">
        <x:v>MSP-024</x:v>
      </x:c>
      <x:c r="C145" s="6" t="str">
        <x:v>GNL-14-01</x:v>
      </x:c>
      <x:c r="D145" s="6" t="str">
        <x:v>Birleştirildi</x:v>
      </x:c>
      <x:c r="E145" s="6" t="str">
        <x:v>Ortak kontrol her ürün/tenant hedefi için Uygulama kaydında tekrar yürütülür; soru metni tekilleştirildi.</x:v>
      </x:c>
      <x:c r="F145" s="6" t="str">
        <x:v>Önceki setin ilgili soru satırı</x:v>
      </x:c>
    </x:row>
    <x:row r="146" ht="40" customHeight="1">
      <x:c r="A146" s="6" t="str">
        <x:v>A</x:v>
      </x:c>
      <x:c r="B146" s="6" t="str">
        <x:v>MSP-025</x:v>
      </x:c>
      <x:c r="C146" s="6" t="str">
        <x:v>GNL-14-02</x:v>
      </x:c>
      <x:c r="D146" s="6" t="str">
        <x:v>Birleştirildi</x:v>
      </x:c>
      <x:c r="E146" s="6" t="str">
        <x:v>Ortak kontrol her ürün/tenant hedefi için Uygulama kaydında tekrar yürütülür; soru metni tekilleştirildi.</x:v>
      </x:c>
      <x:c r="F146" s="6" t="str">
        <x:v>Önceki setin ilgili soru satırı</x:v>
      </x:c>
    </x:row>
    <x:row r="147" ht="40" customHeight="1">
      <x:c r="A147" s="6" t="str">
        <x:v>A</x:v>
      </x:c>
      <x:c r="B147" s="6" t="str">
        <x:v>MSP-026</x:v>
      </x:c>
      <x:c r="C147" s="6" t="str">
        <x:v>GNL-21-01</x:v>
      </x:c>
      <x:c r="D147" s="6" t="str">
        <x:v>Birleştirildi</x:v>
      </x:c>
      <x:c r="E147" s="6" t="str">
        <x:v>Ortak kontrol her ürün/tenant hedefi için Uygulama kaydında tekrar yürütülür; soru metni tekilleştirildi.</x:v>
      </x:c>
      <x:c r="F147" s="6" t="str">
        <x:v>Önceki setin ilgili soru satırı</x:v>
      </x:c>
    </x:row>
    <x:row r="148" ht="40" customHeight="1">
      <x:c r="A148" s="6" t="str">
        <x:v>A</x:v>
      </x:c>
      <x:c r="B148" s="6" t="str">
        <x:v>MSP-027</x:v>
      </x:c>
      <x:c r="C148" s="6" t="str">
        <x:v>GNL-18-02</x:v>
      </x:c>
      <x:c r="D148" s="6" t="str">
        <x:v>Birleştirildi</x:v>
      </x:c>
      <x:c r="E148" s="6" t="str">
        <x:v>Ortak kontrol her ürün/tenant hedefi için Uygulama kaydında tekrar yürütülür; soru metni tekilleştirildi.</x:v>
      </x:c>
      <x:c r="F148" s="6" t="str">
        <x:v>Önceki setin ilgili soru satırı</x:v>
      </x:c>
    </x:row>
    <x:row r="149" ht="40" customHeight="1">
      <x:c r="A149" s="6" t="str">
        <x:v>A</x:v>
      </x:c>
      <x:c r="B149" s="6" t="str">
        <x:v>MSP-028</x:v>
      </x:c>
      <x:c r="C149" s="6" t="str">
        <x:v>GNL-01-05
GNL-22-05</x:v>
      </x:c>
      <x:c r="D149" s="6" t="str">
        <x:v>Birleştirildi</x:v>
      </x:c>
      <x:c r="E149" s="6" t="str">
        <x:v>Ortak kontrol her ürün/tenant hedefi için Uygulama kaydında tekrar yürütülür; soru metni tekilleştirildi.</x:v>
      </x:c>
      <x:c r="F149" s="6" t="str">
        <x:v>Önceki setin ilgili soru satırı</x:v>
      </x:c>
    </x:row>
    <x:row r="150" ht="40" customHeight="1">
      <x:c r="A150" s="6" t="str">
        <x:v>A</x:v>
      </x:c>
      <x:c r="B150" s="6" t="str">
        <x:v>MSP-029</x:v>
      </x:c>
      <x:c r="C150" s="6" t="str">
        <x:v>GNL-26-05</x:v>
      </x:c>
      <x:c r="D150" s="6" t="str">
        <x:v>Birleştirildi</x:v>
      </x:c>
      <x:c r="E150" s="6" t="str">
        <x:v>Ortak kontrol her ürün/tenant hedefi için Uygulama kaydında tekrar yürütülür; soru metni tekilleştirildi.</x:v>
      </x:c>
      <x:c r="F150" s="6" t="str">
        <x:v>Önceki setin ilgili soru satırı</x:v>
      </x:c>
    </x:row>
    <x:row r="151" ht="40" customHeight="1">
      <x:c r="A151" s="6" t="str">
        <x:v>A</x:v>
      </x:c>
      <x:c r="B151" s="6" t="str">
        <x:v>MSP-030</x:v>
      </x:c>
      <x:c r="C151" s="6" t="str">
        <x:v>GNL-19-03</x:v>
      </x:c>
      <x:c r="D151" s="6" t="str">
        <x:v>Birleştirildi</x:v>
      </x:c>
      <x:c r="E151" s="6" t="str">
        <x:v>Ortak kontrol her ürün/tenant hedefi için Uygulama kaydında tekrar yürütülür; soru metni tekilleştirildi.</x:v>
      </x:c>
      <x:c r="F151" s="6" t="str">
        <x:v>Önceki setin ilgili soru satırı</x:v>
      </x:c>
    </x:row>
    <x:row r="152" ht="40" customHeight="1">
      <x:c r="A152" s="6" t="str">
        <x:v>A</x:v>
      </x:c>
      <x:c r="B152" s="6" t="str">
        <x:v>MSP-031</x:v>
      </x:c>
      <x:c r="C152" s="6" t="str">
        <x:v>GNL-18-02</x:v>
      </x:c>
      <x:c r="D152" s="6" t="str">
        <x:v>Birleştirildi</x:v>
      </x:c>
      <x:c r="E152" s="6" t="str">
        <x:v>Ortak kontrol her ürün/tenant hedefi için Uygulama kaydında tekrar yürütülür; soru metni tekilleştirildi.</x:v>
      </x:c>
      <x:c r="F152" s="6" t="str">
        <x:v>Önceki setin ilgili soru satırı</x:v>
      </x:c>
    </x:row>
    <x:row r="153" ht="40" customHeight="1">
      <x:c r="A153" s="6" t="str">
        <x:v>A</x:v>
      </x:c>
      <x:c r="B153" s="6" t="str">
        <x:v>ESX-001</x:v>
      </x:c>
      <x:c r="C153" s="6" t="str">
        <x:v>GNL-02-01</x:v>
      </x:c>
      <x:c r="D153" s="6" t="str">
        <x:v>Birleştirildi</x:v>
      </x:c>
      <x:c r="E153" s="6" t="str">
        <x:v>Ortak kontrol her ürün/tenant hedefi için Uygulama kaydında tekrar yürütülür; soru metni tekilleştirildi.</x:v>
      </x:c>
      <x:c r="F153" s="6" t="str">
        <x:v>Önceki setin ilgili soru satırı</x:v>
      </x:c>
    </x:row>
    <x:row r="154" ht="40" customHeight="1">
      <x:c r="A154" s="6" t="str">
        <x:v>A</x:v>
      </x:c>
      <x:c r="B154" s="6" t="str">
        <x:v>ESX-002</x:v>
      </x:c>
      <x:c r="C154" s="6" t="str">
        <x:v>GNL-04-04</x:v>
      </x:c>
      <x:c r="D154" s="6" t="str">
        <x:v>Birleştirildi</x:v>
      </x:c>
      <x:c r="E154" s="6" t="str">
        <x:v>Ortak kontrol her ürün/tenant hedefi için Uygulama kaydında tekrar yürütülür; soru metni tekilleştirildi.</x:v>
      </x:c>
      <x:c r="F154" s="6" t="str">
        <x:v>Önceki setin ilgili soru satırı</x:v>
      </x:c>
    </x:row>
    <x:row r="155" ht="40" customHeight="1">
      <x:c r="A155" s="6" t="str">
        <x:v>A</x:v>
      </x:c>
      <x:c r="B155" s="6" t="str">
        <x:v>ESX-003</x:v>
      </x:c>
      <x:c r="C155" s="6" t="str">
        <x:v>GNL-05-01</x:v>
      </x:c>
      <x:c r="D155" s="6" t="str">
        <x:v>Birleştirildi</x:v>
      </x:c>
      <x:c r="E155" s="6" t="str">
        <x:v>Ortak kontrol her ürün/tenant hedefi için Uygulama kaydında tekrar yürütülür; soru metni tekilleştirildi.</x:v>
      </x:c>
      <x:c r="F155" s="6" t="str">
        <x:v>Önceki setin ilgili soru satırı</x:v>
      </x:c>
    </x:row>
    <x:row r="156" ht="40" customHeight="1">
      <x:c r="A156" s="6" t="str">
        <x:v>A</x:v>
      </x:c>
      <x:c r="B156" s="6" t="str">
        <x:v>ESX-004</x:v>
      </x:c>
      <x:c r="C156" s="6" t="str">
        <x:v>GNL-09-02</x:v>
      </x:c>
      <x:c r="D156" s="6" t="str">
        <x:v>Birleştirildi</x:v>
      </x:c>
      <x:c r="E156" s="6" t="str">
        <x:v>Ortak kontrol her ürün/tenant hedefi için Uygulama kaydında tekrar yürütülür; soru metni tekilleştirildi.</x:v>
      </x:c>
      <x:c r="F156" s="6" t="str">
        <x:v>Önceki setin ilgili soru satırı</x:v>
      </x:c>
    </x:row>
    <x:row r="157" ht="40" customHeight="1">
      <x:c r="A157" s="6" t="str">
        <x:v>A</x:v>
      </x:c>
      <x:c r="B157" s="6" t="str">
        <x:v>ESX-005</x:v>
      </x:c>
      <x:c r="C157" s="6" t="str">
        <x:v>GNL-08-01
GNL-08-02</x:v>
      </x:c>
      <x:c r="D157" s="6" t="str">
        <x:v>Birleştirildi</x:v>
      </x:c>
      <x:c r="E157" s="6" t="str">
        <x:v>Ortak kontrol her ürün/tenant hedefi için Uygulama kaydında tekrar yürütülür; soru metni tekilleştirildi.</x:v>
      </x:c>
      <x:c r="F157" s="6" t="str">
        <x:v>Önceki setin ilgili soru satırı</x:v>
      </x:c>
    </x:row>
    <x:row r="158" ht="40" customHeight="1">
      <x:c r="A158" s="6" t="str">
        <x:v>A</x:v>
      </x:c>
      <x:c r="B158" s="6" t="str">
        <x:v>ESX-006</x:v>
      </x:c>
      <x:c r="C158" s="6" t="str">
        <x:v>GNL-06-01
GNL-06-02</x:v>
      </x:c>
      <x:c r="D158" s="6" t="str">
        <x:v>Birleştirildi</x:v>
      </x:c>
      <x:c r="E158" s="6" t="str">
        <x:v>Ortak kontrol her ürün/tenant hedefi için Uygulama kaydında tekrar yürütülür; soru metni tekilleştirildi.</x:v>
      </x:c>
      <x:c r="F158" s="6" t="str">
        <x:v>Önceki setin ilgili soru satırı</x:v>
      </x:c>
    </x:row>
    <x:row r="159" ht="40" customHeight="1">
      <x:c r="A159" s="6" t="str">
        <x:v>A</x:v>
      </x:c>
      <x:c r="B159" s="6" t="str">
        <x:v>ESX-007</x:v>
      </x:c>
      <x:c r="C159" s="6" t="str">
        <x:v>ESX-028</x:v>
      </x:c>
      <x:c r="D159" s="6" t="str">
        <x:v>Birleştirildi</x:v>
      </x:c>
      <x:c r="E159" s="6" t="str">
        <x:v>Ortak kontrol her ürün/tenant hedefi için Uygulama kaydında tekrar yürütülür; soru metni tekilleştirildi.</x:v>
      </x:c>
      <x:c r="F159" s="6" t="str">
        <x:v>Önceki setin ilgili soru satırı</x:v>
      </x:c>
    </x:row>
    <x:row r="160" ht="40" customHeight="1">
      <x:c r="A160" s="6" t="str">
        <x:v>A</x:v>
      </x:c>
      <x:c r="B160" s="6" t="str">
        <x:v>ESX-008</x:v>
      </x:c>
      <x:c r="C160" s="6" t="str">
        <x:v>ESX-018</x:v>
      </x:c>
      <x:c r="D160" s="6" t="str">
        <x:v>Birleştirildi</x:v>
      </x:c>
      <x:c r="E160" s="6" t="str">
        <x:v>Ortak kontrol her ürün/tenant hedefi için Uygulama kaydında tekrar yürütülür; soru metni tekilleştirildi.</x:v>
      </x:c>
      <x:c r="F160" s="6" t="str">
        <x:v>Önceki setin ilgili soru satırı</x:v>
      </x:c>
    </x:row>
    <x:row r="161" ht="40" customHeight="1">
      <x:c r="A161" s="6" t="str">
        <x:v>A</x:v>
      </x:c>
      <x:c r="B161" s="6" t="str">
        <x:v>ESX-009</x:v>
      </x:c>
      <x:c r="C161" s="6" t="str">
        <x:v>ESX-020
ESX-021</x:v>
      </x:c>
      <x:c r="D161" s="6" t="str">
        <x:v>Birleştirildi</x:v>
      </x:c>
      <x:c r="E161" s="6" t="str">
        <x:v>Ortak kontrol her ürün/tenant hedefi için Uygulama kaydında tekrar yürütülür; soru metni tekilleştirildi.</x:v>
      </x:c>
      <x:c r="F161" s="6" t="str">
        <x:v>Önceki setin ilgili soru satırı</x:v>
      </x:c>
    </x:row>
    <x:row r="162" ht="40" customHeight="1">
      <x:c r="A162" s="6" t="str">
        <x:v>A</x:v>
      </x:c>
      <x:c r="B162" s="6" t="str">
        <x:v>ESX-010</x:v>
      </x:c>
      <x:c r="C162" s="6" t="str">
        <x:v>ESX-012</x:v>
      </x:c>
      <x:c r="D162" s="6" t="str">
        <x:v>Birleştirildi</x:v>
      </x:c>
      <x:c r="E162" s="6" t="str">
        <x:v>Ortak kontrol her ürün/tenant hedefi için Uygulama kaydında tekrar yürütülür; soru metni tekilleştirildi.</x:v>
      </x:c>
      <x:c r="F162" s="6" t="str">
        <x:v>Önceki setin ilgili soru satırı</x:v>
      </x:c>
    </x:row>
    <x:row r="163" ht="40" customHeight="1">
      <x:c r="A163" s="6" t="str">
        <x:v>A</x:v>
      </x:c>
      <x:c r="B163" s="6" t="str">
        <x:v>ESX-011</x:v>
      </x:c>
      <x:c r="C163" s="6" t="str">
        <x:v>ESX-023
ESX-025</x:v>
      </x:c>
      <x:c r="D163" s="6" t="str">
        <x:v>Birleştirildi</x:v>
      </x:c>
      <x:c r="E163" s="6" t="str">
        <x:v>Ortak kontrol her ürün/tenant hedefi için Uygulama kaydında tekrar yürütülür; soru metni tekilleştirildi.</x:v>
      </x:c>
      <x:c r="F163" s="6" t="str">
        <x:v>Önceki setin ilgili soru satırı</x:v>
      </x:c>
    </x:row>
    <x:row r="164" ht="40" customHeight="1">
      <x:c r="A164" s="6" t="str">
        <x:v>A</x:v>
      </x:c>
      <x:c r="B164" s="6" t="str">
        <x:v>ESX-012</x:v>
      </x:c>
      <x:c r="C164" s="6" t="str">
        <x:v>ESX-034</x:v>
      </x:c>
      <x:c r="D164" s="6" t="str">
        <x:v>Birleştirildi</x:v>
      </x:c>
      <x:c r="E164" s="6" t="str">
        <x:v>Ortak kontrol her ürün/tenant hedefi için Uygulama kaydında tekrar yürütülür; soru metni tekilleştirildi.</x:v>
      </x:c>
      <x:c r="F164" s="6" t="str">
        <x:v>Önceki setin ilgili soru satırı</x:v>
      </x:c>
    </x:row>
    <x:row r="165" ht="40" customHeight="1">
      <x:c r="A165" s="6" t="str">
        <x:v>A</x:v>
      </x:c>
      <x:c r="B165" s="6" t="str">
        <x:v>ESX-013</x:v>
      </x:c>
      <x:c r="C165" s="6" t="str">
        <x:v>ESX-052</x:v>
      </x:c>
      <x:c r="D165" s="6" t="str">
        <x:v>Birleştirildi</x:v>
      </x:c>
      <x:c r="E165" s="6" t="str">
        <x:v>Ortak kontrol her ürün/tenant hedefi için Uygulama kaydında tekrar yürütülür; soru metni tekilleştirildi.</x:v>
      </x:c>
      <x:c r="F165" s="6" t="str">
        <x:v>Önceki setin ilgili soru satırı</x:v>
      </x:c>
    </x:row>
    <x:row r="166" ht="40" customHeight="1">
      <x:c r="A166" s="6" t="str">
        <x:v>A</x:v>
      </x:c>
      <x:c r="B166" s="6" t="str">
        <x:v>ESX-014</x:v>
      </x:c>
      <x:c r="C166" s="6" t="str">
        <x:v>GNL-06-01</x:v>
      </x:c>
      <x:c r="D166" s="6" t="str">
        <x:v>Birleştirildi</x:v>
      </x:c>
      <x:c r="E166" s="6" t="str">
        <x:v>Ortak kontrol her ürün/tenant hedefi için Uygulama kaydında tekrar yürütülür; soru metni tekilleştirildi.</x:v>
      </x:c>
      <x:c r="F166" s="6" t="str">
        <x:v>Önceki setin ilgili soru satırı</x:v>
      </x:c>
    </x:row>
    <x:row r="167" ht="40" customHeight="1">
      <x:c r="A167" s="6" t="str">
        <x:v>A</x:v>
      </x:c>
      <x:c r="B167" s="6" t="str">
        <x:v>VCT-001</x:v>
      </x:c>
      <x:c r="C167" s="6" t="str">
        <x:v>GNL-02-01</x:v>
      </x:c>
      <x:c r="D167" s="6" t="str">
        <x:v>Birleştirildi</x:v>
      </x:c>
      <x:c r="E167" s="6" t="str">
        <x:v>Ortak kontrol her ürün/tenant hedefi için Uygulama kaydında tekrar yürütülür; soru metni tekilleştirildi.</x:v>
      </x:c>
      <x:c r="F167" s="6" t="str">
        <x:v>Önceki setin ilgili soru satırı</x:v>
      </x:c>
    </x:row>
    <x:row r="168" ht="40" customHeight="1">
      <x:c r="A168" s="6" t="str">
        <x:v>A</x:v>
      </x:c>
      <x:c r="B168" s="6" t="str">
        <x:v>VCT-002</x:v>
      </x:c>
      <x:c r="C168" s="6" t="str">
        <x:v>GNL-04-04</x:v>
      </x:c>
      <x:c r="D168" s="6" t="str">
        <x:v>Birleştirildi</x:v>
      </x:c>
      <x:c r="E168" s="6" t="str">
        <x:v>Ortak kontrol her ürün/tenant hedefi için Uygulama kaydında tekrar yürütülür; soru metni tekilleştirildi.</x:v>
      </x:c>
      <x:c r="F168" s="6" t="str">
        <x:v>Önceki setin ilgili soru satırı</x:v>
      </x:c>
    </x:row>
    <x:row r="169" ht="40" customHeight="1">
      <x:c r="A169" s="6" t="str">
        <x:v>A</x:v>
      </x:c>
      <x:c r="B169" s="6" t="str">
        <x:v>VCT-003</x:v>
      </x:c>
      <x:c r="C169" s="6" t="str">
        <x:v>GNL-05-01</x:v>
      </x:c>
      <x:c r="D169" s="6" t="str">
        <x:v>Birleştirildi</x:v>
      </x:c>
      <x:c r="E169" s="6" t="str">
        <x:v>Ortak kontrol her ürün/tenant hedefi için Uygulama kaydında tekrar yürütülür; soru metni tekilleştirildi.</x:v>
      </x:c>
      <x:c r="F169" s="6" t="str">
        <x:v>Önceki setin ilgili soru satırı</x:v>
      </x:c>
    </x:row>
    <x:row r="170" ht="40" customHeight="1">
      <x:c r="A170" s="6" t="str">
        <x:v>A</x:v>
      </x:c>
      <x:c r="B170" s="6" t="str">
        <x:v>VCT-004</x:v>
      </x:c>
      <x:c r="C170" s="6" t="str">
        <x:v>GNL-09-02</x:v>
      </x:c>
      <x:c r="D170" s="6" t="str">
        <x:v>Birleştirildi</x:v>
      </x:c>
      <x:c r="E170" s="6" t="str">
        <x:v>Ortak kontrol her ürün/tenant hedefi için Uygulama kaydında tekrar yürütülür; soru metni tekilleştirildi.</x:v>
      </x:c>
      <x:c r="F170" s="6" t="str">
        <x:v>Önceki setin ilgili soru satırı</x:v>
      </x:c>
    </x:row>
    <x:row r="171" ht="40" customHeight="1">
      <x:c r="A171" s="6" t="str">
        <x:v>A</x:v>
      </x:c>
      <x:c r="B171" s="6" t="str">
        <x:v>VCT-005</x:v>
      </x:c>
      <x:c r="C171" s="6" t="str">
        <x:v>GNL-08-01
GNL-08-02</x:v>
      </x:c>
      <x:c r="D171" s="6" t="str">
        <x:v>Birleştirildi</x:v>
      </x:c>
      <x:c r="E171" s="6" t="str">
        <x:v>Ortak kontrol her ürün/tenant hedefi için Uygulama kaydında tekrar yürütülür; soru metni tekilleştirildi.</x:v>
      </x:c>
      <x:c r="F171" s="6" t="str">
        <x:v>Önceki setin ilgili soru satırı</x:v>
      </x:c>
    </x:row>
    <x:row r="172" ht="40" customHeight="1">
      <x:c r="A172" s="6" t="str">
        <x:v>A</x:v>
      </x:c>
      <x:c r="B172" s="6" t="str">
        <x:v>VCT-006</x:v>
      </x:c>
      <x:c r="C172" s="6" t="str">
        <x:v>GNL-06-01
GNL-06-02</x:v>
      </x:c>
      <x:c r="D172" s="6" t="str">
        <x:v>Birleştirildi</x:v>
      </x:c>
      <x:c r="E172" s="6" t="str">
        <x:v>Ortak kontrol her ürün/tenant hedefi için Uygulama kaydında tekrar yürütülür; soru metni tekilleştirildi.</x:v>
      </x:c>
      <x:c r="F172" s="6" t="str">
        <x:v>Önceki setin ilgili soru satırı</x:v>
      </x:c>
    </x:row>
    <x:row r="173" ht="40" customHeight="1">
      <x:c r="A173" s="6" t="str">
        <x:v>A</x:v>
      </x:c>
      <x:c r="B173" s="6" t="str">
        <x:v>VCT-007</x:v>
      </x:c>
      <x:c r="C173" s="6" t="str">
        <x:v>VCT-007</x:v>
      </x:c>
      <x:c r="D173" s="6" t="str">
        <x:v>Korundu</x:v>
      </x:c>
      <x:c r="E173" s="6" t="str">
        <x:v>Ortak kontrol her ürün/tenant hedefi için Uygulama kaydında tekrar yürütülür; soru metni tekilleştirildi.</x:v>
      </x:c>
      <x:c r="F173" s="6" t="str">
        <x:v>Önceki setin ilgili soru satırı</x:v>
      </x:c>
    </x:row>
    <x:row r="174" ht="40" customHeight="1">
      <x:c r="A174" s="6" t="str">
        <x:v>A</x:v>
      </x:c>
      <x:c r="B174" s="6" t="str">
        <x:v>VCT-008</x:v>
      </x:c>
      <x:c r="C174" s="6" t="str">
        <x:v>VCT-008</x:v>
      </x:c>
      <x:c r="D174" s="6" t="str">
        <x:v>Korundu</x:v>
      </x:c>
      <x:c r="E174" s="6" t="str">
        <x:v>Ortak kontrol her ürün/tenant hedefi için Uygulama kaydında tekrar yürütülür; soru metni tekilleştirildi.</x:v>
      </x:c>
      <x:c r="F174" s="6" t="str">
        <x:v>Önceki setin ilgili soru satırı</x:v>
      </x:c>
    </x:row>
    <x:row r="175" ht="40" customHeight="1">
      <x:c r="A175" s="6" t="str">
        <x:v>A</x:v>
      </x:c>
      <x:c r="B175" s="6" t="str">
        <x:v>VCT-009</x:v>
      </x:c>
      <x:c r="C175" s="6" t="str">
        <x:v>VCT-009</x:v>
      </x:c>
      <x:c r="D175" s="6" t="str">
        <x:v>Korundu</x:v>
      </x:c>
      <x:c r="E175" s="6" t="str">
        <x:v>Ortak kontrol her ürün/tenant hedefi için Uygulama kaydında tekrar yürütülür; soru metni tekilleştirildi.</x:v>
      </x:c>
      <x:c r="F175" s="6" t="str">
        <x:v>Önceki setin ilgili soru satırı</x:v>
      </x:c>
    </x:row>
    <x:row r="176" ht="40" customHeight="1">
      <x:c r="A176" s="6" t="str">
        <x:v>A</x:v>
      </x:c>
      <x:c r="B176" s="6" t="str">
        <x:v>VCT-010</x:v>
      </x:c>
      <x:c r="C176" s="6" t="str">
        <x:v>GNL-11-02</x:v>
      </x:c>
      <x:c r="D176" s="6" t="str">
        <x:v>Birleştirildi</x:v>
      </x:c>
      <x:c r="E176" s="6" t="str">
        <x:v>Ortak kontrol her ürün/tenant hedefi için Uygulama kaydında tekrar yürütülür; soru metni tekilleştirildi.</x:v>
      </x:c>
      <x:c r="F176" s="6" t="str">
        <x:v>Önceki setin ilgili soru satırı</x:v>
      </x:c>
    </x:row>
    <x:row r="177" ht="40" customHeight="1">
      <x:c r="A177" s="6" t="str">
        <x:v>A</x:v>
      </x:c>
      <x:c r="B177" s="6" t="str">
        <x:v>VCT-011</x:v>
      </x:c>
      <x:c r="C177" s="6" t="str">
        <x:v>VCT-011</x:v>
      </x:c>
      <x:c r="D177" s="6" t="str">
        <x:v>Korundu</x:v>
      </x:c>
      <x:c r="E177" s="6" t="str">
        <x:v>Ortak kontrol her ürün/tenant hedefi için Uygulama kaydında tekrar yürütülür; soru metni tekilleştirildi.</x:v>
      </x:c>
      <x:c r="F177" s="6" t="str">
        <x:v>Önceki setin ilgili soru satırı</x:v>
      </x:c>
    </x:row>
    <x:row r="178" ht="40" customHeight="1">
      <x:c r="A178" s="6" t="str">
        <x:v>A</x:v>
      </x:c>
      <x:c r="B178" s="6" t="str">
        <x:v>VCT-012</x:v>
      </x:c>
      <x:c r="C178" s="6" t="str">
        <x:v>GNL-09-02</x:v>
      </x:c>
      <x:c r="D178" s="6" t="str">
        <x:v>Birleştirildi</x:v>
      </x:c>
      <x:c r="E178" s="6" t="str">
        <x:v>Ortak kontrol her ürün/tenant hedefi için Uygulama kaydında tekrar yürütülür; soru metni tekilleştirildi.</x:v>
      </x:c>
      <x:c r="F178" s="6" t="str">
        <x:v>Önceki setin ilgili soru satırı</x:v>
      </x:c>
    </x:row>
    <x:row r="179" ht="40" customHeight="1">
      <x:c r="A179" s="6" t="str">
        <x:v>A</x:v>
      </x:c>
      <x:c r="B179" s="6" t="str">
        <x:v>VSN-001</x:v>
      </x:c>
      <x:c r="C179" s="6" t="str">
        <x:v>GNL-02-01</x:v>
      </x:c>
      <x:c r="D179" s="6" t="str">
        <x:v>Birleştirildi</x:v>
      </x:c>
      <x:c r="E179" s="6" t="str">
        <x:v>Ortak kontrol her ürün/tenant hedefi için Uygulama kaydında tekrar yürütülür; soru metni tekilleştirildi.</x:v>
      </x:c>
      <x:c r="F179" s="6" t="str">
        <x:v>Önceki setin ilgili soru satırı</x:v>
      </x:c>
    </x:row>
    <x:row r="180" ht="40" customHeight="1">
      <x:c r="A180" s="6" t="str">
        <x:v>A</x:v>
      </x:c>
      <x:c r="B180" s="6" t="str">
        <x:v>VSN-002</x:v>
      </x:c>
      <x:c r="C180" s="6" t="str">
        <x:v>GNL-04-04</x:v>
      </x:c>
      <x:c r="D180" s="6" t="str">
        <x:v>Birleştirildi</x:v>
      </x:c>
      <x:c r="E180" s="6" t="str">
        <x:v>Ortak kontrol her ürün/tenant hedefi için Uygulama kaydında tekrar yürütülür; soru metni tekilleştirildi.</x:v>
      </x:c>
      <x:c r="F180" s="6" t="str">
        <x:v>Önceki setin ilgili soru satırı</x:v>
      </x:c>
    </x:row>
    <x:row r="181" ht="40" customHeight="1">
      <x:c r="A181" s="6" t="str">
        <x:v>A</x:v>
      </x:c>
      <x:c r="B181" s="6" t="str">
        <x:v>VSN-003</x:v>
      </x:c>
      <x:c r="C181" s="6" t="str">
        <x:v>GNL-05-01</x:v>
      </x:c>
      <x:c r="D181" s="6" t="str">
        <x:v>Birleştirildi</x:v>
      </x:c>
      <x:c r="E181" s="6" t="str">
        <x:v>Ortak kontrol her ürün/tenant hedefi için Uygulama kaydında tekrar yürütülür; soru metni tekilleştirildi.</x:v>
      </x:c>
      <x:c r="F181" s="6" t="str">
        <x:v>Önceki setin ilgili soru satırı</x:v>
      </x:c>
    </x:row>
    <x:row r="182" ht="40" customHeight="1">
      <x:c r="A182" s="6" t="str">
        <x:v>A</x:v>
      </x:c>
      <x:c r="B182" s="6" t="str">
        <x:v>VSN-004</x:v>
      </x:c>
      <x:c r="C182" s="6" t="str">
        <x:v>GNL-09-02</x:v>
      </x:c>
      <x:c r="D182" s="6" t="str">
        <x:v>Birleştirildi</x:v>
      </x:c>
      <x:c r="E182" s="6" t="str">
        <x:v>Ortak kontrol her ürün/tenant hedefi için Uygulama kaydında tekrar yürütülür; soru metni tekilleştirildi.</x:v>
      </x:c>
      <x:c r="F182" s="6" t="str">
        <x:v>Önceki setin ilgili soru satırı</x:v>
      </x:c>
    </x:row>
    <x:row r="183" ht="40" customHeight="1">
      <x:c r="A183" s="6" t="str">
        <x:v>A</x:v>
      </x:c>
      <x:c r="B183" s="6" t="str">
        <x:v>VSN-005</x:v>
      </x:c>
      <x:c r="C183" s="6" t="str">
        <x:v>GNL-08-01
GNL-08-02</x:v>
      </x:c>
      <x:c r="D183" s="6" t="str">
        <x:v>Birleştirildi</x:v>
      </x:c>
      <x:c r="E183" s="6" t="str">
        <x:v>Ortak kontrol her ürün/tenant hedefi için Uygulama kaydında tekrar yürütülür; soru metni tekilleştirildi.</x:v>
      </x:c>
      <x:c r="F183" s="6" t="str">
        <x:v>Önceki setin ilgili soru satırı</x:v>
      </x:c>
    </x:row>
    <x:row r="184" ht="40" customHeight="1">
      <x:c r="A184" s="6" t="str">
        <x:v>A</x:v>
      </x:c>
      <x:c r="B184" s="6" t="str">
        <x:v>VSN-006</x:v>
      </x:c>
      <x:c r="C184" s="6" t="str">
        <x:v>GNL-06-01
GNL-06-02</x:v>
      </x:c>
      <x:c r="D184" s="6" t="str">
        <x:v>Birleştirildi</x:v>
      </x:c>
      <x:c r="E184" s="6" t="str">
        <x:v>Ortak kontrol her ürün/tenant hedefi için Uygulama kaydında tekrar yürütülür; soru metni tekilleştirildi.</x:v>
      </x:c>
      <x:c r="F184" s="6" t="str">
        <x:v>Önceki setin ilgili soru satırı</x:v>
      </x:c>
    </x:row>
    <x:row r="185" ht="40" customHeight="1">
      <x:c r="A185" s="6" t="str">
        <x:v>A</x:v>
      </x:c>
      <x:c r="B185" s="6" t="str">
        <x:v>VSN-007</x:v>
      </x:c>
      <x:c r="C185" s="6" t="str">
        <x:v>VSN-007</x:v>
      </x:c>
      <x:c r="D185" s="6" t="str">
        <x:v>Korundu</x:v>
      </x:c>
      <x:c r="E185" s="6" t="str">
        <x:v>Ortak kontrol her ürün/tenant hedefi için Uygulama kaydında tekrar yürütülür; soru metni tekilleştirildi.</x:v>
      </x:c>
      <x:c r="F185" s="6" t="str">
        <x:v>Önceki setin ilgili soru satırı</x:v>
      </x:c>
    </x:row>
    <x:row r="186" ht="40" customHeight="1">
      <x:c r="A186" s="6" t="str">
        <x:v>A</x:v>
      </x:c>
      <x:c r="B186" s="6" t="str">
        <x:v>VSN-008</x:v>
      </x:c>
      <x:c r="C186" s="6" t="str">
        <x:v>VSN-008</x:v>
      </x:c>
      <x:c r="D186" s="6" t="str">
        <x:v>Korundu</x:v>
      </x:c>
      <x:c r="E186" s="6" t="str">
        <x:v>Ortak kontrol her ürün/tenant hedefi için Uygulama kaydında tekrar yürütülür; soru metni tekilleştirildi.</x:v>
      </x:c>
      <x:c r="F186" s="6" t="str">
        <x:v>Önceki setin ilgili soru satırı</x:v>
      </x:c>
    </x:row>
    <x:row r="187" ht="40" customHeight="1">
      <x:c r="A187" s="6" t="str">
        <x:v>A</x:v>
      </x:c>
      <x:c r="B187" s="6" t="str">
        <x:v>VSN-009</x:v>
      </x:c>
      <x:c r="C187" s="6" t="str">
        <x:v>VSN-009</x:v>
      </x:c>
      <x:c r="D187" s="6" t="str">
        <x:v>Korundu</x:v>
      </x:c>
      <x:c r="E187" s="6" t="str">
        <x:v>Ortak kontrol her ürün/tenant hedefi için Uygulama kaydında tekrar yürütülür; soru metni tekilleştirildi.</x:v>
      </x:c>
      <x:c r="F187" s="6" t="str">
        <x:v>Önceki setin ilgili soru satırı</x:v>
      </x:c>
    </x:row>
    <x:row r="188" ht="40" customHeight="1">
      <x:c r="A188" s="6" t="str">
        <x:v>A</x:v>
      </x:c>
      <x:c r="B188" s="6" t="str">
        <x:v>VSN-010</x:v>
      </x:c>
      <x:c r="C188" s="6" t="str">
        <x:v>VSN-010</x:v>
      </x:c>
      <x:c r="D188" s="6" t="str">
        <x:v>Korundu</x:v>
      </x:c>
      <x:c r="E188" s="6" t="str">
        <x:v>Ortak kontrol her ürün/tenant hedefi için Uygulama kaydında tekrar yürütülür; soru metni tekilleştirildi.</x:v>
      </x:c>
      <x:c r="F188" s="6" t="str">
        <x:v>Önceki setin ilgili soru satırı</x:v>
      </x:c>
    </x:row>
    <x:row r="189" ht="40" customHeight="1">
      <x:c r="A189" s="6" t="str">
        <x:v>A</x:v>
      </x:c>
      <x:c r="B189" s="6" t="str">
        <x:v>VSN-011</x:v>
      </x:c>
      <x:c r="C189" s="6" t="str">
        <x:v>VSN-011</x:v>
      </x:c>
      <x:c r="D189" s="6" t="str">
        <x:v>Korundu</x:v>
      </x:c>
      <x:c r="E189" s="6" t="str">
        <x:v>Ortak kontrol her ürün/tenant hedefi için Uygulama kaydında tekrar yürütülür; soru metni tekilleştirildi.</x:v>
      </x:c>
      <x:c r="F189" s="6" t="str">
        <x:v>Önceki setin ilgili soru satırı</x:v>
      </x:c>
    </x:row>
    <x:row r="190" ht="40" customHeight="1">
      <x:c r="A190" s="6" t="str">
        <x:v>A</x:v>
      </x:c>
      <x:c r="B190" s="6" t="str">
        <x:v>VSN-012</x:v>
      </x:c>
      <x:c r="C190" s="6" t="str">
        <x:v>GNL-18-01</x:v>
      </x:c>
      <x:c r="D190" s="6" t="str">
        <x:v>Birleştirildi</x:v>
      </x:c>
      <x:c r="E190" s="6" t="str">
        <x:v>Ortak kontrol her ürün/tenant hedefi için Uygulama kaydında tekrar yürütülür; soru metni tekilleştirildi.</x:v>
      </x:c>
      <x:c r="F190" s="6" t="str">
        <x:v>Önceki setin ilgili soru satırı</x:v>
      </x:c>
    </x:row>
    <x:row r="191" ht="40" customHeight="1">
      <x:c r="A191" s="6" t="str">
        <x:v>A</x:v>
      </x:c>
      <x:c r="B191" s="6" t="str">
        <x:v>NSX-001</x:v>
      </x:c>
      <x:c r="C191" s="6" t="str">
        <x:v>GNL-02-01</x:v>
      </x:c>
      <x:c r="D191" s="6" t="str">
        <x:v>Birleştirildi</x:v>
      </x:c>
      <x:c r="E191" s="6" t="str">
        <x:v>Ortak kontrol her ürün/tenant hedefi için Uygulama kaydında tekrar yürütülür; soru metni tekilleştirildi.</x:v>
      </x:c>
      <x:c r="F191" s="6" t="str">
        <x:v>Önceki setin ilgili soru satırı</x:v>
      </x:c>
    </x:row>
    <x:row r="192" ht="40" customHeight="1">
      <x:c r="A192" s="6" t="str">
        <x:v>A</x:v>
      </x:c>
      <x:c r="B192" s="6" t="str">
        <x:v>NSX-002</x:v>
      </x:c>
      <x:c r="C192" s="6" t="str">
        <x:v>GNL-04-04</x:v>
      </x:c>
      <x:c r="D192" s="6" t="str">
        <x:v>Birleştirildi</x:v>
      </x:c>
      <x:c r="E192" s="6" t="str">
        <x:v>Ortak kontrol her ürün/tenant hedefi için Uygulama kaydında tekrar yürütülür; soru metni tekilleştirildi.</x:v>
      </x:c>
      <x:c r="F192" s="6" t="str">
        <x:v>Önceki setin ilgili soru satırı</x:v>
      </x:c>
    </x:row>
    <x:row r="193" ht="40" customHeight="1">
      <x:c r="A193" s="6" t="str">
        <x:v>A</x:v>
      </x:c>
      <x:c r="B193" s="6" t="str">
        <x:v>NSX-003</x:v>
      </x:c>
      <x:c r="C193" s="6" t="str">
        <x:v>GNL-05-01</x:v>
      </x:c>
      <x:c r="D193" s="6" t="str">
        <x:v>Birleştirildi</x:v>
      </x:c>
      <x:c r="E193" s="6" t="str">
        <x:v>Ortak kontrol her ürün/tenant hedefi için Uygulama kaydında tekrar yürütülür; soru metni tekilleştirildi.</x:v>
      </x:c>
      <x:c r="F193" s="6" t="str">
        <x:v>Önceki setin ilgili soru satırı</x:v>
      </x:c>
    </x:row>
    <x:row r="194" ht="40" customHeight="1">
      <x:c r="A194" s="6" t="str">
        <x:v>A</x:v>
      </x:c>
      <x:c r="B194" s="6" t="str">
        <x:v>NSX-004</x:v>
      </x:c>
      <x:c r="C194" s="6" t="str">
        <x:v>GNL-09-02</x:v>
      </x:c>
      <x:c r="D194" s="6" t="str">
        <x:v>Birleştirildi</x:v>
      </x:c>
      <x:c r="E194" s="6" t="str">
        <x:v>Ortak kontrol her ürün/tenant hedefi için Uygulama kaydında tekrar yürütülür; soru metni tekilleştirildi.</x:v>
      </x:c>
      <x:c r="F194" s="6" t="str">
        <x:v>Önceki setin ilgili soru satırı</x:v>
      </x:c>
    </x:row>
    <x:row r="195" ht="40" customHeight="1">
      <x:c r="A195" s="6" t="str">
        <x:v>A</x:v>
      </x:c>
      <x:c r="B195" s="6" t="str">
        <x:v>NSX-005</x:v>
      </x:c>
      <x:c r="C195" s="6" t="str">
        <x:v>GNL-08-01
GNL-08-02</x:v>
      </x:c>
      <x:c r="D195" s="6" t="str">
        <x:v>Birleştirildi</x:v>
      </x:c>
      <x:c r="E195" s="6" t="str">
        <x:v>Ortak kontrol her ürün/tenant hedefi için Uygulama kaydında tekrar yürütülür; soru metni tekilleştirildi.</x:v>
      </x:c>
      <x:c r="F195" s="6" t="str">
        <x:v>Önceki setin ilgili soru satırı</x:v>
      </x:c>
    </x:row>
    <x:row r="196" ht="40" customHeight="1">
      <x:c r="A196" s="6" t="str">
        <x:v>A</x:v>
      </x:c>
      <x:c r="B196" s="6" t="str">
        <x:v>NSX-006</x:v>
      </x:c>
      <x:c r="C196" s="6" t="str">
        <x:v>GNL-06-01
GNL-06-02</x:v>
      </x:c>
      <x:c r="D196" s="6" t="str">
        <x:v>Birleştirildi</x:v>
      </x:c>
      <x:c r="E196" s="6" t="str">
        <x:v>Ortak kontrol her ürün/tenant hedefi için Uygulama kaydında tekrar yürütülür; soru metni tekilleştirildi.</x:v>
      </x:c>
      <x:c r="F196" s="6" t="str">
        <x:v>Önceki setin ilgili soru satırı</x:v>
      </x:c>
    </x:row>
    <x:row r="197" ht="40" customHeight="1">
      <x:c r="A197" s="6" t="str">
        <x:v>A</x:v>
      </x:c>
      <x:c r="B197" s="6" t="str">
        <x:v>NSX-007</x:v>
      </x:c>
      <x:c r="C197" s="6" t="str">
        <x:v>NSX-007</x:v>
      </x:c>
      <x:c r="D197" s="6" t="str">
        <x:v>Korundu</x:v>
      </x:c>
      <x:c r="E197" s="6" t="str">
        <x:v>Ortak kontrol her ürün/tenant hedefi için Uygulama kaydında tekrar yürütülür; soru metni tekilleştirildi.</x:v>
      </x:c>
      <x:c r="F197" s="6" t="str">
        <x:v>Önceki setin ilgili soru satırı</x:v>
      </x:c>
    </x:row>
    <x:row r="198" ht="40" customHeight="1">
      <x:c r="A198" s="6" t="str">
        <x:v>A</x:v>
      </x:c>
      <x:c r="B198" s="6" t="str">
        <x:v>NSX-008</x:v>
      </x:c>
      <x:c r="C198" s="6" t="str">
        <x:v>NSX-008</x:v>
      </x:c>
      <x:c r="D198" s="6" t="str">
        <x:v>Korundu</x:v>
      </x:c>
      <x:c r="E198" s="6" t="str">
        <x:v>Ortak kontrol her ürün/tenant hedefi için Uygulama kaydında tekrar yürütülür; soru metni tekilleştirildi.</x:v>
      </x:c>
      <x:c r="F198" s="6" t="str">
        <x:v>Önceki setin ilgili soru satırı</x:v>
      </x:c>
    </x:row>
    <x:row r="199" ht="40" customHeight="1">
      <x:c r="A199" s="6" t="str">
        <x:v>A</x:v>
      </x:c>
      <x:c r="B199" s="6" t="str">
        <x:v>NSX-009</x:v>
      </x:c>
      <x:c r="C199" s="6" t="str">
        <x:v>NSX-009</x:v>
      </x:c>
      <x:c r="D199" s="6" t="str">
        <x:v>Korundu</x:v>
      </x:c>
      <x:c r="E199" s="6" t="str">
        <x:v>Ortak kontrol her ürün/tenant hedefi için Uygulama kaydında tekrar yürütülür; soru metni tekilleştirildi.</x:v>
      </x:c>
      <x:c r="F199" s="6" t="str">
        <x:v>Önceki setin ilgili soru satırı</x:v>
      </x:c>
    </x:row>
    <x:row r="200" ht="40" customHeight="1">
      <x:c r="A200" s="6" t="str">
        <x:v>A</x:v>
      </x:c>
      <x:c r="B200" s="6" t="str">
        <x:v>NSX-010</x:v>
      </x:c>
      <x:c r="C200" s="6" t="str">
        <x:v>NSX-010</x:v>
      </x:c>
      <x:c r="D200" s="6" t="str">
        <x:v>Korundu</x:v>
      </x:c>
      <x:c r="E200" s="6" t="str">
        <x:v>Ortak kontrol her ürün/tenant hedefi için Uygulama kaydında tekrar yürütülür; soru metni tekilleştirildi.</x:v>
      </x:c>
      <x:c r="F200" s="6" t="str">
        <x:v>Önceki setin ilgili soru satırı</x:v>
      </x:c>
    </x:row>
    <x:row r="201" ht="40" customHeight="1">
      <x:c r="A201" s="6" t="str">
        <x:v>A</x:v>
      </x:c>
      <x:c r="B201" s="6" t="str">
        <x:v>NSX-011</x:v>
      </x:c>
      <x:c r="C201" s="6" t="str">
        <x:v>NSX-011</x:v>
      </x:c>
      <x:c r="D201" s="6" t="str">
        <x:v>Korundu</x:v>
      </x:c>
      <x:c r="E201" s="6" t="str">
        <x:v>Ortak kontrol her ürün/tenant hedefi için Uygulama kaydında tekrar yürütülür; soru metni tekilleştirildi.</x:v>
      </x:c>
      <x:c r="F201" s="6" t="str">
        <x:v>Önceki setin ilgili soru satırı</x:v>
      </x:c>
    </x:row>
    <x:row r="202" ht="40" customHeight="1">
      <x:c r="A202" s="6" t="str">
        <x:v>A</x:v>
      </x:c>
      <x:c r="B202" s="6" t="str">
        <x:v>NSX-012</x:v>
      </x:c>
      <x:c r="C202" s="6" t="str">
        <x:v>NSX-012</x:v>
      </x:c>
      <x:c r="D202" s="6" t="str">
        <x:v>Korundu</x:v>
      </x:c>
      <x:c r="E202" s="6" t="str">
        <x:v>Ortak kontrol her ürün/tenant hedefi için Uygulama kaydında tekrar yürütülür; soru metni tekilleştirildi.</x:v>
      </x:c>
      <x:c r="F202" s="6" t="str">
        <x:v>Önceki setin ilgili soru satırı</x:v>
      </x:c>
    </x:row>
    <x:row r="203" ht="40" customHeight="1">
      <x:c r="A203" s="6" t="str">
        <x:v>A</x:v>
      </x:c>
      <x:c r="B203" s="6" t="str">
        <x:v>VDS-001</x:v>
      </x:c>
      <x:c r="C203" s="6" t="str">
        <x:v>GNL-02-01</x:v>
      </x:c>
      <x:c r="D203" s="6" t="str">
        <x:v>Birleştirildi</x:v>
      </x:c>
      <x:c r="E203" s="6" t="str">
        <x:v>Ortak kontrol her ürün/tenant hedefi için Uygulama kaydında tekrar yürütülür; soru metni tekilleştirildi.</x:v>
      </x:c>
      <x:c r="F203" s="6" t="str">
        <x:v>Önceki setin ilgili soru satırı</x:v>
      </x:c>
    </x:row>
    <x:row r="204" ht="40" customHeight="1">
      <x:c r="A204" s="6" t="str">
        <x:v>A</x:v>
      </x:c>
      <x:c r="B204" s="6" t="str">
        <x:v>VDS-002</x:v>
      </x:c>
      <x:c r="C204" s="6" t="str">
        <x:v>GNL-04-04</x:v>
      </x:c>
      <x:c r="D204" s="6" t="str">
        <x:v>Birleştirildi</x:v>
      </x:c>
      <x:c r="E204" s="6" t="str">
        <x:v>Ortak kontrol her ürün/tenant hedefi için Uygulama kaydında tekrar yürütülür; soru metni tekilleştirildi.</x:v>
      </x:c>
      <x:c r="F204" s="6" t="str">
        <x:v>Önceki setin ilgili soru satırı</x:v>
      </x:c>
    </x:row>
    <x:row r="205" ht="40" customHeight="1">
      <x:c r="A205" s="6" t="str">
        <x:v>A</x:v>
      </x:c>
      <x:c r="B205" s="6" t="str">
        <x:v>VDS-003</x:v>
      </x:c>
      <x:c r="C205" s="6" t="str">
        <x:v>GNL-05-01</x:v>
      </x:c>
      <x:c r="D205" s="6" t="str">
        <x:v>Birleştirildi</x:v>
      </x:c>
      <x:c r="E205" s="6" t="str">
        <x:v>Ortak kontrol her ürün/tenant hedefi için Uygulama kaydında tekrar yürütülür; soru metni tekilleştirildi.</x:v>
      </x:c>
      <x:c r="F205" s="6" t="str">
        <x:v>Önceki setin ilgili soru satırı</x:v>
      </x:c>
    </x:row>
    <x:row r="206" ht="40" customHeight="1">
      <x:c r="A206" s="6" t="str">
        <x:v>A</x:v>
      </x:c>
      <x:c r="B206" s="6" t="str">
        <x:v>VDS-004</x:v>
      </x:c>
      <x:c r="C206" s="6" t="str">
        <x:v>GNL-09-02</x:v>
      </x:c>
      <x:c r="D206" s="6" t="str">
        <x:v>Birleştirildi</x:v>
      </x:c>
      <x:c r="E206" s="6" t="str">
        <x:v>Ortak kontrol her ürün/tenant hedefi için Uygulama kaydında tekrar yürütülür; soru metni tekilleştirildi.</x:v>
      </x:c>
      <x:c r="F206" s="6" t="str">
        <x:v>Önceki setin ilgili soru satırı</x:v>
      </x:c>
    </x:row>
    <x:row r="207" ht="40" customHeight="1">
      <x:c r="A207" s="6" t="str">
        <x:v>A</x:v>
      </x:c>
      <x:c r="B207" s="6" t="str">
        <x:v>VDS-005</x:v>
      </x:c>
      <x:c r="C207" s="6" t="str">
        <x:v>GNL-08-01
GNL-08-02</x:v>
      </x:c>
      <x:c r="D207" s="6" t="str">
        <x:v>Birleştirildi</x:v>
      </x:c>
      <x:c r="E207" s="6" t="str">
        <x:v>Ortak kontrol her ürün/tenant hedefi için Uygulama kaydında tekrar yürütülür; soru metni tekilleştirildi.</x:v>
      </x:c>
      <x:c r="F207" s="6" t="str">
        <x:v>Önceki setin ilgili soru satırı</x:v>
      </x:c>
    </x:row>
    <x:row r="208" ht="40" customHeight="1">
      <x:c r="A208" s="6" t="str">
        <x:v>A</x:v>
      </x:c>
      <x:c r="B208" s="6" t="str">
        <x:v>VDS-006</x:v>
      </x:c>
      <x:c r="C208" s="6" t="str">
        <x:v>GNL-06-01
GNL-06-02</x:v>
      </x:c>
      <x:c r="D208" s="6" t="str">
        <x:v>Birleştirildi</x:v>
      </x:c>
      <x:c r="E208" s="6" t="str">
        <x:v>Ortak kontrol her ürün/tenant hedefi için Uygulama kaydında tekrar yürütülür; soru metni tekilleştirildi.</x:v>
      </x:c>
      <x:c r="F208" s="6" t="str">
        <x:v>Önceki setin ilgili soru satırı</x:v>
      </x:c>
    </x:row>
    <x:row r="209" ht="40" customHeight="1">
      <x:c r="A209" s="6" t="str">
        <x:v>A</x:v>
      </x:c>
      <x:c r="B209" s="6" t="str">
        <x:v>VDS-007</x:v>
      </x:c>
      <x:c r="C209" s="6" t="str">
        <x:v>VDS-007</x:v>
      </x:c>
      <x:c r="D209" s="6" t="str">
        <x:v>Korundu</x:v>
      </x:c>
      <x:c r="E209" s="6" t="str">
        <x:v>Ortak kontrol her ürün/tenant hedefi için Uygulama kaydında tekrar yürütülür; soru metni tekilleştirildi.</x:v>
      </x:c>
      <x:c r="F209" s="6" t="str">
        <x:v>Önceki setin ilgili soru satırı</x:v>
      </x:c>
    </x:row>
    <x:row r="210" ht="40" customHeight="1">
      <x:c r="A210" s="6" t="str">
        <x:v>A</x:v>
      </x:c>
      <x:c r="B210" s="6" t="str">
        <x:v>VDS-008</x:v>
      </x:c>
      <x:c r="C210" s="6" t="str">
        <x:v>VDS-008</x:v>
      </x:c>
      <x:c r="D210" s="6" t="str">
        <x:v>Korundu</x:v>
      </x:c>
      <x:c r="E210" s="6" t="str">
        <x:v>Ortak kontrol her ürün/tenant hedefi için Uygulama kaydında tekrar yürütülür; soru metni tekilleştirildi.</x:v>
      </x:c>
      <x:c r="F210" s="6" t="str">
        <x:v>Önceki setin ilgili soru satırı</x:v>
      </x:c>
    </x:row>
    <x:row r="211" ht="40" customHeight="1">
      <x:c r="A211" s="6" t="str">
        <x:v>A</x:v>
      </x:c>
      <x:c r="B211" s="6" t="str">
        <x:v>VDS-009</x:v>
      </x:c>
      <x:c r="C211" s="6" t="str">
        <x:v>VDS-009</x:v>
      </x:c>
      <x:c r="D211" s="6" t="str">
        <x:v>Korundu</x:v>
      </x:c>
      <x:c r="E211" s="6" t="str">
        <x:v>Ortak kontrol her ürün/tenant hedefi için Uygulama kaydında tekrar yürütülür; soru metni tekilleştirildi.</x:v>
      </x:c>
      <x:c r="F211" s="6" t="str">
        <x:v>Önceki setin ilgili soru satırı</x:v>
      </x:c>
    </x:row>
    <x:row r="212" ht="40" customHeight="1">
      <x:c r="A212" s="6" t="str">
        <x:v>A</x:v>
      </x:c>
      <x:c r="B212" s="6" t="str">
        <x:v>VDS-010</x:v>
      </x:c>
      <x:c r="C212" s="6" t="str">
        <x:v>VDS-010</x:v>
      </x:c>
      <x:c r="D212" s="6" t="str">
        <x:v>Korundu</x:v>
      </x:c>
      <x:c r="E212" s="6" t="str">
        <x:v>Ortak kontrol her ürün/tenant hedefi için Uygulama kaydında tekrar yürütülür; soru metni tekilleştirildi.</x:v>
      </x:c>
      <x:c r="F212" s="6" t="str">
        <x:v>Önceki setin ilgili soru satırı</x:v>
      </x:c>
    </x:row>
    <x:row r="213" ht="40" customHeight="1">
      <x:c r="A213" s="6" t="str">
        <x:v>A</x:v>
      </x:c>
      <x:c r="B213" s="6" t="str">
        <x:v>VDS-011</x:v>
      </x:c>
      <x:c r="C213" s="6" t="str">
        <x:v>VDS-011</x:v>
      </x:c>
      <x:c r="D213" s="6" t="str">
        <x:v>Korundu</x:v>
      </x:c>
      <x:c r="E213" s="6" t="str">
        <x:v>Ortak kontrol her ürün/tenant hedefi için Uygulama kaydında tekrar yürütülür; soru metni tekilleştirildi.</x:v>
      </x:c>
      <x:c r="F213" s="6" t="str">
        <x:v>Önceki setin ilgili soru satırı</x:v>
      </x:c>
    </x:row>
    <x:row r="214" ht="40" customHeight="1">
      <x:c r="A214" s="6" t="str">
        <x:v>A</x:v>
      </x:c>
      <x:c r="B214" s="6" t="str">
        <x:v>VDS-012</x:v>
      </x:c>
      <x:c r="C214" s="6" t="str">
        <x:v>VDS-012</x:v>
      </x:c>
      <x:c r="D214" s="6" t="str">
        <x:v>Korundu</x:v>
      </x:c>
      <x:c r="E214" s="6" t="str">
        <x:v>Ortak kontrol her ürün/tenant hedefi için Uygulama kaydında tekrar yürütülür; soru metni tekilleştirildi.</x:v>
      </x:c>
      <x:c r="F214" s="6" t="str">
        <x:v>Önceki setin ilgili soru satırı</x:v>
      </x:c>
    </x:row>
    <x:row r="215" ht="40" customHeight="1">
      <x:c r="A215" s="6" t="str">
        <x:v>A</x:v>
      </x:c>
      <x:c r="B215" s="6" t="str">
        <x:v>VMO-001</x:v>
      </x:c>
      <x:c r="C215" s="6" t="str">
        <x:v>GNL-02-01</x:v>
      </x:c>
      <x:c r="D215" s="6" t="str">
        <x:v>Birleştirildi</x:v>
      </x:c>
      <x:c r="E215" s="6" t="str">
        <x:v>Ortak kontrol her ürün/tenant hedefi için Uygulama kaydında tekrar yürütülür; soru metni tekilleştirildi.</x:v>
      </x:c>
      <x:c r="F215" s="6" t="str">
        <x:v>Önceki setin ilgili soru satırı</x:v>
      </x:c>
    </x:row>
    <x:row r="216" ht="40" customHeight="1">
      <x:c r="A216" s="6" t="str">
        <x:v>A</x:v>
      </x:c>
      <x:c r="B216" s="6" t="str">
        <x:v>VMO-002</x:v>
      </x:c>
      <x:c r="C216" s="6" t="str">
        <x:v>GNL-04-04</x:v>
      </x:c>
      <x:c r="D216" s="6" t="str">
        <x:v>Birleştirildi</x:v>
      </x:c>
      <x:c r="E216" s="6" t="str">
        <x:v>Ortak kontrol her ürün/tenant hedefi için Uygulama kaydında tekrar yürütülür; soru metni tekilleştirildi.</x:v>
      </x:c>
      <x:c r="F216" s="6" t="str">
        <x:v>Önceki setin ilgili soru satırı</x:v>
      </x:c>
    </x:row>
    <x:row r="217" ht="40" customHeight="1">
      <x:c r="A217" s="6" t="str">
        <x:v>A</x:v>
      </x:c>
      <x:c r="B217" s="6" t="str">
        <x:v>VMO-003</x:v>
      </x:c>
      <x:c r="C217" s="6" t="str">
        <x:v>GNL-05-01</x:v>
      </x:c>
      <x:c r="D217" s="6" t="str">
        <x:v>Birleştirildi</x:v>
      </x:c>
      <x:c r="E217" s="6" t="str">
        <x:v>Ortak kontrol her ürün/tenant hedefi için Uygulama kaydında tekrar yürütülür; soru metni tekilleştirildi.</x:v>
      </x:c>
      <x:c r="F217" s="6" t="str">
        <x:v>Önceki setin ilgili soru satırı</x:v>
      </x:c>
    </x:row>
    <x:row r="218" ht="40" customHeight="1">
      <x:c r="A218" s="6" t="str">
        <x:v>A</x:v>
      </x:c>
      <x:c r="B218" s="6" t="str">
        <x:v>VMO-004</x:v>
      </x:c>
      <x:c r="C218" s="6" t="str">
        <x:v>GNL-09-02</x:v>
      </x:c>
      <x:c r="D218" s="6" t="str">
        <x:v>Birleştirildi</x:v>
      </x:c>
      <x:c r="E218" s="6" t="str">
        <x:v>Ortak kontrol her ürün/tenant hedefi için Uygulama kaydında tekrar yürütülür; soru metni tekilleştirildi.</x:v>
      </x:c>
      <x:c r="F218" s="6" t="str">
        <x:v>Önceki setin ilgili soru satırı</x:v>
      </x:c>
    </x:row>
    <x:row r="219" ht="40" customHeight="1">
      <x:c r="A219" s="6" t="str">
        <x:v>A</x:v>
      </x:c>
      <x:c r="B219" s="6" t="str">
        <x:v>VMO-005</x:v>
      </x:c>
      <x:c r="C219" s="6" t="str">
        <x:v>GNL-08-01
GNL-08-02</x:v>
      </x:c>
      <x:c r="D219" s="6" t="str">
        <x:v>Birleştirildi</x:v>
      </x:c>
      <x:c r="E219" s="6" t="str">
        <x:v>Ortak kontrol her ürün/tenant hedefi için Uygulama kaydında tekrar yürütülür; soru metni tekilleştirildi.</x:v>
      </x:c>
      <x:c r="F219" s="6" t="str">
        <x:v>Önceki setin ilgili soru satırı</x:v>
      </x:c>
    </x:row>
    <x:row r="220" ht="40" customHeight="1">
      <x:c r="A220" s="6" t="str">
        <x:v>A</x:v>
      </x:c>
      <x:c r="B220" s="6" t="str">
        <x:v>VMO-006</x:v>
      </x:c>
      <x:c r="C220" s="6" t="str">
        <x:v>GNL-06-01
GNL-06-02</x:v>
      </x:c>
      <x:c r="D220" s="6" t="str">
        <x:v>Birleştirildi</x:v>
      </x:c>
      <x:c r="E220" s="6" t="str">
        <x:v>Ortak kontrol her ürün/tenant hedefi için Uygulama kaydında tekrar yürütülür; soru metni tekilleştirildi.</x:v>
      </x:c>
      <x:c r="F220" s="6" t="str">
        <x:v>Önceki setin ilgili soru satırı</x:v>
      </x:c>
    </x:row>
    <x:row r="221" ht="40" customHeight="1">
      <x:c r="A221" s="6" t="str">
        <x:v>A</x:v>
      </x:c>
      <x:c r="B221" s="6" t="str">
        <x:v>VMO-007</x:v>
      </x:c>
      <x:c r="C221" s="6" t="str">
        <x:v>VMO-C01</x:v>
      </x:c>
      <x:c r="D221" s="6" t="str">
        <x:v>Birleştirildi</x:v>
      </x:c>
      <x:c r="E221" s="6" t="str">
        <x:v>Ortak kontrol her ürün/tenant hedefi için Uygulama kaydında tekrar yürütülür; soru metni tekilleştirildi.</x:v>
      </x:c>
      <x:c r="F221" s="6" t="str">
        <x:v>Önceki setin ilgili soru satırı</x:v>
      </x:c>
    </x:row>
    <x:row r="222" ht="40" customHeight="1">
      <x:c r="A222" s="6" t="str">
        <x:v>A</x:v>
      </x:c>
      <x:c r="B222" s="6" t="str">
        <x:v>VMO-008</x:v>
      </x:c>
      <x:c r="C222" s="6" t="str">
        <x:v>VMO-008</x:v>
      </x:c>
      <x:c r="D222" s="6" t="str">
        <x:v>Korundu</x:v>
      </x:c>
      <x:c r="E222" s="6" t="str">
        <x:v>Ortak kontrol her ürün/tenant hedefi için Uygulama kaydında tekrar yürütülür; soru metni tekilleştirildi.</x:v>
      </x:c>
      <x:c r="F222" s="6" t="str">
        <x:v>Önceki setin ilgili soru satırı</x:v>
      </x:c>
    </x:row>
    <x:row r="223" ht="40" customHeight="1">
      <x:c r="A223" s="6" t="str">
        <x:v>A</x:v>
      </x:c>
      <x:c r="B223" s="6" t="str">
        <x:v>VMO-009</x:v>
      </x:c>
      <x:c r="C223" s="6" t="str">
        <x:v>VMO-009</x:v>
      </x:c>
      <x:c r="D223" s="6" t="str">
        <x:v>Korundu</x:v>
      </x:c>
      <x:c r="E223" s="6" t="str">
        <x:v>Ortak kontrol her ürün/tenant hedefi için Uygulama kaydında tekrar yürütülür; soru metni tekilleştirildi.</x:v>
      </x:c>
      <x:c r="F223" s="6" t="str">
        <x:v>Önceki setin ilgili soru satırı</x:v>
      </x:c>
    </x:row>
    <x:row r="224" ht="40" customHeight="1">
      <x:c r="A224" s="6" t="str">
        <x:v>A</x:v>
      </x:c>
      <x:c r="B224" s="6" t="str">
        <x:v>VMO-010</x:v>
      </x:c>
      <x:c r="C224" s="6" t="str">
        <x:v>VMO-010</x:v>
      </x:c>
      <x:c r="D224" s="6" t="str">
        <x:v>Korundu</x:v>
      </x:c>
      <x:c r="E224" s="6" t="str">
        <x:v>Ortak kontrol her ürün/tenant hedefi için Uygulama kaydında tekrar yürütülür; soru metni tekilleştirildi.</x:v>
      </x:c>
      <x:c r="F224" s="6" t="str">
        <x:v>Önceki setin ilgili soru satırı</x:v>
      </x:c>
    </x:row>
    <x:row r="225" ht="40" customHeight="1">
      <x:c r="A225" s="6" t="str">
        <x:v>A</x:v>
      </x:c>
      <x:c r="B225" s="6" t="str">
        <x:v>VCD-001</x:v>
      </x:c>
      <x:c r="C225" s="6" t="str">
        <x:v>GNL-02-01</x:v>
      </x:c>
      <x:c r="D225" s="6" t="str">
        <x:v>Birleştirildi</x:v>
      </x:c>
      <x:c r="E225" s="6" t="str">
        <x:v>Ortak kontrol her ürün/tenant hedefi için Uygulama kaydında tekrar yürütülür; soru metni tekilleştirildi.</x:v>
      </x:c>
      <x:c r="F225" s="6" t="str">
        <x:v>Önceki setin ilgili soru satırı</x:v>
      </x:c>
    </x:row>
    <x:row r="226" ht="40" customHeight="1">
      <x:c r="A226" s="6" t="str">
        <x:v>A</x:v>
      </x:c>
      <x:c r="B226" s="6" t="str">
        <x:v>VCD-002</x:v>
      </x:c>
      <x:c r="C226" s="6" t="str">
        <x:v>GNL-04-04</x:v>
      </x:c>
      <x:c r="D226" s="6" t="str">
        <x:v>Birleştirildi</x:v>
      </x:c>
      <x:c r="E226" s="6" t="str">
        <x:v>Ortak kontrol her ürün/tenant hedefi için Uygulama kaydında tekrar yürütülür; soru metni tekilleştirildi.</x:v>
      </x:c>
      <x:c r="F226" s="6" t="str">
        <x:v>Önceki setin ilgili soru satırı</x:v>
      </x:c>
    </x:row>
    <x:row r="227" ht="40" customHeight="1">
      <x:c r="A227" s="6" t="str">
        <x:v>A</x:v>
      </x:c>
      <x:c r="B227" s="6" t="str">
        <x:v>VCD-003</x:v>
      </x:c>
      <x:c r="C227" s="6" t="str">
        <x:v>GNL-05-01</x:v>
      </x:c>
      <x:c r="D227" s="6" t="str">
        <x:v>Birleştirildi</x:v>
      </x:c>
      <x:c r="E227" s="6" t="str">
        <x:v>Ortak kontrol her ürün/tenant hedefi için Uygulama kaydında tekrar yürütülür; soru metni tekilleştirildi.</x:v>
      </x:c>
      <x:c r="F227" s="6" t="str">
        <x:v>Önceki setin ilgili soru satırı</x:v>
      </x:c>
    </x:row>
    <x:row r="228" ht="40" customHeight="1">
      <x:c r="A228" s="6" t="str">
        <x:v>A</x:v>
      </x:c>
      <x:c r="B228" s="6" t="str">
        <x:v>VCD-004</x:v>
      </x:c>
      <x:c r="C228" s="6" t="str">
        <x:v>GNL-09-02</x:v>
      </x:c>
      <x:c r="D228" s="6" t="str">
        <x:v>Birleştirildi</x:v>
      </x:c>
      <x:c r="E228" s="6" t="str">
        <x:v>Ortak kontrol her ürün/tenant hedefi için Uygulama kaydında tekrar yürütülür; soru metni tekilleştirildi.</x:v>
      </x:c>
      <x:c r="F228" s="6" t="str">
        <x:v>Önceki setin ilgili soru satırı</x:v>
      </x:c>
    </x:row>
    <x:row r="229" ht="40" customHeight="1">
      <x:c r="A229" s="6" t="str">
        <x:v>A</x:v>
      </x:c>
      <x:c r="B229" s="6" t="str">
        <x:v>VCD-005</x:v>
      </x:c>
      <x:c r="C229" s="6" t="str">
        <x:v>GNL-08-01
GNL-08-02</x:v>
      </x:c>
      <x:c r="D229" s="6" t="str">
        <x:v>Birleştirildi</x:v>
      </x:c>
      <x:c r="E229" s="6" t="str">
        <x:v>Ortak kontrol her ürün/tenant hedefi için Uygulama kaydında tekrar yürütülür; soru metni tekilleştirildi.</x:v>
      </x:c>
      <x:c r="F229" s="6" t="str">
        <x:v>Önceki setin ilgili soru satırı</x:v>
      </x:c>
    </x:row>
    <x:row r="230" ht="40" customHeight="1">
      <x:c r="A230" s="6" t="str">
        <x:v>A</x:v>
      </x:c>
      <x:c r="B230" s="6" t="str">
        <x:v>VCD-006</x:v>
      </x:c>
      <x:c r="C230" s="6" t="str">
        <x:v>GNL-06-01
GNL-06-02</x:v>
      </x:c>
      <x:c r="D230" s="6" t="str">
        <x:v>Birleştirildi</x:v>
      </x:c>
      <x:c r="E230" s="6" t="str">
        <x:v>Ortak kontrol her ürün/tenant hedefi için Uygulama kaydında tekrar yürütülür; soru metni tekilleştirildi.</x:v>
      </x:c>
      <x:c r="F230" s="6" t="str">
        <x:v>Önceki setin ilgili soru satırı</x:v>
      </x:c>
    </x:row>
    <x:row r="231" ht="40" customHeight="1">
      <x:c r="A231" s="6" t="str">
        <x:v>A</x:v>
      </x:c>
      <x:c r="B231" s="6" t="str">
        <x:v>VCD-007</x:v>
      </x:c>
      <x:c r="C231" s="6" t="str">
        <x:v>VCD-007</x:v>
      </x:c>
      <x:c r="D231" s="6" t="str">
        <x:v>Korundu</x:v>
      </x:c>
      <x:c r="E231" s="6" t="str">
        <x:v>Ortak kontrol her ürün/tenant hedefi için Uygulama kaydında tekrar yürütülür; soru metni tekilleştirildi.</x:v>
      </x:c>
      <x:c r="F231" s="6" t="str">
        <x:v>Önceki setin ilgili soru satırı</x:v>
      </x:c>
    </x:row>
    <x:row r="232" ht="40" customHeight="1">
      <x:c r="A232" s="6" t="str">
        <x:v>A</x:v>
      </x:c>
      <x:c r="B232" s="6" t="str">
        <x:v>VCD-008</x:v>
      </x:c>
      <x:c r="C232" s="6" t="str">
        <x:v>VCD-008</x:v>
      </x:c>
      <x:c r="D232" s="6" t="str">
        <x:v>Korundu</x:v>
      </x:c>
      <x:c r="E232" s="6" t="str">
        <x:v>Ortak kontrol her ürün/tenant hedefi için Uygulama kaydında tekrar yürütülür; soru metni tekilleştirildi.</x:v>
      </x:c>
      <x:c r="F232" s="6" t="str">
        <x:v>Önceki setin ilgili soru satırı</x:v>
      </x:c>
    </x:row>
    <x:row r="233" ht="40" customHeight="1">
      <x:c r="A233" s="6" t="str">
        <x:v>A</x:v>
      </x:c>
      <x:c r="B233" s="6" t="str">
        <x:v>VCD-009</x:v>
      </x:c>
      <x:c r="C233" s="6" t="str">
        <x:v>VCD-009</x:v>
      </x:c>
      <x:c r="D233" s="6" t="str">
        <x:v>Korundu</x:v>
      </x:c>
      <x:c r="E233" s="6" t="str">
        <x:v>Ortak kontrol her ürün/tenant hedefi için Uygulama kaydında tekrar yürütülür; soru metni tekilleştirildi.</x:v>
      </x:c>
      <x:c r="F233" s="6" t="str">
        <x:v>Önceki setin ilgili soru satırı</x:v>
      </x:c>
    </x:row>
    <x:row r="234" ht="40" customHeight="1">
      <x:c r="A234" s="6" t="str">
        <x:v>A</x:v>
      </x:c>
      <x:c r="B234" s="6" t="str">
        <x:v>VCD-010</x:v>
      </x:c>
      <x:c r="C234" s="6" t="str">
        <x:v>VCD-010</x:v>
      </x:c>
      <x:c r="D234" s="6" t="str">
        <x:v>Korundu</x:v>
      </x:c>
      <x:c r="E234" s="6" t="str">
        <x:v>Ortak kontrol her ürün/tenant hedefi için Uygulama kaydında tekrar yürütülür; soru metni tekilleştirildi.</x:v>
      </x:c>
      <x:c r="F234" s="6" t="str">
        <x:v>Önceki setin ilgili soru satırı</x:v>
      </x:c>
    </x:row>
    <x:row r="235" ht="40" customHeight="1">
      <x:c r="A235" s="6" t="str">
        <x:v>A</x:v>
      </x:c>
      <x:c r="B235" s="6" t="str">
        <x:v>VCD-011</x:v>
      </x:c>
      <x:c r="C235" s="6" t="str">
        <x:v>VCD-011</x:v>
      </x:c>
      <x:c r="D235" s="6" t="str">
        <x:v>Korundu</x:v>
      </x:c>
      <x:c r="E235" s="6" t="str">
        <x:v>Ortak kontrol her ürün/tenant hedefi için Uygulama kaydında tekrar yürütülür; soru metni tekilleştirildi.</x:v>
      </x:c>
      <x:c r="F235" s="6" t="str">
        <x:v>Önceki setin ilgili soru satırı</x:v>
      </x:c>
    </x:row>
    <x:row r="236" ht="40" customHeight="1">
      <x:c r="A236" s="6" t="str">
        <x:v>A</x:v>
      </x:c>
      <x:c r="B236" s="6" t="str">
        <x:v>VCD-012</x:v>
      </x:c>
      <x:c r="C236" s="6" t="str">
        <x:v>VCD-012</x:v>
      </x:c>
      <x:c r="D236" s="6" t="str">
        <x:v>Korundu</x:v>
      </x:c>
      <x:c r="E236" s="6" t="str">
        <x:v>Ortak kontrol her ürün/tenant hedefi için Uygulama kaydında tekrar yürütülür; soru metni tekilleştirildi.</x:v>
      </x:c>
      <x:c r="F236" s="6" t="str">
        <x:v>Önceki setin ilgili soru satırı</x:v>
      </x:c>
    </x:row>
    <x:row r="237" ht="40" customHeight="1">
      <x:c r="A237" s="6" t="str">
        <x:v>A</x:v>
      </x:c>
      <x:c r="B237" s="6" t="str">
        <x:v>VEE-001</x:v>
      </x:c>
      <x:c r="C237" s="6" t="str">
        <x:v>GNL-02-01</x:v>
      </x:c>
      <x:c r="D237" s="6" t="str">
        <x:v>Birleştirildi</x:v>
      </x:c>
      <x:c r="E237" s="6" t="str">
        <x:v>Ortak kontrol her ürün/tenant hedefi için Uygulama kaydında tekrar yürütülür; soru metni tekilleştirildi.</x:v>
      </x:c>
      <x:c r="F237" s="6" t="str">
        <x:v>Önceki setin ilgili soru satırı</x:v>
      </x:c>
    </x:row>
    <x:row r="238" ht="40" customHeight="1">
      <x:c r="A238" s="6" t="str">
        <x:v>A</x:v>
      </x:c>
      <x:c r="B238" s="6" t="str">
        <x:v>VEE-002</x:v>
      </x:c>
      <x:c r="C238" s="6" t="str">
        <x:v>GNL-04-04</x:v>
      </x:c>
      <x:c r="D238" s="6" t="str">
        <x:v>Birleştirildi</x:v>
      </x:c>
      <x:c r="E238" s="6" t="str">
        <x:v>Ortak kontrol her ürün/tenant hedefi için Uygulama kaydında tekrar yürütülür; soru metni tekilleştirildi.</x:v>
      </x:c>
      <x:c r="F238" s="6" t="str">
        <x:v>Önceki setin ilgili soru satırı</x:v>
      </x:c>
    </x:row>
    <x:row r="239" ht="40" customHeight="1">
      <x:c r="A239" s="6" t="str">
        <x:v>A</x:v>
      </x:c>
      <x:c r="B239" s="6" t="str">
        <x:v>VEE-003</x:v>
      </x:c>
      <x:c r="C239" s="6" t="str">
        <x:v>GNL-05-01</x:v>
      </x:c>
      <x:c r="D239" s="6" t="str">
        <x:v>Birleştirildi</x:v>
      </x:c>
      <x:c r="E239" s="6" t="str">
        <x:v>Ortak kontrol her ürün/tenant hedefi için Uygulama kaydında tekrar yürütülür; soru metni tekilleştirildi.</x:v>
      </x:c>
      <x:c r="F239" s="6" t="str">
        <x:v>Önceki setin ilgili soru satırı</x:v>
      </x:c>
    </x:row>
    <x:row r="240" ht="40" customHeight="1">
      <x:c r="A240" s="6" t="str">
        <x:v>A</x:v>
      </x:c>
      <x:c r="B240" s="6" t="str">
        <x:v>VEE-004</x:v>
      </x:c>
      <x:c r="C240" s="6" t="str">
        <x:v>GNL-09-02</x:v>
      </x:c>
      <x:c r="D240" s="6" t="str">
        <x:v>Birleştirildi</x:v>
      </x:c>
      <x:c r="E240" s="6" t="str">
        <x:v>Ortak kontrol her ürün/tenant hedefi için Uygulama kaydında tekrar yürütülür; soru metni tekilleştirildi.</x:v>
      </x:c>
      <x:c r="F240" s="6" t="str">
        <x:v>Önceki setin ilgili soru satırı</x:v>
      </x:c>
    </x:row>
    <x:row r="241" ht="40" customHeight="1">
      <x:c r="A241" s="6" t="str">
        <x:v>A</x:v>
      </x:c>
      <x:c r="B241" s="6" t="str">
        <x:v>VEE-005</x:v>
      </x:c>
      <x:c r="C241" s="6" t="str">
        <x:v>GNL-08-01
GNL-08-02</x:v>
      </x:c>
      <x:c r="D241" s="6" t="str">
        <x:v>Birleştirildi</x:v>
      </x:c>
      <x:c r="E241" s="6" t="str">
        <x:v>Ortak kontrol her ürün/tenant hedefi için Uygulama kaydında tekrar yürütülür; soru metni tekilleştirildi.</x:v>
      </x:c>
      <x:c r="F241" s="6" t="str">
        <x:v>Önceki setin ilgili soru satırı</x:v>
      </x:c>
    </x:row>
    <x:row r="242" ht="40" customHeight="1">
      <x:c r="A242" s="6" t="str">
        <x:v>A</x:v>
      </x:c>
      <x:c r="B242" s="6" t="str">
        <x:v>VEE-006</x:v>
      </x:c>
      <x:c r="C242" s="6" t="str">
        <x:v>GNL-06-01
GNL-06-02</x:v>
      </x:c>
      <x:c r="D242" s="6" t="str">
        <x:v>Birleştirildi</x:v>
      </x:c>
      <x:c r="E242" s="6" t="str">
        <x:v>Ortak kontrol her ürün/tenant hedefi için Uygulama kaydında tekrar yürütülür; soru metni tekilleştirildi.</x:v>
      </x:c>
      <x:c r="F242" s="6" t="str">
        <x:v>Önceki setin ilgili soru satırı</x:v>
      </x:c>
    </x:row>
    <x:row r="243" ht="40" customHeight="1">
      <x:c r="A243" s="6" t="str">
        <x:v>A</x:v>
      </x:c>
      <x:c r="B243" s="6" t="str">
        <x:v>VEE-007</x:v>
      </x:c>
      <x:c r="C243" s="6" t="str">
        <x:v>VEE-007</x:v>
      </x:c>
      <x:c r="D243" s="6" t="str">
        <x:v>Korundu</x:v>
      </x:c>
      <x:c r="E243" s="6" t="str">
        <x:v>Ortak kontrol her ürün/tenant hedefi için Uygulama kaydında tekrar yürütülür; soru metni tekilleştirildi.</x:v>
      </x:c>
      <x:c r="F243" s="6" t="str">
        <x:v>Önceki setin ilgili soru satırı</x:v>
      </x:c>
    </x:row>
    <x:row r="244" ht="40" customHeight="1">
      <x:c r="A244" s="6" t="str">
        <x:v>A</x:v>
      </x:c>
      <x:c r="B244" s="6" t="str">
        <x:v>VEE-008</x:v>
      </x:c>
      <x:c r="C244" s="6" t="str">
        <x:v>VEE-008</x:v>
      </x:c>
      <x:c r="D244" s="6" t="str">
        <x:v>Korundu</x:v>
      </x:c>
      <x:c r="E244" s="6" t="str">
        <x:v>Ortak kontrol her ürün/tenant hedefi için Uygulama kaydında tekrar yürütülür; soru metni tekilleştirildi.</x:v>
      </x:c>
      <x:c r="F244" s="6" t="str">
        <x:v>Önceki setin ilgili soru satırı</x:v>
      </x:c>
    </x:row>
    <x:row r="245" ht="40" customHeight="1">
      <x:c r="A245" s="6" t="str">
        <x:v>A</x:v>
      </x:c>
      <x:c r="B245" s="6" t="str">
        <x:v>VEE-009</x:v>
      </x:c>
      <x:c r="C245" s="6" t="str">
        <x:v>VEE-009</x:v>
      </x:c>
      <x:c r="D245" s="6" t="str">
        <x:v>Korundu</x:v>
      </x:c>
      <x:c r="E245" s="6" t="str">
        <x:v>Ortak kontrol her ürün/tenant hedefi için Uygulama kaydında tekrar yürütülür; soru metni tekilleştirildi.</x:v>
      </x:c>
      <x:c r="F245" s="6" t="str">
        <x:v>Önceki setin ilgili soru satırı</x:v>
      </x:c>
    </x:row>
    <x:row r="246" ht="40" customHeight="1">
      <x:c r="A246" s="6" t="str">
        <x:v>A</x:v>
      </x:c>
      <x:c r="B246" s="6" t="str">
        <x:v>VEE-010</x:v>
      </x:c>
      <x:c r="C246" s="6" t="str">
        <x:v>VEE-010</x:v>
      </x:c>
      <x:c r="D246" s="6" t="str">
        <x:v>Korundu</x:v>
      </x:c>
      <x:c r="E246" s="6" t="str">
        <x:v>Ortak kontrol her ürün/tenant hedefi için Uygulama kaydında tekrar yürütülür; soru metni tekilleştirildi.</x:v>
      </x:c>
      <x:c r="F246" s="6" t="str">
        <x:v>Önceki setin ilgili soru satırı</x:v>
      </x:c>
    </x:row>
    <x:row r="247" ht="40" customHeight="1">
      <x:c r="A247" s="6" t="str">
        <x:v>A</x:v>
      </x:c>
      <x:c r="B247" s="6" t="str">
        <x:v>VEE-011</x:v>
      </x:c>
      <x:c r="C247" s="6" t="str">
        <x:v>VEE-011</x:v>
      </x:c>
      <x:c r="D247" s="6" t="str">
        <x:v>Korundu</x:v>
      </x:c>
      <x:c r="E247" s="6" t="str">
        <x:v>Ortak kontrol her ürün/tenant hedefi için Uygulama kaydında tekrar yürütülür; soru metni tekilleştirildi.</x:v>
      </x:c>
      <x:c r="F247" s="6" t="str">
        <x:v>Önceki setin ilgili soru satırı</x:v>
      </x:c>
    </x:row>
    <x:row r="248" ht="40" customHeight="1">
      <x:c r="A248" s="6" t="str">
        <x:v>A</x:v>
      </x:c>
      <x:c r="B248" s="6" t="str">
        <x:v>VEE-012</x:v>
      </x:c>
      <x:c r="C248" s="6" t="str">
        <x:v>VEE-012</x:v>
      </x:c>
      <x:c r="D248" s="6" t="str">
        <x:v>Korundu</x:v>
      </x:c>
      <x:c r="E248" s="6" t="str">
        <x:v>Ortak kontrol her ürün/tenant hedefi için Uygulama kaydında tekrar yürütülür; soru metni tekilleştirildi.</x:v>
      </x:c>
      <x:c r="F248" s="6" t="str">
        <x:v>Önceki setin ilgili soru satırı</x:v>
      </x:c>
    </x:row>
    <x:row r="249" ht="40" customHeight="1">
      <x:c r="A249" s="6" t="str">
        <x:v>A</x:v>
      </x:c>
      <x:c r="B249" s="6" t="str">
        <x:v>VEE-013</x:v>
      </x:c>
      <x:c r="C249" s="6" t="str">
        <x:v>VEE-013</x:v>
      </x:c>
      <x:c r="D249" s="6" t="str">
        <x:v>Korundu</x:v>
      </x:c>
      <x:c r="E249" s="6" t="str">
        <x:v>Ortak kontrol her ürün/tenant hedefi için Uygulama kaydında tekrar yürütülür; soru metni tekilleştirildi.</x:v>
      </x:c>
      <x:c r="F249" s="6" t="str">
        <x:v>Önceki setin ilgili soru satırı</x:v>
      </x:c>
    </x:row>
    <x:row r="250" ht="40" customHeight="1">
      <x:c r="A250" s="6" t="str">
        <x:v>A</x:v>
      </x:c>
      <x:c r="B250" s="6" t="str">
        <x:v>VEE-014</x:v>
      </x:c>
      <x:c r="C250" s="6" t="str">
        <x:v>VEE-014</x:v>
      </x:c>
      <x:c r="D250" s="6" t="str">
        <x:v>Korundu</x:v>
      </x:c>
      <x:c r="E250" s="6" t="str">
        <x:v>Ortak kontrol her ürün/tenant hedefi için Uygulama kaydında tekrar yürütülür; soru metni tekilleştirildi.</x:v>
      </x:c>
      <x:c r="F250" s="6" t="str">
        <x:v>Önceki setin ilgili soru satırı</x:v>
      </x:c>
    </x:row>
    <x:row r="251" ht="40" customHeight="1">
      <x:c r="A251" s="6" t="str">
        <x:v>A</x:v>
      </x:c>
      <x:c r="B251" s="6" t="str">
        <x:v>CBR-001</x:v>
      </x:c>
      <x:c r="C251" s="6" t="str">
        <x:v>GNL-02-01</x:v>
      </x:c>
      <x:c r="D251" s="6" t="str">
        <x:v>Birleştirildi</x:v>
      </x:c>
      <x:c r="E251" s="6" t="str">
        <x:v>Ortak kontrol her ürün/tenant hedefi için Uygulama kaydında tekrar yürütülür; soru metni tekilleştirildi.</x:v>
      </x:c>
      <x:c r="F251" s="6" t="str">
        <x:v>Önceki setin ilgili soru satırı</x:v>
      </x:c>
    </x:row>
    <x:row r="252" ht="40" customHeight="1">
      <x:c r="A252" s="6" t="str">
        <x:v>A</x:v>
      </x:c>
      <x:c r="B252" s="6" t="str">
        <x:v>CBR-002</x:v>
      </x:c>
      <x:c r="C252" s="6" t="str">
        <x:v>GNL-04-04</x:v>
      </x:c>
      <x:c r="D252" s="6" t="str">
        <x:v>Birleştirildi</x:v>
      </x:c>
      <x:c r="E252" s="6" t="str">
        <x:v>Ortak kontrol her ürün/tenant hedefi için Uygulama kaydında tekrar yürütülür; soru metni tekilleştirildi.</x:v>
      </x:c>
      <x:c r="F252" s="6" t="str">
        <x:v>Önceki setin ilgili soru satırı</x:v>
      </x:c>
    </x:row>
    <x:row r="253" ht="40" customHeight="1">
      <x:c r="A253" s="6" t="str">
        <x:v>A</x:v>
      </x:c>
      <x:c r="B253" s="6" t="str">
        <x:v>CBR-003</x:v>
      </x:c>
      <x:c r="C253" s="6" t="str">
        <x:v>GNL-05-01</x:v>
      </x:c>
      <x:c r="D253" s="6" t="str">
        <x:v>Birleştirildi</x:v>
      </x:c>
      <x:c r="E253" s="6" t="str">
        <x:v>Ortak kontrol her ürün/tenant hedefi için Uygulama kaydında tekrar yürütülür; soru metni tekilleştirildi.</x:v>
      </x:c>
      <x:c r="F253" s="6" t="str">
        <x:v>Önceki setin ilgili soru satırı</x:v>
      </x:c>
    </x:row>
    <x:row r="254" ht="40" customHeight="1">
      <x:c r="A254" s="6" t="str">
        <x:v>A</x:v>
      </x:c>
      <x:c r="B254" s="6" t="str">
        <x:v>CBR-004</x:v>
      </x:c>
      <x:c r="C254" s="6" t="str">
        <x:v>GNL-09-02</x:v>
      </x:c>
      <x:c r="D254" s="6" t="str">
        <x:v>Birleştirildi</x:v>
      </x:c>
      <x:c r="E254" s="6" t="str">
        <x:v>Ortak kontrol her ürün/tenant hedefi için Uygulama kaydında tekrar yürütülür; soru metni tekilleştirildi.</x:v>
      </x:c>
      <x:c r="F254" s="6" t="str">
        <x:v>Önceki setin ilgili soru satırı</x:v>
      </x:c>
    </x:row>
    <x:row r="255" ht="40" customHeight="1">
      <x:c r="A255" s="6" t="str">
        <x:v>A</x:v>
      </x:c>
      <x:c r="B255" s="6" t="str">
        <x:v>CBR-005</x:v>
      </x:c>
      <x:c r="C255" s="6" t="str">
        <x:v>GNL-08-01
GNL-08-02</x:v>
      </x:c>
      <x:c r="D255" s="6" t="str">
        <x:v>Birleştirildi</x:v>
      </x:c>
      <x:c r="E255" s="6" t="str">
        <x:v>Ortak kontrol her ürün/tenant hedefi için Uygulama kaydında tekrar yürütülür; soru metni tekilleştirildi.</x:v>
      </x:c>
      <x:c r="F255" s="6" t="str">
        <x:v>Önceki setin ilgili soru satırı</x:v>
      </x:c>
    </x:row>
    <x:row r="256" ht="40" customHeight="1">
      <x:c r="A256" s="6" t="str">
        <x:v>A</x:v>
      </x:c>
      <x:c r="B256" s="6" t="str">
        <x:v>CBR-006</x:v>
      </x:c>
      <x:c r="C256" s="6" t="str">
        <x:v>GNL-06-01
GNL-06-02</x:v>
      </x:c>
      <x:c r="D256" s="6" t="str">
        <x:v>Birleştirildi</x:v>
      </x:c>
      <x:c r="E256" s="6" t="str">
        <x:v>Ortak kontrol her ürün/tenant hedefi için Uygulama kaydında tekrar yürütülür; soru metni tekilleştirildi.</x:v>
      </x:c>
      <x:c r="F256" s="6" t="str">
        <x:v>Önceki setin ilgili soru satırı</x:v>
      </x:c>
    </x:row>
    <x:row r="257" ht="40" customHeight="1">
      <x:c r="A257" s="6" t="str">
        <x:v>A</x:v>
      </x:c>
      <x:c r="B257" s="6" t="str">
        <x:v>CBR-007</x:v>
      </x:c>
      <x:c r="C257" s="6" t="str">
        <x:v>CBR-007</x:v>
      </x:c>
      <x:c r="D257" s="6" t="str">
        <x:v>Korundu</x:v>
      </x:c>
      <x:c r="E257" s="6" t="str">
        <x:v>Ortak kontrol her ürün/tenant hedefi için Uygulama kaydında tekrar yürütülür; soru metni tekilleştirildi.</x:v>
      </x:c>
      <x:c r="F257" s="6" t="str">
        <x:v>Önceki setin ilgili soru satırı</x:v>
      </x:c>
    </x:row>
    <x:row r="258" ht="40" customHeight="1">
      <x:c r="A258" s="6" t="str">
        <x:v>A</x:v>
      </x:c>
      <x:c r="B258" s="6" t="str">
        <x:v>CBR-008</x:v>
      </x:c>
      <x:c r="C258" s="6" t="str">
        <x:v>CBR-008</x:v>
      </x:c>
      <x:c r="D258" s="6" t="str">
        <x:v>Korundu</x:v>
      </x:c>
      <x:c r="E258" s="6" t="str">
        <x:v>Ortak kontrol her ürün/tenant hedefi için Uygulama kaydında tekrar yürütülür; soru metni tekilleştirildi.</x:v>
      </x:c>
      <x:c r="F258" s="6" t="str">
        <x:v>Önceki setin ilgili soru satırı</x:v>
      </x:c>
    </x:row>
    <x:row r="259" ht="40" customHeight="1">
      <x:c r="A259" s="6" t="str">
        <x:v>A</x:v>
      </x:c>
      <x:c r="B259" s="6" t="str">
        <x:v>CBR-009</x:v>
      </x:c>
      <x:c r="C259" s="6" t="str">
        <x:v>CBR-009</x:v>
      </x:c>
      <x:c r="D259" s="6" t="str">
        <x:v>Korundu</x:v>
      </x:c>
      <x:c r="E259" s="6" t="str">
        <x:v>Ortak kontrol her ürün/tenant hedefi için Uygulama kaydında tekrar yürütülür; soru metni tekilleştirildi.</x:v>
      </x:c>
      <x:c r="F259" s="6" t="str">
        <x:v>Önceki setin ilgili soru satırı</x:v>
      </x:c>
    </x:row>
    <x:row r="260" ht="40" customHeight="1">
      <x:c r="A260" s="6" t="str">
        <x:v>A</x:v>
      </x:c>
      <x:c r="B260" s="6" t="str">
        <x:v>CBR-010</x:v>
      </x:c>
      <x:c r="C260" s="6" t="str">
        <x:v>CBR-010</x:v>
      </x:c>
      <x:c r="D260" s="6" t="str">
        <x:v>Korundu</x:v>
      </x:c>
      <x:c r="E260" s="6" t="str">
        <x:v>Ortak kontrol her ürün/tenant hedefi için Uygulama kaydında tekrar yürütülür; soru metni tekilleştirildi.</x:v>
      </x:c>
      <x:c r="F260" s="6" t="str">
        <x:v>Önceki setin ilgili soru satırı</x:v>
      </x:c>
    </x:row>
    <x:row r="261" ht="40" customHeight="1">
      <x:c r="A261" s="6" t="str">
        <x:v>A</x:v>
      </x:c>
      <x:c r="B261" s="6" t="str">
        <x:v>CBR-011</x:v>
      </x:c>
      <x:c r="C261" s="6" t="str">
        <x:v>CBR-011</x:v>
      </x:c>
      <x:c r="D261" s="6" t="str">
        <x:v>Korundu</x:v>
      </x:c>
      <x:c r="E261" s="6" t="str">
        <x:v>Ortak kontrol her ürün/tenant hedefi için Uygulama kaydında tekrar yürütülür; soru metni tekilleştirildi.</x:v>
      </x:c>
      <x:c r="F261" s="6" t="str">
        <x:v>Önceki setin ilgili soru satırı</x:v>
      </x:c>
    </x:row>
    <x:row r="262" ht="40" customHeight="1">
      <x:c r="A262" s="6" t="str">
        <x:v>A</x:v>
      </x:c>
      <x:c r="B262" s="6" t="str">
        <x:v>CBR-012</x:v>
      </x:c>
      <x:c r="C262" s="6" t="str">
        <x:v>CBR-012</x:v>
      </x:c>
      <x:c r="D262" s="6" t="str">
        <x:v>Korundu</x:v>
      </x:c>
      <x:c r="E262" s="6" t="str">
        <x:v>Ortak kontrol her ürün/tenant hedefi için Uygulama kaydında tekrar yürütülür; soru metni tekilleştirildi.</x:v>
      </x:c>
      <x:c r="F262" s="6" t="str">
        <x:v>Önceki setin ilgili soru satırı</x:v>
      </x:c>
    </x:row>
    <x:row r="263" ht="40" customHeight="1">
      <x:c r="A263" s="6" t="str">
        <x:v>A</x:v>
      </x:c>
      <x:c r="B263" s="6" t="str">
        <x:v>CBR-013</x:v>
      </x:c>
      <x:c r="C263" s="6" t="str">
        <x:v>CBR-013</x:v>
      </x:c>
      <x:c r="D263" s="6" t="str">
        <x:v>Korundu</x:v>
      </x:c>
      <x:c r="E263" s="6" t="str">
        <x:v>Ortak kontrol her ürün/tenant hedefi için Uygulama kaydında tekrar yürütülür; soru metni tekilleştirildi.</x:v>
      </x:c>
      <x:c r="F263" s="6" t="str">
        <x:v>Önceki setin ilgili soru satırı</x:v>
      </x:c>
    </x:row>
    <x:row r="264" ht="40" customHeight="1">
      <x:c r="A264" s="6" t="str">
        <x:v>A</x:v>
      </x:c>
      <x:c r="B264" s="6" t="str">
        <x:v>FGT-001</x:v>
      </x:c>
      <x:c r="C264" s="6" t="str">
        <x:v>GNL-02-01</x:v>
      </x:c>
      <x:c r="D264" s="6" t="str">
        <x:v>Birleştirildi</x:v>
      </x:c>
      <x:c r="E264" s="6" t="str">
        <x:v>Ortak kontrol her ürün/tenant hedefi için Uygulama kaydında tekrar yürütülür; soru metni tekilleştirildi.</x:v>
      </x:c>
      <x:c r="F264" s="6" t="str">
        <x:v>Önceki setin ilgili soru satırı</x:v>
      </x:c>
    </x:row>
    <x:row r="265" ht="40" customHeight="1">
      <x:c r="A265" s="6" t="str">
        <x:v>A</x:v>
      </x:c>
      <x:c r="B265" s="6" t="str">
        <x:v>FGT-002</x:v>
      </x:c>
      <x:c r="C265" s="6" t="str">
        <x:v>GNL-04-04</x:v>
      </x:c>
      <x:c r="D265" s="6" t="str">
        <x:v>Birleştirildi</x:v>
      </x:c>
      <x:c r="E265" s="6" t="str">
        <x:v>Ortak kontrol her ürün/tenant hedefi için Uygulama kaydında tekrar yürütülür; soru metni tekilleştirildi.</x:v>
      </x:c>
      <x:c r="F265" s="6" t="str">
        <x:v>Önceki setin ilgili soru satırı</x:v>
      </x:c>
    </x:row>
    <x:row r="266" ht="40" customHeight="1">
      <x:c r="A266" s="6" t="str">
        <x:v>A</x:v>
      </x:c>
      <x:c r="B266" s="6" t="str">
        <x:v>FGT-003</x:v>
      </x:c>
      <x:c r="C266" s="6" t="str">
        <x:v>GNL-05-01</x:v>
      </x:c>
      <x:c r="D266" s="6" t="str">
        <x:v>Birleştirildi</x:v>
      </x:c>
      <x:c r="E266" s="6" t="str">
        <x:v>Ortak kontrol her ürün/tenant hedefi için Uygulama kaydında tekrar yürütülür; soru metni tekilleştirildi.</x:v>
      </x:c>
      <x:c r="F266" s="6" t="str">
        <x:v>Önceki setin ilgili soru satırı</x:v>
      </x:c>
    </x:row>
    <x:row r="267" ht="40" customHeight="1">
      <x:c r="A267" s="6" t="str">
        <x:v>A</x:v>
      </x:c>
      <x:c r="B267" s="6" t="str">
        <x:v>FGT-004</x:v>
      </x:c>
      <x:c r="C267" s="6" t="str">
        <x:v>GNL-09-02</x:v>
      </x:c>
      <x:c r="D267" s="6" t="str">
        <x:v>Birleştirildi</x:v>
      </x:c>
      <x:c r="E267" s="6" t="str">
        <x:v>Ortak kontrol her ürün/tenant hedefi için Uygulama kaydında tekrar yürütülür; soru metni tekilleştirildi.</x:v>
      </x:c>
      <x:c r="F267" s="6" t="str">
        <x:v>Önceki setin ilgili soru satırı</x:v>
      </x:c>
    </x:row>
    <x:row r="268" ht="40" customHeight="1">
      <x:c r="A268" s="6" t="str">
        <x:v>A</x:v>
      </x:c>
      <x:c r="B268" s="6" t="str">
        <x:v>FGT-005</x:v>
      </x:c>
      <x:c r="C268" s="6" t="str">
        <x:v>GNL-08-01
GNL-08-02</x:v>
      </x:c>
      <x:c r="D268" s="6" t="str">
        <x:v>Birleştirildi</x:v>
      </x:c>
      <x:c r="E268" s="6" t="str">
        <x:v>Ortak kontrol her ürün/tenant hedefi için Uygulama kaydında tekrar yürütülür; soru metni tekilleştirildi.</x:v>
      </x:c>
      <x:c r="F268" s="6" t="str">
        <x:v>Önceki setin ilgili soru satırı</x:v>
      </x:c>
    </x:row>
    <x:row r="269" ht="40" customHeight="1">
      <x:c r="A269" s="6" t="str">
        <x:v>A</x:v>
      </x:c>
      <x:c r="B269" s="6" t="str">
        <x:v>FGT-006</x:v>
      </x:c>
      <x:c r="C269" s="6" t="str">
        <x:v>GNL-06-01
GNL-06-02</x:v>
      </x:c>
      <x:c r="D269" s="6" t="str">
        <x:v>Birleştirildi</x:v>
      </x:c>
      <x:c r="E269" s="6" t="str">
        <x:v>Ortak kontrol her ürün/tenant hedefi için Uygulama kaydında tekrar yürütülür; soru metni tekilleştirildi.</x:v>
      </x:c>
      <x:c r="F269" s="6" t="str">
        <x:v>Önceki setin ilgili soru satırı</x:v>
      </x:c>
    </x:row>
    <x:row r="270" ht="40" customHeight="1">
      <x:c r="A270" s="6" t="str">
        <x:v>A</x:v>
      </x:c>
      <x:c r="B270" s="6" t="str">
        <x:v>FGT-007</x:v>
      </x:c>
      <x:c r="C270" s="6" t="str">
        <x:v>FGT-007</x:v>
      </x:c>
      <x:c r="D270" s="6" t="str">
        <x:v>Korundu</x:v>
      </x:c>
      <x:c r="E270" s="6" t="str">
        <x:v>Ortak kontrol her ürün/tenant hedefi için Uygulama kaydında tekrar yürütülür; soru metni tekilleştirildi.</x:v>
      </x:c>
      <x:c r="F270" s="6" t="str">
        <x:v>Önceki setin ilgili soru satırı</x:v>
      </x:c>
    </x:row>
    <x:row r="271" ht="40" customHeight="1">
      <x:c r="A271" s="6" t="str">
        <x:v>A</x:v>
      </x:c>
      <x:c r="B271" s="6" t="str">
        <x:v>FGT-008</x:v>
      </x:c>
      <x:c r="C271" s="6" t="str">
        <x:v>FGT-008</x:v>
      </x:c>
      <x:c r="D271" s="6" t="str">
        <x:v>Korundu</x:v>
      </x:c>
      <x:c r="E271" s="6" t="str">
        <x:v>Ortak kontrol her ürün/tenant hedefi için Uygulama kaydında tekrar yürütülür; soru metni tekilleştirildi.</x:v>
      </x:c>
      <x:c r="F271" s="6" t="str">
        <x:v>Önceki setin ilgili soru satırı</x:v>
      </x:c>
    </x:row>
    <x:row r="272" ht="40" customHeight="1">
      <x:c r="A272" s="6" t="str">
        <x:v>A</x:v>
      </x:c>
      <x:c r="B272" s="6" t="str">
        <x:v>FGT-009</x:v>
      </x:c>
      <x:c r="C272" s="6" t="str">
        <x:v>FGC-011
FGC-013</x:v>
      </x:c>
      <x:c r="D272" s="6" t="str">
        <x:v>Birleştirildi</x:v>
      </x:c>
      <x:c r="E272" s="6" t="str">
        <x:v>Ortak kontrol her ürün/tenant hedefi için Uygulama kaydında tekrar yürütülür; soru metni tekilleştirildi.</x:v>
      </x:c>
      <x:c r="F272" s="6" t="str">
        <x:v>Önceki setin ilgili soru satırı</x:v>
      </x:c>
    </x:row>
    <x:row r="273" ht="40" customHeight="1">
      <x:c r="A273" s="6" t="str">
        <x:v>A</x:v>
      </x:c>
      <x:c r="B273" s="6" t="str">
        <x:v>FGT-010</x:v>
      </x:c>
      <x:c r="C273" s="6" t="str">
        <x:v>FGT-010</x:v>
      </x:c>
      <x:c r="D273" s="6" t="str">
        <x:v>Korundu</x:v>
      </x:c>
      <x:c r="E273" s="6" t="str">
        <x:v>Ortak kontrol her ürün/tenant hedefi için Uygulama kaydında tekrar yürütülür; soru metni tekilleştirildi.</x:v>
      </x:c>
      <x:c r="F273" s="6" t="str">
        <x:v>Önceki setin ilgili soru satırı</x:v>
      </x:c>
    </x:row>
    <x:row r="274" ht="40" customHeight="1">
      <x:c r="A274" s="6" t="str">
        <x:v>A</x:v>
      </x:c>
      <x:c r="B274" s="6" t="str">
        <x:v>FGT-011</x:v>
      </x:c>
      <x:c r="C274" s="6" t="str">
        <x:v>FGT-011</x:v>
      </x:c>
      <x:c r="D274" s="6" t="str">
        <x:v>Korundu</x:v>
      </x:c>
      <x:c r="E274" s="6" t="str">
        <x:v>Ortak kontrol her ürün/tenant hedefi için Uygulama kaydında tekrar yürütülür; soru metni tekilleştirildi.</x:v>
      </x:c>
      <x:c r="F274" s="6" t="str">
        <x:v>Önceki setin ilgili soru satırı</x:v>
      </x:c>
    </x:row>
    <x:row r="275" ht="40" customHeight="1">
      <x:c r="A275" s="6" t="str">
        <x:v>A</x:v>
      </x:c>
      <x:c r="B275" s="6" t="str">
        <x:v>FGT-012</x:v>
      </x:c>
      <x:c r="C275" s="6" t="str">
        <x:v>FGC-007
FGC-030</x:v>
      </x:c>
      <x:c r="D275" s="6" t="str">
        <x:v>Birleştirildi</x:v>
      </x:c>
      <x:c r="E275" s="6" t="str">
        <x:v>Ortak kontrol her ürün/tenant hedefi için Uygulama kaydında tekrar yürütülür; soru metni tekilleştirildi.</x:v>
      </x:c>
      <x:c r="F275" s="6" t="str">
        <x:v>Önceki setin ilgili soru satırı</x:v>
      </x:c>
    </x:row>
    <x:row r="276" ht="40" customHeight="1">
      <x:c r="A276" s="6" t="str">
        <x:v>A</x:v>
      </x:c>
      <x:c r="B276" s="6" t="str">
        <x:v>FGT-013</x:v>
      </x:c>
      <x:c r="C276" s="6" t="str">
        <x:v>FGT-013</x:v>
      </x:c>
      <x:c r="D276" s="6" t="str">
        <x:v>Korundu</x:v>
      </x:c>
      <x:c r="E276" s="6" t="str">
        <x:v>Ortak kontrol her ürün/tenant hedefi için Uygulama kaydında tekrar yürütülür; soru metni tekilleştirildi.</x:v>
      </x:c>
      <x:c r="F276" s="6" t="str">
        <x:v>Önceki setin ilgili soru satırı</x:v>
      </x:c>
    </x:row>
    <x:row r="277" ht="40" customHeight="1">
      <x:c r="A277" s="6" t="str">
        <x:v>A</x:v>
      </x:c>
      <x:c r="B277" s="6" t="str">
        <x:v>FGT-014</x:v>
      </x:c>
      <x:c r="C277" s="6" t="str">
        <x:v>GNL-06-01</x:v>
      </x:c>
      <x:c r="D277" s="6" t="str">
        <x:v>Birleştirildi</x:v>
      </x:c>
      <x:c r="E277" s="6" t="str">
        <x:v>Ortak kontrol her ürün/tenant hedefi için Uygulama kaydında tekrar yürütülür; soru metni tekilleştirildi.</x:v>
      </x:c>
      <x:c r="F277" s="6" t="str">
        <x:v>Önceki setin ilgili soru satırı</x:v>
      </x:c>
    </x:row>
    <x:row r="278" ht="40" customHeight="1">
      <x:c r="A278" s="6" t="str">
        <x:v>A</x:v>
      </x:c>
      <x:c r="B278" s="6" t="str">
        <x:v>IPS-001</x:v>
      </x:c>
      <x:c r="C278" s="6" t="str">
        <x:v>GNL-02-01</x:v>
      </x:c>
      <x:c r="D278" s="6" t="str">
        <x:v>Birleştirildi</x:v>
      </x:c>
      <x:c r="E278" s="6" t="str">
        <x:v>Ortak kontrol her ürün/tenant hedefi için Uygulama kaydında tekrar yürütülür; soru metni tekilleştirildi.</x:v>
      </x:c>
      <x:c r="F278" s="6" t="str">
        <x:v>Önceki setin ilgili soru satırı</x:v>
      </x:c>
    </x:row>
    <x:row r="279" ht="40" customHeight="1">
      <x:c r="A279" s="6" t="str">
        <x:v>A</x:v>
      </x:c>
      <x:c r="B279" s="6" t="str">
        <x:v>IPS-002</x:v>
      </x:c>
      <x:c r="C279" s="6" t="str">
        <x:v>GNL-04-04</x:v>
      </x:c>
      <x:c r="D279" s="6" t="str">
        <x:v>Birleştirildi</x:v>
      </x:c>
      <x:c r="E279" s="6" t="str">
        <x:v>Ortak kontrol her ürün/tenant hedefi için Uygulama kaydında tekrar yürütülür; soru metni tekilleştirildi.</x:v>
      </x:c>
      <x:c r="F279" s="6" t="str">
        <x:v>Önceki setin ilgili soru satırı</x:v>
      </x:c>
    </x:row>
    <x:row r="280" ht="40" customHeight="1">
      <x:c r="A280" s="6" t="str">
        <x:v>A</x:v>
      </x:c>
      <x:c r="B280" s="6" t="str">
        <x:v>IPS-003</x:v>
      </x:c>
      <x:c r="C280" s="6" t="str">
        <x:v>GNL-05-01</x:v>
      </x:c>
      <x:c r="D280" s="6" t="str">
        <x:v>Birleştirildi</x:v>
      </x:c>
      <x:c r="E280" s="6" t="str">
        <x:v>Ortak kontrol her ürün/tenant hedefi için Uygulama kaydında tekrar yürütülür; soru metni tekilleştirildi.</x:v>
      </x:c>
      <x:c r="F280" s="6" t="str">
        <x:v>Önceki setin ilgili soru satırı</x:v>
      </x:c>
    </x:row>
    <x:row r="281" ht="40" customHeight="1">
      <x:c r="A281" s="6" t="str">
        <x:v>A</x:v>
      </x:c>
      <x:c r="B281" s="6" t="str">
        <x:v>IPS-004</x:v>
      </x:c>
      <x:c r="C281" s="6" t="str">
        <x:v>GNL-09-02</x:v>
      </x:c>
      <x:c r="D281" s="6" t="str">
        <x:v>Birleştirildi</x:v>
      </x:c>
      <x:c r="E281" s="6" t="str">
        <x:v>Ortak kontrol her ürün/tenant hedefi için Uygulama kaydında tekrar yürütülür; soru metni tekilleştirildi.</x:v>
      </x:c>
      <x:c r="F281" s="6" t="str">
        <x:v>Önceki setin ilgili soru satırı</x:v>
      </x:c>
    </x:row>
    <x:row r="282" ht="40" customHeight="1">
      <x:c r="A282" s="6" t="str">
        <x:v>A</x:v>
      </x:c>
      <x:c r="B282" s="6" t="str">
        <x:v>IPS-005</x:v>
      </x:c>
      <x:c r="C282" s="6" t="str">
        <x:v>GNL-08-01
GNL-08-02</x:v>
      </x:c>
      <x:c r="D282" s="6" t="str">
        <x:v>Birleştirildi</x:v>
      </x:c>
      <x:c r="E282" s="6" t="str">
        <x:v>Ortak kontrol her ürün/tenant hedefi için Uygulama kaydında tekrar yürütülür; soru metni tekilleştirildi.</x:v>
      </x:c>
      <x:c r="F282" s="6" t="str">
        <x:v>Önceki setin ilgili soru satırı</x:v>
      </x:c>
    </x:row>
    <x:row r="283" ht="40" customHeight="1">
      <x:c r="A283" s="6" t="str">
        <x:v>A</x:v>
      </x:c>
      <x:c r="B283" s="6" t="str">
        <x:v>IPS-006</x:v>
      </x:c>
      <x:c r="C283" s="6" t="str">
        <x:v>GNL-06-01
GNL-06-02</x:v>
      </x:c>
      <x:c r="D283" s="6" t="str">
        <x:v>Birleştirildi</x:v>
      </x:c>
      <x:c r="E283" s="6" t="str">
        <x:v>Ortak kontrol her ürün/tenant hedefi için Uygulama kaydında tekrar yürütülür; soru metni tekilleştirildi.</x:v>
      </x:c>
      <x:c r="F283" s="6" t="str">
        <x:v>Önceki setin ilgili soru satırı</x:v>
      </x:c>
    </x:row>
    <x:row r="284" ht="40" customHeight="1">
      <x:c r="A284" s="6" t="str">
        <x:v>A</x:v>
      </x:c>
      <x:c r="B284" s="6" t="str">
        <x:v>IPS-007</x:v>
      </x:c>
      <x:c r="C284" s="6" t="str">
        <x:v>FGC-020</x:v>
      </x:c>
      <x:c r="D284" s="6" t="str">
        <x:v>Birleştirildi</x:v>
      </x:c>
      <x:c r="E284" s="6" t="str">
        <x:v>Ortak kontrol her ürün/tenant hedefi için Uygulama kaydında tekrar yürütülür; soru metni tekilleştirildi.</x:v>
      </x:c>
      <x:c r="F284" s="6" t="str">
        <x:v>Önceki setin ilgili soru satırı</x:v>
      </x:c>
    </x:row>
    <x:row r="285" ht="40" customHeight="1">
      <x:c r="A285" s="6" t="str">
        <x:v>A</x:v>
      </x:c>
      <x:c r="B285" s="6" t="str">
        <x:v>IPS-008</x:v>
      </x:c>
      <x:c r="C285" s="6" t="str">
        <x:v>FGC-021</x:v>
      </x:c>
      <x:c r="D285" s="6" t="str">
        <x:v>Birleştirildi</x:v>
      </x:c>
      <x:c r="E285" s="6" t="str">
        <x:v>Ortak kontrol her ürün/tenant hedefi için Uygulama kaydında tekrar yürütülür; soru metni tekilleştirildi.</x:v>
      </x:c>
      <x:c r="F285" s="6" t="str">
        <x:v>Önceki setin ilgili soru satırı</x:v>
      </x:c>
    </x:row>
    <x:row r="286" ht="40" customHeight="1">
      <x:c r="A286" s="6" t="str">
        <x:v>A</x:v>
      </x:c>
      <x:c r="B286" s="6" t="str">
        <x:v>IPS-009</x:v>
      </x:c>
      <x:c r="C286" s="6" t="str">
        <x:v>IPS-009</x:v>
      </x:c>
      <x:c r="D286" s="6" t="str">
        <x:v>Korundu</x:v>
      </x:c>
      <x:c r="E286" s="6" t="str">
        <x:v>Ortak kontrol her ürün/tenant hedefi için Uygulama kaydında tekrar yürütülür; soru metni tekilleştirildi.</x:v>
      </x:c>
      <x:c r="F286" s="6" t="str">
        <x:v>Önceki setin ilgili soru satırı</x:v>
      </x:c>
    </x:row>
    <x:row r="287" ht="40" customHeight="1">
      <x:c r="A287" s="6" t="str">
        <x:v>A</x:v>
      </x:c>
      <x:c r="B287" s="6" t="str">
        <x:v>IPS-010</x:v>
      </x:c>
      <x:c r="C287" s="6" t="str">
        <x:v>IPS-010</x:v>
      </x:c>
      <x:c r="D287" s="6" t="str">
        <x:v>Korundu</x:v>
      </x:c>
      <x:c r="E287" s="6" t="str">
        <x:v>Ortak kontrol her ürün/tenant hedefi için Uygulama kaydında tekrar yürütülür; soru metni tekilleştirildi.</x:v>
      </x:c>
      <x:c r="F287" s="6" t="str">
        <x:v>Önceki setin ilgili soru satırı</x:v>
      </x:c>
    </x:row>
    <x:row r="288" ht="40" customHeight="1">
      <x:c r="A288" s="6" t="str">
        <x:v>A</x:v>
      </x:c>
      <x:c r="B288" s="6" t="str">
        <x:v>IPS-011</x:v>
      </x:c>
      <x:c r="C288" s="6" t="str">
        <x:v>IPS-011</x:v>
      </x:c>
      <x:c r="D288" s="6" t="str">
        <x:v>Korundu</x:v>
      </x:c>
      <x:c r="E288" s="6" t="str">
        <x:v>Ortak kontrol her ürün/tenant hedefi için Uygulama kaydında tekrar yürütülür; soru metni tekilleştirildi.</x:v>
      </x:c>
      <x:c r="F288" s="6" t="str">
        <x:v>Önceki setin ilgili soru satırı</x:v>
      </x:c>
    </x:row>
    <x:row r="289" ht="40" customHeight="1">
      <x:c r="A289" s="6" t="str">
        <x:v>A</x:v>
      </x:c>
      <x:c r="B289" s="6" t="str">
        <x:v>IPS-012</x:v>
      </x:c>
      <x:c r="C289" s="6" t="str">
        <x:v>IPS-012</x:v>
      </x:c>
      <x:c r="D289" s="6" t="str">
        <x:v>Korundu</x:v>
      </x:c>
      <x:c r="E289" s="6" t="str">
        <x:v>Ortak kontrol her ürün/tenant hedefi için Uygulama kaydında tekrar yürütülür; soru metni tekilleştirildi.</x:v>
      </x:c>
      <x:c r="F289" s="6" t="str">
        <x:v>Önceki setin ilgili soru satırı</x:v>
      </x:c>
    </x:row>
    <x:row r="290" ht="40" customHeight="1">
      <x:c r="A290" s="6" t="str">
        <x:v>A</x:v>
      </x:c>
      <x:c r="B290" s="6" t="str">
        <x:v>SPL-001</x:v>
      </x:c>
      <x:c r="C290" s="6" t="str">
        <x:v>GNL-02-01</x:v>
      </x:c>
      <x:c r="D290" s="6" t="str">
        <x:v>Birleştirildi</x:v>
      </x:c>
      <x:c r="E290" s="6" t="str">
        <x:v>Ortak kontrol her ürün/tenant hedefi için Uygulama kaydında tekrar yürütülür; soru metni tekilleştirildi.</x:v>
      </x:c>
      <x:c r="F290" s="6" t="str">
        <x:v>Önceki setin ilgili soru satırı</x:v>
      </x:c>
    </x:row>
    <x:row r="291" ht="40" customHeight="1">
      <x:c r="A291" s="6" t="str">
        <x:v>A</x:v>
      </x:c>
      <x:c r="B291" s="6" t="str">
        <x:v>SPL-002</x:v>
      </x:c>
      <x:c r="C291" s="6" t="str">
        <x:v>GNL-04-04</x:v>
      </x:c>
      <x:c r="D291" s="6" t="str">
        <x:v>Birleştirildi</x:v>
      </x:c>
      <x:c r="E291" s="6" t="str">
        <x:v>Ortak kontrol her ürün/tenant hedefi için Uygulama kaydında tekrar yürütülür; soru metni tekilleştirildi.</x:v>
      </x:c>
      <x:c r="F291" s="6" t="str">
        <x:v>Önceki setin ilgili soru satırı</x:v>
      </x:c>
    </x:row>
    <x:row r="292" ht="40" customHeight="1">
      <x:c r="A292" s="6" t="str">
        <x:v>A</x:v>
      </x:c>
      <x:c r="B292" s="6" t="str">
        <x:v>SPL-003</x:v>
      </x:c>
      <x:c r="C292" s="6" t="str">
        <x:v>GNL-05-01</x:v>
      </x:c>
      <x:c r="D292" s="6" t="str">
        <x:v>Birleştirildi</x:v>
      </x:c>
      <x:c r="E292" s="6" t="str">
        <x:v>Ortak kontrol her ürün/tenant hedefi için Uygulama kaydında tekrar yürütülür; soru metni tekilleştirildi.</x:v>
      </x:c>
      <x:c r="F292" s="6" t="str">
        <x:v>Önceki setin ilgili soru satırı</x:v>
      </x:c>
    </x:row>
    <x:row r="293" ht="40" customHeight="1">
      <x:c r="A293" s="6" t="str">
        <x:v>A</x:v>
      </x:c>
      <x:c r="B293" s="6" t="str">
        <x:v>SPL-004</x:v>
      </x:c>
      <x:c r="C293" s="6" t="str">
        <x:v>GNL-09-02</x:v>
      </x:c>
      <x:c r="D293" s="6" t="str">
        <x:v>Birleştirildi</x:v>
      </x:c>
      <x:c r="E293" s="6" t="str">
        <x:v>Ortak kontrol her ürün/tenant hedefi için Uygulama kaydında tekrar yürütülür; soru metni tekilleştirildi.</x:v>
      </x:c>
      <x:c r="F293" s="6" t="str">
        <x:v>Önceki setin ilgili soru satırı</x:v>
      </x:c>
    </x:row>
    <x:row r="294" ht="40" customHeight="1">
      <x:c r="A294" s="6" t="str">
        <x:v>A</x:v>
      </x:c>
      <x:c r="B294" s="6" t="str">
        <x:v>SPL-005</x:v>
      </x:c>
      <x:c r="C294" s="6" t="str">
        <x:v>GNL-08-01
GNL-08-02</x:v>
      </x:c>
      <x:c r="D294" s="6" t="str">
        <x:v>Birleştirildi</x:v>
      </x:c>
      <x:c r="E294" s="6" t="str">
        <x:v>Ortak kontrol her ürün/tenant hedefi için Uygulama kaydında tekrar yürütülür; soru metni tekilleştirildi.</x:v>
      </x:c>
      <x:c r="F294" s="6" t="str">
        <x:v>Önceki setin ilgili soru satırı</x:v>
      </x:c>
    </x:row>
    <x:row r="295" ht="40" customHeight="1">
      <x:c r="A295" s="6" t="str">
        <x:v>A</x:v>
      </x:c>
      <x:c r="B295" s="6" t="str">
        <x:v>SPL-006</x:v>
      </x:c>
      <x:c r="C295" s="6" t="str">
        <x:v>GNL-06-01
GNL-06-02</x:v>
      </x:c>
      <x:c r="D295" s="6" t="str">
        <x:v>Birleştirildi</x:v>
      </x:c>
      <x:c r="E295" s="6" t="str">
        <x:v>Ortak kontrol her ürün/tenant hedefi için Uygulama kaydında tekrar yürütülür; soru metni tekilleştirildi.</x:v>
      </x:c>
      <x:c r="F295" s="6" t="str">
        <x:v>Önceki setin ilgili soru satırı</x:v>
      </x:c>
    </x:row>
    <x:row r="296" ht="40" customHeight="1">
      <x:c r="A296" s="6" t="str">
        <x:v>A</x:v>
      </x:c>
      <x:c r="B296" s="6" t="str">
        <x:v>SPL-007</x:v>
      </x:c>
      <x:c r="C296" s="6" t="str">
        <x:v>SPL-007</x:v>
      </x:c>
      <x:c r="D296" s="6" t="str">
        <x:v>Korundu</x:v>
      </x:c>
      <x:c r="E296" s="6" t="str">
        <x:v>Ortak kontrol her ürün/tenant hedefi için Uygulama kaydında tekrar yürütülür; soru metni tekilleştirildi.</x:v>
      </x:c>
      <x:c r="F296" s="6" t="str">
        <x:v>Önceki setin ilgili soru satırı</x:v>
      </x:c>
    </x:row>
    <x:row r="297" ht="40" customHeight="1">
      <x:c r="A297" s="6" t="str">
        <x:v>A</x:v>
      </x:c>
      <x:c r="B297" s="6" t="str">
        <x:v>SPL-008</x:v>
      </x:c>
      <x:c r="C297" s="6" t="str">
        <x:v>SPL-008</x:v>
      </x:c>
      <x:c r="D297" s="6" t="str">
        <x:v>Korundu</x:v>
      </x:c>
      <x:c r="E297" s="6" t="str">
        <x:v>Ortak kontrol her ürün/tenant hedefi için Uygulama kaydında tekrar yürütülür; soru metni tekilleştirildi.</x:v>
      </x:c>
      <x:c r="F297" s="6" t="str">
        <x:v>Önceki setin ilgili soru satırı</x:v>
      </x:c>
    </x:row>
    <x:row r="298" ht="40" customHeight="1">
      <x:c r="A298" s="6" t="str">
        <x:v>A</x:v>
      </x:c>
      <x:c r="B298" s="6" t="str">
        <x:v>SPL-009</x:v>
      </x:c>
      <x:c r="C298" s="6" t="str">
        <x:v>SPL-009</x:v>
      </x:c>
      <x:c r="D298" s="6" t="str">
        <x:v>Korundu</x:v>
      </x:c>
      <x:c r="E298" s="6" t="str">
        <x:v>Ortak kontrol her ürün/tenant hedefi için Uygulama kaydında tekrar yürütülür; soru metni tekilleştirildi.</x:v>
      </x:c>
      <x:c r="F298" s="6" t="str">
        <x:v>Önceki setin ilgili soru satırı</x:v>
      </x:c>
    </x:row>
    <x:row r="299" ht="40" customHeight="1">
      <x:c r="A299" s="6" t="str">
        <x:v>A</x:v>
      </x:c>
      <x:c r="B299" s="6" t="str">
        <x:v>SPL-010</x:v>
      </x:c>
      <x:c r="C299" s="6" t="str">
        <x:v>SPL-010</x:v>
      </x:c>
      <x:c r="D299" s="6" t="str">
        <x:v>Korundu</x:v>
      </x:c>
      <x:c r="E299" s="6" t="str">
        <x:v>Ortak kontrol her ürün/tenant hedefi için Uygulama kaydında tekrar yürütülür; soru metni tekilleştirildi.</x:v>
      </x:c>
      <x:c r="F299" s="6" t="str">
        <x:v>Önceki setin ilgili soru satırı</x:v>
      </x:c>
    </x:row>
    <x:row r="300" ht="40" customHeight="1">
      <x:c r="A300" s="6" t="str">
        <x:v>A</x:v>
      </x:c>
      <x:c r="B300" s="6" t="str">
        <x:v>SPL-011</x:v>
      </x:c>
      <x:c r="C300" s="6" t="str">
        <x:v>SPL-011</x:v>
      </x:c>
      <x:c r="D300" s="6" t="str">
        <x:v>Korundu</x:v>
      </x:c>
      <x:c r="E300" s="6" t="str">
        <x:v>Ortak kontrol her ürün/tenant hedefi için Uygulama kaydında tekrar yürütülür; soru metni tekilleştirildi.</x:v>
      </x:c>
      <x:c r="F300" s="6" t="str">
        <x:v>Önceki setin ilgili soru satırı</x:v>
      </x:c>
    </x:row>
    <x:row r="301" ht="40" customHeight="1">
      <x:c r="A301" s="6" t="str">
        <x:v>A</x:v>
      </x:c>
      <x:c r="B301" s="6" t="str">
        <x:v>SPL-012</x:v>
      </x:c>
      <x:c r="C301" s="6" t="str">
        <x:v>SPL-012</x:v>
      </x:c>
      <x:c r="D301" s="6" t="str">
        <x:v>Korundu</x:v>
      </x:c>
      <x:c r="E301" s="6" t="str">
        <x:v>Ortak kontrol her ürün/tenant hedefi için Uygulama kaydında tekrar yürütülür; soru metni tekilleştirildi.</x:v>
      </x:c>
      <x:c r="F301" s="6" t="str">
        <x:v>Önceki setin ilgili soru satırı</x:v>
      </x:c>
    </x:row>
    <x:row r="302" ht="40" customHeight="1">
      <x:c r="A302" s="6" t="str">
        <x:v>A</x:v>
      </x:c>
      <x:c r="B302" s="6" t="str">
        <x:v>SPL-013</x:v>
      </x:c>
      <x:c r="C302" s="6" t="str">
        <x:v>SPL-013</x:v>
      </x:c>
      <x:c r="D302" s="6" t="str">
        <x:v>Korundu</x:v>
      </x:c>
      <x:c r="E302" s="6" t="str">
        <x:v>Ortak kontrol her ürün/tenant hedefi için Uygulama kaydında tekrar yürütülür; soru metni tekilleştirildi.</x:v>
      </x:c>
      <x:c r="F302" s="6" t="str">
        <x:v>Önceki setin ilgili soru satırı</x:v>
      </x:c>
    </x:row>
    <x:row r="303" ht="40" customHeight="1">
      <x:c r="A303" s="6" t="str">
        <x:v>A</x:v>
      </x:c>
      <x:c r="B303" s="6" t="str">
        <x:v>SPL-014</x:v>
      </x:c>
      <x:c r="C303" s="6" t="str">
        <x:v>SPL-014</x:v>
      </x:c>
      <x:c r="D303" s="6" t="str">
        <x:v>Korundu</x:v>
      </x:c>
      <x:c r="E303" s="6" t="str">
        <x:v>Ortak kontrol her ürün/tenant hedefi için Uygulama kaydında tekrar yürütülür; soru metni tekilleştirildi.</x:v>
      </x:c>
      <x:c r="F303" s="6" t="str">
        <x:v>Önceki setin ilgili soru satırı</x:v>
      </x:c>
    </x:row>
    <x:row r="304" ht="40" customHeight="1">
      <x:c r="A304" s="6" t="str">
        <x:v>A</x:v>
      </x:c>
      <x:c r="B304" s="6" t="str">
        <x:v>ESA-001</x:v>
      </x:c>
      <x:c r="C304" s="6" t="str">
        <x:v>GNL-02-01</x:v>
      </x:c>
      <x:c r="D304" s="6" t="str">
        <x:v>Birleştirildi</x:v>
      </x:c>
      <x:c r="E304" s="6" t="str">
        <x:v>Ortak kontrol her ürün/tenant hedefi için Uygulama kaydında tekrar yürütülür; soru metni tekilleştirildi.</x:v>
      </x:c>
      <x:c r="F304" s="6" t="str">
        <x:v>Önceki setin ilgili soru satırı</x:v>
      </x:c>
    </x:row>
    <x:row r="305" ht="40" customHeight="1">
      <x:c r="A305" s="6" t="str">
        <x:v>A</x:v>
      </x:c>
      <x:c r="B305" s="6" t="str">
        <x:v>ESA-002</x:v>
      </x:c>
      <x:c r="C305" s="6" t="str">
        <x:v>GNL-04-04</x:v>
      </x:c>
      <x:c r="D305" s="6" t="str">
        <x:v>Birleştirildi</x:v>
      </x:c>
      <x:c r="E305" s="6" t="str">
        <x:v>Ortak kontrol her ürün/tenant hedefi için Uygulama kaydında tekrar yürütülür; soru metni tekilleştirildi.</x:v>
      </x:c>
      <x:c r="F305" s="6" t="str">
        <x:v>Önceki setin ilgili soru satırı</x:v>
      </x:c>
    </x:row>
    <x:row r="306" ht="40" customHeight="1">
      <x:c r="A306" s="6" t="str">
        <x:v>A</x:v>
      </x:c>
      <x:c r="B306" s="6" t="str">
        <x:v>ESA-003</x:v>
      </x:c>
      <x:c r="C306" s="6" t="str">
        <x:v>GNL-05-01</x:v>
      </x:c>
      <x:c r="D306" s="6" t="str">
        <x:v>Birleştirildi</x:v>
      </x:c>
      <x:c r="E306" s="6" t="str">
        <x:v>Ortak kontrol her ürün/tenant hedefi için Uygulama kaydında tekrar yürütülür; soru metni tekilleştirildi.</x:v>
      </x:c>
      <x:c r="F306" s="6" t="str">
        <x:v>Önceki setin ilgili soru satırı</x:v>
      </x:c>
    </x:row>
    <x:row r="307" ht="40" customHeight="1">
      <x:c r="A307" s="6" t="str">
        <x:v>A</x:v>
      </x:c>
      <x:c r="B307" s="6" t="str">
        <x:v>ESA-004</x:v>
      </x:c>
      <x:c r="C307" s="6" t="str">
        <x:v>GNL-09-02</x:v>
      </x:c>
      <x:c r="D307" s="6" t="str">
        <x:v>Birleştirildi</x:v>
      </x:c>
      <x:c r="E307" s="6" t="str">
        <x:v>Ortak kontrol her ürün/tenant hedefi için Uygulama kaydında tekrar yürütülür; soru metni tekilleştirildi.</x:v>
      </x:c>
      <x:c r="F307" s="6" t="str">
        <x:v>Önceki setin ilgili soru satırı</x:v>
      </x:c>
    </x:row>
    <x:row r="308" ht="40" customHeight="1">
      <x:c r="A308" s="6" t="str">
        <x:v>A</x:v>
      </x:c>
      <x:c r="B308" s="6" t="str">
        <x:v>ESA-005</x:v>
      </x:c>
      <x:c r="C308" s="6" t="str">
        <x:v>GNL-08-01
GNL-08-02</x:v>
      </x:c>
      <x:c r="D308" s="6" t="str">
        <x:v>Birleştirildi</x:v>
      </x:c>
      <x:c r="E308" s="6" t="str">
        <x:v>Ortak kontrol her ürün/tenant hedefi için Uygulama kaydında tekrar yürütülür; soru metni tekilleştirildi.</x:v>
      </x:c>
      <x:c r="F308" s="6" t="str">
        <x:v>Önceki setin ilgili soru satırı</x:v>
      </x:c>
    </x:row>
    <x:row r="309" ht="40" customHeight="1">
      <x:c r="A309" s="6" t="str">
        <x:v>A</x:v>
      </x:c>
      <x:c r="B309" s="6" t="str">
        <x:v>ESA-006</x:v>
      </x:c>
      <x:c r="C309" s="6" t="str">
        <x:v>GNL-06-01
GNL-06-02</x:v>
      </x:c>
      <x:c r="D309" s="6" t="str">
        <x:v>Birleştirildi</x:v>
      </x:c>
      <x:c r="E309" s="6" t="str">
        <x:v>Ortak kontrol her ürün/tenant hedefi için Uygulama kaydında tekrar yürütülür; soru metni tekilleştirildi.</x:v>
      </x:c>
      <x:c r="F309" s="6" t="str">
        <x:v>Önceki setin ilgili soru satırı</x:v>
      </x:c>
    </x:row>
    <x:row r="310" ht="40" customHeight="1">
      <x:c r="A310" s="6" t="str">
        <x:v>A</x:v>
      </x:c>
      <x:c r="B310" s="6" t="str">
        <x:v>ESA-007</x:v>
      </x:c>
      <x:c r="C310" s="6" t="str">
        <x:v>ESA-007</x:v>
      </x:c>
      <x:c r="D310" s="6" t="str">
        <x:v>Korundu</x:v>
      </x:c>
      <x:c r="E310" s="6" t="str">
        <x:v>Ortak kontrol her ürün/tenant hedefi için Uygulama kaydında tekrar yürütülür; soru metni tekilleştirildi.</x:v>
      </x:c>
      <x:c r="F310" s="6" t="str">
        <x:v>Önceki setin ilgili soru satırı</x:v>
      </x:c>
    </x:row>
    <x:row r="311" ht="40" customHeight="1">
      <x:c r="A311" s="6" t="str">
        <x:v>A</x:v>
      </x:c>
      <x:c r="B311" s="6" t="str">
        <x:v>ESA-008</x:v>
      </x:c>
      <x:c r="C311" s="6" t="str">
        <x:v>ESA-008</x:v>
      </x:c>
      <x:c r="D311" s="6" t="str">
        <x:v>Korundu</x:v>
      </x:c>
      <x:c r="E311" s="6" t="str">
        <x:v>Ortak kontrol her ürün/tenant hedefi için Uygulama kaydında tekrar yürütülür; soru metni tekilleştirildi.</x:v>
      </x:c>
      <x:c r="F311" s="6" t="str">
        <x:v>Önceki setin ilgili soru satırı</x:v>
      </x:c>
    </x:row>
    <x:row r="312" ht="40" customHeight="1">
      <x:c r="A312" s="6" t="str">
        <x:v>A</x:v>
      </x:c>
      <x:c r="B312" s="6" t="str">
        <x:v>ESA-009</x:v>
      </x:c>
      <x:c r="C312" s="6" t="str">
        <x:v>ESA-009</x:v>
      </x:c>
      <x:c r="D312" s="6" t="str">
        <x:v>Korundu</x:v>
      </x:c>
      <x:c r="E312" s="6" t="str">
        <x:v>Ortak kontrol her ürün/tenant hedefi için Uygulama kaydında tekrar yürütülür; soru metni tekilleştirildi.</x:v>
      </x:c>
      <x:c r="F312" s="6" t="str">
        <x:v>Önceki setin ilgili soru satırı</x:v>
      </x:c>
    </x:row>
    <x:row r="313" ht="40" customHeight="1">
      <x:c r="A313" s="6" t="str">
        <x:v>A</x:v>
      </x:c>
      <x:c r="B313" s="6" t="str">
        <x:v>ESA-010</x:v>
      </x:c>
      <x:c r="C313" s="6" t="str">
        <x:v>ESA-010</x:v>
      </x:c>
      <x:c r="D313" s="6" t="str">
        <x:v>Korundu</x:v>
      </x:c>
      <x:c r="E313" s="6" t="str">
        <x:v>Ortak kontrol her ürün/tenant hedefi için Uygulama kaydında tekrar yürütülür; soru metni tekilleştirildi.</x:v>
      </x:c>
      <x:c r="F313" s="6" t="str">
        <x:v>Önceki setin ilgili soru satırı</x:v>
      </x:c>
    </x:row>
    <x:row r="314" ht="40" customHeight="1">
      <x:c r="A314" s="6" t="str">
        <x:v>A</x:v>
      </x:c>
      <x:c r="B314" s="6" t="str">
        <x:v>ESA-011</x:v>
      </x:c>
      <x:c r="C314" s="6" t="str">
        <x:v>ESA-011</x:v>
      </x:c>
      <x:c r="D314" s="6" t="str">
        <x:v>Korundu</x:v>
      </x:c>
      <x:c r="E314" s="6" t="str">
        <x:v>Ortak kontrol her ürün/tenant hedefi için Uygulama kaydında tekrar yürütülür; soru metni tekilleştirildi.</x:v>
      </x:c>
      <x:c r="F314" s="6" t="str">
        <x:v>Önceki setin ilgili soru satırı</x:v>
      </x:c>
    </x:row>
    <x:row r="315" ht="40" customHeight="1">
      <x:c r="A315" s="6" t="str">
        <x:v>A</x:v>
      </x:c>
      <x:c r="B315" s="6" t="str">
        <x:v>ESA-012</x:v>
      </x:c>
      <x:c r="C315" s="6" t="str">
        <x:v>ESA-012</x:v>
      </x:c>
      <x:c r="D315" s="6" t="str">
        <x:v>Korundu</x:v>
      </x:c>
      <x:c r="E315" s="6" t="str">
        <x:v>Ortak kontrol her ürün/tenant hedefi için Uygulama kaydında tekrar yürütülür; soru metni tekilleştirildi.</x:v>
      </x:c>
      <x:c r="F315" s="6" t="str">
        <x:v>Önceki setin ilgili soru satırı</x:v>
      </x:c>
    </x:row>
    <x:row r="316" ht="40" customHeight="1">
      <x:c r="A316" s="6" t="str">
        <x:v>A</x:v>
      </x:c>
      <x:c r="B316" s="6" t="str">
        <x:v>ESA-013</x:v>
      </x:c>
      <x:c r="C316" s="6" t="str">
        <x:v>ESA-013</x:v>
      </x:c>
      <x:c r="D316" s="6" t="str">
        <x:v>Korundu</x:v>
      </x:c>
      <x:c r="E316" s="6" t="str">
        <x:v>Ortak kontrol her ürün/tenant hedefi için Uygulama kaydında tekrar yürütülür; soru metni tekilleştirildi.</x:v>
      </x:c>
      <x:c r="F316" s="6" t="str">
        <x:v>Önceki setin ilgili soru satırı</x:v>
      </x:c>
    </x:row>
    <x:row r="317" ht="40" customHeight="1">
      <x:c r="A317" s="6" t="str">
        <x:v>A</x:v>
      </x:c>
      <x:c r="B317" s="6" t="str">
        <x:v>KNG-001</x:v>
      </x:c>
      <x:c r="C317" s="6" t="str">
        <x:v>GNL-02-01</x:v>
      </x:c>
      <x:c r="D317" s="6" t="str">
        <x:v>Birleştirildi</x:v>
      </x:c>
      <x:c r="E317" s="6" t="str">
        <x:v>Ortak kontrol her ürün/tenant hedefi için Uygulama kaydında tekrar yürütülür; soru metni tekilleştirildi.</x:v>
      </x:c>
      <x:c r="F317" s="6" t="str">
        <x:v>Önceki setin ilgili soru satırı</x:v>
      </x:c>
    </x:row>
    <x:row r="318" ht="40" customHeight="1">
      <x:c r="A318" s="6" t="str">
        <x:v>A</x:v>
      </x:c>
      <x:c r="B318" s="6" t="str">
        <x:v>KNG-002</x:v>
      </x:c>
      <x:c r="C318" s="6" t="str">
        <x:v>GNL-04-04</x:v>
      </x:c>
      <x:c r="D318" s="6" t="str">
        <x:v>Birleştirildi</x:v>
      </x:c>
      <x:c r="E318" s="6" t="str">
        <x:v>Ortak kontrol her ürün/tenant hedefi için Uygulama kaydında tekrar yürütülür; soru metni tekilleştirildi.</x:v>
      </x:c>
      <x:c r="F318" s="6" t="str">
        <x:v>Önceki setin ilgili soru satırı</x:v>
      </x:c>
    </x:row>
    <x:row r="319" ht="40" customHeight="1">
      <x:c r="A319" s="6" t="str">
        <x:v>A</x:v>
      </x:c>
      <x:c r="B319" s="6" t="str">
        <x:v>KNG-003</x:v>
      </x:c>
      <x:c r="C319" s="6" t="str">
        <x:v>GNL-05-01</x:v>
      </x:c>
      <x:c r="D319" s="6" t="str">
        <x:v>Birleştirildi</x:v>
      </x:c>
      <x:c r="E319" s="6" t="str">
        <x:v>Ortak kontrol her ürün/tenant hedefi için Uygulama kaydında tekrar yürütülür; soru metni tekilleştirildi.</x:v>
      </x:c>
      <x:c r="F319" s="6" t="str">
        <x:v>Önceki setin ilgili soru satırı</x:v>
      </x:c>
    </x:row>
    <x:row r="320" ht="40" customHeight="1">
      <x:c r="A320" s="6" t="str">
        <x:v>A</x:v>
      </x:c>
      <x:c r="B320" s="6" t="str">
        <x:v>KNG-004</x:v>
      </x:c>
      <x:c r="C320" s="6" t="str">
        <x:v>GNL-09-02</x:v>
      </x:c>
      <x:c r="D320" s="6" t="str">
        <x:v>Birleştirildi</x:v>
      </x:c>
      <x:c r="E320" s="6" t="str">
        <x:v>Ortak kontrol her ürün/tenant hedefi için Uygulama kaydında tekrar yürütülür; soru metni tekilleştirildi.</x:v>
      </x:c>
      <x:c r="F320" s="6" t="str">
        <x:v>Önceki setin ilgili soru satırı</x:v>
      </x:c>
    </x:row>
    <x:row r="321" ht="40" customHeight="1">
      <x:c r="A321" s="6" t="str">
        <x:v>A</x:v>
      </x:c>
      <x:c r="B321" s="6" t="str">
        <x:v>KNG-005</x:v>
      </x:c>
      <x:c r="C321" s="6" t="str">
        <x:v>GNL-08-01
GNL-08-02</x:v>
      </x:c>
      <x:c r="D321" s="6" t="str">
        <x:v>Birleştirildi</x:v>
      </x:c>
      <x:c r="E321" s="6" t="str">
        <x:v>Ortak kontrol her ürün/tenant hedefi için Uygulama kaydında tekrar yürütülür; soru metni tekilleştirildi.</x:v>
      </x:c>
      <x:c r="F321" s="6" t="str">
        <x:v>Önceki setin ilgili soru satırı</x:v>
      </x:c>
    </x:row>
    <x:row r="322" ht="40" customHeight="1">
      <x:c r="A322" s="6" t="str">
        <x:v>A</x:v>
      </x:c>
      <x:c r="B322" s="6" t="str">
        <x:v>KNG-006</x:v>
      </x:c>
      <x:c r="C322" s="6" t="str">
        <x:v>GNL-06-01
GNL-06-02</x:v>
      </x:c>
      <x:c r="D322" s="6" t="str">
        <x:v>Birleştirildi</x:v>
      </x:c>
      <x:c r="E322" s="6" t="str">
        <x:v>Ortak kontrol her ürün/tenant hedefi için Uygulama kaydında tekrar yürütülür; soru metni tekilleştirildi.</x:v>
      </x:c>
      <x:c r="F322" s="6" t="str">
        <x:v>Önceki setin ilgili soru satırı</x:v>
      </x:c>
    </x:row>
    <x:row r="323" ht="40" customHeight="1">
      <x:c r="A323" s="6" t="str">
        <x:v>A</x:v>
      </x:c>
      <x:c r="B323" s="6" t="str">
        <x:v>KNG-007</x:v>
      </x:c>
      <x:c r="C323" s="6" t="str">
        <x:v>KNG-007</x:v>
      </x:c>
      <x:c r="D323" s="6" t="str">
        <x:v>Korundu</x:v>
      </x:c>
      <x:c r="E323" s="6" t="str">
        <x:v>Ortak kontrol her ürün/tenant hedefi için Uygulama kaydında tekrar yürütülür; soru metni tekilleştirildi.</x:v>
      </x:c>
      <x:c r="F323" s="6" t="str">
        <x:v>Önceki setin ilgili soru satırı</x:v>
      </x:c>
    </x:row>
    <x:row r="324" ht="40" customHeight="1">
      <x:c r="A324" s="6" t="str">
        <x:v>A</x:v>
      </x:c>
      <x:c r="B324" s="6" t="str">
        <x:v>KNG-008</x:v>
      </x:c>
      <x:c r="C324" s="6" t="str">
        <x:v>KNG-008</x:v>
      </x:c>
      <x:c r="D324" s="6" t="str">
        <x:v>Korundu</x:v>
      </x:c>
      <x:c r="E324" s="6" t="str">
        <x:v>Ortak kontrol her ürün/tenant hedefi için Uygulama kaydında tekrar yürütülür; soru metni tekilleştirildi.</x:v>
      </x:c>
      <x:c r="F324" s="6" t="str">
        <x:v>Önceki setin ilgili soru satırı</x:v>
      </x:c>
    </x:row>
    <x:row r="325" ht="40" customHeight="1">
      <x:c r="A325" s="6" t="str">
        <x:v>A</x:v>
      </x:c>
      <x:c r="B325" s="6" t="str">
        <x:v>KNG-009</x:v>
      </x:c>
      <x:c r="C325" s="6" t="str">
        <x:v>KNG-009</x:v>
      </x:c>
      <x:c r="D325" s="6" t="str">
        <x:v>Korundu</x:v>
      </x:c>
      <x:c r="E325" s="6" t="str">
        <x:v>Ortak kontrol her ürün/tenant hedefi için Uygulama kaydında tekrar yürütülür; soru metni tekilleştirildi.</x:v>
      </x:c>
      <x:c r="F325" s="6" t="str">
        <x:v>Önceki setin ilgili soru satırı</x:v>
      </x:c>
    </x:row>
    <x:row r="326" ht="40" customHeight="1">
      <x:c r="A326" s="6" t="str">
        <x:v>A</x:v>
      </x:c>
      <x:c r="B326" s="6" t="str">
        <x:v>KNG-010</x:v>
      </x:c>
      <x:c r="C326" s="6" t="str">
        <x:v>KNG-010</x:v>
      </x:c>
      <x:c r="D326" s="6" t="str">
        <x:v>Korundu</x:v>
      </x:c>
      <x:c r="E326" s="6" t="str">
        <x:v>Ortak kontrol her ürün/tenant hedefi için Uygulama kaydında tekrar yürütülür; soru metni tekilleştirildi.</x:v>
      </x:c>
      <x:c r="F326" s="6" t="str">
        <x:v>Önceki setin ilgili soru satırı</x:v>
      </x:c>
    </x:row>
    <x:row r="327" ht="40" customHeight="1">
      <x:c r="A327" s="6" t="str">
        <x:v>A</x:v>
      </x:c>
      <x:c r="B327" s="6" t="str">
        <x:v>KNG-011</x:v>
      </x:c>
      <x:c r="C327" s="6" t="str">
        <x:v>KNG-011</x:v>
      </x:c>
      <x:c r="D327" s="6" t="str">
        <x:v>Korundu</x:v>
      </x:c>
      <x:c r="E327" s="6" t="str">
        <x:v>Ortak kontrol her ürün/tenant hedefi için Uygulama kaydında tekrar yürütülür; soru metni tekilleştirildi.</x:v>
      </x:c>
      <x:c r="F327" s="6" t="str">
        <x:v>Önceki setin ilgili soru satırı</x:v>
      </x:c>
    </x:row>
    <x:row r="328" ht="40" customHeight="1">
      <x:c r="A328" s="6" t="str">
        <x:v>A</x:v>
      </x:c>
      <x:c r="B328" s="6" t="str">
        <x:v>KNG-012</x:v>
      </x:c>
      <x:c r="C328" s="6" t="str">
        <x:v>KNG-012</x:v>
      </x:c>
      <x:c r="D328" s="6" t="str">
        <x:v>Korundu</x:v>
      </x:c>
      <x:c r="E328" s="6" t="str">
        <x:v>Ortak kontrol her ürün/tenant hedefi için Uygulama kaydında tekrar yürütülür; soru metni tekilleştirildi.</x:v>
      </x:c>
      <x:c r="F328" s="6" t="str">
        <x:v>Önceki setin ilgili soru satırı</x:v>
      </x:c>
    </x:row>
    <x:row r="329" ht="40" customHeight="1">
      <x:c r="A329" s="6" t="str">
        <x:v>A</x:v>
      </x:c>
      <x:c r="B329" s="6" t="str">
        <x:v>KNG-013</x:v>
      </x:c>
      <x:c r="C329" s="6" t="str">
        <x:v>KNG-013</x:v>
      </x:c>
      <x:c r="D329" s="6" t="str">
        <x:v>Korundu</x:v>
      </x:c>
      <x:c r="E329" s="6" t="str">
        <x:v>Ortak kontrol her ürün/tenant hedefi için Uygulama kaydında tekrar yürütülür; soru metni tekilleştirildi.</x:v>
      </x:c>
      <x:c r="F329" s="6" t="str">
        <x:v>Önceki setin ilgili soru satırı</x:v>
      </x:c>
    </x:row>
    <x:row r="330" ht="40" customHeight="1">
      <x:c r="A330" s="6" t="str">
        <x:v>A</x:v>
      </x:c>
      <x:c r="B330" s="6" t="str">
        <x:v>KNG-014</x:v>
      </x:c>
      <x:c r="C330" s="6" t="str">
        <x:v>KNG-014</x:v>
      </x:c>
      <x:c r="D330" s="6" t="str">
        <x:v>Korundu</x:v>
      </x:c>
      <x:c r="E330" s="6" t="str">
        <x:v>Ortak kontrol her ürün/tenant hedefi için Uygulama kaydında tekrar yürütülür; soru metni tekilleştirildi.</x:v>
      </x:c>
      <x:c r="F330" s="6" t="str">
        <x:v>Önceki setin ilgili soru satırı</x:v>
      </x:c>
    </x:row>
    <x:row r="331" ht="40" customHeight="1">
      <x:c r="A331" s="6" t="str">
        <x:v>A</x:v>
      </x:c>
      <x:c r="B331" s="6" t="str">
        <x:v>PAM-001</x:v>
      </x:c>
      <x:c r="C331" s="6" t="str">
        <x:v>GNL-02-01</x:v>
      </x:c>
      <x:c r="D331" s="6" t="str">
        <x:v>Birleştirildi</x:v>
      </x:c>
      <x:c r="E331" s="6" t="str">
        <x:v>Ortak kontrol her ürün/tenant hedefi için Uygulama kaydında tekrar yürütülür; soru metni tekilleştirildi.</x:v>
      </x:c>
      <x:c r="F331" s="6" t="str">
        <x:v>Önceki setin ilgili soru satırı</x:v>
      </x:c>
    </x:row>
    <x:row r="332" ht="40" customHeight="1">
      <x:c r="A332" s="6" t="str">
        <x:v>A</x:v>
      </x:c>
      <x:c r="B332" s="6" t="str">
        <x:v>PAM-002</x:v>
      </x:c>
      <x:c r="C332" s="6" t="str">
        <x:v>GNL-04-04</x:v>
      </x:c>
      <x:c r="D332" s="6" t="str">
        <x:v>Birleştirildi</x:v>
      </x:c>
      <x:c r="E332" s="6" t="str">
        <x:v>Ortak kontrol her ürün/tenant hedefi için Uygulama kaydında tekrar yürütülür; soru metni tekilleştirildi.</x:v>
      </x:c>
      <x:c r="F332" s="6" t="str">
        <x:v>Önceki setin ilgili soru satırı</x:v>
      </x:c>
    </x:row>
    <x:row r="333" ht="40" customHeight="1">
      <x:c r="A333" s="6" t="str">
        <x:v>A</x:v>
      </x:c>
      <x:c r="B333" s="6" t="str">
        <x:v>PAM-003</x:v>
      </x:c>
      <x:c r="C333" s="6" t="str">
        <x:v>GNL-05-01</x:v>
      </x:c>
      <x:c r="D333" s="6" t="str">
        <x:v>Birleştirildi</x:v>
      </x:c>
      <x:c r="E333" s="6" t="str">
        <x:v>Ortak kontrol her ürün/tenant hedefi için Uygulama kaydında tekrar yürütülür; soru metni tekilleştirildi.</x:v>
      </x:c>
      <x:c r="F333" s="6" t="str">
        <x:v>Önceki setin ilgili soru satırı</x:v>
      </x:c>
    </x:row>
    <x:row r="334" ht="40" customHeight="1">
      <x:c r="A334" s="6" t="str">
        <x:v>A</x:v>
      </x:c>
      <x:c r="B334" s="6" t="str">
        <x:v>PAM-004</x:v>
      </x:c>
      <x:c r="C334" s="6" t="str">
        <x:v>GNL-09-02</x:v>
      </x:c>
      <x:c r="D334" s="6" t="str">
        <x:v>Birleştirildi</x:v>
      </x:c>
      <x:c r="E334" s="6" t="str">
        <x:v>Ortak kontrol her ürün/tenant hedefi için Uygulama kaydında tekrar yürütülür; soru metni tekilleştirildi.</x:v>
      </x:c>
      <x:c r="F334" s="6" t="str">
        <x:v>Önceki setin ilgili soru satırı</x:v>
      </x:c>
    </x:row>
    <x:row r="335" ht="40" customHeight="1">
      <x:c r="A335" s="6" t="str">
        <x:v>A</x:v>
      </x:c>
      <x:c r="B335" s="6" t="str">
        <x:v>PAM-005</x:v>
      </x:c>
      <x:c r="C335" s="6" t="str">
        <x:v>GNL-08-01
GNL-08-02</x:v>
      </x:c>
      <x:c r="D335" s="6" t="str">
        <x:v>Birleştirildi</x:v>
      </x:c>
      <x:c r="E335" s="6" t="str">
        <x:v>Ortak kontrol her ürün/tenant hedefi için Uygulama kaydında tekrar yürütülür; soru metni tekilleştirildi.</x:v>
      </x:c>
      <x:c r="F335" s="6" t="str">
        <x:v>Önceki setin ilgili soru satırı</x:v>
      </x:c>
    </x:row>
    <x:row r="336" ht="40" customHeight="1">
      <x:c r="A336" s="6" t="str">
        <x:v>A</x:v>
      </x:c>
      <x:c r="B336" s="6" t="str">
        <x:v>PAM-006</x:v>
      </x:c>
      <x:c r="C336" s="6" t="str">
        <x:v>GNL-06-01
GNL-06-02</x:v>
      </x:c>
      <x:c r="D336" s="6" t="str">
        <x:v>Birleştirildi</x:v>
      </x:c>
      <x:c r="E336" s="6" t="str">
        <x:v>Ortak kontrol her ürün/tenant hedefi için Uygulama kaydında tekrar yürütülür; soru metni tekilleştirildi.</x:v>
      </x:c>
      <x:c r="F336" s="6" t="str">
        <x:v>Önceki setin ilgili soru satırı</x:v>
      </x:c>
    </x:row>
    <x:row r="337" ht="40" customHeight="1">
      <x:c r="A337" s="6" t="str">
        <x:v>A</x:v>
      </x:c>
      <x:c r="B337" s="6" t="str">
        <x:v>PAM-007</x:v>
      </x:c>
      <x:c r="C337" s="6" t="str">
        <x:v>PAM-007</x:v>
      </x:c>
      <x:c r="D337" s="6" t="str">
        <x:v>Korundu</x:v>
      </x:c>
      <x:c r="E337" s="6" t="str">
        <x:v>Ortak kontrol her ürün/tenant hedefi için Uygulama kaydında tekrar yürütülür; soru metni tekilleştirildi.</x:v>
      </x:c>
      <x:c r="F337" s="6" t="str">
        <x:v>Önceki setin ilgili soru satırı</x:v>
      </x:c>
    </x:row>
    <x:row r="338" ht="40" customHeight="1">
      <x:c r="A338" s="6" t="str">
        <x:v>A</x:v>
      </x:c>
      <x:c r="B338" s="6" t="str">
        <x:v>PAM-008</x:v>
      </x:c>
      <x:c r="C338" s="6" t="str">
        <x:v>PAM-008</x:v>
      </x:c>
      <x:c r="D338" s="6" t="str">
        <x:v>Korundu</x:v>
      </x:c>
      <x:c r="E338" s="6" t="str">
        <x:v>Ortak kontrol her ürün/tenant hedefi için Uygulama kaydında tekrar yürütülür; soru metni tekilleştirildi.</x:v>
      </x:c>
      <x:c r="F338" s="6" t="str">
        <x:v>Önceki setin ilgili soru satırı</x:v>
      </x:c>
    </x:row>
    <x:row r="339" ht="40" customHeight="1">
      <x:c r="A339" s="6" t="str">
        <x:v>A</x:v>
      </x:c>
      <x:c r="B339" s="6" t="str">
        <x:v>PAM-009</x:v>
      </x:c>
      <x:c r="C339" s="6" t="str">
        <x:v>PAM-009</x:v>
      </x:c>
      <x:c r="D339" s="6" t="str">
        <x:v>Korundu</x:v>
      </x:c>
      <x:c r="E339" s="6" t="str">
        <x:v>Ortak kontrol her ürün/tenant hedefi için Uygulama kaydında tekrar yürütülür; soru metni tekilleştirildi.</x:v>
      </x:c>
      <x:c r="F339" s="6" t="str">
        <x:v>Önceki setin ilgili soru satırı</x:v>
      </x:c>
    </x:row>
    <x:row r="340" ht="40" customHeight="1">
      <x:c r="A340" s="6" t="str">
        <x:v>A</x:v>
      </x:c>
      <x:c r="B340" s="6" t="str">
        <x:v>PAM-010</x:v>
      </x:c>
      <x:c r="C340" s="6" t="str">
        <x:v>PAM-010</x:v>
      </x:c>
      <x:c r="D340" s="6" t="str">
        <x:v>Korundu</x:v>
      </x:c>
      <x:c r="E340" s="6" t="str">
        <x:v>Ortak kontrol her ürün/tenant hedefi için Uygulama kaydında tekrar yürütülür; soru metni tekilleştirildi.</x:v>
      </x:c>
      <x:c r="F340" s="6" t="str">
        <x:v>Önceki setin ilgili soru satırı</x:v>
      </x:c>
    </x:row>
    <x:row r="341" ht="40" customHeight="1">
      <x:c r="A341" s="6" t="str">
        <x:v>A</x:v>
      </x:c>
      <x:c r="B341" s="6" t="str">
        <x:v>PAM-011</x:v>
      </x:c>
      <x:c r="C341" s="6" t="str">
        <x:v>PAM-011</x:v>
      </x:c>
      <x:c r="D341" s="6" t="str">
        <x:v>Korundu</x:v>
      </x:c>
      <x:c r="E341" s="6" t="str">
        <x:v>Ortak kontrol her ürün/tenant hedefi için Uygulama kaydında tekrar yürütülür; soru metni tekilleştirildi.</x:v>
      </x:c>
      <x:c r="F341" s="6" t="str">
        <x:v>Önceki setin ilgili soru satırı</x:v>
      </x:c>
    </x:row>
    <x:row r="342" ht="40" customHeight="1">
      <x:c r="A342" s="6" t="str">
        <x:v>A</x:v>
      </x:c>
      <x:c r="B342" s="6" t="str">
        <x:v>PAM-012</x:v>
      </x:c>
      <x:c r="C342" s="6" t="str">
        <x:v>PAM-012</x:v>
      </x:c>
      <x:c r="D342" s="6" t="str">
        <x:v>Korundu</x:v>
      </x:c>
      <x:c r="E342" s="6" t="str">
        <x:v>Ortak kontrol her ürün/tenant hedefi için Uygulama kaydında tekrar yürütülür; soru metni tekilleştirildi.</x:v>
      </x:c>
      <x:c r="F342" s="6" t="str">
        <x:v>Önceki setin ilgili soru satırı</x:v>
      </x:c>
    </x:row>
    <x:row r="343" ht="40" customHeight="1">
      <x:c r="A343" s="6" t="str">
        <x:v>A</x:v>
      </x:c>
      <x:c r="B343" s="6" t="str">
        <x:v>PAM-013</x:v>
      </x:c>
      <x:c r="C343" s="6" t="str">
        <x:v>PAM-013</x:v>
      </x:c>
      <x:c r="D343" s="6" t="str">
        <x:v>Korundu</x:v>
      </x:c>
      <x:c r="E343" s="6" t="str">
        <x:v>Ortak kontrol her ürün/tenant hedefi için Uygulama kaydında tekrar yürütülür; soru metni tekilleştirildi.</x:v>
      </x:c>
      <x:c r="F343" s="6" t="str">
        <x:v>Önceki setin ilgili soru satırı</x:v>
      </x:c>
    </x:row>
    <x:row r="344" ht="40" customHeight="1">
      <x:c r="A344" s="6" t="str">
        <x:v>A</x:v>
      </x:c>
      <x:c r="B344" s="6" t="str">
        <x:v>PAM-014</x:v>
      </x:c>
      <x:c r="C344" s="6" t="str">
        <x:v>PAM-014</x:v>
      </x:c>
      <x:c r="D344" s="6" t="str">
        <x:v>Korundu</x:v>
      </x:c>
      <x:c r="E344" s="6" t="str">
        <x:v>Ortak kontrol her ürün/tenant hedefi için Uygulama kaydında tekrar yürütülür; soru metni tekilleştirildi.</x:v>
      </x:c>
      <x:c r="F344" s="6" t="str">
        <x:v>Önceki setin ilgili soru satırı</x:v>
      </x:c>
    </x:row>
    <x:row r="345" ht="40" customHeight="1">
      <x:c r="A345" s="6" t="str">
        <x:v>A</x:v>
      </x:c>
      <x:c r="B345" s="6" t="str">
        <x:v>DLP-001</x:v>
      </x:c>
      <x:c r="C345" s="6" t="str">
        <x:v>GNL-02-01</x:v>
      </x:c>
      <x:c r="D345" s="6" t="str">
        <x:v>Birleştirildi</x:v>
      </x:c>
      <x:c r="E345" s="6" t="str">
        <x:v>Ortak kontrol her ürün/tenant hedefi için Uygulama kaydında tekrar yürütülür; soru metni tekilleştirildi.</x:v>
      </x:c>
      <x:c r="F345" s="6" t="str">
        <x:v>Önceki setin ilgili soru satırı</x:v>
      </x:c>
    </x:row>
    <x:row r="346" ht="40" customHeight="1">
      <x:c r="A346" s="6" t="str">
        <x:v>A</x:v>
      </x:c>
      <x:c r="B346" s="6" t="str">
        <x:v>DLP-002</x:v>
      </x:c>
      <x:c r="C346" s="6" t="str">
        <x:v>GNL-04-04</x:v>
      </x:c>
      <x:c r="D346" s="6" t="str">
        <x:v>Birleştirildi</x:v>
      </x:c>
      <x:c r="E346" s="6" t="str">
        <x:v>Ortak kontrol her ürün/tenant hedefi için Uygulama kaydında tekrar yürütülür; soru metni tekilleştirildi.</x:v>
      </x:c>
      <x:c r="F346" s="6" t="str">
        <x:v>Önceki setin ilgili soru satırı</x:v>
      </x:c>
    </x:row>
    <x:row r="347" ht="40" customHeight="1">
      <x:c r="A347" s="6" t="str">
        <x:v>A</x:v>
      </x:c>
      <x:c r="B347" s="6" t="str">
        <x:v>DLP-003</x:v>
      </x:c>
      <x:c r="C347" s="6" t="str">
        <x:v>GNL-05-01</x:v>
      </x:c>
      <x:c r="D347" s="6" t="str">
        <x:v>Birleştirildi</x:v>
      </x:c>
      <x:c r="E347" s="6" t="str">
        <x:v>Ortak kontrol her ürün/tenant hedefi için Uygulama kaydında tekrar yürütülür; soru metni tekilleştirildi.</x:v>
      </x:c>
      <x:c r="F347" s="6" t="str">
        <x:v>Önceki setin ilgili soru satırı</x:v>
      </x:c>
    </x:row>
    <x:row r="348" ht="40" customHeight="1">
      <x:c r="A348" s="6" t="str">
        <x:v>A</x:v>
      </x:c>
      <x:c r="B348" s="6" t="str">
        <x:v>DLP-004</x:v>
      </x:c>
      <x:c r="C348" s="6" t="str">
        <x:v>GNL-09-02</x:v>
      </x:c>
      <x:c r="D348" s="6" t="str">
        <x:v>Birleştirildi</x:v>
      </x:c>
      <x:c r="E348" s="6" t="str">
        <x:v>Ortak kontrol her ürün/tenant hedefi için Uygulama kaydında tekrar yürütülür; soru metni tekilleştirildi.</x:v>
      </x:c>
      <x:c r="F348" s="6" t="str">
        <x:v>Önceki setin ilgili soru satırı</x:v>
      </x:c>
    </x:row>
    <x:row r="349" ht="40" customHeight="1">
      <x:c r="A349" s="6" t="str">
        <x:v>A</x:v>
      </x:c>
      <x:c r="B349" s="6" t="str">
        <x:v>DLP-005</x:v>
      </x:c>
      <x:c r="C349" s="6" t="str">
        <x:v>GNL-08-01
GNL-08-02</x:v>
      </x:c>
      <x:c r="D349" s="6" t="str">
        <x:v>Birleştirildi</x:v>
      </x:c>
      <x:c r="E349" s="6" t="str">
        <x:v>Ortak kontrol her ürün/tenant hedefi için Uygulama kaydında tekrar yürütülür; soru metni tekilleştirildi.</x:v>
      </x:c>
      <x:c r="F349" s="6" t="str">
        <x:v>Önceki setin ilgili soru satırı</x:v>
      </x:c>
    </x:row>
    <x:row r="350" ht="40" customHeight="1">
      <x:c r="A350" s="6" t="str">
        <x:v>A</x:v>
      </x:c>
      <x:c r="B350" s="6" t="str">
        <x:v>DLP-006</x:v>
      </x:c>
      <x:c r="C350" s="6" t="str">
        <x:v>GNL-06-01
GNL-06-02</x:v>
      </x:c>
      <x:c r="D350" s="6" t="str">
        <x:v>Birleştirildi</x:v>
      </x:c>
      <x:c r="E350" s="6" t="str">
        <x:v>Ortak kontrol her ürün/tenant hedefi için Uygulama kaydında tekrar yürütülür; soru metni tekilleştirildi.</x:v>
      </x:c>
      <x:c r="F350" s="6" t="str">
        <x:v>Önceki setin ilgili soru satırı</x:v>
      </x:c>
    </x:row>
    <x:row r="351" ht="40" customHeight="1">
      <x:c r="A351" s="6" t="str">
        <x:v>A</x:v>
      </x:c>
      <x:c r="B351" s="6" t="str">
        <x:v>DLP-007</x:v>
      </x:c>
      <x:c r="C351" s="6" t="str">
        <x:v>DLP-007</x:v>
      </x:c>
      <x:c r="D351" s="6" t="str">
        <x:v>Korundu</x:v>
      </x:c>
      <x:c r="E351" s="6" t="str">
        <x:v>Ortak kontrol her ürün/tenant hedefi için Uygulama kaydında tekrar yürütülür; soru metni tekilleştirildi.</x:v>
      </x:c>
      <x:c r="F351" s="6" t="str">
        <x:v>Önceki setin ilgili soru satırı</x:v>
      </x:c>
    </x:row>
    <x:row r="352" ht="40" customHeight="1">
      <x:c r="A352" s="6" t="str">
        <x:v>A</x:v>
      </x:c>
      <x:c r="B352" s="6" t="str">
        <x:v>DLP-008</x:v>
      </x:c>
      <x:c r="C352" s="6" t="str">
        <x:v>DLP-008</x:v>
      </x:c>
      <x:c r="D352" s="6" t="str">
        <x:v>Korundu</x:v>
      </x:c>
      <x:c r="E352" s="6" t="str">
        <x:v>Ortak kontrol her ürün/tenant hedefi için Uygulama kaydında tekrar yürütülür; soru metni tekilleştirildi.</x:v>
      </x:c>
      <x:c r="F352" s="6" t="str">
        <x:v>Önceki setin ilgili soru satırı</x:v>
      </x:c>
    </x:row>
    <x:row r="353" ht="40" customHeight="1">
      <x:c r="A353" s="6" t="str">
        <x:v>A</x:v>
      </x:c>
      <x:c r="B353" s="6" t="str">
        <x:v>DLP-009</x:v>
      </x:c>
      <x:c r="C353" s="6" t="str">
        <x:v>DLP-009</x:v>
      </x:c>
      <x:c r="D353" s="6" t="str">
        <x:v>Korundu</x:v>
      </x:c>
      <x:c r="E353" s="6" t="str">
        <x:v>Ortak kontrol her ürün/tenant hedefi için Uygulama kaydında tekrar yürütülür; soru metni tekilleştirildi.</x:v>
      </x:c>
      <x:c r="F353" s="6" t="str">
        <x:v>Önceki setin ilgili soru satırı</x:v>
      </x:c>
    </x:row>
    <x:row r="354" ht="40" customHeight="1">
      <x:c r="A354" s="6" t="str">
        <x:v>A</x:v>
      </x:c>
      <x:c r="B354" s="6" t="str">
        <x:v>DLP-010</x:v>
      </x:c>
      <x:c r="C354" s="6" t="str">
        <x:v>DLP-010</x:v>
      </x:c>
      <x:c r="D354" s="6" t="str">
        <x:v>Korundu</x:v>
      </x:c>
      <x:c r="E354" s="6" t="str">
        <x:v>Ortak kontrol her ürün/tenant hedefi için Uygulama kaydında tekrar yürütülür; soru metni tekilleştirildi.</x:v>
      </x:c>
      <x:c r="F354" s="6" t="str">
        <x:v>Önceki setin ilgili soru satırı</x:v>
      </x:c>
    </x:row>
    <x:row r="355" ht="40" customHeight="1">
      <x:c r="A355" s="6" t="str">
        <x:v>A</x:v>
      </x:c>
      <x:c r="B355" s="6" t="str">
        <x:v>DLP-011</x:v>
      </x:c>
      <x:c r="C355" s="6" t="str">
        <x:v>DLP-011</x:v>
      </x:c>
      <x:c r="D355" s="6" t="str">
        <x:v>Korundu</x:v>
      </x:c>
      <x:c r="E355" s="6" t="str">
        <x:v>Ortak kontrol her ürün/tenant hedefi için Uygulama kaydında tekrar yürütülür; soru metni tekilleştirildi.</x:v>
      </x:c>
      <x:c r="F355" s="6" t="str">
        <x:v>Önceki setin ilgili soru satırı</x:v>
      </x:c>
    </x:row>
    <x:row r="356" ht="40" customHeight="1">
      <x:c r="A356" s="6" t="str">
        <x:v>A</x:v>
      </x:c>
      <x:c r="B356" s="6" t="str">
        <x:v>DLP-012</x:v>
      </x:c>
      <x:c r="C356" s="6" t="str">
        <x:v>DLP-012</x:v>
      </x:c>
      <x:c r="D356" s="6" t="str">
        <x:v>Korundu</x:v>
      </x:c>
      <x:c r="E356" s="6" t="str">
        <x:v>Ortak kontrol her ürün/tenant hedefi için Uygulama kaydında tekrar yürütülür; soru metni tekilleştirildi.</x:v>
      </x:c>
      <x:c r="F356" s="6" t="str">
        <x:v>Önceki setin ilgili soru satırı</x:v>
      </x:c>
    </x:row>
    <x:row r="357" ht="40" customHeight="1">
      <x:c r="A357" s="6" t="str">
        <x:v>A</x:v>
      </x:c>
      <x:c r="B357" s="6" t="str">
        <x:v>DLP-013</x:v>
      </x:c>
      <x:c r="C357" s="6" t="str">
        <x:v>DLP-013</x:v>
      </x:c>
      <x:c r="D357" s="6" t="str">
        <x:v>Korundu</x:v>
      </x:c>
      <x:c r="E357" s="6" t="str">
        <x:v>Ortak kontrol her ürün/tenant hedefi için Uygulama kaydında tekrar yürütülür; soru metni tekilleştirildi.</x:v>
      </x:c>
      <x:c r="F357" s="6" t="str">
        <x:v>Önceki setin ilgili soru satırı</x:v>
      </x:c>
    </x:row>
    <x:row r="358" ht="40" customHeight="1">
      <x:c r="A358" s="6" t="str">
        <x:v>A</x:v>
      </x:c>
      <x:c r="B358" s="6" t="str">
        <x:v>DLP-014</x:v>
      </x:c>
      <x:c r="C358" s="6" t="str">
        <x:v>DLP-014</x:v>
      </x:c>
      <x:c r="D358" s="6" t="str">
        <x:v>Korundu</x:v>
      </x:c>
      <x:c r="E358" s="6" t="str">
        <x:v>Ortak kontrol her ürün/tenant hedefi için Uygulama kaydında tekrar yürütülür; soru metni tekilleştirildi.</x:v>
      </x:c>
      <x:c r="F358" s="6" t="str">
        <x:v>Önceki setin ilgili soru satırı</x:v>
      </x:c>
    </x:row>
    <x:row r="359" ht="40" customHeight="1">
      <x:c r="A359" s="6" t="str">
        <x:v>A</x:v>
      </x:c>
      <x:c r="B359" s="6" t="str">
        <x:v>ZBX-001</x:v>
      </x:c>
      <x:c r="C359" s="6" t="str">
        <x:v>GNL-02-01</x:v>
      </x:c>
      <x:c r="D359" s="6" t="str">
        <x:v>Birleştirildi</x:v>
      </x:c>
      <x:c r="E359" s="6" t="str">
        <x:v>Ortak kontrol her ürün/tenant hedefi için Uygulama kaydında tekrar yürütülür; soru metni tekilleştirildi.</x:v>
      </x:c>
      <x:c r="F359" s="6" t="str">
        <x:v>Önceki setin ilgili soru satırı</x:v>
      </x:c>
    </x:row>
    <x:row r="360" ht="40" customHeight="1">
      <x:c r="A360" s="6" t="str">
        <x:v>A</x:v>
      </x:c>
      <x:c r="B360" s="6" t="str">
        <x:v>ZBX-002</x:v>
      </x:c>
      <x:c r="C360" s="6" t="str">
        <x:v>GNL-04-04</x:v>
      </x:c>
      <x:c r="D360" s="6" t="str">
        <x:v>Birleştirildi</x:v>
      </x:c>
      <x:c r="E360" s="6" t="str">
        <x:v>Ortak kontrol her ürün/tenant hedefi için Uygulama kaydında tekrar yürütülür; soru metni tekilleştirildi.</x:v>
      </x:c>
      <x:c r="F360" s="6" t="str">
        <x:v>Önceki setin ilgili soru satırı</x:v>
      </x:c>
    </x:row>
    <x:row r="361" ht="40" customHeight="1">
      <x:c r="A361" s="6" t="str">
        <x:v>A</x:v>
      </x:c>
      <x:c r="B361" s="6" t="str">
        <x:v>ZBX-003</x:v>
      </x:c>
      <x:c r="C361" s="6" t="str">
        <x:v>GNL-05-01</x:v>
      </x:c>
      <x:c r="D361" s="6" t="str">
        <x:v>Birleştirildi</x:v>
      </x:c>
      <x:c r="E361" s="6" t="str">
        <x:v>Ortak kontrol her ürün/tenant hedefi için Uygulama kaydında tekrar yürütülür; soru metni tekilleştirildi.</x:v>
      </x:c>
      <x:c r="F361" s="6" t="str">
        <x:v>Önceki setin ilgili soru satırı</x:v>
      </x:c>
    </x:row>
    <x:row r="362" ht="40" customHeight="1">
      <x:c r="A362" s="6" t="str">
        <x:v>A</x:v>
      </x:c>
      <x:c r="B362" s="6" t="str">
        <x:v>ZBX-004</x:v>
      </x:c>
      <x:c r="C362" s="6" t="str">
        <x:v>GNL-09-02</x:v>
      </x:c>
      <x:c r="D362" s="6" t="str">
        <x:v>Birleştirildi</x:v>
      </x:c>
      <x:c r="E362" s="6" t="str">
        <x:v>Ortak kontrol her ürün/tenant hedefi için Uygulama kaydında tekrar yürütülür; soru metni tekilleştirildi.</x:v>
      </x:c>
      <x:c r="F362" s="6" t="str">
        <x:v>Önceki setin ilgili soru satırı</x:v>
      </x:c>
    </x:row>
    <x:row r="363" ht="40" customHeight="1">
      <x:c r="A363" s="6" t="str">
        <x:v>A</x:v>
      </x:c>
      <x:c r="B363" s="6" t="str">
        <x:v>ZBX-005</x:v>
      </x:c>
      <x:c r="C363" s="6" t="str">
        <x:v>GNL-08-01
GNL-08-02</x:v>
      </x:c>
      <x:c r="D363" s="6" t="str">
        <x:v>Birleştirildi</x:v>
      </x:c>
      <x:c r="E363" s="6" t="str">
        <x:v>Ortak kontrol her ürün/tenant hedefi için Uygulama kaydında tekrar yürütülür; soru metni tekilleştirildi.</x:v>
      </x:c>
      <x:c r="F363" s="6" t="str">
        <x:v>Önceki setin ilgili soru satırı</x:v>
      </x:c>
    </x:row>
    <x:row r="364" ht="40" customHeight="1">
      <x:c r="A364" s="6" t="str">
        <x:v>A</x:v>
      </x:c>
      <x:c r="B364" s="6" t="str">
        <x:v>ZBX-006</x:v>
      </x:c>
      <x:c r="C364" s="6" t="str">
        <x:v>GNL-06-01
GNL-06-02</x:v>
      </x:c>
      <x:c r="D364" s="6" t="str">
        <x:v>Birleştirildi</x:v>
      </x:c>
      <x:c r="E364" s="6" t="str">
        <x:v>Ortak kontrol her ürün/tenant hedefi için Uygulama kaydında tekrar yürütülür; soru metni tekilleştirildi.</x:v>
      </x:c>
      <x:c r="F364" s="6" t="str">
        <x:v>Önceki setin ilgili soru satırı</x:v>
      </x:c>
    </x:row>
    <x:row r="365" ht="40" customHeight="1">
      <x:c r="A365" s="6" t="str">
        <x:v>A</x:v>
      </x:c>
      <x:c r="B365" s="6" t="str">
        <x:v>ZBX-007</x:v>
      </x:c>
      <x:c r="C365" s="6" t="str">
        <x:v>ZBX-007</x:v>
      </x:c>
      <x:c r="D365" s="6" t="str">
        <x:v>Korundu</x:v>
      </x:c>
      <x:c r="E365" s="6" t="str">
        <x:v>Ortak kontrol her ürün/tenant hedefi için Uygulama kaydında tekrar yürütülür; soru metni tekilleştirildi.</x:v>
      </x:c>
      <x:c r="F365" s="6" t="str">
        <x:v>Önceki setin ilgili soru satırı</x:v>
      </x:c>
    </x:row>
    <x:row r="366" ht="40" customHeight="1">
      <x:c r="A366" s="6" t="str">
        <x:v>A</x:v>
      </x:c>
      <x:c r="B366" s="6" t="str">
        <x:v>ZBX-008</x:v>
      </x:c>
      <x:c r="C366" s="6" t="str">
        <x:v>ZBX-008</x:v>
      </x:c>
      <x:c r="D366" s="6" t="str">
        <x:v>Korundu</x:v>
      </x:c>
      <x:c r="E366" s="6" t="str">
        <x:v>Ortak kontrol her ürün/tenant hedefi için Uygulama kaydında tekrar yürütülür; soru metni tekilleştirildi.</x:v>
      </x:c>
      <x:c r="F366" s="6" t="str">
        <x:v>Önceki setin ilgili soru satırı</x:v>
      </x:c>
    </x:row>
    <x:row r="367" ht="40" customHeight="1">
      <x:c r="A367" s="6" t="str">
        <x:v>A</x:v>
      </x:c>
      <x:c r="B367" s="6" t="str">
        <x:v>ZBX-009</x:v>
      </x:c>
      <x:c r="C367" s="6" t="str">
        <x:v>ZBX-009</x:v>
      </x:c>
      <x:c r="D367" s="6" t="str">
        <x:v>Korundu</x:v>
      </x:c>
      <x:c r="E367" s="6" t="str">
        <x:v>Ortak kontrol her ürün/tenant hedefi için Uygulama kaydında tekrar yürütülür; soru metni tekilleştirildi.</x:v>
      </x:c>
      <x:c r="F367" s="6" t="str">
        <x:v>Önceki setin ilgili soru satırı</x:v>
      </x:c>
    </x:row>
    <x:row r="368" ht="40" customHeight="1">
      <x:c r="A368" s="6" t="str">
        <x:v>A</x:v>
      </x:c>
      <x:c r="B368" s="6" t="str">
        <x:v>ZBX-010</x:v>
      </x:c>
      <x:c r="C368" s="6" t="str">
        <x:v>ZBX-010</x:v>
      </x:c>
      <x:c r="D368" s="6" t="str">
        <x:v>Korundu</x:v>
      </x:c>
      <x:c r="E368" s="6" t="str">
        <x:v>Ortak kontrol her ürün/tenant hedefi için Uygulama kaydında tekrar yürütülür; soru metni tekilleştirildi.</x:v>
      </x:c>
      <x:c r="F368" s="6" t="str">
        <x:v>Önceki setin ilgili soru satırı</x:v>
      </x:c>
    </x:row>
    <x:row r="369" ht="40" customHeight="1">
      <x:c r="A369" s="6" t="str">
        <x:v>A</x:v>
      </x:c>
      <x:c r="B369" s="6" t="str">
        <x:v>ZBX-011</x:v>
      </x:c>
      <x:c r="C369" s="6" t="str">
        <x:v>ZBX-011</x:v>
      </x:c>
      <x:c r="D369" s="6" t="str">
        <x:v>Korundu</x:v>
      </x:c>
      <x:c r="E369" s="6" t="str">
        <x:v>Ortak kontrol her ürün/tenant hedefi için Uygulama kaydında tekrar yürütülür; soru metni tekilleştirildi.</x:v>
      </x:c>
      <x:c r="F369" s="6" t="str">
        <x:v>Önceki setin ilgili soru satırı</x:v>
      </x:c>
    </x:row>
    <x:row r="370" ht="40" customHeight="1">
      <x:c r="A370" s="6" t="str">
        <x:v>A</x:v>
      </x:c>
      <x:c r="B370" s="6" t="str">
        <x:v>ZBX-012</x:v>
      </x:c>
      <x:c r="C370" s="6" t="str">
        <x:v>ZBX-012</x:v>
      </x:c>
      <x:c r="D370" s="6" t="str">
        <x:v>Korundu</x:v>
      </x:c>
      <x:c r="E370" s="6" t="str">
        <x:v>Ortak kontrol her ürün/tenant hedefi için Uygulama kaydında tekrar yürütülür; soru metni tekilleştirildi.</x:v>
      </x:c>
      <x:c r="F370" s="6" t="str">
        <x:v>Önceki setin ilgili soru satırı</x:v>
      </x:c>
    </x:row>
    <x:row r="371" ht="40" customHeight="1">
      <x:c r="A371" s="6" t="str">
        <x:v>A</x:v>
      </x:c>
      <x:c r="B371" s="6" t="str">
        <x:v>ZBX-013</x:v>
      </x:c>
      <x:c r="C371" s="6" t="str">
        <x:v>ZBX-013</x:v>
      </x:c>
      <x:c r="D371" s="6" t="str">
        <x:v>Korundu</x:v>
      </x:c>
      <x:c r="E371" s="6" t="str">
        <x:v>Ortak kontrol her ürün/tenant hedefi için Uygulama kaydında tekrar yürütülür; soru metni tekilleştirildi.</x:v>
      </x:c>
      <x:c r="F371" s="6" t="str">
        <x:v>Önceki setin ilgili soru satırı</x:v>
      </x:c>
    </x:row>
    <x:row r="372" ht="40" customHeight="1">
      <x:c r="A372" s="6" t="str">
        <x:v>A</x:v>
      </x:c>
      <x:c r="B372" s="6" t="str">
        <x:v>GRA-001</x:v>
      </x:c>
      <x:c r="C372" s="6" t="str">
        <x:v>GNL-02-01</x:v>
      </x:c>
      <x:c r="D372" s="6" t="str">
        <x:v>Birleştirildi</x:v>
      </x:c>
      <x:c r="E372" s="6" t="str">
        <x:v>Ortak kontrol her ürün/tenant hedefi için Uygulama kaydında tekrar yürütülür; soru metni tekilleştirildi.</x:v>
      </x:c>
      <x:c r="F372" s="6" t="str">
        <x:v>Önceki setin ilgili soru satırı</x:v>
      </x:c>
    </x:row>
    <x:row r="373" ht="40" customHeight="1">
      <x:c r="A373" s="6" t="str">
        <x:v>A</x:v>
      </x:c>
      <x:c r="B373" s="6" t="str">
        <x:v>GRA-002</x:v>
      </x:c>
      <x:c r="C373" s="6" t="str">
        <x:v>GNL-04-04</x:v>
      </x:c>
      <x:c r="D373" s="6" t="str">
        <x:v>Birleştirildi</x:v>
      </x:c>
      <x:c r="E373" s="6" t="str">
        <x:v>Ortak kontrol her ürün/tenant hedefi için Uygulama kaydında tekrar yürütülür; soru metni tekilleştirildi.</x:v>
      </x:c>
      <x:c r="F373" s="6" t="str">
        <x:v>Önceki setin ilgili soru satırı</x:v>
      </x:c>
    </x:row>
    <x:row r="374" ht="40" customHeight="1">
      <x:c r="A374" s="6" t="str">
        <x:v>A</x:v>
      </x:c>
      <x:c r="B374" s="6" t="str">
        <x:v>GRA-003</x:v>
      </x:c>
      <x:c r="C374" s="6" t="str">
        <x:v>GNL-05-01</x:v>
      </x:c>
      <x:c r="D374" s="6" t="str">
        <x:v>Birleştirildi</x:v>
      </x:c>
      <x:c r="E374" s="6" t="str">
        <x:v>Ortak kontrol her ürün/tenant hedefi için Uygulama kaydında tekrar yürütülür; soru metni tekilleştirildi.</x:v>
      </x:c>
      <x:c r="F374" s="6" t="str">
        <x:v>Önceki setin ilgili soru satırı</x:v>
      </x:c>
    </x:row>
    <x:row r="375" ht="40" customHeight="1">
      <x:c r="A375" s="6" t="str">
        <x:v>A</x:v>
      </x:c>
      <x:c r="B375" s="6" t="str">
        <x:v>GRA-004</x:v>
      </x:c>
      <x:c r="C375" s="6" t="str">
        <x:v>GNL-09-02</x:v>
      </x:c>
      <x:c r="D375" s="6" t="str">
        <x:v>Birleştirildi</x:v>
      </x:c>
      <x:c r="E375" s="6" t="str">
        <x:v>Ortak kontrol her ürün/tenant hedefi için Uygulama kaydında tekrar yürütülür; soru metni tekilleştirildi.</x:v>
      </x:c>
      <x:c r="F375" s="6" t="str">
        <x:v>Önceki setin ilgili soru satırı</x:v>
      </x:c>
    </x:row>
    <x:row r="376" ht="40" customHeight="1">
      <x:c r="A376" s="6" t="str">
        <x:v>A</x:v>
      </x:c>
      <x:c r="B376" s="6" t="str">
        <x:v>GRA-005</x:v>
      </x:c>
      <x:c r="C376" s="6" t="str">
        <x:v>GNL-08-01
GNL-08-02</x:v>
      </x:c>
      <x:c r="D376" s="6" t="str">
        <x:v>Birleştirildi</x:v>
      </x:c>
      <x:c r="E376" s="6" t="str">
        <x:v>Ortak kontrol her ürün/tenant hedefi için Uygulama kaydında tekrar yürütülür; soru metni tekilleştirildi.</x:v>
      </x:c>
      <x:c r="F376" s="6" t="str">
        <x:v>Önceki setin ilgili soru satırı</x:v>
      </x:c>
    </x:row>
    <x:row r="377" ht="40" customHeight="1">
      <x:c r="A377" s="6" t="str">
        <x:v>A</x:v>
      </x:c>
      <x:c r="B377" s="6" t="str">
        <x:v>GRA-006</x:v>
      </x:c>
      <x:c r="C377" s="6" t="str">
        <x:v>GNL-06-01
GNL-06-02</x:v>
      </x:c>
      <x:c r="D377" s="6" t="str">
        <x:v>Birleştirildi</x:v>
      </x:c>
      <x:c r="E377" s="6" t="str">
        <x:v>Ortak kontrol her ürün/tenant hedefi için Uygulama kaydında tekrar yürütülür; soru metni tekilleştirildi.</x:v>
      </x:c>
      <x:c r="F377" s="6" t="str">
        <x:v>Önceki setin ilgili soru satırı</x:v>
      </x:c>
    </x:row>
    <x:row r="378" ht="40" customHeight="1">
      <x:c r="A378" s="6" t="str">
        <x:v>A</x:v>
      </x:c>
      <x:c r="B378" s="6" t="str">
        <x:v>GRA-007</x:v>
      </x:c>
      <x:c r="C378" s="6" t="str">
        <x:v>GRA-007</x:v>
      </x:c>
      <x:c r="D378" s="6" t="str">
        <x:v>Korundu</x:v>
      </x:c>
      <x:c r="E378" s="6" t="str">
        <x:v>Ortak kontrol her ürün/tenant hedefi için Uygulama kaydında tekrar yürütülür; soru metni tekilleştirildi.</x:v>
      </x:c>
      <x:c r="F378" s="6" t="str">
        <x:v>Önceki setin ilgili soru satırı</x:v>
      </x:c>
    </x:row>
    <x:row r="379" ht="40" customHeight="1">
      <x:c r="A379" s="6" t="str">
        <x:v>A</x:v>
      </x:c>
      <x:c r="B379" s="6" t="str">
        <x:v>GRA-008</x:v>
      </x:c>
      <x:c r="C379" s="6" t="str">
        <x:v>GRA-008</x:v>
      </x:c>
      <x:c r="D379" s="6" t="str">
        <x:v>Korundu</x:v>
      </x:c>
      <x:c r="E379" s="6" t="str">
        <x:v>Ortak kontrol her ürün/tenant hedefi için Uygulama kaydında tekrar yürütülür; soru metni tekilleştirildi.</x:v>
      </x:c>
      <x:c r="F379" s="6" t="str">
        <x:v>Önceki setin ilgili soru satırı</x:v>
      </x:c>
    </x:row>
    <x:row r="380" ht="40" customHeight="1">
      <x:c r="A380" s="6" t="str">
        <x:v>A</x:v>
      </x:c>
      <x:c r="B380" s="6" t="str">
        <x:v>GRA-009</x:v>
      </x:c>
      <x:c r="C380" s="6" t="str">
        <x:v>GRA-009</x:v>
      </x:c>
      <x:c r="D380" s="6" t="str">
        <x:v>Korundu</x:v>
      </x:c>
      <x:c r="E380" s="6" t="str">
        <x:v>Ortak kontrol her ürün/tenant hedefi için Uygulama kaydında tekrar yürütülür; soru metni tekilleştirildi.</x:v>
      </x:c>
      <x:c r="F380" s="6" t="str">
        <x:v>Önceki setin ilgili soru satırı</x:v>
      </x:c>
    </x:row>
    <x:row r="381" ht="40" customHeight="1">
      <x:c r="A381" s="6" t="str">
        <x:v>A</x:v>
      </x:c>
      <x:c r="B381" s="6" t="str">
        <x:v>GRA-010</x:v>
      </x:c>
      <x:c r="C381" s="6" t="str">
        <x:v>GRA-010</x:v>
      </x:c>
      <x:c r="D381" s="6" t="str">
        <x:v>Korundu</x:v>
      </x:c>
      <x:c r="E381" s="6" t="str">
        <x:v>Ortak kontrol her ürün/tenant hedefi için Uygulama kaydında tekrar yürütülür; soru metni tekilleştirildi.</x:v>
      </x:c>
      <x:c r="F381" s="6" t="str">
        <x:v>Önceki setin ilgili soru satırı</x:v>
      </x:c>
    </x:row>
    <x:row r="382" ht="40" customHeight="1">
      <x:c r="A382" s="6" t="str">
        <x:v>A</x:v>
      </x:c>
      <x:c r="B382" s="6" t="str">
        <x:v>GRA-011</x:v>
      </x:c>
      <x:c r="C382" s="6" t="str">
        <x:v>GRA-011</x:v>
      </x:c>
      <x:c r="D382" s="6" t="str">
        <x:v>Korundu</x:v>
      </x:c>
      <x:c r="E382" s="6" t="str">
        <x:v>Ortak kontrol her ürün/tenant hedefi için Uygulama kaydında tekrar yürütülür; soru metni tekilleştirildi.</x:v>
      </x:c>
      <x:c r="F382" s="6" t="str">
        <x:v>Önceki setin ilgili soru satırı</x:v>
      </x:c>
    </x:row>
    <x:row r="383" ht="40" customHeight="1">
      <x:c r="A383" s="6" t="str">
        <x:v>A</x:v>
      </x:c>
      <x:c r="B383" s="6" t="str">
        <x:v>GRA-012</x:v>
      </x:c>
      <x:c r="C383" s="6" t="str">
        <x:v>GRA-012</x:v>
      </x:c>
      <x:c r="D383" s="6" t="str">
        <x:v>Korundu</x:v>
      </x:c>
      <x:c r="E383" s="6" t="str">
        <x:v>Ortak kontrol her ürün/tenant hedefi için Uygulama kaydında tekrar yürütülür; soru metni tekilleştirildi.</x:v>
      </x:c>
      <x:c r="F383" s="6" t="str">
        <x:v>Önceki setin ilgili soru satırı</x:v>
      </x:c>
    </x:row>
    <x:row r="384" ht="40" customHeight="1">
      <x:c r="A384" s="6" t="str">
        <x:v>A</x:v>
      </x:c>
      <x:c r="B384" s="6" t="str">
        <x:v>GRA-013</x:v>
      </x:c>
      <x:c r="C384" s="6" t="str">
        <x:v>GRA-013</x:v>
      </x:c>
      <x:c r="D384" s="6" t="str">
        <x:v>Korundu</x:v>
      </x:c>
      <x:c r="E384" s="6" t="str">
        <x:v>Ortak kontrol her ürün/tenant hedefi için Uygulama kaydında tekrar yürütülür; soru metni tekilleştirildi.</x:v>
      </x:c>
      <x:c r="F384" s="6" t="str">
        <x:v>Önceki setin ilgili soru satırı</x:v>
      </x:c>
    </x:row>
    <x:row r="385" ht="40" customHeight="1">
      <x:c r="A385" s="6" t="str">
        <x:v>A</x:v>
      </x:c>
      <x:c r="B385" s="6" t="str">
        <x:v>MEC-001</x:v>
      </x:c>
      <x:c r="C385" s="6" t="str">
        <x:v>GNL-02-01</x:v>
      </x:c>
      <x:c r="D385" s="6" t="str">
        <x:v>Birleştirildi</x:v>
      </x:c>
      <x:c r="E385" s="6" t="str">
        <x:v>Ortak kontrol her ürün/tenant hedefi için Uygulama kaydında tekrar yürütülür; soru metni tekilleştirildi.</x:v>
      </x:c>
      <x:c r="F385" s="6" t="str">
        <x:v>Önceki setin ilgili soru satırı</x:v>
      </x:c>
    </x:row>
    <x:row r="386" ht="40" customHeight="1">
      <x:c r="A386" s="6" t="str">
        <x:v>A</x:v>
      </x:c>
      <x:c r="B386" s="6" t="str">
        <x:v>MEC-002</x:v>
      </x:c>
      <x:c r="C386" s="6" t="str">
        <x:v>GNL-04-04</x:v>
      </x:c>
      <x:c r="D386" s="6" t="str">
        <x:v>Birleştirildi</x:v>
      </x:c>
      <x:c r="E386" s="6" t="str">
        <x:v>Ortak kontrol her ürün/tenant hedefi için Uygulama kaydında tekrar yürütülür; soru metni tekilleştirildi.</x:v>
      </x:c>
      <x:c r="F386" s="6" t="str">
        <x:v>Önceki setin ilgili soru satırı</x:v>
      </x:c>
    </x:row>
    <x:row r="387" ht="40" customHeight="1">
      <x:c r="A387" s="6" t="str">
        <x:v>A</x:v>
      </x:c>
      <x:c r="B387" s="6" t="str">
        <x:v>MEC-003</x:v>
      </x:c>
      <x:c r="C387" s="6" t="str">
        <x:v>GNL-05-01</x:v>
      </x:c>
      <x:c r="D387" s="6" t="str">
        <x:v>Birleştirildi</x:v>
      </x:c>
      <x:c r="E387" s="6" t="str">
        <x:v>Ortak kontrol her ürün/tenant hedefi için Uygulama kaydında tekrar yürütülür; soru metni tekilleştirildi.</x:v>
      </x:c>
      <x:c r="F387" s="6" t="str">
        <x:v>Önceki setin ilgili soru satırı</x:v>
      </x:c>
    </x:row>
    <x:row r="388" ht="40" customHeight="1">
      <x:c r="A388" s="6" t="str">
        <x:v>A</x:v>
      </x:c>
      <x:c r="B388" s="6" t="str">
        <x:v>MEC-004</x:v>
      </x:c>
      <x:c r="C388" s="6" t="str">
        <x:v>GNL-09-02</x:v>
      </x:c>
      <x:c r="D388" s="6" t="str">
        <x:v>Birleştirildi</x:v>
      </x:c>
      <x:c r="E388" s="6" t="str">
        <x:v>Ortak kontrol her ürün/tenant hedefi için Uygulama kaydında tekrar yürütülür; soru metni tekilleştirildi.</x:v>
      </x:c>
      <x:c r="F388" s="6" t="str">
        <x:v>Önceki setin ilgili soru satırı</x:v>
      </x:c>
    </x:row>
    <x:row r="389" ht="40" customHeight="1">
      <x:c r="A389" s="6" t="str">
        <x:v>A</x:v>
      </x:c>
      <x:c r="B389" s="6" t="str">
        <x:v>MEC-005</x:v>
      </x:c>
      <x:c r="C389" s="6" t="str">
        <x:v>GNL-08-01
GNL-08-02</x:v>
      </x:c>
      <x:c r="D389" s="6" t="str">
        <x:v>Birleştirildi</x:v>
      </x:c>
      <x:c r="E389" s="6" t="str">
        <x:v>Ortak kontrol her ürün/tenant hedefi için Uygulama kaydında tekrar yürütülür; soru metni tekilleştirildi.</x:v>
      </x:c>
      <x:c r="F389" s="6" t="str">
        <x:v>Önceki setin ilgili soru satırı</x:v>
      </x:c>
    </x:row>
    <x:row r="390" ht="40" customHeight="1">
      <x:c r="A390" s="6" t="str">
        <x:v>A</x:v>
      </x:c>
      <x:c r="B390" s="6" t="str">
        <x:v>MEC-006</x:v>
      </x:c>
      <x:c r="C390" s="6" t="str">
        <x:v>GNL-06-01
GNL-06-02</x:v>
      </x:c>
      <x:c r="D390" s="6" t="str">
        <x:v>Birleştirildi</x:v>
      </x:c>
      <x:c r="E390" s="6" t="str">
        <x:v>Ortak kontrol her ürün/tenant hedefi için Uygulama kaydında tekrar yürütülür; soru metni tekilleştirildi.</x:v>
      </x:c>
      <x:c r="F390" s="6" t="str">
        <x:v>Önceki setin ilgili soru satırı</x:v>
      </x:c>
    </x:row>
    <x:row r="391" ht="40" customHeight="1">
      <x:c r="A391" s="6" t="str">
        <x:v>A</x:v>
      </x:c>
      <x:c r="B391" s="6" t="str">
        <x:v>MEC-007</x:v>
      </x:c>
      <x:c r="C391" s="6" t="str">
        <x:v>MEC-007</x:v>
      </x:c>
      <x:c r="D391" s="6" t="str">
        <x:v>Korundu</x:v>
      </x:c>
      <x:c r="E391" s="6" t="str">
        <x:v>Ortak kontrol her ürün/tenant hedefi için Uygulama kaydında tekrar yürütülür; soru metni tekilleştirildi.</x:v>
      </x:c>
      <x:c r="F391" s="6" t="str">
        <x:v>Önceki setin ilgili soru satırı</x:v>
      </x:c>
    </x:row>
    <x:row r="392" ht="40" customHeight="1">
      <x:c r="A392" s="6" t="str">
        <x:v>A</x:v>
      </x:c>
      <x:c r="B392" s="6" t="str">
        <x:v>MEC-008</x:v>
      </x:c>
      <x:c r="C392" s="6" t="str">
        <x:v>MEC-008</x:v>
      </x:c>
      <x:c r="D392" s="6" t="str">
        <x:v>Korundu</x:v>
      </x:c>
      <x:c r="E392" s="6" t="str">
        <x:v>Ortak kontrol her ürün/tenant hedefi için Uygulama kaydında tekrar yürütülür; soru metni tekilleştirildi.</x:v>
      </x:c>
      <x:c r="F392" s="6" t="str">
        <x:v>Önceki setin ilgili soru satırı</x:v>
      </x:c>
    </x:row>
    <x:row r="393" ht="40" customHeight="1">
      <x:c r="A393" s="6" t="str">
        <x:v>A</x:v>
      </x:c>
      <x:c r="B393" s="6" t="str">
        <x:v>MEC-009</x:v>
      </x:c>
      <x:c r="C393" s="6" t="str">
        <x:v>MEC-009</x:v>
      </x:c>
      <x:c r="D393" s="6" t="str">
        <x:v>Korundu</x:v>
      </x:c>
      <x:c r="E393" s="6" t="str">
        <x:v>Ortak kontrol her ürün/tenant hedefi için Uygulama kaydında tekrar yürütülür; soru metni tekilleştirildi.</x:v>
      </x:c>
      <x:c r="F393" s="6" t="str">
        <x:v>Önceki setin ilgili soru satırı</x:v>
      </x:c>
    </x:row>
    <x:row r="394" ht="40" customHeight="1">
      <x:c r="A394" s="6" t="str">
        <x:v>A</x:v>
      </x:c>
      <x:c r="B394" s="6" t="str">
        <x:v>MEC-010</x:v>
      </x:c>
      <x:c r="C394" s="6" t="str">
        <x:v>MEC-010</x:v>
      </x:c>
      <x:c r="D394" s="6" t="str">
        <x:v>Korundu</x:v>
      </x:c>
      <x:c r="E394" s="6" t="str">
        <x:v>Ortak kontrol her ürün/tenant hedefi için Uygulama kaydında tekrar yürütülür; soru metni tekilleştirildi.</x:v>
      </x:c>
      <x:c r="F394" s="6" t="str">
        <x:v>Önceki setin ilgili soru satırı</x:v>
      </x:c>
    </x:row>
    <x:row r="395" ht="40" customHeight="1">
      <x:c r="A395" s="6" t="str">
        <x:v>A</x:v>
      </x:c>
      <x:c r="B395" s="6" t="str">
        <x:v>MEC-011</x:v>
      </x:c>
      <x:c r="C395" s="6" t="str">
        <x:v>MEC-011</x:v>
      </x:c>
      <x:c r="D395" s="6" t="str">
        <x:v>Korundu</x:v>
      </x:c>
      <x:c r="E395" s="6" t="str">
        <x:v>Ortak kontrol her ürün/tenant hedefi için Uygulama kaydında tekrar yürütülür; soru metni tekilleştirildi.</x:v>
      </x:c>
      <x:c r="F395" s="6" t="str">
        <x:v>Önceki setin ilgili soru satırı</x:v>
      </x:c>
    </x:row>
    <x:row r="396" ht="40" customHeight="1">
      <x:c r="A396" s="6" t="str">
        <x:v>A</x:v>
      </x:c>
      <x:c r="B396" s="6" t="str">
        <x:v>MEC-012</x:v>
      </x:c>
      <x:c r="C396" s="6" t="str">
        <x:v>MEC-012</x:v>
      </x:c>
      <x:c r="D396" s="6" t="str">
        <x:v>Korundu</x:v>
      </x:c>
      <x:c r="E396" s="6" t="str">
        <x:v>Ortak kontrol her ürün/tenant hedefi için Uygulama kaydında tekrar yürütülür; soru metni tekilleştirildi.</x:v>
      </x:c>
      <x:c r="F396" s="6" t="str">
        <x:v>Önceki setin ilgili soru satırı</x:v>
      </x:c>
    </x:row>
    <x:row r="397" ht="40" customHeight="1">
      <x:c r="A397" s="6" t="str">
        <x:v>A</x:v>
      </x:c>
      <x:c r="B397" s="6" t="str">
        <x:v>MEC-013</x:v>
      </x:c>
      <x:c r="C397" s="6" t="str">
        <x:v>MEC-013</x:v>
      </x:c>
      <x:c r="D397" s="6" t="str">
        <x:v>Korundu</x:v>
      </x:c>
      <x:c r="E397" s="6" t="str">
        <x:v>Ortak kontrol her ürün/tenant hedefi için Uygulama kaydında tekrar yürütülür; soru metni tekilleştirildi.</x:v>
      </x:c>
      <x:c r="F397" s="6" t="str">
        <x:v>Önceki setin ilgili soru satırı</x:v>
      </x:c>
    </x:row>
    <x:row r="398" ht="40" customHeight="1">
      <x:c r="A398" s="6" t="str">
        <x:v>A</x:v>
      </x:c>
      <x:c r="B398" s="6" t="str">
        <x:v>MEC-014</x:v>
      </x:c>
      <x:c r="C398" s="6" t="str">
        <x:v>MEC-014</x:v>
      </x:c>
      <x:c r="D398" s="6" t="str">
        <x:v>Korundu</x:v>
      </x:c>
      <x:c r="E398" s="6" t="str">
        <x:v>Ortak kontrol her ürün/tenant hedefi için Uygulama kaydında tekrar yürütülür; soru metni tekilleştirildi.</x:v>
      </x:c>
      <x:c r="F398" s="6" t="str">
        <x:v>Önceki setin ilgili soru satırı</x:v>
      </x:c>
    </x:row>
    <x:row r="399" ht="40" customHeight="1">
      <x:c r="A399" s="6" t="str">
        <x:v>A</x:v>
      </x:c>
      <x:c r="B399" s="6" t="str">
        <x:v>MEC-015</x:v>
      </x:c>
      <x:c r="C399" s="6" t="str">
        <x:v>MEC-015</x:v>
      </x:c>
      <x:c r="D399" s="6" t="str">
        <x:v>Korundu</x:v>
      </x:c>
      <x:c r="E399" s="6" t="str">
        <x:v>Ortak kontrol her ürün/tenant hedefi için Uygulama kaydında tekrar yürütülür; soru metni tekilleştirildi.</x:v>
      </x:c>
      <x:c r="F399" s="6" t="str">
        <x:v>Önceki setin ilgili soru satırı</x:v>
      </x:c>
    </x:row>
    <x:row r="400" ht="40" customHeight="1">
      <x:c r="A400" s="6" t="str">
        <x:v>A</x:v>
      </x:c>
      <x:c r="B400" s="6" t="str">
        <x:v>ENS-001</x:v>
      </x:c>
      <x:c r="C400" s="6" t="str">
        <x:v>GNL-02-01</x:v>
      </x:c>
      <x:c r="D400" s="6" t="str">
        <x:v>Birleştirildi</x:v>
      </x:c>
      <x:c r="E400" s="6" t="str">
        <x:v>Ortak kontrol her ürün/tenant hedefi için Uygulama kaydında tekrar yürütülür; soru metni tekilleştirildi.</x:v>
      </x:c>
      <x:c r="F400" s="6" t="str">
        <x:v>Önceki setin ilgili soru satırı</x:v>
      </x:c>
    </x:row>
    <x:row r="401" ht="40" customHeight="1">
      <x:c r="A401" s="6" t="str">
        <x:v>A</x:v>
      </x:c>
      <x:c r="B401" s="6" t="str">
        <x:v>ENS-002</x:v>
      </x:c>
      <x:c r="C401" s="6" t="str">
        <x:v>GNL-04-04</x:v>
      </x:c>
      <x:c r="D401" s="6" t="str">
        <x:v>Birleştirildi</x:v>
      </x:c>
      <x:c r="E401" s="6" t="str">
        <x:v>Ortak kontrol her ürün/tenant hedefi için Uygulama kaydında tekrar yürütülür; soru metni tekilleştirildi.</x:v>
      </x:c>
      <x:c r="F401" s="6" t="str">
        <x:v>Önceki setin ilgili soru satırı</x:v>
      </x:c>
    </x:row>
    <x:row r="402" ht="40" customHeight="1">
      <x:c r="A402" s="6" t="str">
        <x:v>A</x:v>
      </x:c>
      <x:c r="B402" s="6" t="str">
        <x:v>ENS-003</x:v>
      </x:c>
      <x:c r="C402" s="6" t="str">
        <x:v>GNL-05-01</x:v>
      </x:c>
      <x:c r="D402" s="6" t="str">
        <x:v>Birleştirildi</x:v>
      </x:c>
      <x:c r="E402" s="6" t="str">
        <x:v>Ortak kontrol her ürün/tenant hedefi için Uygulama kaydında tekrar yürütülür; soru metni tekilleştirildi.</x:v>
      </x:c>
      <x:c r="F402" s="6" t="str">
        <x:v>Önceki setin ilgili soru satırı</x:v>
      </x:c>
    </x:row>
    <x:row r="403" ht="40" customHeight="1">
      <x:c r="A403" s="6" t="str">
        <x:v>A</x:v>
      </x:c>
      <x:c r="B403" s="6" t="str">
        <x:v>ENS-004</x:v>
      </x:c>
      <x:c r="C403" s="6" t="str">
        <x:v>GNL-09-02</x:v>
      </x:c>
      <x:c r="D403" s="6" t="str">
        <x:v>Birleştirildi</x:v>
      </x:c>
      <x:c r="E403" s="6" t="str">
        <x:v>Ortak kontrol her ürün/tenant hedefi için Uygulama kaydında tekrar yürütülür; soru metni tekilleştirildi.</x:v>
      </x:c>
      <x:c r="F403" s="6" t="str">
        <x:v>Önceki setin ilgili soru satırı</x:v>
      </x:c>
    </x:row>
    <x:row r="404" ht="40" customHeight="1">
      <x:c r="A404" s="6" t="str">
        <x:v>A</x:v>
      </x:c>
      <x:c r="B404" s="6" t="str">
        <x:v>ENS-005</x:v>
      </x:c>
      <x:c r="C404" s="6" t="str">
        <x:v>GNL-08-01
GNL-08-02</x:v>
      </x:c>
      <x:c r="D404" s="6" t="str">
        <x:v>Birleştirildi</x:v>
      </x:c>
      <x:c r="E404" s="6" t="str">
        <x:v>Ortak kontrol her ürün/tenant hedefi için Uygulama kaydında tekrar yürütülür; soru metni tekilleştirildi.</x:v>
      </x:c>
      <x:c r="F404" s="6" t="str">
        <x:v>Önceki setin ilgili soru satırı</x:v>
      </x:c>
    </x:row>
    <x:row r="405" ht="40" customHeight="1">
      <x:c r="A405" s="6" t="str">
        <x:v>A</x:v>
      </x:c>
      <x:c r="B405" s="6" t="str">
        <x:v>ENS-006</x:v>
      </x:c>
      <x:c r="C405" s="6" t="str">
        <x:v>GNL-06-01
GNL-06-02</x:v>
      </x:c>
      <x:c r="D405" s="6" t="str">
        <x:v>Birleştirildi</x:v>
      </x:c>
      <x:c r="E405" s="6" t="str">
        <x:v>Ortak kontrol her ürün/tenant hedefi için Uygulama kaydında tekrar yürütülür; soru metni tekilleştirildi.</x:v>
      </x:c>
      <x:c r="F405" s="6" t="str">
        <x:v>Önceki setin ilgili soru satırı</x:v>
      </x:c>
    </x:row>
    <x:row r="406" ht="40" customHeight="1">
      <x:c r="A406" s="6" t="str">
        <x:v>A</x:v>
      </x:c>
      <x:c r="B406" s="6" t="str">
        <x:v>ENS-007</x:v>
      </x:c>
      <x:c r="C406" s="6" t="str">
        <x:v>ENS-007</x:v>
      </x:c>
      <x:c r="D406" s="6" t="str">
        <x:v>Korundu</x:v>
      </x:c>
      <x:c r="E406" s="6" t="str">
        <x:v>Ortak kontrol her ürün/tenant hedefi için Uygulama kaydında tekrar yürütülür; soru metni tekilleştirildi.</x:v>
      </x:c>
      <x:c r="F406" s="6" t="str">
        <x:v>Önceki setin ilgili soru satırı</x:v>
      </x:c>
    </x:row>
    <x:row r="407" ht="40" customHeight="1">
      <x:c r="A407" s="6" t="str">
        <x:v>A</x:v>
      </x:c>
      <x:c r="B407" s="6" t="str">
        <x:v>ENS-008</x:v>
      </x:c>
      <x:c r="C407" s="6" t="str">
        <x:v>ENS-008</x:v>
      </x:c>
      <x:c r="D407" s="6" t="str">
        <x:v>Korundu</x:v>
      </x:c>
      <x:c r="E407" s="6" t="str">
        <x:v>Ortak kontrol her ürün/tenant hedefi için Uygulama kaydında tekrar yürütülür; soru metni tekilleştirildi.</x:v>
      </x:c>
      <x:c r="F407" s="6" t="str">
        <x:v>Önceki setin ilgili soru satırı</x:v>
      </x:c>
    </x:row>
    <x:row r="408" ht="40" customHeight="1">
      <x:c r="A408" s="6" t="str">
        <x:v>A</x:v>
      </x:c>
      <x:c r="B408" s="6" t="str">
        <x:v>ENS-009</x:v>
      </x:c>
      <x:c r="C408" s="6" t="str">
        <x:v>ENS-009</x:v>
      </x:c>
      <x:c r="D408" s="6" t="str">
        <x:v>Korundu</x:v>
      </x:c>
      <x:c r="E408" s="6" t="str">
        <x:v>Ortak kontrol her ürün/tenant hedefi için Uygulama kaydında tekrar yürütülür; soru metni tekilleştirildi.</x:v>
      </x:c>
      <x:c r="F408" s="6" t="str">
        <x:v>Önceki setin ilgili soru satırı</x:v>
      </x:c>
    </x:row>
    <x:row r="409" ht="40" customHeight="1">
      <x:c r="A409" s="6" t="str">
        <x:v>A</x:v>
      </x:c>
      <x:c r="B409" s="6" t="str">
        <x:v>ENS-010</x:v>
      </x:c>
      <x:c r="C409" s="6" t="str">
        <x:v>ENS-010</x:v>
      </x:c>
      <x:c r="D409" s="6" t="str">
        <x:v>Korundu</x:v>
      </x:c>
      <x:c r="E409" s="6" t="str">
        <x:v>Ortak kontrol her ürün/tenant hedefi için Uygulama kaydında tekrar yürütülür; soru metni tekilleştirildi.</x:v>
      </x:c>
      <x:c r="F409" s="6" t="str">
        <x:v>Önceki setin ilgili soru satırı</x:v>
      </x:c>
    </x:row>
    <x:row r="410" ht="40" customHeight="1">
      <x:c r="A410" s="6" t="str">
        <x:v>A</x:v>
      </x:c>
      <x:c r="B410" s="6" t="str">
        <x:v>ENS-011</x:v>
      </x:c>
      <x:c r="C410" s="6" t="str">
        <x:v>ENS-011</x:v>
      </x:c>
      <x:c r="D410" s="6" t="str">
        <x:v>Korundu</x:v>
      </x:c>
      <x:c r="E410" s="6" t="str">
        <x:v>Ortak kontrol her ürün/tenant hedefi için Uygulama kaydında tekrar yürütülür; soru metni tekilleştirildi.</x:v>
      </x:c>
      <x:c r="F410" s="6" t="str">
        <x:v>Önceki setin ilgili soru satırı</x:v>
      </x:c>
    </x:row>
    <x:row r="411" ht="40" customHeight="1">
      <x:c r="A411" s="6" t="str">
        <x:v>A</x:v>
      </x:c>
      <x:c r="B411" s="6" t="str">
        <x:v>ENS-012</x:v>
      </x:c>
      <x:c r="C411" s="6" t="str">
        <x:v>ENS-012</x:v>
      </x:c>
      <x:c r="D411" s="6" t="str">
        <x:v>Korundu</x:v>
      </x:c>
      <x:c r="E411" s="6" t="str">
        <x:v>Ortak kontrol her ürün/tenant hedefi için Uygulama kaydında tekrar yürütülür; soru metni tekilleştirildi.</x:v>
      </x:c>
      <x:c r="F411" s="6" t="str">
        <x:v>Önceki setin ilgili soru satırı</x:v>
      </x:c>
    </x:row>
    <x:row r="412" ht="40" customHeight="1">
      <x:c r="A412" s="6" t="str">
        <x:v>A</x:v>
      </x:c>
      <x:c r="B412" s="6" t="str">
        <x:v>ENS-013</x:v>
      </x:c>
      <x:c r="C412" s="6" t="str">
        <x:v>ENS-013</x:v>
      </x:c>
      <x:c r="D412" s="6" t="str">
        <x:v>Korundu</x:v>
      </x:c>
      <x:c r="E412" s="6" t="str">
        <x:v>Ortak kontrol her ürün/tenant hedefi için Uygulama kaydında tekrar yürütülür; soru metni tekilleştirildi.</x:v>
      </x:c>
      <x:c r="F412" s="6" t="str">
        <x:v>Önceki setin ilgili soru satırı</x:v>
      </x:c>
    </x:row>
    <x:row r="413" ht="40" customHeight="1">
      <x:c r="A413" s="6" t="str">
        <x:v>A</x:v>
      </x:c>
      <x:c r="B413" s="6" t="str">
        <x:v>ENS-014</x:v>
      </x:c>
      <x:c r="C413" s="6" t="str">
        <x:v>ENS-014</x:v>
      </x:c>
      <x:c r="D413" s="6" t="str">
        <x:v>Korundu</x:v>
      </x:c>
      <x:c r="E413" s="6" t="str">
        <x:v>Ortak kontrol her ürün/tenant hedefi için Uygulama kaydında tekrar yürütülür; soru metni tekilleştirildi.</x:v>
      </x:c>
      <x:c r="F413" s="6" t="str">
        <x:v>Önceki setin ilgili soru satırı</x:v>
      </x:c>
    </x:row>
    <x:row r="414" ht="40" customHeight="1">
      <x:c r="A414" s="6" t="str">
        <x:v>A</x:v>
      </x:c>
      <x:c r="B414" s="6" t="str">
        <x:v>ENS-015</x:v>
      </x:c>
      <x:c r="C414" s="6" t="str">
        <x:v>ENS-015</x:v>
      </x:c>
      <x:c r="D414" s="6" t="str">
        <x:v>Korundu</x:v>
      </x:c>
      <x:c r="E414" s="6" t="str">
        <x:v>Ortak kontrol her ürün/tenant hedefi için Uygulama kaydında tekrar yürütülür; soru metni tekilleştirildi.</x:v>
      </x:c>
      <x:c r="F414" s="6" t="str">
        <x:v>Önceki setin ilgili soru satırı</x:v>
      </x:c>
    </x:row>
    <x:row r="415" ht="40" customHeight="1">
      <x:c r="A415" s="6" t="str">
        <x:v>A</x:v>
      </x:c>
      <x:c r="B415" s="6" t="str">
        <x:v>ADC-001</x:v>
      </x:c>
      <x:c r="C415" s="6" t="str">
        <x:v>GNL-02-01</x:v>
      </x:c>
      <x:c r="D415" s="6" t="str">
        <x:v>Birleştirildi</x:v>
      </x:c>
      <x:c r="E415" s="6" t="str">
        <x:v>Ortak kontrol her ürün/tenant hedefi için Uygulama kaydında tekrar yürütülür; soru metni tekilleştirildi.</x:v>
      </x:c>
      <x:c r="F415" s="6" t="str">
        <x:v>Önceki setin ilgili soru satırı</x:v>
      </x:c>
    </x:row>
    <x:row r="416" ht="40" customHeight="1">
      <x:c r="A416" s="6" t="str">
        <x:v>A</x:v>
      </x:c>
      <x:c r="B416" s="6" t="str">
        <x:v>ADC-002</x:v>
      </x:c>
      <x:c r="C416" s="6" t="str">
        <x:v>GNL-04-04</x:v>
      </x:c>
      <x:c r="D416" s="6" t="str">
        <x:v>Birleştirildi</x:v>
      </x:c>
      <x:c r="E416" s="6" t="str">
        <x:v>Ortak kontrol her ürün/tenant hedefi için Uygulama kaydında tekrar yürütülür; soru metni tekilleştirildi.</x:v>
      </x:c>
      <x:c r="F416" s="6" t="str">
        <x:v>Önceki setin ilgili soru satırı</x:v>
      </x:c>
    </x:row>
    <x:row r="417" ht="40" customHeight="1">
      <x:c r="A417" s="6" t="str">
        <x:v>A</x:v>
      </x:c>
      <x:c r="B417" s="6" t="str">
        <x:v>ADC-003</x:v>
      </x:c>
      <x:c r="C417" s="6" t="str">
        <x:v>GNL-05-01</x:v>
      </x:c>
      <x:c r="D417" s="6" t="str">
        <x:v>Birleştirildi</x:v>
      </x:c>
      <x:c r="E417" s="6" t="str">
        <x:v>Ortak kontrol her ürün/tenant hedefi için Uygulama kaydında tekrar yürütülür; soru metni tekilleştirildi.</x:v>
      </x:c>
      <x:c r="F417" s="6" t="str">
        <x:v>Önceki setin ilgili soru satırı</x:v>
      </x:c>
    </x:row>
    <x:row r="418" ht="40" customHeight="1">
      <x:c r="A418" s="6" t="str">
        <x:v>A</x:v>
      </x:c>
      <x:c r="B418" s="6" t="str">
        <x:v>ADC-004</x:v>
      </x:c>
      <x:c r="C418" s="6" t="str">
        <x:v>GNL-09-02</x:v>
      </x:c>
      <x:c r="D418" s="6" t="str">
        <x:v>Birleştirildi</x:v>
      </x:c>
      <x:c r="E418" s="6" t="str">
        <x:v>Ortak kontrol her ürün/tenant hedefi için Uygulama kaydında tekrar yürütülür; soru metni tekilleştirildi.</x:v>
      </x:c>
      <x:c r="F418" s="6" t="str">
        <x:v>Önceki setin ilgili soru satırı</x:v>
      </x:c>
    </x:row>
    <x:row r="419" ht="40" customHeight="1">
      <x:c r="A419" s="6" t="str">
        <x:v>A</x:v>
      </x:c>
      <x:c r="B419" s="6" t="str">
        <x:v>ADC-005</x:v>
      </x:c>
      <x:c r="C419" s="6" t="str">
        <x:v>GNL-08-01
GNL-08-02</x:v>
      </x:c>
      <x:c r="D419" s="6" t="str">
        <x:v>Birleştirildi</x:v>
      </x:c>
      <x:c r="E419" s="6" t="str">
        <x:v>Ortak kontrol her ürün/tenant hedefi için Uygulama kaydında tekrar yürütülür; soru metni tekilleştirildi.</x:v>
      </x:c>
      <x:c r="F419" s="6" t="str">
        <x:v>Önceki setin ilgili soru satırı</x:v>
      </x:c>
    </x:row>
    <x:row r="420" ht="40" customHeight="1">
      <x:c r="A420" s="6" t="str">
        <x:v>A</x:v>
      </x:c>
      <x:c r="B420" s="6" t="str">
        <x:v>ADC-006</x:v>
      </x:c>
      <x:c r="C420" s="6" t="str">
        <x:v>GNL-06-01
GNL-06-02</x:v>
      </x:c>
      <x:c r="D420" s="6" t="str">
        <x:v>Birleştirildi</x:v>
      </x:c>
      <x:c r="E420" s="6" t="str">
        <x:v>Ortak kontrol her ürün/tenant hedefi için Uygulama kaydında tekrar yürütülür; soru metni tekilleştirildi.</x:v>
      </x:c>
      <x:c r="F420" s="6" t="str">
        <x:v>Önceki setin ilgili soru satırı</x:v>
      </x:c>
    </x:row>
    <x:row r="421" ht="40" customHeight="1">
      <x:c r="A421" s="6" t="str">
        <x:v>A</x:v>
      </x:c>
      <x:c r="B421" s="6" t="str">
        <x:v>ADC-007</x:v>
      </x:c>
      <x:c r="C421" s="6" t="str">
        <x:v>ADC-007</x:v>
      </x:c>
      <x:c r="D421" s="6" t="str">
        <x:v>Korundu</x:v>
      </x:c>
      <x:c r="E421" s="6" t="str">
        <x:v>Ortak kontrol her ürün/tenant hedefi için Uygulama kaydında tekrar yürütülür; soru metni tekilleştirildi.</x:v>
      </x:c>
      <x:c r="F421" s="6" t="str">
        <x:v>Önceki setin ilgili soru satırı</x:v>
      </x:c>
    </x:row>
    <x:row r="422" ht="40" customHeight="1">
      <x:c r="A422" s="6" t="str">
        <x:v>A</x:v>
      </x:c>
      <x:c r="B422" s="6" t="str">
        <x:v>ADC-008</x:v>
      </x:c>
      <x:c r="C422" s="6" t="str">
        <x:v>ADC-008</x:v>
      </x:c>
      <x:c r="D422" s="6" t="str">
        <x:v>Korundu</x:v>
      </x:c>
      <x:c r="E422" s="6" t="str">
        <x:v>Ortak kontrol her ürün/tenant hedefi için Uygulama kaydında tekrar yürütülür; soru metni tekilleştirildi.</x:v>
      </x:c>
      <x:c r="F422" s="6" t="str">
        <x:v>Önceki setin ilgili soru satırı</x:v>
      </x:c>
    </x:row>
    <x:row r="423" ht="40" customHeight="1">
      <x:c r="A423" s="6" t="str">
        <x:v>A</x:v>
      </x:c>
      <x:c r="B423" s="6" t="str">
        <x:v>ADC-009</x:v>
      </x:c>
      <x:c r="C423" s="6" t="str">
        <x:v>ADC-009</x:v>
      </x:c>
      <x:c r="D423" s="6" t="str">
        <x:v>Korundu</x:v>
      </x:c>
      <x:c r="E423" s="6" t="str">
        <x:v>Ortak kontrol her ürün/tenant hedefi için Uygulama kaydında tekrar yürütülür; soru metni tekilleştirildi.</x:v>
      </x:c>
      <x:c r="F423" s="6" t="str">
        <x:v>Önceki setin ilgili soru satırı</x:v>
      </x:c>
    </x:row>
    <x:row r="424" ht="40" customHeight="1">
      <x:c r="A424" s="6" t="str">
        <x:v>A</x:v>
      </x:c>
      <x:c r="B424" s="6" t="str">
        <x:v>ADC-010</x:v>
      </x:c>
      <x:c r="C424" s="6" t="str">
        <x:v>ADC-010</x:v>
      </x:c>
      <x:c r="D424" s="6" t="str">
        <x:v>Korundu</x:v>
      </x:c>
      <x:c r="E424" s="6" t="str">
        <x:v>Ortak kontrol her ürün/tenant hedefi için Uygulama kaydında tekrar yürütülür; soru metni tekilleştirildi.</x:v>
      </x:c>
      <x:c r="F424" s="6" t="str">
        <x:v>Önceki setin ilgili soru satırı</x:v>
      </x:c>
    </x:row>
    <x:row r="425" ht="40" customHeight="1">
      <x:c r="A425" s="6" t="str">
        <x:v>A</x:v>
      </x:c>
      <x:c r="B425" s="6" t="str">
        <x:v>ADC-011</x:v>
      </x:c>
      <x:c r="C425" s="6" t="str">
        <x:v>ADC-011</x:v>
      </x:c>
      <x:c r="D425" s="6" t="str">
        <x:v>Korundu</x:v>
      </x:c>
      <x:c r="E425" s="6" t="str">
        <x:v>Ortak kontrol her ürün/tenant hedefi için Uygulama kaydında tekrar yürütülür; soru metni tekilleştirildi.</x:v>
      </x:c>
      <x:c r="F425" s="6" t="str">
        <x:v>Önceki setin ilgili soru satırı</x:v>
      </x:c>
    </x:row>
    <x:row r="426" ht="40" customHeight="1">
      <x:c r="A426" s="6" t="str">
        <x:v>A</x:v>
      </x:c>
      <x:c r="B426" s="6" t="str">
        <x:v>ADC-012</x:v>
      </x:c>
      <x:c r="C426" s="6" t="str">
        <x:v>ADC-012</x:v>
      </x:c>
      <x:c r="D426" s="6" t="str">
        <x:v>Korundu</x:v>
      </x:c>
      <x:c r="E426" s="6" t="str">
        <x:v>Ortak kontrol her ürün/tenant hedefi için Uygulama kaydında tekrar yürütülür; soru metni tekilleştirildi.</x:v>
      </x:c>
      <x:c r="F426" s="6" t="str">
        <x:v>Önceki setin ilgili soru satırı</x:v>
      </x:c>
    </x:row>
    <x:row r="427" ht="40" customHeight="1">
      <x:c r="A427" s="6" t="str">
        <x:v>A</x:v>
      </x:c>
      <x:c r="B427" s="6" t="str">
        <x:v>WAF-001</x:v>
      </x:c>
      <x:c r="C427" s="6" t="str">
        <x:v>GNL-02-01</x:v>
      </x:c>
      <x:c r="D427" s="6" t="str">
        <x:v>Birleştirildi</x:v>
      </x:c>
      <x:c r="E427" s="6" t="str">
        <x:v>Ortak kontrol her ürün/tenant hedefi için Uygulama kaydında tekrar yürütülür; soru metni tekilleştirildi.</x:v>
      </x:c>
      <x:c r="F427" s="6" t="str">
        <x:v>Önceki setin ilgili soru satırı</x:v>
      </x:c>
    </x:row>
    <x:row r="428" ht="40" customHeight="1">
      <x:c r="A428" s="6" t="str">
        <x:v>A</x:v>
      </x:c>
      <x:c r="B428" s="6" t="str">
        <x:v>WAF-002</x:v>
      </x:c>
      <x:c r="C428" s="6" t="str">
        <x:v>GNL-04-04</x:v>
      </x:c>
      <x:c r="D428" s="6" t="str">
        <x:v>Birleştirildi</x:v>
      </x:c>
      <x:c r="E428" s="6" t="str">
        <x:v>Ortak kontrol her ürün/tenant hedefi için Uygulama kaydında tekrar yürütülür; soru metni tekilleştirildi.</x:v>
      </x:c>
      <x:c r="F428" s="6" t="str">
        <x:v>Önceki setin ilgili soru satırı</x:v>
      </x:c>
    </x:row>
    <x:row r="429" ht="40" customHeight="1">
      <x:c r="A429" s="6" t="str">
        <x:v>A</x:v>
      </x:c>
      <x:c r="B429" s="6" t="str">
        <x:v>WAF-003</x:v>
      </x:c>
      <x:c r="C429" s="6" t="str">
        <x:v>GNL-05-01</x:v>
      </x:c>
      <x:c r="D429" s="6" t="str">
        <x:v>Birleştirildi</x:v>
      </x:c>
      <x:c r="E429" s="6" t="str">
        <x:v>Ortak kontrol her ürün/tenant hedefi için Uygulama kaydında tekrar yürütülür; soru metni tekilleştirildi.</x:v>
      </x:c>
      <x:c r="F429" s="6" t="str">
        <x:v>Önceki setin ilgili soru satırı</x:v>
      </x:c>
    </x:row>
    <x:row r="430" ht="40" customHeight="1">
      <x:c r="A430" s="6" t="str">
        <x:v>A</x:v>
      </x:c>
      <x:c r="B430" s="6" t="str">
        <x:v>WAF-004</x:v>
      </x:c>
      <x:c r="C430" s="6" t="str">
        <x:v>GNL-09-02</x:v>
      </x:c>
      <x:c r="D430" s="6" t="str">
        <x:v>Birleştirildi</x:v>
      </x:c>
      <x:c r="E430" s="6" t="str">
        <x:v>Ortak kontrol her ürün/tenant hedefi için Uygulama kaydında tekrar yürütülür; soru metni tekilleştirildi.</x:v>
      </x:c>
      <x:c r="F430" s="6" t="str">
        <x:v>Önceki setin ilgili soru satırı</x:v>
      </x:c>
    </x:row>
    <x:row r="431" ht="40" customHeight="1">
      <x:c r="A431" s="6" t="str">
        <x:v>A</x:v>
      </x:c>
      <x:c r="B431" s="6" t="str">
        <x:v>WAF-005</x:v>
      </x:c>
      <x:c r="C431" s="6" t="str">
        <x:v>GNL-08-01
GNL-08-02</x:v>
      </x:c>
      <x:c r="D431" s="6" t="str">
        <x:v>Birleştirildi</x:v>
      </x:c>
      <x:c r="E431" s="6" t="str">
        <x:v>Ortak kontrol her ürün/tenant hedefi için Uygulama kaydında tekrar yürütülür; soru metni tekilleştirildi.</x:v>
      </x:c>
      <x:c r="F431" s="6" t="str">
        <x:v>Önceki setin ilgili soru satırı</x:v>
      </x:c>
    </x:row>
    <x:row r="432" ht="40" customHeight="1">
      <x:c r="A432" s="6" t="str">
        <x:v>A</x:v>
      </x:c>
      <x:c r="B432" s="6" t="str">
        <x:v>WAF-006</x:v>
      </x:c>
      <x:c r="C432" s="6" t="str">
        <x:v>GNL-06-01
GNL-06-02</x:v>
      </x:c>
      <x:c r="D432" s="6" t="str">
        <x:v>Birleştirildi</x:v>
      </x:c>
      <x:c r="E432" s="6" t="str">
        <x:v>Ortak kontrol her ürün/tenant hedefi için Uygulama kaydında tekrar yürütülür; soru metni tekilleştirildi.</x:v>
      </x:c>
      <x:c r="F432" s="6" t="str">
        <x:v>Önceki setin ilgili soru satırı</x:v>
      </x:c>
    </x:row>
    <x:row r="433" ht="40" customHeight="1">
      <x:c r="A433" s="6" t="str">
        <x:v>A</x:v>
      </x:c>
      <x:c r="B433" s="6" t="str">
        <x:v>WAF-007</x:v>
      </x:c>
      <x:c r="C433" s="6" t="str">
        <x:v>WAF-007</x:v>
      </x:c>
      <x:c r="D433" s="6" t="str">
        <x:v>Korundu</x:v>
      </x:c>
      <x:c r="E433" s="6" t="str">
        <x:v>Ortak kontrol her ürün/tenant hedefi için Uygulama kaydında tekrar yürütülür; soru metni tekilleştirildi.</x:v>
      </x:c>
      <x:c r="F433" s="6" t="str">
        <x:v>Önceki setin ilgili soru satırı</x:v>
      </x:c>
    </x:row>
    <x:row r="434" ht="40" customHeight="1">
      <x:c r="A434" s="6" t="str">
        <x:v>A</x:v>
      </x:c>
      <x:c r="B434" s="6" t="str">
        <x:v>WAF-008</x:v>
      </x:c>
      <x:c r="C434" s="6" t="str">
        <x:v>WAF-008</x:v>
      </x:c>
      <x:c r="D434" s="6" t="str">
        <x:v>Korundu</x:v>
      </x:c>
      <x:c r="E434" s="6" t="str">
        <x:v>Ortak kontrol her ürün/tenant hedefi için Uygulama kaydında tekrar yürütülür; soru metni tekilleştirildi.</x:v>
      </x:c>
      <x:c r="F434" s="6" t="str">
        <x:v>Önceki setin ilgili soru satırı</x:v>
      </x:c>
    </x:row>
    <x:row r="435" ht="40" customHeight="1">
      <x:c r="A435" s="6" t="str">
        <x:v>A</x:v>
      </x:c>
      <x:c r="B435" s="6" t="str">
        <x:v>WAF-009</x:v>
      </x:c>
      <x:c r="C435" s="6" t="str">
        <x:v>WAF-009</x:v>
      </x:c>
      <x:c r="D435" s="6" t="str">
        <x:v>Korundu</x:v>
      </x:c>
      <x:c r="E435" s="6" t="str">
        <x:v>Ortak kontrol her ürün/tenant hedefi için Uygulama kaydında tekrar yürütülür; soru metni tekilleştirildi.</x:v>
      </x:c>
      <x:c r="F435" s="6" t="str">
        <x:v>Önceki setin ilgili soru satırı</x:v>
      </x:c>
    </x:row>
    <x:row r="436" ht="40" customHeight="1">
      <x:c r="A436" s="6" t="str">
        <x:v>A</x:v>
      </x:c>
      <x:c r="B436" s="6" t="str">
        <x:v>WAF-010</x:v>
      </x:c>
      <x:c r="C436" s="6" t="str">
        <x:v>WAF-010</x:v>
      </x:c>
      <x:c r="D436" s="6" t="str">
        <x:v>Korundu</x:v>
      </x:c>
      <x:c r="E436" s="6" t="str">
        <x:v>Ortak kontrol her ürün/tenant hedefi için Uygulama kaydında tekrar yürütülür; soru metni tekilleştirildi.</x:v>
      </x:c>
      <x:c r="F436" s="6" t="str">
        <x:v>Önceki setin ilgili soru satırı</x:v>
      </x:c>
    </x:row>
    <x:row r="437" ht="40" customHeight="1">
      <x:c r="A437" s="6" t="str">
        <x:v>A</x:v>
      </x:c>
      <x:c r="B437" s="6" t="str">
        <x:v>WAF-011</x:v>
      </x:c>
      <x:c r="C437" s="6" t="str">
        <x:v>WAF-011</x:v>
      </x:c>
      <x:c r="D437" s="6" t="str">
        <x:v>Korundu</x:v>
      </x:c>
      <x:c r="E437" s="6" t="str">
        <x:v>Ortak kontrol her ürün/tenant hedefi için Uygulama kaydında tekrar yürütülür; soru metni tekilleştirildi.</x:v>
      </x:c>
      <x:c r="F437" s="6" t="str">
        <x:v>Önceki setin ilgili soru satırı</x:v>
      </x:c>
    </x:row>
    <x:row r="438" ht="40" customHeight="1">
      <x:c r="A438" s="6" t="str">
        <x:v>A</x:v>
      </x:c>
      <x:c r="B438" s="6" t="str">
        <x:v>WAF-012</x:v>
      </x:c>
      <x:c r="C438" s="6" t="str">
        <x:v>WAF-012</x:v>
      </x:c>
      <x:c r="D438" s="6" t="str">
        <x:v>Korundu</x:v>
      </x:c>
      <x:c r="E438" s="6" t="str">
        <x:v>Ortak kontrol her ürün/tenant hedefi için Uygulama kaydında tekrar yürütülür; soru metni tekilleştirildi.</x:v>
      </x:c>
      <x:c r="F438" s="6" t="str">
        <x:v>Önceki setin ilgili soru satırı</x:v>
      </x:c>
    </x:row>
    <x:row r="439" ht="40" customHeight="1">
      <x:c r="A439" s="6" t="str">
        <x:v>A</x:v>
      </x:c>
      <x:c r="B439" s="6" t="str">
        <x:v>WAF-013</x:v>
      </x:c>
      <x:c r="C439" s="6" t="str">
        <x:v>WAF-013</x:v>
      </x:c>
      <x:c r="D439" s="6" t="str">
        <x:v>Korundu</x:v>
      </x:c>
      <x:c r="E439" s="6" t="str">
        <x:v>Ortak kontrol her ürün/tenant hedefi için Uygulama kaydında tekrar yürütülür; soru metni tekilleştirildi.</x:v>
      </x:c>
      <x:c r="F439" s="6" t="str">
        <x:v>Önceki setin ilgili soru satırı</x:v>
      </x:c>
    </x:row>
    <x:row r="440" ht="40" customHeight="1">
      <x:c r="A440" s="6" t="str">
        <x:v>A</x:v>
      </x:c>
      <x:c r="B440" s="6" t="str">
        <x:v>WAF-014</x:v>
      </x:c>
      <x:c r="C440" s="6" t="str">
        <x:v>WAF-014</x:v>
      </x:c>
      <x:c r="D440" s="6" t="str">
        <x:v>Korundu</x:v>
      </x:c>
      <x:c r="E440" s="6" t="str">
        <x:v>Ortak kontrol her ürün/tenant hedefi için Uygulama kaydında tekrar yürütülür; soru metni tekilleştirildi.</x:v>
      </x:c>
      <x:c r="F440" s="6" t="str">
        <x:v>Önceki setin ilgili soru satırı</x:v>
      </x:c>
    </x:row>
    <x:row r="441" ht="40" customHeight="1">
      <x:c r="A441" s="6" t="str">
        <x:v>V6</x:v>
      </x:c>
      <x:c r="B441" s="6" t="str">
        <x:v>VMW-K01/S01</x:v>
      </x:c>
      <x:c r="C441" s="6" t="str">
        <x:v>VMW-V01-01</x:v>
      </x:c>
      <x:c r="D441" s="6" t="str">
        <x:v>Eklendi</x:v>
      </x:c>
      <x:c r="E441" s="6" t="str">
        <x:v>Aynı kontrol amacı korunarak tek soruya veya bileşen testlerine bağlandı; eski ölçütteki kurum varsayımları CIS kabul değeri değildir.</x:v>
      </x:c>
      <x:c r="F441" s="6" t="str">
        <x:v>SSO yapılandırması, kullanıcı/rol exportu, login logları</x:v>
      </x:c>
    </x:row>
    <x:row r="442" ht="40" customHeight="1">
      <x:c r="A442" s="6" t="str">
        <x:v>V6</x:v>
      </x:c>
      <x:c r="B442" s="6" t="str">
        <x:v>VMW-K01/S02</x:v>
      </x:c>
      <x:c r="C442" s="6" t="str">
        <x:v>GNL-05-03</x:v>
      </x:c>
      <x:c r="D442" s="6" t="str">
        <x:v>Birleştirildi</x:v>
      </x:c>
      <x:c r="E442" s="6" t="str">
        <x:v>Aynı kontrol amacı korunarak tek soruya veya bileşen testlerine bağlandı; eski ölçütteki kurum varsayımları CIS kabul değeri değildir.</x:v>
      </x:c>
      <x:c r="F442" s="6" t="str">
        <x:v>SSO grup üyeleri, PAM ve audit logları</x:v>
      </x:c>
    </x:row>
    <x:row r="443" ht="40" customHeight="1">
      <x:c r="A443" s="6" t="str">
        <x:v>V6</x:v>
      </x:c>
      <x:c r="B443" s="6" t="str">
        <x:v>VMW-K01/S03</x:v>
      </x:c>
      <x:c r="C443" s="6" t="str">
        <x:v>VCT-007</x:v>
      </x:c>
      <x:c r="D443" s="6" t="str">
        <x:v>Birleştirildi</x:v>
      </x:c>
      <x:c r="E443" s="6" t="str">
        <x:v>Aynı kontrol amacı korunarak tek soruya veya bileşen testlerine bağlandı; eski ölçütteki kurum varsayımları CIS kabul değeri değildir.</x:v>
      </x:c>
      <x:c r="F443" s="6" t="str">
        <x:v>Global Permissions ve rol exportu</x:v>
      </x:c>
    </x:row>
    <x:row r="444" ht="40" customHeight="1">
      <x:c r="A444" s="6" t="str">
        <x:v>V6</x:v>
      </x:c>
      <x:c r="B444" s="6" t="str">
        <x:v>VMW-K01/S04</x:v>
      </x:c>
      <x:c r="C444" s="6" t="str">
        <x:v>GNL-04-04</x:v>
      </x:c>
      <x:c r="D444" s="6" t="str">
        <x:v>Birleştirildi</x:v>
      </x:c>
      <x:c r="E444" s="6" t="str">
        <x:v>Aynı kontrol amacı korunarak tek soruya veya bileşen testlerine bağlandı; eski ölçütteki kurum varsayımları CIS kabul değeri değildir.</x:v>
      </x:c>
      <x:c r="F444" s="6" t="str">
        <x:v>Rol/privilege exportu ve görev matrisi</x:v>
      </x:c>
    </x:row>
    <x:row r="445" ht="40" customHeight="1">
      <x:c r="A445" s="6" t="str">
        <x:v>V6</x:v>
      </x:c>
      <x:c r="B445" s="6" t="str">
        <x:v>VMW-K02/S01</x:v>
      </x:c>
      <x:c r="C445" s="6" t="str">
        <x:v>ESX-063</x:v>
      </x:c>
      <x:c r="D445" s="6" t="str">
        <x:v>Birleştirildi</x:v>
      </x:c>
      <x:c r="E445" s="6" t="str">
        <x:v>Aynı kontrol amacı korunarak tek soruya veya bileşen testlerine bağlandı; eski ölçütteki kurum varsayımları CIS kabul değeri değildir.</x:v>
      </x:c>
      <x:c r="F445" s="6" t="str">
        <x:v>Host hesapları, auth logları, erişim politikası</x:v>
      </x:c>
    </x:row>
    <x:row r="446" ht="40" customHeight="1">
      <x:c r="A446" s="6" t="str">
        <x:v>V6</x:v>
      </x:c>
      <x:c r="B446" s="6" t="str">
        <x:v>VMW-K02/S02</x:v>
      </x:c>
      <x:c r="C446" s="6" t="str">
        <x:v>ESX-028</x:v>
      </x:c>
      <x:c r="D446" s="6" t="str">
        <x:v>Birleştirildi</x:v>
      </x:c>
      <x:c r="E446" s="6" t="str">
        <x:v>Aynı kontrol amacı korunarak tek soruya veya bileşen testlerine bağlandı; eski ölçütteki kurum varsayımları CIS kabul değeri değildir.</x:v>
      </x:c>
      <x:c r="F446" s="6" t="str">
        <x:v>Host güvenlik profili/PowerCLI exportu</x:v>
      </x:c>
    </x:row>
    <x:row r="447" ht="40" customHeight="1">
      <x:c r="A447" s="6" t="str">
        <x:v>V6</x:v>
      </x:c>
      <x:c r="B447" s="6" t="str">
        <x:v>VMW-K02/S03</x:v>
      </x:c>
      <x:c r="C447" s="6" t="str">
        <x:v>ESX-018</x:v>
      </x:c>
      <x:c r="D447" s="6" t="str">
        <x:v>Birleştirildi</x:v>
      </x:c>
      <x:c r="E447" s="6" t="str">
        <x:v>Aynı kontrol amacı korunarak tek soruya veya bileşen testlerine bağlandı; eski ölçütteki kurum varsayımları CIS kabul değeri değildir.</x:v>
      </x:c>
      <x:c r="F447" s="6" t="str">
        <x:v>Servis durumu, vCenter alarmı ve auth logları</x:v>
      </x:c>
    </x:row>
    <x:row r="448" ht="40" customHeight="1">
      <x:c r="A448" s="6" t="str">
        <x:v>V6</x:v>
      </x:c>
      <x:c r="B448" s="6" t="str">
        <x:v>VMW-K02/S04</x:v>
      </x:c>
      <x:c r="C448" s="6" t="str">
        <x:v>ESX-002
ESX-003</x:v>
      </x:c>
      <x:c r="D448" s="6" t="str">
        <x:v>Birleştirildi</x:v>
      </x:c>
      <x:c r="E448" s="6" t="str">
        <x:v>Aynı kontrol amacı korunarak tek soruya veya bileşen testlerine bağlandı; eski ölçütteki kurum varsayımları CIS kabul değeri değildir.</x:v>
      </x:c>
      <x:c r="F448" s="6" t="str">
        <x:v>Host attestation/secure boot raporu</x:v>
      </x:c>
    </x:row>
    <x:row r="449" ht="40" customHeight="1">
      <x:c r="A449" s="6" t="str">
        <x:v>V6</x:v>
      </x:c>
      <x:c r="B449" s="6" t="str">
        <x:v>VMW-K02/S05</x:v>
      </x:c>
      <x:c r="C449" s="6" t="str">
        <x:v>GNL-06-02</x:v>
      </x:c>
      <x:c r="D449" s="6" t="str">
        <x:v>Birleştirildi</x:v>
      </x:c>
      <x:c r="E449" s="6" t="str">
        <x:v>Aynı kontrol amacı korunarak tek soruya veya bileşen testlerine bağlandı; eski ölçütteki kurum varsayımları CIS kabul değeri değildir.</x:v>
      </x:c>
      <x:c r="F449" s="6" t="str">
        <x:v>Host Profile compliance raporu</x:v>
      </x:c>
    </x:row>
    <x:row r="450" ht="40" customHeight="1">
      <x:c r="A450" s="6" t="str">
        <x:v>V6</x:v>
      </x:c>
      <x:c r="B450" s="6" t="str">
        <x:v>VMW-K02/S06</x:v>
      </x:c>
      <x:c r="C450" s="6" t="str">
        <x:v>ESX-001
ESX-011</x:v>
      </x:c>
      <x:c r="D450" s="6" t="str">
        <x:v>Birleştirildi</x:v>
      </x:c>
      <x:c r="E450" s="6" t="str">
        <x:v>Aynı kontrol amacı korunarak tek soruya veya bileşen testlerine bağlandı; eski ölçütteki kurum varsayımları CIS kabul değeri değildir.</x:v>
      </x:c>
      <x:c r="F450" s="6" t="str">
        <x:v>vLCM compliance, HCL ve değişiklik kayıtları</x:v>
      </x:c>
    </x:row>
    <x:row r="451" ht="40" customHeight="1">
      <x:c r="A451" s="6" t="str">
        <x:v>V6</x:v>
      </x:c>
      <x:c r="B451" s="6" t="str">
        <x:v>VMW-K03/S01</x:v>
      </x:c>
      <x:c r="C451" s="6" t="str">
        <x:v>ESX-032
ESX-034</x:v>
      </x:c>
      <x:c r="D451" s="6" t="str">
        <x:v>Birleştirildi</x:v>
      </x:c>
      <x:c r="E451" s="6" t="str">
        <x:v>Aynı kontrol amacı korunarak tek soruya veya bileşen testlerine bağlandı; eski ölçütteki kurum varsayımları CIS kabul değeri değildir.</x:v>
      </x:c>
      <x:c r="F451" s="6" t="str">
        <x:v>Syslog ayarı, SIEM kaynak listesi ve test olayı</x:v>
      </x:c>
    </x:row>
    <x:row r="452" ht="40" customHeight="1">
      <x:c r="A452" s="6" t="str">
        <x:v>V6</x:v>
      </x:c>
      <x:c r="B452" s="6" t="str">
        <x:v>VMW-K03/S02</x:v>
      </x:c>
      <x:c r="C452" s="6" t="str">
        <x:v>ESX-032</x:v>
      </x:c>
      <x:c r="D452" s="6" t="str">
        <x:v>Birleştirildi</x:v>
      </x:c>
      <x:c r="E452" s="6" t="str">
        <x:v>Aynı kontrol amacı korunarak tek soruya veya bileşen testlerine bağlandı; eski ölçütteki kurum varsayımları CIS kabul değeri değildir.</x:v>
      </x:c>
      <x:c r="F452" s="6" t="str">
        <x:v>Syslog.global, scratch/log konumu ve kapasite alarmı</x:v>
      </x:c>
    </x:row>
    <x:row r="453" ht="40" customHeight="1">
      <x:c r="A453" s="6" t="str">
        <x:v>V6</x:v>
      </x:c>
      <x:c r="B453" s="6" t="str">
        <x:v>VMW-K04/S01</x:v>
      </x:c>
      <x:c r="C453" s="6" t="str">
        <x:v>ESX-036</x:v>
      </x:c>
      <x:c r="D453" s="6" t="str">
        <x:v>Birleştirildi</x:v>
      </x:c>
      <x:c r="E453" s="6" t="str">
        <x:v>Aynı kontrol amacı korunarak tek soruya veya bileşen testlerine bağlandı; eski ölçütteki kurum varsayımları CIS kabul değeri değildir.</x:v>
      </x:c>
      <x:c r="F453" s="6" t="str">
        <x:v>VDS/vSwitch, VLAN/segment ve firewall exportu</x:v>
      </x:c>
    </x:row>
    <x:row r="454" ht="40" customHeight="1">
      <x:c r="A454" s="6" t="str">
        <x:v>V6</x:v>
      </x:c>
      <x:c r="B454" s="6" t="str">
        <x:v>VMW-K04/S02</x:v>
      </x:c>
      <x:c r="C454" s="6" t="str">
        <x:v>ESX-036</x:v>
      </x:c>
      <x:c r="D454" s="6" t="str">
        <x:v>Birleştirildi</x:v>
      </x:c>
      <x:c r="E454" s="6" t="str">
        <x:v>Aynı kontrol amacı korunarak tek soruya veya bileşen testlerine bağlandı; eski ölçütteki kurum varsayımları CIS kabul değeri değildir.</x:v>
      </x:c>
      <x:c r="F454" s="6" t="str">
        <x:v>Host firewall ruleset exportu ve bağlantı testi</x:v>
      </x:c>
    </x:row>
    <x:row r="455" ht="40" customHeight="1">
      <x:c r="A455" s="6" t="str">
        <x:v>V6</x:v>
      </x:c>
      <x:c r="B455" s="6" t="str">
        <x:v>VMW-K05/S01</x:v>
      </x:c>
      <x:c r="C455" s="6" t="str">
        <x:v>VMO-008</x:v>
      </x:c>
      <x:c r="D455" s="6" t="str">
        <x:v>Birleştirildi</x:v>
      </x:c>
      <x:c r="E455" s="6" t="str">
        <x:v>Aynı kontrol amacı korunarak tek soruya veya bileşen testlerine bağlandı; eski ölçütteki kurum varsayımları CIS kabul değeri değildir.</x:v>
      </x:c>
      <x:c r="F455" s="6" t="str">
        <x:v>vmkernel/VDS yapılandırması ve akış testi</x:v>
      </x:c>
    </x:row>
    <x:row r="456" ht="40" customHeight="1">
      <x:c r="A456" s="6" t="str">
        <x:v>V6</x:v>
      </x:c>
      <x:c r="B456" s="6" t="str">
        <x:v>VMW-K05/S02</x:v>
      </x:c>
      <x:c r="C456" s="6" t="str">
        <x:v>VMO-C01</x:v>
      </x:c>
      <x:c r="D456" s="6" t="str">
        <x:v>Birleştirildi</x:v>
      </x:c>
      <x:c r="E456" s="6" t="str">
        <x:v>Aynı kontrol amacı korunarak tek soruya veya bileşen testlerine bağlandı; eski ölçütteki kurum varsayımları CIS kabul değeri değildir.</x:v>
      </x:c>
      <x:c r="F456" s="6" t="str">
        <x:v>VM encryption/vMotion policy exportu</x:v>
      </x:c>
    </x:row>
    <x:row r="457" ht="55" customHeight="1">
      <x:c r="A457" s="6" t="str">
        <x:v>V6</x:v>
      </x:c>
      <x:c r="B457" s="6" t="str">
        <x:v>VMW-K05/S03</x:v>
      </x:c>
      <x:c r="C457" s="6" t="str">
        <x:v>VDS-007
VDS-008
VDS-009</x:v>
      </x:c>
      <x:c r="D457" s="6" t="str">
        <x:v>Birleştirildi</x:v>
      </x:c>
      <x:c r="E457" s="6" t="str">
        <x:v>Aynı kontrol amacı korunarak tek soruya veya bileşen testlerine bağlandı; eski ölçütteki kurum varsayımları CIS kabul değeri değildir.</x:v>
      </x:c>
      <x:c r="F457" s="6" t="str">
        <x:v>VDS/port group security exportu</x:v>
      </x:c>
    </x:row>
    <x:row r="458" ht="40" customHeight="1">
      <x:c r="A458" s="6" t="str">
        <x:v>V6</x:v>
      </x:c>
      <x:c r="B458" s="6" t="str">
        <x:v>VMW-K05/S04</x:v>
      </x:c>
      <x:c r="C458" s="6" t="str">
        <x:v>VDS-010</x:v>
      </x:c>
      <x:c r="D458" s="6" t="str">
        <x:v>Birleştirildi</x:v>
      </x:c>
      <x:c r="E458" s="6" t="str">
        <x:v>Aynı kontrol amacı korunarak tek soruya veya bileşen testlerine bağlandı; eski ölçütteki kurum varsayımları CIS kabul değeri değildir.</x:v>
      </x:c>
      <x:c r="F458" s="6" t="str">
        <x:v>Port group/VLAN matrisi ve fiziksel switch trunk exportu</x:v>
      </x:c>
    </x:row>
    <x:row r="459" ht="40" customHeight="1">
      <x:c r="A459" s="6" t="str">
        <x:v>V6</x:v>
      </x:c>
      <x:c r="B459" s="6" t="str">
        <x:v>VMW-K05/S05</x:v>
      </x:c>
      <x:c r="C459" s="6" t="str">
        <x:v>GNL-07-01
VDS-012</x:v>
      </x:c>
      <x:c r="D459" s="6" t="str">
        <x:v>Birleştirildi</x:v>
      </x:c>
      <x:c r="E459" s="6" t="str">
        <x:v>Aynı kontrol amacı korunarak tek soruya veya bileşen testlerine bağlandı; eski ölçütteki kurum varsayımları CIS kabul değeri değildir.</x:v>
      </x:c>
      <x:c r="F459" s="6" t="str">
        <x:v>VDS değişiklikleri, config backup ve audit log</x:v>
      </x:c>
    </x:row>
    <x:row r="460" ht="40" customHeight="1">
      <x:c r="A460" s="6" t="str">
        <x:v>V6</x:v>
      </x:c>
      <x:c r="B460" s="6" t="str">
        <x:v>VMW-K06/S01</x:v>
      </x:c>
      <x:c r="C460" s="6" t="str">
        <x:v>NSX-010</x:v>
      </x:c>
      <x:c r="D460" s="6" t="str">
        <x:v>Birleştirildi</x:v>
      </x:c>
      <x:c r="E460" s="6" t="str">
        <x:v>Aynı kontrol amacı korunarak tek soruya veya bileşen testlerine bağlandı; eski ölçütteki kurum varsayımları CIS kabul değeri değildir.</x:v>
      </x:c>
      <x:c r="F460" s="6" t="str">
        <x:v>NSX inventory ve tenant-resource matrisi</x:v>
      </x:c>
    </x:row>
    <x:row r="461" ht="40" customHeight="1">
      <x:c r="A461" s="6" t="str">
        <x:v>V6</x:v>
      </x:c>
      <x:c r="B461" s="6" t="str">
        <x:v>VMW-K06/S02</x:v>
      </x:c>
      <x:c r="C461" s="6" t="str">
        <x:v>NSX-007</x:v>
      </x:c>
      <x:c r="D461" s="6" t="str">
        <x:v>Birleştirildi</x:v>
      </x:c>
      <x:c r="E461" s="6" t="str">
        <x:v>Aynı kontrol amacı korunarak tek soruya veya bileşen testlerine bağlandı; eski ölçütteki kurum varsayımları CIS kabul değeri değildir.</x:v>
      </x:c>
      <x:c r="F461" s="6" t="str">
        <x:v>DFW policy exportu, hit count ve trafik testi</x:v>
      </x:c>
    </x:row>
    <x:row r="462" ht="40" customHeight="1">
      <x:c r="A462" s="6" t="str">
        <x:v>V6</x:v>
      </x:c>
      <x:c r="B462" s="6" t="str">
        <x:v>VMW-K06/S03</x:v>
      </x:c>
      <x:c r="C462" s="6" t="str">
        <x:v>NSX-008</x:v>
      </x:c>
      <x:c r="D462" s="6" t="str">
        <x:v>Birleştirildi</x:v>
      </x:c>
      <x:c r="E462" s="6" t="str">
        <x:v>Aynı kontrol amacı korunarak tek soruya veya bileşen testlerine bağlandı; eski ölçütteki kurum varsayımları CIS kabul değeri değildir.</x:v>
      </x:c>
      <x:c r="F462" s="6" t="str">
        <x:v>Security group/tag membership exportu ve negatif test</x:v>
      </x:c>
    </x:row>
    <x:row r="463" ht="40" customHeight="1">
      <x:c r="A463" s="6" t="str">
        <x:v>V6</x:v>
      </x:c>
      <x:c r="B463" s="6" t="str">
        <x:v>VMW-K06/S04</x:v>
      </x:c>
      <x:c r="C463" s="6" t="str">
        <x:v>GNL-04-04</x:v>
      </x:c>
      <x:c r="D463" s="6" t="str">
        <x:v>Birleştirildi</x:v>
      </x:c>
      <x:c r="E463" s="6" t="str">
        <x:v>Aynı kontrol amacı korunarak tek soruya veya bileşen testlerine bağlandı; eski ölçütteki kurum varsayımları CIS kabul değeri değildir.</x:v>
      </x:c>
      <x:c r="F463" s="6" t="str">
        <x:v>NSX user/role exportu</x:v>
      </x:c>
    </x:row>
    <x:row r="464" ht="40" customHeight="1">
      <x:c r="A464" s="6" t="str">
        <x:v>V6</x:v>
      </x:c>
      <x:c r="B464" s="6" t="str">
        <x:v>VMW-K06/S05</x:v>
      </x:c>
      <x:c r="C464" s="6" t="str">
        <x:v>NSX-011</x:v>
      </x:c>
      <x:c r="D464" s="6" t="str">
        <x:v>Birleştirildi</x:v>
      </x:c>
      <x:c r="E464" s="6" t="str">
        <x:v>Aynı kontrol amacı korunarak tek soruya veya bileşen testlerine bağlandı; eski ölçütteki kurum varsayımları CIS kabul değeri değildir.</x:v>
      </x:c>
      <x:c r="F464" s="6" t="str">
        <x:v>NSX log config ve SIEM örnekleri</x:v>
      </x:c>
    </x:row>
    <x:row r="465" ht="40" customHeight="1">
      <x:c r="A465" s="6" t="str">
        <x:v>V6</x:v>
      </x:c>
      <x:c r="B465" s="6" t="str">
        <x:v>VMW-K06/S06</x:v>
      </x:c>
      <x:c r="C465" s="6" t="str">
        <x:v>VMW-V06-06</x:v>
      </x:c>
      <x:c r="D465" s="6" t="str">
        <x:v>Eklendi</x:v>
      </x:c>
      <x:c r="E465" s="6" t="str">
        <x:v>Aynı kontrol amacı korunarak tek soruya veya bileşen testlerine bağlandı; eski ölçütteki kurum varsayımları CIS kabul değeri değildir.</x:v>
      </x:c>
      <x:c r="F465" s="6" t="str">
        <x:v>NSX alarm ve olay kayıtları</x:v>
      </x:c>
    </x:row>
    <x:row r="466" ht="40" customHeight="1">
      <x:c r="A466" s="6" t="str">
        <x:v>V6</x:v>
      </x:c>
      <x:c r="B466" s="6" t="str">
        <x:v>VMW-K07/S01</x:v>
      </x:c>
      <x:c r="C466" s="6" t="str">
        <x:v>VSN-008</x:v>
      </x:c>
      <x:c r="D466" s="6" t="str">
        <x:v>Birleştirildi</x:v>
      </x:c>
      <x:c r="E466" s="6" t="str">
        <x:v>Aynı kontrol amacı korunarak tek soruya veya bileşen testlerine bağlandı; eski ölçütteki kurum varsayımları CIS kabul değeri değildir.</x:v>
      </x:c>
      <x:c r="F466" s="6" t="str">
        <x:v>vSAN encryption/KMS/cluster health exportu</x:v>
      </x:c>
    </x:row>
    <x:row r="467" ht="40" customHeight="1">
      <x:c r="A467" s="6" t="str">
        <x:v>V6</x:v>
      </x:c>
      <x:c r="B467" s="6" t="str">
        <x:v>VMW-K07/S02</x:v>
      </x:c>
      <x:c r="C467" s="6" t="str">
        <x:v>VMW-V07-02</x:v>
      </x:c>
      <x:c r="D467" s="6" t="str">
        <x:v>Eklendi</x:v>
      </x:c>
      <x:c r="E467" s="6" t="str">
        <x:v>Aynı kontrol amacı korunarak tek soruya veya bileşen testlerine bağlandı; eski ölçütteki kurum varsayımları CIS kabul değeri değildir.</x:v>
      </x:c>
      <x:c r="F467" s="6" t="str">
        <x:v>SPBM/storage policy, datastore ve permission exportu</x:v>
      </x:c>
    </x:row>
    <x:row r="468" ht="40" customHeight="1">
      <x:c r="A468" s="6" t="str">
        <x:v>V6</x:v>
      </x:c>
      <x:c r="B468" s="6" t="str">
        <x:v>VMW-K07/S03</x:v>
      </x:c>
      <x:c r="C468" s="6" t="str">
        <x:v>VSN-010
VSN-011</x:v>
      </x:c>
      <x:c r="D468" s="6" t="str">
        <x:v>Birleştirildi</x:v>
      </x:c>
      <x:c r="E468" s="6" t="str">
        <x:v>Aynı kontrol amacı korunarak tek soruya veya bileşen testlerine bağlandı; eski ölçütteki kurum varsayımları CIS kabul değeri değildir.</x:v>
      </x:c>
      <x:c r="F468" s="6" t="str">
        <x:v>vSAN health/capacity raporu ve alarm</x:v>
      </x:c>
    </x:row>
    <x:row r="469" ht="40" customHeight="1">
      <x:c r="A469" s="6" t="str">
        <x:v>V6</x:v>
      </x:c>
      <x:c r="B469" s="6" t="str">
        <x:v>VMW-K07/S04</x:v>
      </x:c>
      <x:c r="C469" s="6" t="str">
        <x:v>VSN-011</x:v>
      </x:c>
      <x:c r="D469" s="6" t="str">
        <x:v>Birleştirildi</x:v>
      </x:c>
      <x:c r="E469" s="6" t="str">
        <x:v>Aynı kontrol amacı korunarak tek soruya veya bileşen testlerine bağlandı; eski ölçütteki kurum varsayımları CIS kabul değeri değildir.</x:v>
      </x:c>
      <x:c r="F469" s="6" t="str">
        <x:v>vCenter/vSAN alarm ve SIEM kayıtları</x:v>
      </x:c>
    </x:row>
    <x:row r="470" ht="40" customHeight="1">
      <x:c r="A470" s="6" t="str">
        <x:v>V6</x:v>
      </x:c>
      <x:c r="B470" s="6" t="str">
        <x:v>VMW-K08/S01</x:v>
      </x:c>
      <x:c r="C470" s="6" t="str">
        <x:v>VCD-008</x:v>
      </x:c>
      <x:c r="D470" s="6" t="str">
        <x:v>Birleştirildi</x:v>
      </x:c>
      <x:c r="E470" s="6" t="str">
        <x:v>Aynı kontrol amacı korunarak tek soruya veya bileşen testlerine bağlandı; eski ölçütteki kurum varsayımları CIS kabul değeri değildir.</x:v>
      </x:c>
      <x:c r="F470" s="6" t="str">
        <x:v>VCD org/orgVDC/providerVDC exportu</x:v>
      </x:c>
    </x:row>
    <x:row r="471" ht="40" customHeight="1">
      <x:c r="A471" s="6" t="str">
        <x:v>V6</x:v>
      </x:c>
      <x:c r="B471" s="6" t="str">
        <x:v>VMW-K08/S02</x:v>
      </x:c>
      <x:c r="C471" s="6" t="str">
        <x:v>VCD-007</x:v>
      </x:c>
      <x:c r="D471" s="6" t="str">
        <x:v>Birleştirildi</x:v>
      </x:c>
      <x:c r="E471" s="6" t="str">
        <x:v>Aynı kontrol amacı korunarak tek soruya veya bileşen testlerine bağlandı; eski ölçütteki kurum varsayımları CIS kabul değeri değildir.</x:v>
      </x:c>
      <x:c r="F471" s="6" t="str">
        <x:v>VCD kullanıcı/rol exportu</x:v>
      </x:c>
    </x:row>
    <x:row r="472" ht="40" customHeight="1">
      <x:c r="A472" s="6" t="str">
        <x:v>V6</x:v>
      </x:c>
      <x:c r="B472" s="6" t="str">
        <x:v>VMW-K08/S03</x:v>
      </x:c>
      <x:c r="C472" s="6" t="str">
        <x:v>VCD-007</x:v>
      </x:c>
      <x:c r="D472" s="6" t="str">
        <x:v>Birleştirildi</x:v>
      </x:c>
      <x:c r="E472" s="6" t="str">
        <x:v>Aynı kontrol amacı korunarak tek soruya veya bileşen testlerine bağlandı; eski ölçütteki kurum varsayımları CIS kabul değeri değildir.</x:v>
      </x:c>
      <x:c r="F472" s="6" t="str">
        <x:v>Rights bundle/global tenant role exportu</x:v>
      </x:c>
    </x:row>
    <x:row r="473" ht="40" customHeight="1">
      <x:c r="A473" s="6" t="str">
        <x:v>V6</x:v>
      </x:c>
      <x:c r="B473" s="6" t="str">
        <x:v>VMW-K08/S04</x:v>
      </x:c>
      <x:c r="C473" s="6" t="str">
        <x:v>VMW-V08-04</x:v>
      </x:c>
      <x:c r="D473" s="6" t="str">
        <x:v>Eklendi</x:v>
      </x:c>
      <x:c r="E473" s="6" t="str">
        <x:v>Aynı kontrol amacı korunarak tek soruya veya bileşen testlerine bağlandı; eski ölçütteki kurum varsayımları CIS kabul değeri değildir.</x:v>
      </x:c>
      <x:c r="F473" s="6" t="str">
        <x:v>Catalog sharing ve publish/subscription ayarları</x:v>
      </x:c>
    </x:row>
    <x:row r="474" ht="40" customHeight="1">
      <x:c r="A474" s="6" t="str">
        <x:v>V6</x:v>
      </x:c>
      <x:c r="B474" s="6" t="str">
        <x:v>VMW-K08/S05</x:v>
      </x:c>
      <x:c r="C474" s="6" t="str">
        <x:v>VCD-008</x:v>
      </x:c>
      <x:c r="D474" s="6" t="str">
        <x:v>Birleştirildi</x:v>
      </x:c>
      <x:c r="E474" s="6" t="str">
        <x:v>Aynı kontrol amacı korunarak tek soruya veya bileşen testlerine bağlandı; eski ölçütteki kurum varsayımları CIS kabul değeri değildir.</x:v>
      </x:c>
      <x:c r="F474" s="6" t="str">
        <x:v>VCD/NSX network mapping ve negatif test</x:v>
      </x:c>
    </x:row>
    <x:row r="475" ht="40" customHeight="1">
      <x:c r="A475" s="6" t="str">
        <x:v>V6</x:v>
      </x:c>
      <x:c r="B475" s="6" t="str">
        <x:v>VMW-K08/S06</x:v>
      </x:c>
      <x:c r="C475" s="6" t="str">
        <x:v>VCD-010</x:v>
      </x:c>
      <x:c r="D475" s="6" t="str">
        <x:v>Birleştirildi</x:v>
      </x:c>
      <x:c r="E475" s="6" t="str">
        <x:v>Aynı kontrol amacı korunarak tek soruya veya bileşen testlerine bağlandı; eski ölçütteki kurum varsayımları CIS kabul değeri değildir.</x:v>
      </x:c>
      <x:c r="F475" s="6" t="str">
        <x:v>OrgVDC quota/allocation model exportu</x:v>
      </x:c>
    </x:row>
    <x:row r="476" ht="40" customHeight="1">
      <x:c r="A476" s="6" t="str">
        <x:v>V6</x:v>
      </x:c>
      <x:c r="B476" s="6" t="str">
        <x:v>VMW-K08/S07</x:v>
      </x:c>
      <x:c r="C476" s="6" t="str">
        <x:v>GNL-09-02</x:v>
      </x:c>
      <x:c r="D476" s="6" t="str">
        <x:v>Birleştirildi</x:v>
      </x:c>
      <x:c r="E476" s="6" t="str">
        <x:v>Aynı kontrol amacı korunarak tek soruya veya bileşen testlerine bağlandı; eski ölçütteki kurum varsayımları CIS kabul değeri değildir.</x:v>
      </x:c>
      <x:c r="F476" s="6" t="str">
        <x:v>VCD audit/event log ve SIEM örneği</x:v>
      </x:c>
    </x:row>
    <x:row r="477" ht="40" customHeight="1">
      <x:c r="A477" s="6" t="str">
        <x:v>V6</x:v>
      </x:c>
      <x:c r="B477" s="6" t="str">
        <x:v>VMW-K08/S08</x:v>
      </x:c>
      <x:c r="C477" s="6" t="str">
        <x:v>GNL-11-02</x:v>
      </x:c>
      <x:c r="D477" s="6" t="str">
        <x:v>Birleştirildi</x:v>
      </x:c>
      <x:c r="E477" s="6" t="str">
        <x:v>Aynı kontrol amacı korunarak tek soruya veya bileşen testlerine bağlandı; eski ölçütteki kurum varsayımları CIS kabul değeri değildir.</x:v>
      </x:c>
      <x:c r="F477" s="6" t="str">
        <x:v>Sertifika/TLS taraması ve endpoint config</x:v>
      </x:c>
    </x:row>
    <x:row r="478" ht="55" customHeight="1">
      <x:c r="A478" s="6" t="str">
        <x:v>V6</x:v>
      </x:c>
      <x:c r="B478" s="6" t="str">
        <x:v>VMW-K09/S01</x:v>
      </x:c>
      <x:c r="C478" s="6" t="str">
        <x:v>VCT-011
VCD-012
NSX-012</x:v>
      </x:c>
      <x:c r="D478" s="6" t="str">
        <x:v>Birleştirildi</x:v>
      </x:c>
      <x:c r="E478" s="6" t="str">
        <x:v>Aynı kontrol amacı korunarak tek soruya veya bileşen testlerine bağlandı; eski ölçütteki kurum varsayımları CIS kabul değeri değildir.</x:v>
      </x:c>
      <x:c r="F478" s="6" t="str">
        <x:v>Backup schedule, repository ve restore test raporu</x:v>
      </x:c>
    </x:row>
    <x:row r="479" ht="40" customHeight="1">
      <x:c r="A479" s="6" t="str">
        <x:v>V6</x:v>
      </x:c>
      <x:c r="B479" s="6" t="str">
        <x:v>VMW-K09/S02</x:v>
      </x:c>
      <x:c r="C479" s="6" t="str">
        <x:v>GNL-06-01</x:v>
      </x:c>
      <x:c r="D479" s="6" t="str">
        <x:v>Birleştirildi</x:v>
      </x:c>
      <x:c r="E479" s="6" t="str">
        <x:v>Aynı kontrol amacı korunarak tek soruya veya bileşen testlerine bağlandı; eski ölçütteki kurum varsayımları CIS kabul değeri değildir.</x:v>
      </x:c>
      <x:c r="F479" s="6" t="str">
        <x:v>Uyum taraması/PowerCLI raporu ve istisna kayıtları</x:v>
      </x:c>
    </x:row>
    <x:row r="480" ht="40" customHeight="1">
      <x:c r="A480" s="6" t="str">
        <x:v>V6</x:v>
      </x:c>
      <x:c r="B480" s="6" t="str">
        <x:v>VMW-K10/S01</x:v>
      </x:c>
      <x:c r="C480" s="6" t="str">
        <x:v>GNL-18-01</x:v>
      </x:c>
      <x:c r="D480" s="6" t="str">
        <x:v>Birleştirildi</x:v>
      </x:c>
      <x:c r="E480" s="6" t="str">
        <x:v>Aynı kontrol amacı korunarak tek soruya veya bileşen testlerine bağlandı; eski ölçütteki kurum varsayımları CIS kabul değeri değildir.</x:v>
      </x:c>
      <x:c r="F480" s="6" t="str">
        <x:v>Silme prosedürü, platform görev logları ve depolama kanıtı</x:v>
      </x:c>
    </x:row>
    <x:row r="481" ht="40" customHeight="1">
      <x:c r="A481" s="6" t="str">
        <x:v>V6</x:v>
      </x:c>
      <x:c r="B481" s="6" t="str">
        <x:v>VMW-K10/S02</x:v>
      </x:c>
      <x:c r="C481" s="6" t="str">
        <x:v>ESX-050
ESX-052</x:v>
      </x:c>
      <x:c r="D481" s="6" t="str">
        <x:v>Birleştirildi</x:v>
      </x:c>
      <x:c r="E481" s="6" t="str">
        <x:v>Aynı kontrol amacı korunarak tek soruya veya bileşen testlerine bağlandı; eski ölçütteki kurum varsayımları CIS kabul değeri değildir.</x:v>
      </x:c>
      <x:c r="F481" s="6" t="str">
        <x:v>VM advanced settings/hardware exportu</x:v>
      </x:c>
    </x:row>
    <x:row r="482" ht="40" customHeight="1">
      <x:c r="A482" s="6" t="str">
        <x:v>V6</x:v>
      </x:c>
      <x:c r="B482" s="6" t="str">
        <x:v>VMW-K10/S03</x:v>
      </x:c>
      <x:c r="C482" s="6" t="str">
        <x:v>ESX-056
ESX-057</x:v>
      </x:c>
      <x:c r="D482" s="6" t="str">
        <x:v>Birleştirildi</x:v>
      </x:c>
      <x:c r="E482" s="6" t="str">
        <x:v>Aynı kontrol amacı korunarak tek soruya veya bileşen testlerine bağlandı; eski ölçütteki kurum varsayımları CIS kabul değeri değildir.</x:v>
      </x:c>
      <x:c r="F482" s="6" t="str">
        <x:v>VM tools/hardware compliance exportu</x:v>
      </x:c>
    </x:row>
    <x:row r="483" ht="40" customHeight="1">
      <x:c r="A483" s="6" t="str">
        <x:v>V6</x:v>
      </x:c>
      <x:c r="B483" s="6" t="str">
        <x:v>VMW-K10/S04</x:v>
      </x:c>
      <x:c r="C483" s="6" t="str">
        <x:v>VMW-V10-04</x:v>
      </x:c>
      <x:c r="D483" s="6" t="str">
        <x:v>Eklendi</x:v>
      </x:c>
      <x:c r="E483" s="6" t="str">
        <x:v>Aynı kontrol amacı korunarak tek soruya veya bileşen testlerine bağlandı; eski ölçütteki kurum varsayımları CIS kabul değeri değildir.</x:v>
      </x:c>
      <x:c r="F483" s="6" t="str">
        <x:v>Snapshot inventory ve age alarm raporu</x:v>
      </x:c>
    </x:row>
    <x:row r="484" ht="40" customHeight="1">
      <x:c r="A484" s="6" t="str">
        <x:v>V6</x:v>
      </x:c>
      <x:c r="B484" s="6" t="str">
        <x:v>VMW-K11/S01</x:v>
      </x:c>
      <x:c r="C484" s="6" t="str">
        <x:v>VMW-V11-01</x:v>
      </x:c>
      <x:c r="D484" s="6" t="str">
        <x:v>Eklendi</x:v>
      </x:c>
      <x:c r="E484" s="6" t="str">
        <x:v>Aynı kontrol amacı korunarak tek soruya veya bileşen testlerine bağlandı; eski ölçütteki kurum varsayımları CIS kabul değeri değildir.</x:v>
      </x:c>
      <x:c r="F484" s="6" t="str">
        <x:v>Cluster HA/DRS config ve failover testleri</x:v>
      </x:c>
    </x:row>
    <x:row r="485" ht="40" customHeight="1">
      <x:c r="A485" s="6" t="str">
        <x:v>V6</x:v>
      </x:c>
      <x:c r="B485" s="6" t="str">
        <x:v>VMW-K12/S01</x:v>
      </x:c>
      <x:c r="C485" s="6" t="str">
        <x:v>VSN-009</x:v>
      </x:c>
      <x:c r="D485" s="6" t="str">
        <x:v>Birleştirildi</x:v>
      </x:c>
      <x:c r="E485" s="6" t="str">
        <x:v>Aynı kontrol amacı korunarak tek soruya veya bileşen testlerine bağlandı; eski ölçütteki kurum varsayımları CIS kabul değeri değildir.</x:v>
      </x:c>
      <x:c r="F485" s="6" t="str">
        <x:v>KMS trust/config, backup ve recovery test</x:v>
      </x:c>
    </x:row>
    <x:row r="486" ht="40" customHeight="1">
      <x:c r="A486" s="6" t="str">
        <x:v>V6</x:v>
      </x:c>
      <x:c r="B486" s="6" t="str">
        <x:v>VMW-K13/S01</x:v>
      </x:c>
      <x:c r="C486" s="6" t="str">
        <x:v>GNL-12-01</x:v>
      </x:c>
      <x:c r="D486" s="6" t="str">
        <x:v>Birleştirildi</x:v>
      </x:c>
      <x:c r="E486" s="6" t="str">
        <x:v>Aynı kontrol amacı korunarak tek soruya veya bileşen testlerine bağlandı; eski ölçütteki kurum varsayımları CIS kabul değeri değildir.</x:v>
      </x:c>
      <x:c r="F486" s="6" t="str">
        <x:v>Servis hesap/rol, script secret taraması ve audit log</x:v>
      </x:c>
    </x:row>
    <x:row r="487" ht="40" customHeight="1">
      <x:c r="A487" s="6" t="str">
        <x:v>V6</x:v>
      </x:c>
      <x:c r="B487" s="6" t="str">
        <x:v>VMW-K14/S01</x:v>
      </x:c>
      <x:c r="C487" s="6" t="str">
        <x:v>VMW-V14-01</x:v>
      </x:c>
      <x:c r="D487" s="6" t="str">
        <x:v>Eklendi</x:v>
      </x:c>
      <x:c r="E487" s="6" t="str">
        <x:v>Aynı kontrol amacı korunarak tek soruya veya bileşen testlerine bağlandı; eski ölçütteki kurum varsayımları CIS kabul değeri değildir.</x:v>
      </x:c>
      <x:c r="F487" s="6" t="str">
        <x:v>Support vakaları, bundle saklama ve paylaşım kayıtları</x:v>
      </x:c>
    </x:row>
    <x:row r="488" ht="40" customHeight="1">
      <x:c r="A488" s="6" t="str">
        <x:v>V6</x:v>
      </x:c>
      <x:c r="B488" s="6" t="str">
        <x:v>VMW-K15/S01</x:v>
      </x:c>
      <x:c r="C488" s="6" t="str">
        <x:v>MSP-013</x:v>
      </x:c>
      <x:c r="D488" s="6" t="str">
        <x:v>Birleştirildi</x:v>
      </x:c>
      <x:c r="E488" s="6" t="str">
        <x:v>Aynı kontrol amacı korunarak tek soruya veya bileşen testlerine bağlandı; eski ölçütteki kurum varsayımları CIS kabul değeri değildir.</x:v>
      </x:c>
      <x:c r="F488" s="6" t="str">
        <x:v>Host/cluster affinity, providerVDC ve envanter eşleşmesi</x:v>
      </x:c>
    </x:row>
    <x:row r="489" ht="40" customHeight="1">
      <x:c r="A489" s="6" t="str">
        <x:v>V6</x:v>
      </x:c>
      <x:c r="B489" s="6" t="str">
        <x:v>VMW-K15/S02</x:v>
      </x:c>
      <x:c r="C489" s="6" t="str">
        <x:v>VMW-V15-02</x:v>
      </x:c>
      <x:c r="D489" s="6" t="str">
        <x:v>Eklendi</x:v>
      </x:c>
      <x:c r="E489" s="6" t="str">
        <x:v>Aynı kontrol amacı korunarak tek soruya veya bileşen testlerine bağlandı; eski ölçütteki kurum varsayımları CIS kabul değeri değildir.</x:v>
      </x:c>
      <x:c r="F489" s="6" t="str">
        <x:v>DR VCD/vCenter/NSX exportu ve test sonuçları</x:v>
      </x:c>
    </x:row>
    <x:row r="490" ht="40" customHeight="1">
      <x:c r="A490" s="6" t="str">
        <x:v>V6</x:v>
      </x:c>
      <x:c r="B490" s="6" t="str">
        <x:v>VMW-K16/S01</x:v>
      </x:c>
      <x:c r="C490" s="6" t="str">
        <x:v>ESX-011</x:v>
      </x:c>
      <x:c r="D490" s="6" t="str">
        <x:v>Birleştirildi</x:v>
      </x:c>
      <x:c r="E490" s="6" t="str">
        <x:v>Aynı kontrol amacı korunarak tek soruya veya bileşen testlerine bağlandı; eski ölçütteki kurum varsayımları CIS kabul değeri değildir.</x:v>
      </x:c>
      <x:c r="F490" s="6" t="str">
        <x:v>Tüm hostların build numarası ve yama tarihi listesi; üretici güvenlik bülteni takip kaydı</x:v>
      </x:c>
    </x:row>
    <x:row r="491" ht="40" customHeight="1">
      <x:c r="A491" s="6" t="str">
        <x:v>V6</x:v>
      </x:c>
      <x:c r="B491" s="6" t="str">
        <x:v>VMW-K16/S02</x:v>
      </x:c>
      <x:c r="C491" s="6" t="str">
        <x:v>ESX-012</x:v>
      </x:c>
      <x:c r="D491" s="6" t="str">
        <x:v>Birleştirildi</x:v>
      </x:c>
      <x:c r="E491" s="6" t="str">
        <x:v>Aynı kontrol amacı korunarak tek soruya veya bileşen testlerine bağlandı; eski ölçütteki kurum varsayımları CIS kabul değeri değildir.</x:v>
      </x:c>
      <x:c r="F491" s="6" t="str">
        <x:v>Her host için image profile acceptance level çıktısı ve istisna kaydı</x:v>
      </x:c>
    </x:row>
    <x:row r="492" ht="40" customHeight="1">
      <x:c r="A492" s="6" t="str">
        <x:v>V6</x:v>
      </x:c>
      <x:c r="B492" s="6" t="str">
        <x:v>VMW-K16/S03</x:v>
      </x:c>
      <x:c r="C492" s="6" t="str">
        <x:v>ESX-012</x:v>
      </x:c>
      <x:c r="D492" s="6" t="str">
        <x:v>Birleştirildi</x:v>
      </x:c>
      <x:c r="E492" s="6" t="str">
        <x:v>Aynı kontrol amacı korunarak tek soruya veya bileşen testlerine bağlandı; eski ölçütteki kurum varsayımları CIS kabul değeri değildir.</x:v>
      </x:c>
      <x:c r="F492" s="6" t="str">
        <x:v>Yüklü kernel modülü envanteri ve imza durumu; onaylı modül listesi</x:v>
      </x:c>
    </x:row>
    <x:row r="493" ht="40" customHeight="1">
      <x:c r="A493" s="6" t="str">
        <x:v>V6</x:v>
      </x:c>
      <x:c r="B493" s="6" t="str">
        <x:v>VMW-K17/S01</x:v>
      </x:c>
      <x:c r="C493" s="6" t="str">
        <x:v>ESX-018</x:v>
      </x:c>
      <x:c r="D493" s="6" t="str">
        <x:v>Birleştirildi</x:v>
      </x:c>
      <x:c r="E493" s="6" t="str">
        <x:v>Aynı kontrol amacı korunarak tek soruya veya bileşen testlerine bağlandı; eski ölçütteki kurum varsayımları CIS kabul değeri değildir.</x:v>
      </x:c>
      <x:c r="F493" s="6" t="str">
        <x:v>Her host için MOB durum çıktısı</x:v>
      </x:c>
    </x:row>
    <x:row r="494" ht="40" customHeight="1">
      <x:c r="A494" s="6" t="str">
        <x:v>V6</x:v>
      </x:c>
      <x:c r="B494" s="6" t="str">
        <x:v>VMW-K17/S02</x:v>
      </x:c>
      <x:c r="C494" s="6" t="str">
        <x:v>ESX-041</x:v>
      </x:c>
      <x:c r="D494" s="6" t="str">
        <x:v>Birleştirildi</x:v>
      </x:c>
      <x:c r="E494" s="6" t="str">
        <x:v>Aynı kontrol amacı korunarak tek soruya veya bileşen testlerine bağlandı; eski ölçütteki kurum varsayımları CIS kabul değeri değildir.</x:v>
      </x:c>
      <x:c r="F494" s="6" t="str">
        <x:v>SNMP yapılandırma çıktısı ve hedef sunucu listesi</x:v>
      </x:c>
    </x:row>
    <x:row r="495" ht="40" customHeight="1">
      <x:c r="A495" s="6" t="str">
        <x:v>V6</x:v>
      </x:c>
      <x:c r="B495" s="6" t="str">
        <x:v>VMW-K17/S03</x:v>
      </x:c>
      <x:c r="C495" s="6" t="str">
        <x:v>ESX-037</x:v>
      </x:c>
      <x:c r="D495" s="6" t="str">
        <x:v>Birleştirildi</x:v>
      </x:c>
      <x:c r="E495" s="6" t="str">
        <x:v>Aynı kontrol amacı korunarak tek soruya veya bileşen testlerine bağlandı; eski ölçütteki kurum varsayımları CIS kabul değeri değildir.</x:v>
      </x:c>
      <x:c r="F495" s="6" t="str">
        <x:v>dvfilter yapılandırma çıktısı ve kullanan güvenlik ürünü kaydı</x:v>
      </x:c>
    </x:row>
    <x:row r="496" ht="40" customHeight="1">
      <x:c r="A496" s="6" t="str">
        <x:v>V6</x:v>
      </x:c>
      <x:c r="B496" s="6" t="str">
        <x:v>VMW-K17/S04</x:v>
      </x:c>
      <x:c r="C496" s="6" t="str">
        <x:v>ESX-061</x:v>
      </x:c>
      <x:c r="D496" s="6" t="str">
        <x:v>Birleştirildi</x:v>
      </x:c>
      <x:c r="E496" s="6" t="str">
        <x:v>Aynı kontrol amacı korunarak tek soruya veya bileşen testlerine bağlandı; eski ölçütteki kurum varsayımları CIS kabul değeri değildir.</x:v>
      </x:c>
      <x:c r="F496" s="6" t="str">
        <x:v>Host sertifika envanteri; veren CA, konu ve bitiş tarihi listesi</x:v>
      </x:c>
    </x:row>
    <x:row r="497" ht="40" customHeight="1">
      <x:c r="A497" s="6" t="str">
        <x:v>V6</x:v>
      </x:c>
      <x:c r="B497" s="6" t="str">
        <x:v>VMW-K18/S01</x:v>
      </x:c>
      <x:c r="C497" s="6" t="str">
        <x:v>ESX-023
ESX-025</x:v>
      </x:c>
      <x:c r="D497" s="6" t="str">
        <x:v>Birleştirildi</x:v>
      </x:c>
      <x:c r="E497" s="6" t="str">
        <x:v>Aynı kontrol amacı korunarak tek soruya veya bileşen testlerine bağlandı; eski ölçütteki kurum varsayımları CIS kabul değeri değildir.</x:v>
      </x:c>
      <x:c r="F497" s="6" t="str">
        <x:v>Security.PasswordQualityControl ve Security.PasswordHistory ayar çıktıları; kurum parola politikası</x:v>
      </x:c>
    </x:row>
    <x:row r="498" ht="40" customHeight="1">
      <x:c r="A498" s="6" t="str">
        <x:v>V6</x:v>
      </x:c>
      <x:c r="B498" s="6" t="str">
        <x:v>VMW-K18/S02</x:v>
      </x:c>
      <x:c r="C498" s="6" t="str">
        <x:v>ESX-024</x:v>
      </x:c>
      <x:c r="D498" s="6" t="str">
        <x:v>Birleştirildi</x:v>
      </x:c>
      <x:c r="E498" s="6" t="str">
        <x:v>Aynı kontrol amacı korunarak tek soruya veya bileşen testlerine bağlandı; eski ölçütteki kurum varsayımları CIS kabul değeri değildir.</x:v>
      </x:c>
      <x:c r="F498" s="6" t="str">
        <x:v>Security.AccountLockFailures ve Security.AccountUnlockTime çıktıları</x:v>
      </x:c>
    </x:row>
    <x:row r="499" ht="40" customHeight="1">
      <x:c r="A499" s="6" t="str">
        <x:v>V6</x:v>
      </x:c>
      <x:c r="B499" s="6" t="str">
        <x:v>VMW-K18/S03</x:v>
      </x:c>
      <x:c r="C499" s="6" t="str">
        <x:v>ESX-062</x:v>
      </x:c>
      <x:c r="D499" s="6" t="str">
        <x:v>Birleştirildi</x:v>
      </x:c>
      <x:c r="E499" s="6" t="str">
        <x:v>Aynı kontrol amacı korunarak tek soruya veya bileşen testlerine bağlandı; eski ölçütteki kurum varsayımları CIS kabul değeri değildir.</x:v>
      </x:c>
      <x:c r="F499" s="6" t="str">
        <x:v>Host kimlik doğrulama yapılandırması; yerel hesap listesi ve sahipleri</x:v>
      </x:c>
    </x:row>
    <x:row r="500" ht="40" customHeight="1">
      <x:c r="A500" s="6" t="str">
        <x:v>V6</x:v>
      </x:c>
      <x:c r="B500" s="6" t="str">
        <x:v>VMW-K19/S01</x:v>
      </x:c>
      <x:c r="C500" s="6" t="str">
        <x:v>ESX-019
ESX-020</x:v>
      </x:c>
      <x:c r="D500" s="6" t="str">
        <x:v>Birleştirildi</x:v>
      </x:c>
      <x:c r="E500" s="6" t="str">
        <x:v>Aynı kontrol amacı korunarak tek soruya veya bileşen testlerine bağlandı; eski ölçütteki kurum varsayımları CIS kabul değeri değildir.</x:v>
      </x:c>
      <x:c r="F500" s="6" t="str">
        <x:v>DcuiTimeOut ve ESXiShellInteractiveTimeOut ayar çıktıları</x:v>
      </x:c>
    </x:row>
    <x:row r="501" ht="40" customHeight="1">
      <x:c r="A501" s="6" t="str">
        <x:v>V6</x:v>
      </x:c>
      <x:c r="B501" s="6" t="str">
        <x:v>VMW-K19/S02</x:v>
      </x:c>
      <x:c r="C501" s="6" t="str">
        <x:v>ESX-041</x:v>
      </x:c>
      <x:c r="D501" s="6" t="str">
        <x:v>Birleştirildi</x:v>
      </x:c>
      <x:c r="E501" s="6" t="str">
        <x:v>Aynı kontrol amacı korunarak tek soruya veya bileşen testlerine bağlandı; eski ölçütteki kurum varsayımları CIS kabul değeri değildir.</x:v>
      </x:c>
      <x:c r="F501" s="6" t="str">
        <x:v>CIM erişimi olan hesap listesi, rolleri ve kullanan izleme ürünü kaydı</x:v>
      </x:c>
    </x:row>
    <x:row r="502" ht="40" customHeight="1">
      <x:c r="A502" s="6" t="str">
        <x:v>V6</x:v>
      </x:c>
      <x:c r="B502" s="6" t="str">
        <x:v>VMW-K19/S03</x:v>
      </x:c>
      <x:c r="C502" s="6" t="str">
        <x:v>ESX-064</x:v>
      </x:c>
      <x:c r="D502" s="6" t="str">
        <x:v>Birleştirildi</x:v>
      </x:c>
      <x:c r="E502" s="6" t="str">
        <x:v>Aynı kontrol amacı korunarak tek soruya veya bileşen testlerine bağlandı; eski ölçütteki kurum varsayımları CIS kabul değeri değildir.</x:v>
      </x:c>
      <x:c r="F502" s="6" t="str">
        <x:v>Hostlarda authorized_keys içerik kontrolü çıktısı</x:v>
      </x:c>
    </x:row>
    <x:row r="503" ht="40" customHeight="1">
      <x:c r="A503" s="6" t="str">
        <x:v>V6</x:v>
      </x:c>
      <x:c r="B503" s="6" t="str">
        <x:v>VMW-K19/S04</x:v>
      </x:c>
      <x:c r="C503" s="6" t="str">
        <x:v>ESX-028
ESX-065</x:v>
      </x:c>
      <x:c r="D503" s="6" t="str">
        <x:v>Birleştirildi</x:v>
      </x:c>
      <x:c r="E503" s="6" t="str">
        <x:v>Aynı kontrol amacı korunarak tek soruya veya bileşen testlerine bağlandı; eski ölçütteki kurum varsayımları CIS kabul değeri değildir.</x:v>
      </x:c>
      <x:c r="F503" s="6" t="str">
        <x:v>DCUI.Access listesi; yapılandırma dosyası bütünlük kontrol çıktısı</x:v>
      </x:c>
    </x:row>
    <x:row r="504" ht="40" customHeight="1">
      <x:c r="A504" s="6" t="str">
        <x:v>V6</x:v>
      </x:c>
      <x:c r="B504" s="6" t="str">
        <x:v>VMW-K20/S01</x:v>
      </x:c>
      <x:c r="C504" s="6" t="str">
        <x:v>ESX-043</x:v>
      </x:c>
      <x:c r="D504" s="6" t="str">
        <x:v>Birleştirildi</x:v>
      </x:c>
      <x:c r="E504" s="6" t="str">
        <x:v>Aynı kontrol amacı korunarak tek soruya veya bileşen testlerine bağlandı; eski ölçütteki kurum varsayımları CIS kabul değeri değildir.</x:v>
      </x:c>
      <x:c r="F504" s="6" t="str">
        <x:v>iSCSI hedef ve başlatıcı CHAP yapılandırma çıktıları</x:v>
      </x:c>
    </x:row>
    <x:row r="505" ht="40" customHeight="1">
      <x:c r="A505" s="6" t="str">
        <x:v>V6</x:v>
      </x:c>
      <x:c r="B505" s="6" t="str">
        <x:v>VMW-K20/S02</x:v>
      </x:c>
      <x:c r="C505" s="6" t="str">
        <x:v>ESX-044</x:v>
      </x:c>
      <x:c r="D505" s="6" t="str">
        <x:v>Birleştirildi</x:v>
      </x:c>
      <x:c r="E505" s="6" t="str">
        <x:v>Aynı kontrol amacı korunarak tek soruya veya bileşen testlerine bağlandı; eski ölçütteki kurum varsayımları CIS kabul değeri değildir.</x:v>
      </x:c>
      <x:c r="F505" s="6" t="str">
        <x:v>CHAP sır envanteri (maskeli) ve atama kaydı</x:v>
      </x:c>
    </x:row>
    <x:row r="506" ht="40" customHeight="1">
      <x:c r="A506" s="6" t="str">
        <x:v>V6</x:v>
      </x:c>
      <x:c r="B506" s="6" t="str">
        <x:v>VMW-K20/S03</x:v>
      </x:c>
      <x:c r="C506" s="6" t="str">
        <x:v>ESX-042</x:v>
      </x:c>
      <x:c r="D506" s="6" t="str">
        <x:v>Birleştirildi</x:v>
      </x:c>
      <x:c r="E506" s="6" t="str">
        <x:v>Aynı kontrol amacı korunarak tek soruya veya bileşen testlerine bağlandı; eski ölçütteki kurum varsayımları CIS kabul değeri değildir.</x:v>
      </x:c>
      <x:c r="F506" s="6" t="str">
        <x:v>Zoning ve LUN maskeleme yapılandırması; küme-datastore-müşteri eşleşme tablosu</x:v>
      </x:c>
    </x:row>
    <x:row r="507" ht="40" customHeight="1">
      <x:c r="A507" s="6" t="str">
        <x:v>V6</x:v>
      </x:c>
      <x:c r="B507" s="6" t="str">
        <x:v>VMW-K21/S01</x:v>
      </x:c>
      <x:c r="C507" s="6" t="str">
        <x:v>ESX-050</x:v>
      </x:c>
      <x:c r="D507" s="6" t="str">
        <x:v>Birleştirildi</x:v>
      </x:c>
      <x:c r="E507" s="6" t="str">
        <x:v>Aynı kontrol amacı korunarak tek soruya veya bileşen testlerine bağlandı; eski ölçütteki kurum varsayımları CIS kabul değeri değildir.</x:v>
      </x:c>
      <x:c r="F507" s="6" t="str">
        <x:v>VM donanım envanteri çıktısı (bağlı cihaz raporu); onaylı VM şablonu tanımı</x:v>
      </x:c>
    </x:row>
    <x:row r="508" ht="40" customHeight="1">
      <x:c r="A508" s="6" t="str">
        <x:v>V6</x:v>
      </x:c>
      <x:c r="B508" s="6" t="str">
        <x:v>VMW-K21/S02</x:v>
      </x:c>
      <x:c r="C508" s="6" t="str">
        <x:v>ESX-050
ESX-051</x:v>
      </x:c>
      <x:c r="D508" s="6" t="str">
        <x:v>Birleştirildi</x:v>
      </x:c>
      <x:c r="E508" s="6" t="str">
        <x:v>Aynı kontrol amacı korunarak tek soruya veya bileşen testlerine bağlandı; eski ölçütteki kurum varsayımları CIS kabul değeri değildir.</x:v>
      </x:c>
      <x:c r="F508" s="6" t="str">
        <x:v>VM gelişmiş ayar çıktıları (cihaz bağlama ve passthrough parametreleri); passthrough kullanan VM listesi</x:v>
      </x:c>
    </x:row>
    <x:row r="509" ht="40" customHeight="1">
      <x:c r="A509" s="6" t="str">
        <x:v>V6</x:v>
      </x:c>
      <x:c r="B509" s="6" t="str">
        <x:v>VMW-K21/S03</x:v>
      </x:c>
      <x:c r="C509" s="6" t="str">
        <x:v>ESX-052</x:v>
      </x:c>
      <x:c r="D509" s="6" t="str">
        <x:v>Birleştirildi</x:v>
      </x:c>
      <x:c r="E509" s="6" t="str">
        <x:v>Aynı kontrol amacı korunarak tek soruya veya bileşen testlerine bağlandı; eski ölçütteki kurum varsayımları CIS kabul değeri değildir.</x:v>
      </x:c>
      <x:c r="F509" s="6" t="str">
        <x:v>VM gelişmiş ayar çıktıları (konsol kopyala/yapıştır/sürükle-bırak parametreleri)</x:v>
      </x:c>
    </x:row>
    <x:row r="510" ht="40" customHeight="1">
      <x:c r="A510" s="6" t="str">
        <x:v>V6</x:v>
      </x:c>
      <x:c r="B510" s="6" t="str">
        <x:v>VMW-K21/S04</x:v>
      </x:c>
      <x:c r="C510" s="6" t="str">
        <x:v>ESX-049
ESX-068</x:v>
      </x:c>
      <x:c r="D510" s="6" t="str">
        <x:v>Birleştirildi</x:v>
      </x:c>
      <x:c r="E510" s="6" t="str">
        <x:v>Aynı kontrol amacı korunarak tek soruya veya bileşen testlerine bağlandı; eski ölçütteki kurum varsayımları CIS kabul değeri değildir.</x:v>
      </x:c>
      <x:c r="F510" s="6" t="str">
        <x:v>Konsol oturum sınırı ayarı; sanal seri port yapılandırması ve kullanan VM listesi</x:v>
      </x:c>
    </x:row>
    <x:row r="511" ht="40" customHeight="1">
      <x:c r="A511" s="6" t="str">
        <x:v>V6</x:v>
      </x:c>
      <x:c r="B511" s="6" t="str">
        <x:v>VMW-K22/S01</x:v>
      </x:c>
      <x:c r="C511" s="6" t="str">
        <x:v>ESX-071</x:v>
      </x:c>
      <x:c r="D511" s="6" t="str">
        <x:v>Birleştirildi</x:v>
      </x:c>
      <x:c r="E511" s="6" t="str">
        <x:v>Aynı kontrol amacı korunarak tek soruya veya bileşen testlerine bağlandı; eski ölçütteki kurum varsayımları CIS kabul değeri değildir.</x:v>
      </x:c>
      <x:c r="F511" s="6" t="str">
        <x:v>Disk modu raporu; kalıcı olmayan disk kullanan VM listesi ve gerekçeleri</x:v>
      </x:c>
    </x:row>
    <x:row r="512" ht="40" customHeight="1">
      <x:c r="A512" s="6" t="str">
        <x:v>V6</x:v>
      </x:c>
      <x:c r="B512" s="6" t="str">
        <x:v>VMW-K22/S02</x:v>
      </x:c>
      <x:c r="C512" s="6" t="str">
        <x:v>ESX-053</x:v>
      </x:c>
      <x:c r="D512" s="6" t="str">
        <x:v>Birleştirildi</x:v>
      </x:c>
      <x:c r="E512" s="6" t="str">
        <x:v>Aynı kontrol amacı korunarak tek soruya veya bileşen testlerine bağlandı; eski ölçütteki kurum varsayımları CIS kabul değeri değildir.</x:v>
      </x:c>
      <x:c r="F512" s="6" t="str">
        <x:v>VM gelişmiş ayar çıktıları (disk shrink ve wipe parametreleri)</x:v>
      </x:c>
    </x:row>
    <x:row r="513" ht="40" customHeight="1">
      <x:c r="A513" s="6" t="str">
        <x:v>V6</x:v>
      </x:c>
      <x:c r="B513" s="6" t="str">
        <x:v>VMW-K22/S03</x:v>
      </x:c>
      <x:c r="C513" s="6" t="str">
        <x:v>ESX-055</x:v>
      </x:c>
      <x:c r="D513" s="6" t="str">
        <x:v>Birleştirildi</x:v>
      </x:c>
      <x:c r="E513" s="6" t="str">
        <x:v>Aynı kontrol amacı korunarak tek soruya veya bileşen testlerine bağlandı; eski ölçütteki kurum varsayımları CIS kabul değeri değildir.</x:v>
      </x:c>
      <x:c r="F513" s="6" t="str">
        <x:v>VM log dosyası sayısı ve boyut ayarı çıktıları; datastore doluluk raporu</x:v>
      </x:c>
    </x:row>
    <x:row r="514" ht="40" customHeight="1">
      <x:c r="A514" s="6" t="str">
        <x:v>V6</x:v>
      </x:c>
      <x:c r="B514" s="6" t="str">
        <x:v>VMW-K22/S04</x:v>
      </x:c>
      <x:c r="C514" s="6" t="str">
        <x:v>ESX-054
ESX-070</x:v>
      </x:c>
      <x:c r="D514" s="6" t="str">
        <x:v>Birleştirildi</x:v>
      </x:c>
      <x:c r="E514" s="6" t="str">
        <x:v>Aynı kontrol amacı korunarak tek soruya veya bileşen testlerine bağlandı; eski ölçütteki kurum varsayımları CIS kabul değeri değildir.</x:v>
      </x:c>
      <x:c r="F514" s="6" t="str">
        <x:v>VM gelişmiş ayar çıktısı (host bilgi paylaşımı); VM CPU/bellek limit ve rezervasyon raporu</x:v>
      </x:c>
    </x:row>
    <x:row r="515" ht="40" customHeight="1">
      <x:c r="A515" s="6" t="str">
        <x:v>V6</x:v>
      </x:c>
      <x:c r="B515" s="6" t="str">
        <x:v>VEE-K01/S01</x:v>
      </x:c>
      <x:c r="C515" s="6" t="str">
        <x:v>GNL-04-04</x:v>
      </x:c>
      <x:c r="D515" s="6" t="str">
        <x:v>Birleştirildi</x:v>
      </x:c>
      <x:c r="E515" s="6" t="str">
        <x:v>Aynı kontrol amacı korunarak tek soruya veya bileşen testlerine bağlandı; eski ölçütteki kurum varsayımları CIS kabul değeri değildir.</x:v>
      </x:c>
      <x:c r="F515" s="6" t="str">
        <x:v>Kullanıcı/rol exportu ve görev matrisi</x:v>
      </x:c>
    </x:row>
    <x:row r="516" ht="40" customHeight="1">
      <x:c r="A516" s="6" t="str">
        <x:v>V6</x:v>
      </x:c>
      <x:c r="B516" s="6" t="str">
        <x:v>VEE-K01/S02</x:v>
      </x:c>
      <x:c r="C516" s="6" t="str">
        <x:v>GNL-05-01</x:v>
      </x:c>
      <x:c r="D516" s="6" t="str">
        <x:v>Birleştirildi</x:v>
      </x:c>
      <x:c r="E516" s="6" t="str">
        <x:v>Aynı kontrol amacı korunarak tek soruya veya bileşen testlerine bağlandı; eski ölçütteki kurum varsayımları CIS kabul değeri değildir.</x:v>
      </x:c>
      <x:c r="F516" s="6" t="str">
        <x:v>SSO/MFA ve login logları</x:v>
      </x:c>
    </x:row>
    <x:row r="517" ht="40" customHeight="1">
      <x:c r="A517" s="6" t="str">
        <x:v>V6</x:v>
      </x:c>
      <x:c r="B517" s="6" t="str">
        <x:v>VEE-K01/S03</x:v>
      </x:c>
      <x:c r="C517" s="6" t="str">
        <x:v>VEE-007</x:v>
      </x:c>
      <x:c r="D517" s="6" t="str">
        <x:v>Birleştirildi</x:v>
      </x:c>
      <x:c r="E517" s="6" t="str">
        <x:v>Aynı kontrol amacı korunarak tek soruya veya bileşen testlerine bağlandı; eski ölçütteki kurum varsayımları CIS kabul değeri değildir.</x:v>
      </x:c>
      <x:c r="F517" s="6" t="str">
        <x:v>Domain/workgroup mimarisi, hesap ve firewall exportu</x:v>
      </x:c>
    </x:row>
    <x:row r="518" ht="40" customHeight="1">
      <x:c r="A518" s="6" t="str">
        <x:v>V6</x:v>
      </x:c>
      <x:c r="B518" s="6" t="str">
        <x:v>VEE-K01/S04</x:v>
      </x:c>
      <x:c r="C518" s="6" t="str">
        <x:v>GNL-12-01</x:v>
      </x:c>
      <x:c r="D518" s="6" t="str">
        <x:v>Birleştirildi</x:v>
      </x:c>
      <x:c r="E518" s="6" t="str">
        <x:v>Aynı kontrol amacı korunarak tek soruya veya bileşen testlerine bağlandı; eski ölçütteki kurum varsayımları CIS kabul değeri değildir.</x:v>
      </x:c>
      <x:c r="F518" s="6" t="str">
        <x:v>Credential envanteri, hedef rol ve rotasyon kayıtları</x:v>
      </x:c>
    </x:row>
    <x:row r="519" ht="40" customHeight="1">
      <x:c r="A519" s="6" t="str">
        <x:v>V6</x:v>
      </x:c>
      <x:c r="B519" s="6" t="str">
        <x:v>VEE-K02/S01</x:v>
      </x:c>
      <x:c r="C519" s="6" t="str">
        <x:v>VEE-008</x:v>
      </x:c>
      <x:c r="D519" s="6" t="str">
        <x:v>Birleştirildi</x:v>
      </x:c>
      <x:c r="E519" s="6" t="str">
        <x:v>Aynı kontrol amacı korunarak tek soruya veya bileşen testlerine bağlandı; eski ölçütteki kurum varsayımları CIS kabul değeri değildir.</x:v>
      </x:c>
      <x:c r="F519" s="6" t="str">
        <x:v>Repository config, immutability süresi ve kullanıcı hakları</x:v>
      </x:c>
    </x:row>
    <x:row r="520" ht="40" customHeight="1">
      <x:c r="A520" s="6" t="str">
        <x:v>V6</x:v>
      </x:c>
      <x:c r="B520" s="6" t="str">
        <x:v>VEE-K02/S02</x:v>
      </x:c>
      <x:c r="C520" s="6" t="str">
        <x:v>VEE-007</x:v>
      </x:c>
      <x:c r="D520" s="6" t="str">
        <x:v>Birleştirildi</x:v>
      </x:c>
      <x:c r="E520" s="6" t="str">
        <x:v>Aynı kontrol amacı korunarak tek soruya veya bileşen testlerine bağlandı; eski ölçütteki kurum varsayımları CIS kabul değeri değildir.</x:v>
      </x:c>
      <x:c r="F520" s="6" t="str">
        <x:v>Ağ diyagramı, firewall akışları ve bağlantı testi</x:v>
      </x:c>
    </x:row>
    <x:row r="521" ht="40" customHeight="1">
      <x:c r="A521" s="6" t="str">
        <x:v>V6</x:v>
      </x:c>
      <x:c r="B521" s="6" t="str">
        <x:v>VEE-K02/S03</x:v>
      </x:c>
      <x:c r="C521" s="6" t="str">
        <x:v>VEE-V02-03</x:v>
      </x:c>
      <x:c r="D521" s="6" t="str">
        <x:v>Eklendi</x:v>
      </x:c>
      <x:c r="E521" s="6" t="str">
        <x:v>Aynı kontrol amacı korunarak tek soruya veya bileşen testlerine bağlandı; eski ölçütteki kurum varsayımları CIS kabul değeri değildir.</x:v>
      </x:c>
      <x:c r="F521" s="6" t="str">
        <x:v>Capacity trend, SOBR policy ve alarm</x:v>
      </x:c>
    </x:row>
    <x:row r="522" ht="40" customHeight="1">
      <x:c r="A522" s="6" t="str">
        <x:v>V6</x:v>
      </x:c>
      <x:c r="B522" s="6" t="str">
        <x:v>VEE-K03/S01</x:v>
      </x:c>
      <x:c r="C522" s="6" t="str">
        <x:v>VEE-014</x:v>
      </x:c>
      <x:c r="D522" s="6" t="str">
        <x:v>Birleştirildi</x:v>
      </x:c>
      <x:c r="E522" s="6" t="str">
        <x:v>Aynı kontrol amacı korunarak tek soruya veya bileşen testlerine bağlandı; eski ölçütteki kurum varsayımları CIS kabul değeri değildir.</x:v>
      </x:c>
      <x:c r="F522" s="6" t="str">
        <x:v>Job/repository/tenant eşleşme exportu</x:v>
      </x:c>
    </x:row>
    <x:row r="523" ht="40" customHeight="1">
      <x:c r="A523" s="6" t="str">
        <x:v>V6</x:v>
      </x:c>
      <x:c r="B523" s="6" t="str">
        <x:v>VEE-K04/S01</x:v>
      </x:c>
      <x:c r="C523" s="6" t="str">
        <x:v>VEE-V04-01</x:v>
      </x:c>
      <x:c r="D523" s="6" t="str">
        <x:v>Eklendi</x:v>
      </x:c>
      <x:c r="E523" s="6" t="str">
        <x:v>Aynı kontrol amacı korunarak tek soruya veya bileşen testlerine bağlandı; eski ölçütteki kurum varsayımları CIS kabul değeri değildir.</x:v>
      </x:c>
      <x:c r="F523" s="6" t="str">
        <x:v>CMDB-backup job mutabakatı</x:v>
      </x:c>
    </x:row>
    <x:row r="524" ht="40" customHeight="1">
      <x:c r="A524" s="6" t="str">
        <x:v>V6</x:v>
      </x:c>
      <x:c r="B524" s="6" t="str">
        <x:v>VEE-K04/S02</x:v>
      </x:c>
      <x:c r="C524" s="6" t="str">
        <x:v>VEE-V04-02</x:v>
      </x:c>
      <x:c r="D524" s="6" t="str">
        <x:v>Eklendi</x:v>
      </x:c>
      <x:c r="E524" s="6" t="str">
        <x:v>Aynı kontrol amacı korunarak tek soruya veya bileşen testlerine bağlandı; eski ölçütteki kurum varsayımları CIS kabul değeri değildir.</x:v>
      </x:c>
      <x:c r="F524" s="6" t="str">
        <x:v>Job config ve SLA matrisi</x:v>
      </x:c>
    </x:row>
    <x:row r="525" ht="40" customHeight="1">
      <x:c r="A525" s="6" t="str">
        <x:v>V6</x:v>
      </x:c>
      <x:c r="B525" s="6" t="str">
        <x:v>VEE-K04/S03</x:v>
      </x:c>
      <x:c r="C525" s="6" t="str">
        <x:v>VEE-008</x:v>
      </x:c>
      <x:c r="D525" s="6" t="str">
        <x:v>Birleştirildi</x:v>
      </x:c>
      <x:c r="E525" s="6" t="str">
        <x:v>Aynı kontrol amacı korunarak tek soruya veya bileşen testlerine bağlandı; eski ölçütteki kurum varsayımları CIS kabul değeri değildir.</x:v>
      </x:c>
      <x:c r="F525" s="6" t="str">
        <x:v>Backup copy job, hedef lokasyon ve silme testi</x:v>
      </x:c>
    </x:row>
    <x:row r="526" ht="40" customHeight="1">
      <x:c r="A526" s="6" t="str">
        <x:v>V6</x:v>
      </x:c>
      <x:c r="B526" s="6" t="str">
        <x:v>VEE-K04/S04</x:v>
      </x:c>
      <x:c r="C526" s="6" t="str">
        <x:v>VEE-010</x:v>
      </x:c>
      <x:c r="D526" s="6" t="str">
        <x:v>Birleştirildi</x:v>
      </x:c>
      <x:c r="E526" s="6" t="str">
        <x:v>Aynı kontrol amacı korunarak tek soruya veya bileşen testlerine bağlandı; eski ölçütteki kurum varsayımları CIS kabul değeri değildir.</x:v>
      </x:c>
      <x:c r="F526" s="6" t="str">
        <x:v>Encryption job config, key/password custody ve recovery test</x:v>
      </x:c>
    </x:row>
    <x:row r="527" ht="40" customHeight="1">
      <x:c r="A527" s="6" t="str">
        <x:v>V6</x:v>
      </x:c>
      <x:c r="B527" s="6" t="str">
        <x:v>VEE-K04/S05</x:v>
      </x:c>
      <x:c r="C527" s="6" t="str">
        <x:v>VEE-V04-05</x:v>
      </x:c>
      <x:c r="D527" s="6" t="str">
        <x:v>Eklendi</x:v>
      </x:c>
      <x:c r="E527" s="6" t="str">
        <x:v>Aynı kontrol amacı korunarak tek soruya veya bileşen testlerine bağlandı; eski ölçütteki kurum varsayımları CIS kabul değeri değildir.</x:v>
      </x:c>
      <x:c r="F527" s="6" t="str">
        <x:v>Job history, audit log, SIEM alarmı</x:v>
      </x:c>
    </x:row>
    <x:row r="528" ht="40" customHeight="1">
      <x:c r="A528" s="6" t="str">
        <x:v>V6</x:v>
      </x:c>
      <x:c r="B528" s="6" t="str">
        <x:v>VEE-K05/S01</x:v>
      </x:c>
      <x:c r="C528" s="6" t="str">
        <x:v>VEE-011</x:v>
      </x:c>
      <x:c r="D528" s="6" t="str">
        <x:v>Birleştirildi</x:v>
      </x:c>
      <x:c r="E528" s="6" t="str">
        <x:v>Aynı kontrol amacı korunarak tek soruya veya bileşen testlerine bağlandı; eski ölçütteki kurum varsayımları CIS kabul değeri değildir.</x:v>
      </x:c>
      <x:c r="F528" s="6" t="str">
        <x:v>Restore oturum logu, iş birimi kabulü</x:v>
      </x:c>
    </x:row>
    <x:row r="529" ht="40" customHeight="1">
      <x:c r="A529" s="6" t="str">
        <x:v>V6</x:v>
      </x:c>
      <x:c r="B529" s="6" t="str">
        <x:v>VEE-K05/S02</x:v>
      </x:c>
      <x:c r="C529" s="6" t="str">
        <x:v>VEE-011</x:v>
      </x:c>
      <x:c r="D529" s="6" t="str">
        <x:v>Birleştirildi</x:v>
      </x:c>
      <x:c r="E529" s="6" t="str">
        <x:v>Aynı kontrol amacı korunarak tek soruya veya bileşen testlerine bağlandı; eski ölçütteki kurum varsayımları CIS kabul değeri değildir.</x:v>
      </x:c>
      <x:c r="F529" s="6" t="str">
        <x:v>Verification job ve sonuçları</x:v>
      </x:c>
    </x:row>
    <x:row r="530" ht="40" customHeight="1">
      <x:c r="A530" s="6" t="str">
        <x:v>V6</x:v>
      </x:c>
      <x:c r="B530" s="6" t="str">
        <x:v>VEE-K05/S03</x:v>
      </x:c>
      <x:c r="C530" s="6" t="str">
        <x:v>VEE-V05-03</x:v>
      </x:c>
      <x:c r="D530" s="6" t="str">
        <x:v>Eklendi</x:v>
      </x:c>
      <x:c r="E530" s="6" t="str">
        <x:v>Aynı kontrol amacı korunarak tek soruya veya bileşen testlerine bağlandı; eski ölçütteki kurum varsayımları CIS kabul değeri değildir.</x:v>
      </x:c>
      <x:c r="F530" s="6" t="str">
        <x:v>Secure Restore config ve olay örneği</x:v>
      </x:c>
    </x:row>
    <x:row r="531" ht="40" customHeight="1">
      <x:c r="A531" s="6" t="str">
        <x:v>V6</x:v>
      </x:c>
      <x:c r="B531" s="6" t="str">
        <x:v>VEE-K05/S04</x:v>
      </x:c>
      <x:c r="C531" s="6" t="str">
        <x:v>VEE-V05-04</x:v>
      </x:c>
      <x:c r="D531" s="6" t="str">
        <x:v>Eklendi</x:v>
      </x:c>
      <x:c r="E531" s="6" t="str">
        <x:v>Aynı kontrol amacı korunarak tek soruya veya bileşen testlerine bağlandı; eski ölçütteki kurum varsayımları CIS kabul değeri değildir.</x:v>
      </x:c>
      <x:c r="F531" s="6" t="str">
        <x:v>Cyber recovery planı ve tatbikat</x:v>
      </x:c>
    </x:row>
    <x:row r="532" ht="40" customHeight="1">
      <x:c r="A532" s="6" t="str">
        <x:v>V6</x:v>
      </x:c>
      <x:c r="B532" s="6" t="str">
        <x:v>VEE-K06/S01</x:v>
      </x:c>
      <x:c r="C532" s="6" t="str">
        <x:v>VEE-012</x:v>
      </x:c>
      <x:c r="D532" s="6" t="str">
        <x:v>Birleştirildi</x:v>
      </x:c>
      <x:c r="E532" s="6" t="str">
        <x:v>Aynı kontrol amacı korunarak tek soruya veya bileşen testlerine bağlandı; eski ölçütteki kurum varsayımları CIS kabul değeri değildir.</x:v>
      </x:c>
      <x:c r="F532" s="6" t="str">
        <x:v>Config backup ayarı ve restore testi</x:v>
      </x:c>
    </x:row>
    <x:row r="533" ht="40" customHeight="1">
      <x:c r="A533" s="6" t="str">
        <x:v>V6</x:v>
      </x:c>
      <x:c r="B533" s="6" t="str">
        <x:v>VEE-K07/S01</x:v>
      </x:c>
      <x:c r="C533" s="6" t="str">
        <x:v>GNL-08-01</x:v>
      </x:c>
      <x:c r="D533" s="6" t="str">
        <x:v>Birleştirildi</x:v>
      </x:c>
      <x:c r="E533" s="6" t="str">
        <x:v>Aynı kontrol amacı korunarak tek soruya veya bileşen testlerine bağlandı; eski ölçütteki kurum varsayımları CIS kabul değeri değildir.</x:v>
      </x:c>
      <x:c r="F533" s="6" t="str">
        <x:v>Infrastructure view ve patch raporu</x:v>
      </x:c>
    </x:row>
    <x:row r="534" ht="40" customHeight="1">
      <x:c r="A534" s="6" t="str">
        <x:v>V6</x:v>
      </x:c>
      <x:c r="B534" s="6" t="str">
        <x:v>VEE-K07/S02</x:v>
      </x:c>
      <x:c r="C534" s="6" t="str">
        <x:v>VEE-013</x:v>
      </x:c>
      <x:c r="D534" s="6" t="str">
        <x:v>Birleştirildi</x:v>
      </x:c>
      <x:c r="E534" s="6" t="str">
        <x:v>Aynı kontrol amacı korunarak tek soruya veya bileşen testlerine bağlandı; eski ölçütteki kurum varsayımları CIS kabul değeri değildir.</x:v>
      </x:c>
      <x:c r="F534" s="6" t="str">
        <x:v>Analyzer raporu ve remediations</x:v>
      </x:c>
    </x:row>
    <x:row r="535" ht="40" customHeight="1">
      <x:c r="A535" s="6" t="str">
        <x:v>V6</x:v>
      </x:c>
      <x:c r="B535" s="6" t="str">
        <x:v>VEE-K08/S01</x:v>
      </x:c>
      <x:c r="C535" s="6" t="str">
        <x:v>VEE-007</x:v>
      </x:c>
      <x:c r="D535" s="6" t="str">
        <x:v>Birleştirildi</x:v>
      </x:c>
      <x:c r="E535" s="6" t="str">
        <x:v>Aynı kontrol amacı korunarak tek soruya veya bileşen testlerine bağlandı; eski ölçütteki kurum varsayımları CIS kabul değeri değildir.</x:v>
      </x:c>
      <x:c r="F535" s="6" t="str">
        <x:v>Bileşen envanteri ve firewall akışları</x:v>
      </x:c>
    </x:row>
    <x:row r="536" ht="40" customHeight="1">
      <x:c r="A536" s="6" t="str">
        <x:v>V6</x:v>
      </x:c>
      <x:c r="B536" s="6" t="str">
        <x:v>VEE-K08/S02</x:v>
      </x:c>
      <x:c r="C536" s="6" t="str">
        <x:v>GNL-04-05</x:v>
      </x:c>
      <x:c r="D536" s="6" t="str">
        <x:v>Birleştirildi</x:v>
      </x:c>
      <x:c r="E536" s="6" t="str">
        <x:v>Aynı kontrol amacı korunarak tek soruya veya bileşen testlerine bağlandı; eski ölçütteki kurum varsayımları CIS kabul değeri değildir.</x:v>
      </x:c>
      <x:c r="F536" s="6" t="str">
        <x:v>Job credentials, target rights ve loglar</x:v>
      </x:c>
    </x:row>
    <x:row r="537" ht="40" customHeight="1">
      <x:c r="A537" s="6" t="str">
        <x:v>V6</x:v>
      </x:c>
      <x:c r="B537" s="6" t="str">
        <x:v>VEE-K09/S01</x:v>
      </x:c>
      <x:c r="C537" s="6" t="str">
        <x:v>VEE-008</x:v>
      </x:c>
      <x:c r="D537" s="6" t="str">
        <x:v>Birleştirildi</x:v>
      </x:c>
      <x:c r="E537" s="6" t="str">
        <x:v>Aynı kontrol amacı korunarak tek soruya veya bileşen testlerine bağlandı; eski ölçütteki kurum varsayımları CIS kabul değeri değildir.</x:v>
      </x:c>
      <x:c r="F537" s="6" t="str">
        <x:v>Object lock/tape inventory ve erişim rolleri</x:v>
      </x:c>
    </x:row>
    <x:row r="538" ht="40" customHeight="1">
      <x:c r="A538" s="6" t="str">
        <x:v>V6</x:v>
      </x:c>
      <x:c r="B538" s="6" t="str">
        <x:v>VEE-K10/S01</x:v>
      </x:c>
      <x:c r="C538" s="6" t="str">
        <x:v>GNL-09-02</x:v>
      </x:c>
      <x:c r="D538" s="6" t="str">
        <x:v>Birleştirildi</x:v>
      </x:c>
      <x:c r="E538" s="6" t="str">
        <x:v>Aynı kontrol amacı korunarak tek soruya veya bileşen testlerine bağlandı; eski ölçütteki kurum varsayımları CIS kabul değeri değildir.</x:v>
      </x:c>
      <x:c r="F538" s="6" t="str">
        <x:v>Audit log ve SIEM örnekleri</x:v>
      </x:c>
    </x:row>
    <x:row r="539" ht="40" customHeight="1">
      <x:c r="A539" s="6" t="str">
        <x:v>V6</x:v>
      </x:c>
      <x:c r="B539" s="6" t="str">
        <x:v>VEE-K11/S01</x:v>
      </x:c>
      <x:c r="C539" s="6" t="str">
        <x:v>VEE-014</x:v>
      </x:c>
      <x:c r="D539" s="6" t="str">
        <x:v>Birleştirildi</x:v>
      </x:c>
      <x:c r="E539" s="6" t="str">
        <x:v>Aynı kontrol amacı korunarak tek soruya veya bileşen testlerine bağlandı; eski ölçütteki kurum varsayımları CIS kabul değeri değildir.</x:v>
      </x:c>
      <x:c r="F539" s="6" t="str">
        <x:v>Tenant/role exportu ve negatif test</x:v>
      </x:c>
    </x:row>
    <x:row r="540" ht="40" customHeight="1">
      <x:c r="A540" s="6" t="str">
        <x:v>V6</x:v>
      </x:c>
      <x:c r="B540" s="6" t="str">
        <x:v>VEE-K12/S01</x:v>
      </x:c>
      <x:c r="C540" s="6" t="str">
        <x:v>GNL-18-01
GNL-18-02</x:v>
      </x:c>
      <x:c r="D540" s="6" t="str">
        <x:v>Birleştirildi</x:v>
      </x:c>
      <x:c r="E540" s="6" t="str">
        <x:v>Aynı kontrol amacı korunarak tek soruya veya bileşen testlerine bağlandı; eski ölçütteki kurum varsayımları CIS kabul değeri değildir.</x:v>
      </x:c>
      <x:c r="F540" s="6" t="str">
        <x:v>Offboarding kaydı ve silme/anahtar iptal kanıtı</x:v>
      </x:c>
    </x:row>
    <x:row r="541" ht="40" customHeight="1">
      <x:c r="A541" s="6" t="str">
        <x:v>V6</x:v>
      </x:c>
      <x:c r="B541" s="6" t="str">
        <x:v>CB-K01/S01</x:v>
      </x:c>
      <x:c r="C541" s="6" t="str">
        <x:v>CBR-007</x:v>
      </x:c>
      <x:c r="D541" s="6" t="str">
        <x:v>Birleştirildi</x:v>
      </x:c>
      <x:c r="E541" s="6" t="str">
        <x:v>Aynı kontrol amacı korunarak tek soruya veya bileşen testlerine bağlandı; eski ölçütteki kurum varsayımları CIS kabul değeri değildir.</x:v>
      </x:c>
      <x:c r="F541" s="6" t="str">
        <x:v>Org-sensor eşleşme exportu</x:v>
      </x:c>
    </x:row>
    <x:row r="542" ht="40" customHeight="1">
      <x:c r="A542" s="6" t="str">
        <x:v>V6</x:v>
      </x:c>
      <x:c r="B542" s="6" t="str">
        <x:v>CB-K01/S02</x:v>
      </x:c>
      <x:c r="C542" s="6" t="str">
        <x:v>CBR-007</x:v>
      </x:c>
      <x:c r="D542" s="6" t="str">
        <x:v>Birleştirildi</x:v>
      </x:c>
      <x:c r="E542" s="6" t="str">
        <x:v>Aynı kontrol amacı korunarak tek soruya veya bileşen testlerine bağlandı; eski ölçütteki kurum varsayımları CIS kabul değeri değildir.</x:v>
      </x:c>
      <x:c r="F542" s="6" t="str">
        <x:v>Rol exportu ve cross-tenant negatif test</x:v>
      </x:c>
    </x:row>
    <x:row r="543" ht="40" customHeight="1">
      <x:c r="A543" s="6" t="str">
        <x:v>V6</x:v>
      </x:c>
      <x:c r="B543" s="6" t="str">
        <x:v>CB-K01/S03</x:v>
      </x:c>
      <x:c r="C543" s="6" t="str">
        <x:v>CBR-007</x:v>
      </x:c>
      <x:c r="D543" s="6" t="str">
        <x:v>Birleştirildi</x:v>
      </x:c>
      <x:c r="E543" s="6" t="str">
        <x:v>Aynı kontrol amacı korunarak tek soruya veya bileşen testlerine bağlandı; eski ölçütteki kurum varsayımları CIS kabul değeri değildir.</x:v>
      </x:c>
      <x:c r="F543" s="6" t="str">
        <x:v>Hunting role/query audit ve export örnekleri</x:v>
      </x:c>
    </x:row>
    <x:row r="544" ht="40" customHeight="1">
      <x:c r="A544" s="6" t="str">
        <x:v>V6</x:v>
      </x:c>
      <x:c r="B544" s="6" t="str">
        <x:v>CB-K02/S01</x:v>
      </x:c>
      <x:c r="C544" s="6" t="str">
        <x:v>GNL-04-04
GNL-05-01</x:v>
      </x:c>
      <x:c r="D544" s="6" t="str">
        <x:v>Birleştirildi</x:v>
      </x:c>
      <x:c r="E544" s="6" t="str">
        <x:v>Aynı kontrol amacı korunarak tek soruya veya bileşen testlerine bağlandı; eski ölçütteki kurum varsayımları CIS kabul değeri değildir.</x:v>
      </x:c>
      <x:c r="F544" s="6" t="str">
        <x:v>SSO/MFA, user/role exportu</x:v>
      </x:c>
    </x:row>
    <x:row r="545" ht="40" customHeight="1">
      <x:c r="A545" s="6" t="str">
        <x:v>V6</x:v>
      </x:c>
      <x:c r="B545" s="6" t="str">
        <x:v>CB-K02/S02</x:v>
      </x:c>
      <x:c r="C545" s="6" t="str">
        <x:v>GNL-12-01</x:v>
      </x:c>
      <x:c r="D545" s="6" t="str">
        <x:v>Birleştirildi</x:v>
      </x:c>
      <x:c r="E545" s="6" t="str">
        <x:v>Aynı kontrol amacı korunarak tek soruya veya bileşen testlerine bağlandı; eski ölçütteki kurum varsayımları CIS kabul değeri değildir.</x:v>
      </x:c>
      <x:c r="F545" s="6" t="str">
        <x:v>API credential listesi, erişim logu ve vault kaydı</x:v>
      </x:c>
    </x:row>
    <x:row r="546" ht="40" customHeight="1">
      <x:c r="A546" s="6" t="str">
        <x:v>V6</x:v>
      </x:c>
      <x:c r="B546" s="6" t="str">
        <x:v>CB-K03/S01</x:v>
      </x:c>
      <x:c r="C546" s="6" t="str">
        <x:v>CBR-010</x:v>
      </x:c>
      <x:c r="D546" s="6" t="str">
        <x:v>Birleştirildi</x:v>
      </x:c>
      <x:c r="E546" s="6" t="str">
        <x:v>Aynı kontrol amacı korunarak tek soruya veya bileşen testlerine bağlandı; eski ölçütteki kurum varsayımları CIS kabul değeri değildir.</x:v>
      </x:c>
      <x:c r="F546" s="6" t="str">
        <x:v>Live Response role, session/audit log ve bilet</x:v>
      </x:c>
    </x:row>
    <x:row r="547" ht="40" customHeight="1">
      <x:c r="A547" s="6" t="str">
        <x:v>V6</x:v>
      </x:c>
      <x:c r="B547" s="6" t="str">
        <x:v>CB-K03/S02</x:v>
      </x:c>
      <x:c r="C547" s="6" t="str">
        <x:v>CBR-012</x:v>
      </x:c>
      <x:c r="D547" s="6" t="str">
        <x:v>Birleştirildi</x:v>
      </x:c>
      <x:c r="E547" s="6" t="str">
        <x:v>Aynı kontrol amacı korunarak tek soruya veya bileşen testlerine bağlandı; eski ölçütteki kurum varsayımları CIS kabul değeri değildir.</x:v>
      </x:c>
      <x:c r="F547" s="6" t="str">
        <x:v>Quarantine rolleri ve olay örnekleri</x:v>
      </x:c>
    </x:row>
    <x:row r="548" ht="40" customHeight="1">
      <x:c r="A548" s="6" t="str">
        <x:v>V6</x:v>
      </x:c>
      <x:c r="B548" s="6" t="str">
        <x:v>CB-K04/S01</x:v>
      </x:c>
      <x:c r="C548" s="6" t="str">
        <x:v>CBR-009</x:v>
      </x:c>
      <x:c r="D548" s="6" t="str">
        <x:v>Birleştirildi</x:v>
      </x:c>
      <x:c r="E548" s="6" t="str">
        <x:v>Aynı kontrol amacı korunarak tek soruya veya bileşen testlerine bağlandı; eski ölçütteki kurum varsayımları CIS kabul değeri değildir.</x:v>
      </x:c>
      <x:c r="F548" s="6" t="str">
        <x:v>Policy exportu ve grup atama matrisi</x:v>
      </x:c>
    </x:row>
    <x:row r="549" ht="40" customHeight="1">
      <x:c r="A549" s="6" t="str">
        <x:v>V6</x:v>
      </x:c>
      <x:c r="B549" s="6" t="str">
        <x:v>CB-K04/S02</x:v>
      </x:c>
      <x:c r="C549" s="6" t="str">
        <x:v>CBR-009
CBR-013</x:v>
      </x:c>
      <x:c r="D549" s="6" t="str">
        <x:v>Birleştirildi</x:v>
      </x:c>
      <x:c r="E549" s="6" t="str">
        <x:v>Aynı kontrol amacı korunarak tek soruya veya bileşen testlerine bağlandı; eski ölçütteki kurum varsayımları CIS kabul değeri değildir.</x:v>
      </x:c>
      <x:c r="F549" s="6" t="str">
        <x:v>Bypass/exclusion ayarları ve audit log</x:v>
      </x:c>
    </x:row>
    <x:row r="550" ht="40" customHeight="1">
      <x:c r="A550" s="6" t="str">
        <x:v>V6</x:v>
      </x:c>
      <x:c r="B550" s="6" t="str">
        <x:v>CB-K04/S03</x:v>
      </x:c>
      <x:c r="C550" s="6" t="str">
        <x:v>CBR-009</x:v>
      </x:c>
      <x:c r="D550" s="6" t="str">
        <x:v>Birleştirildi</x:v>
      </x:c>
      <x:c r="E550" s="6" t="str">
        <x:v>Aynı kontrol amacı korunarak tek soruya veya bileşen testlerine bağlandı; eski ölçütteki kurum varsayımları CIS kabul değeri değildir.</x:v>
      </x:c>
      <x:c r="F550" s="6" t="str">
        <x:v>Exclusion listesi ve onay biletleri</x:v>
      </x:c>
    </x:row>
    <x:row r="551" ht="40" customHeight="1">
      <x:c r="A551" s="6" t="str">
        <x:v>V6</x:v>
      </x:c>
      <x:c r="B551" s="6" t="str">
        <x:v>CB-K04/S04</x:v>
      </x:c>
      <x:c r="C551" s="6" t="str">
        <x:v>CBR-013</x:v>
      </x:c>
      <x:c r="D551" s="6" t="str">
        <x:v>Birleştirildi</x:v>
      </x:c>
      <x:c r="E551" s="6" t="str">
        <x:v>Aynı kontrol amacı korunarak tek soruya veya bileşen testlerine bağlandı; eski ölçütteki kurum varsayımları CIS kabul değeri değildir.</x:v>
      </x:c>
      <x:c r="F551" s="6" t="str">
        <x:v>Uninstall code policy ve kullanım logları</x:v>
      </x:c>
    </x:row>
    <x:row r="552" ht="40" customHeight="1">
      <x:c r="A552" s="6" t="str">
        <x:v>V6</x:v>
      </x:c>
      <x:c r="B552" s="6" t="str">
        <x:v>CB-K05/S01</x:v>
      </x:c>
      <x:c r="C552" s="6" t="str">
        <x:v>CBR-008</x:v>
      </x:c>
      <x:c r="D552" s="6" t="str">
        <x:v>Birleştirildi</x:v>
      </x:c>
      <x:c r="E552" s="6" t="str">
        <x:v>Aynı kontrol amacı korunarak tek soruya veya bileşen testlerine bağlandı; eski ölçütteki kurum varsayımları CIS kabul değeri değildir.</x:v>
      </x:c>
      <x:c r="F552" s="6" t="str">
        <x:v>Sensor health dashboard ve biletler</x:v>
      </x:c>
    </x:row>
    <x:row r="553" ht="40" customHeight="1">
      <x:c r="A553" s="6" t="str">
        <x:v>V6</x:v>
      </x:c>
      <x:c r="B553" s="6" t="str">
        <x:v>CB-K05/S02</x:v>
      </x:c>
      <x:c r="C553" s="6" t="str">
        <x:v>GNL-08-04</x:v>
      </x:c>
      <x:c r="D553" s="6" t="str">
        <x:v>Birleştirildi</x:v>
      </x:c>
      <x:c r="E553" s="6" t="str">
        <x:v>Aynı kontrol amacı korunarak tek soruya veya bileşen testlerine bağlandı; eski ölçütteki kurum varsayımları CIS kabul değeri değildir.</x:v>
      </x:c>
      <x:c r="F553" s="6" t="str">
        <x:v>Sensor version dağılımı ve change kayıtları</x:v>
      </x:c>
    </x:row>
    <x:row r="554" ht="40" customHeight="1">
      <x:c r="A554" s="6" t="str">
        <x:v>V6</x:v>
      </x:c>
      <x:c r="B554" s="6" t="str">
        <x:v>CB-K05/S03</x:v>
      </x:c>
      <x:c r="C554" s="6" t="str">
        <x:v>CBR-008</x:v>
      </x:c>
      <x:c r="D554" s="6" t="str">
        <x:v>Birleştirildi</x:v>
      </x:c>
      <x:c r="E554" s="6" t="str">
        <x:v>Aynı kontrol amacı korunarak tek soruya veya bileşen testlerine bağlandı; eski ölçütteki kurum varsayımları CIS kabul değeri değildir.</x:v>
      </x:c>
      <x:c r="F554" s="6" t="str">
        <x:v>Asset-sensor mutabakat raporu</x:v>
      </x:c>
    </x:row>
    <x:row r="555" ht="40" customHeight="1">
      <x:c r="A555" s="6" t="str">
        <x:v>V6</x:v>
      </x:c>
      <x:c r="B555" s="6" t="str">
        <x:v>CB-K06/S01</x:v>
      </x:c>
      <x:c r="C555" s="6" t="str">
        <x:v>GNL-09-02</x:v>
      </x:c>
      <x:c r="D555" s="6" t="str">
        <x:v>Birleştirildi</x:v>
      </x:c>
      <x:c r="E555" s="6" t="str">
        <x:v>Aynı kontrol amacı korunarak tek soruya veya bileşen testlerine bağlandı; eski ölçütteki kurum varsayımları CIS kabul değeri değildir.</x:v>
      </x:c>
      <x:c r="F555" s="6" t="str">
        <x:v>Alert forwarder/API config ve SIEM örneği</x:v>
      </x:c>
    </x:row>
    <x:row r="556" ht="40" customHeight="1">
      <x:c r="A556" s="6" t="str">
        <x:v>V6</x:v>
      </x:c>
      <x:c r="B556" s="6" t="str">
        <x:v>CB-K06/S02</x:v>
      </x:c>
      <x:c r="C556" s="6" t="str">
        <x:v>CB-V06-02</x:v>
      </x:c>
      <x:c r="D556" s="6" t="str">
        <x:v>Eklendi</x:v>
      </x:c>
      <x:c r="E556" s="6" t="str">
        <x:v>Aynı kontrol amacı korunarak tek soruya veya bileşen testlerine bağlandı; eski ölçütteki kurum varsayımları CIS kabul değeri değildir.</x:v>
      </x:c>
      <x:c r="F556" s="6" t="str">
        <x:v>Use-case katalog, watchlist exportu ve testler</x:v>
      </x:c>
    </x:row>
    <x:row r="557" ht="40" customHeight="1">
      <x:c r="A557" s="6" t="str">
        <x:v>V6</x:v>
      </x:c>
      <x:c r="B557" s="6" t="str">
        <x:v>CB-K06/S03</x:v>
      </x:c>
      <x:c r="C557" s="6" t="str">
        <x:v>CB-V06-03</x:v>
      </x:c>
      <x:c r="D557" s="6" t="str">
        <x:v>Eklendi</x:v>
      </x:c>
      <x:c r="E557" s="6" t="str">
        <x:v>Aynı kontrol amacı korunarak tek soruya veya bileşen testlerine bağlandı; eski ölçütteki kurum varsayımları CIS kabul değeri değildir.</x:v>
      </x:c>
      <x:c r="F557" s="6" t="str">
        <x:v>Suppression/override listesi</x:v>
      </x:c>
    </x:row>
    <x:row r="558" ht="40" customHeight="1">
      <x:c r="A558" s="6" t="str">
        <x:v>V6</x:v>
      </x:c>
      <x:c r="B558" s="6" t="str">
        <x:v>CB-K07/S01</x:v>
      </x:c>
      <x:c r="C558" s="6" t="str">
        <x:v>CBR-011</x:v>
      </x:c>
      <x:c r="D558" s="6" t="str">
        <x:v>Birleştirildi</x:v>
      </x:c>
      <x:c r="E558" s="6" t="str">
        <x:v>Aynı kontrol amacı korunarak tek soruya veya bileşen testlerine bağlandı; eski ölçütteki kurum varsayımları CIS kabul değeri değildir.</x:v>
      </x:c>
      <x:c r="F558" s="6" t="str">
        <x:v>Retention/location sözleşme ve konsol ayarları</x:v>
      </x:c>
    </x:row>
    <x:row r="559" ht="40" customHeight="1">
      <x:c r="A559" s="6" t="str">
        <x:v>V6</x:v>
      </x:c>
      <x:c r="B559" s="6" t="str">
        <x:v>CB-K08/S01</x:v>
      </x:c>
      <x:c r="C559" s="6" t="str">
        <x:v>GNL-09-02</x:v>
      </x:c>
      <x:c r="D559" s="6" t="str">
        <x:v>Birleştirildi</x:v>
      </x:c>
      <x:c r="E559" s="6" t="str">
        <x:v>Aynı kontrol amacı korunarak tek soruya veya bileşen testlerine bağlandı; eski ölçütteki kurum varsayımları CIS kabul değeri değildir.</x:v>
      </x:c>
      <x:c r="F559" s="6" t="str">
        <x:v>Audit log/API ve SIEM örnekleri</x:v>
      </x:c>
    </x:row>
    <x:row r="560" ht="40" customHeight="1">
      <x:c r="A560" s="6" t="str">
        <x:v>V6</x:v>
      </x:c>
      <x:c r="B560" s="6" t="str">
        <x:v>CB-K08/S02</x:v>
      </x:c>
      <x:c r="C560" s="6" t="str">
        <x:v>GNL-09-05</x:v>
      </x:c>
      <x:c r="D560" s="6" t="str">
        <x:v>Birleştirildi</x:v>
      </x:c>
      <x:c r="E560" s="6" t="str">
        <x:v>Aynı kontrol amacı korunarak tek soruya veya bileşen testlerine bağlandı; eski ölçütteki kurum varsayımları CIS kabul değeri değildir.</x:v>
      </x:c>
      <x:c r="F560" s="6" t="str">
        <x:v>Retention ve forwarding ayarları</x:v>
      </x:c>
    </x:row>
    <x:row r="561" ht="40" customHeight="1">
      <x:c r="A561" s="6" t="str">
        <x:v>V6</x:v>
      </x:c>
      <x:c r="B561" s="6" t="str">
        <x:v>CB-K09/S01</x:v>
      </x:c>
      <x:c r="C561" s="6" t="str">
        <x:v>GNL-16-01
GNL-16-02</x:v>
      </x:c>
      <x:c r="D561" s="6" t="str">
        <x:v>Birleştirildi</x:v>
      </x:c>
      <x:c r="E561" s="6" t="str">
        <x:v>Aynı kontrol amacı korunarak tek soruya veya bileşen testlerine bağlandı; eski ölçütteki kurum varsayımları CIS kabul değeri değildir.</x:v>
      </x:c>
      <x:c r="F561" s="6" t="str">
        <x:v>Runbook, RACI ve olay örnekleri</x:v>
      </x:c>
    </x:row>
    <x:row r="562" ht="40" customHeight="1">
      <x:c r="A562" s="6" t="str">
        <x:v>V6</x:v>
      </x:c>
      <x:c r="B562" s="6" t="str">
        <x:v>CB-K09/S02</x:v>
      </x:c>
      <x:c r="C562" s="6" t="str">
        <x:v>GNL-17-01</x:v>
      </x:c>
      <x:c r="D562" s="6" t="str">
        <x:v>Birleştirildi</x:v>
      </x:c>
      <x:c r="E562" s="6" t="str">
        <x:v>Aynı kontrol amacı korunarak tek soruya veya bileşen testlerine bağlandı; eski ölçütteki kurum varsayımları CIS kabul değeri değildir.</x:v>
      </x:c>
      <x:c r="F562" s="6" t="str">
        <x:v>Sözleşme, subprocessor listesi ve SLA raporu</x:v>
      </x:c>
    </x:row>
    <x:row r="563" ht="40" customHeight="1">
      <x:c r="A563" s="6" t="str">
        <x:v>V6</x:v>
      </x:c>
      <x:c r="B563" s="6" t="str">
        <x:v>CB-K10/S01</x:v>
      </x:c>
      <x:c r="C563" s="6" t="str">
        <x:v>GNL-18-02</x:v>
      </x:c>
      <x:c r="D563" s="6" t="str">
        <x:v>Birleştirildi</x:v>
      </x:c>
      <x:c r="E563" s="6" t="str">
        <x:v>Aynı kontrol amacı korunarak tek soruya veya bileşen testlerine bağlandı; eski ölçütteki kurum varsayımları CIS kabul değeri değildir.</x:v>
      </x:c>
      <x:c r="F563" s="6" t="str">
        <x:v>Offboarding ve silme doğrulama kayıtları</x:v>
      </x:c>
    </x:row>
    <x:row r="564" ht="40" customHeight="1">
      <x:c r="A564" s="6" t="str">
        <x:v>V6</x:v>
      </x:c>
      <x:c r="B564" s="6" t="str">
        <x:v>FTG-K01/S01</x:v>
      </x:c>
      <x:c r="C564" s="6" t="str">
        <x:v>FGT-007</x:v>
      </x:c>
      <x:c r="D564" s="6" t="str">
        <x:v>Birleştirildi</x:v>
      </x:c>
      <x:c r="E564" s="6" t="str">
        <x:v>Aynı kontrol amacı korunarak tek soruya veya bileşen testlerine bağlandı; eski ölçütteki kurum varsayımları CIS kabul değeri değildir.</x:v>
      </x:c>
      <x:c r="F564" s="6" t="str">
        <x:v>VDOM ve müşteri-resource exportu</x:v>
      </x:c>
    </x:row>
    <x:row r="565" ht="40" customHeight="1">
      <x:c r="A565" s="6" t="str">
        <x:v>V6</x:v>
      </x:c>
      <x:c r="B565" s="6" t="str">
        <x:v>FTG-K01/S02</x:v>
      </x:c>
      <x:c r="C565" s="6" t="str">
        <x:v>FGC-011</x:v>
      </x:c>
      <x:c r="D565" s="6" t="str">
        <x:v>Birleştirildi</x:v>
      </x:c>
      <x:c r="E565" s="6" t="str">
        <x:v>Aynı kontrol amacı korunarak tek soruya veya bileşen testlerine bağlandı; eski ölçütteki kurum varsayımları CIS kabul değeri değildir.</x:v>
      </x:c>
      <x:c r="F565" s="6" t="str">
        <x:v>Administrator/admin-profile exportu</x:v>
      </x:c>
    </x:row>
    <x:row r="566" ht="40" customHeight="1">
      <x:c r="A566" s="6" t="str">
        <x:v>V6</x:v>
      </x:c>
      <x:c r="B566" s="6" t="str">
        <x:v>FTG-K01/S03</x:v>
      </x:c>
      <x:c r="C566" s="6" t="str">
        <x:v>FGC-011</x:v>
      </x:c>
      <x:c r="D566" s="6" t="str">
        <x:v>Birleştirildi</x:v>
      </x:c>
      <x:c r="E566" s="6" t="str">
        <x:v>Aynı kontrol amacı korunarak tek soruya veya bileşen testlerine bağlandı; eski ölçütteki kurum varsayımları CIS kabul değeri değildir.</x:v>
      </x:c>
      <x:c r="F566" s="6" t="str">
        <x:v>Global/management VDOM admin rolleri</x:v>
      </x:c>
    </x:row>
    <x:row r="567" ht="40" customHeight="1">
      <x:c r="A567" s="6" t="str">
        <x:v>V6</x:v>
      </x:c>
      <x:c r="B567" s="6" t="str">
        <x:v>FTG-K01/S04</x:v>
      </x:c>
      <x:c r="C567" s="6" t="str">
        <x:v>FTG-V01-04</x:v>
      </x:c>
      <x:c r="D567" s="6" t="str">
        <x:v>Eklendi</x:v>
      </x:c>
      <x:c r="E567" s="6" t="str">
        <x:v>Aynı kontrol amacı korunarak tek soruya veya bileşen testlerine bağlandı; eski ölçütteki kurum varsayımları CIS kabul değeri değildir.</x:v>
      </x:c>
      <x:c r="F567" s="6" t="str">
        <x:v>Inter-VDOM link/route/policy exportu</x:v>
      </x:c>
    </x:row>
    <x:row r="568" ht="40" customHeight="1">
      <x:c r="A568" s="6" t="str">
        <x:v>V6</x:v>
      </x:c>
      <x:c r="B568" s="6" t="str">
        <x:v>FTG-K02/S01</x:v>
      </x:c>
      <x:c r="C568" s="6" t="str">
        <x:v>GNL-05-01
FGC-011</x:v>
      </x:c>
      <x:c r="D568" s="6" t="str">
        <x:v>Birleştirildi</x:v>
      </x:c>
      <x:c r="E568" s="6" t="str">
        <x:v>Aynı kontrol amacı korunarak tek soruya veya bileşen testlerine bağlandı; eski ölçütteki kurum varsayımları CIS kabul değeri değildir.</x:v>
      </x:c>
      <x:c r="F568" s="6" t="str">
        <x:v>Admin config, MFA ve login logları</x:v>
      </x:c>
    </x:row>
    <x:row r="569" ht="40" customHeight="1">
      <x:c r="A569" s="6" t="str">
        <x:v>V6</x:v>
      </x:c>
      <x:c r="B569" s="6" t="str">
        <x:v>FTG-K02/S02</x:v>
      </x:c>
      <x:c r="C569" s="6" t="str">
        <x:v>FTG-V02-02</x:v>
      </x:c>
      <x:c r="D569" s="6" t="str">
        <x:v>Eklendi</x:v>
      </x:c>
      <x:c r="E569" s="6" t="str">
        <x:v>Aynı kontrol amacı korunarak tek soruya veya bileşen testlerine bağlandı; eski ölçütteki kurum varsayımları CIS kabul değeri değildir.</x:v>
      </x:c>
      <x:c r="F569" s="6" t="str">
        <x:v>Remote auth ve group mapping exportu</x:v>
      </x:c>
    </x:row>
    <x:row r="570" ht="40" customHeight="1">
      <x:c r="A570" s="6" t="str">
        <x:v>V6</x:v>
      </x:c>
      <x:c r="B570" s="6" t="str">
        <x:v>FTG-K02/S03</x:v>
      </x:c>
      <x:c r="C570" s="6" t="str">
        <x:v>GNL-12-01</x:v>
      </x:c>
      <x:c r="D570" s="6" t="str">
        <x:v>Birleştirildi</x:v>
      </x:c>
      <x:c r="E570" s="6" t="str">
        <x:v>Aynı kontrol amacı korunarak tek soruya veya bileşen testlerine bağlandı; eski ölçütteki kurum varsayımları CIS kabul değeri değildir.</x:v>
      </x:c>
      <x:c r="F570" s="6" t="str">
        <x:v>API admin/token envanteri ve erişim logları</x:v>
      </x:c>
    </x:row>
    <x:row r="571" ht="40" customHeight="1">
      <x:c r="A571" s="6" t="str">
        <x:v>V6</x:v>
      </x:c>
      <x:c r="B571" s="6" t="str">
        <x:v>FTG-K03/S01</x:v>
      </x:c>
      <x:c r="C571" s="6" t="str">
        <x:v>FGC-003
FGC-013</x:v>
      </x:c>
      <x:c r="D571" s="6" t="str">
        <x:v>Birleştirildi</x:v>
      </x:c>
      <x:c r="E571" s="6" t="str">
        <x:v>Aynı kontrol amacı korunarak tek soruya veya bileşen testlerine bağlandı; eski ölçütteki kurum varsayımları CIS kabul değeri değildir.</x:v>
      </x:c>
      <x:c r="F571" s="6" t="str">
        <x:v>Interface allowaccess, local-in policy ve bağlantı testi</x:v>
      </x:c>
    </x:row>
    <x:row r="572" ht="40" customHeight="1">
      <x:c r="A572" s="6" t="str">
        <x:v>V6</x:v>
      </x:c>
      <x:c r="B572" s="6" t="str">
        <x:v>FTG-K03/S02</x:v>
      </x:c>
      <x:c r="C572" s="6" t="str">
        <x:v>FGC-007
GNL-11-02</x:v>
      </x:c>
      <x:c r="D572" s="6" t="str">
        <x:v>Birleştirildi</x:v>
      </x:c>
      <x:c r="E572" s="6" t="str">
        <x:v>Aynı kontrol amacı korunarak tek soruya veya bileşen testlerine bağlandı; eski ölçütteki kurum varsayımları CIS kabul değeri değildir.</x:v>
      </x:c>
      <x:c r="F572" s="6" t="str">
        <x:v>TLS/SSH taraması ve system global config</x:v>
      </x:c>
    </x:row>
    <x:row r="573" ht="40" customHeight="1">
      <x:c r="A573" s="6" t="str">
        <x:v>V6</x:v>
      </x:c>
      <x:c r="B573" s="6" t="str">
        <x:v>FTG-K03/S03</x:v>
      </x:c>
      <x:c r="C573" s="6" t="str">
        <x:v>FGC-001
FGC-010</x:v>
      </x:c>
      <x:c r="D573" s="6" t="str">
        <x:v>Birleştirildi</x:v>
      </x:c>
      <x:c r="E573" s="6" t="str">
        <x:v>Aynı kontrol amacı korunarak tek soruya veya bileşen testlerine bağlandı; eski ölçütteki kurum varsayımları CIS kabul değeri değildir.</x:v>
      </x:c>
      <x:c r="F573" s="6" t="str">
        <x:v>System SNMP/NTP/DNS config</x:v>
      </x:c>
    </x:row>
    <x:row r="574" ht="40" customHeight="1">
      <x:c r="A574" s="6" t="str">
        <x:v>V6</x:v>
      </x:c>
      <x:c r="B574" s="6" t="str">
        <x:v>FTG-K04/S01</x:v>
      </x:c>
      <x:c r="C574" s="6" t="str">
        <x:v>FGC-016
FGT-013</x:v>
      </x:c>
      <x:c r="D574" s="6" t="str">
        <x:v>Birleştirildi</x:v>
      </x:c>
      <x:c r="E574" s="6" t="str">
        <x:v>Aynı kontrol amacı korunarak tek soruya veya bileşen testlerine bağlandı; eski ölçütteki kurum varsayımları CIS kabul değeri değildir.</x:v>
      </x:c>
      <x:c r="F574" s="6" t="str">
        <x:v>HA config/status ve failover testi</x:v>
      </x:c>
    </x:row>
    <x:row r="575" ht="40" customHeight="1">
      <x:c r="A575" s="6" t="str">
        <x:v>V6</x:v>
      </x:c>
      <x:c r="B575" s="6" t="str">
        <x:v>FTG-K04/S02</x:v>
      </x:c>
      <x:c r="C575" s="6" t="str">
        <x:v>FGC-016</x:v>
      </x:c>
      <x:c r="D575" s="6" t="str">
        <x:v>Birleştirildi</x:v>
      </x:c>
      <x:c r="E575" s="6" t="str">
        <x:v>Aynı kontrol amacı korunarak tek soruya veya bileşen testlerine bağlandı; eski ölçütteki kurum varsayımları CIS kabul değeri değildir.</x:v>
      </x:c>
      <x:c r="F575" s="6" t="str">
        <x:v>Event log ve SIEM alarmı</x:v>
      </x:c>
    </x:row>
    <x:row r="576" ht="40" customHeight="1">
      <x:c r="A576" s="6" t="str">
        <x:v>V6</x:v>
      </x:c>
      <x:c r="B576" s="6" t="str">
        <x:v>FTG-K05/S01</x:v>
      </x:c>
      <x:c r="C576" s="6" t="str">
        <x:v>FGT-011</x:v>
      </x:c>
      <x:c r="D576" s="6" t="str">
        <x:v>Birleştirildi</x:v>
      </x:c>
      <x:c r="E576" s="6" t="str">
        <x:v>Aynı kontrol amacı korunarak tek soruya veya bileşen testlerine bağlandı; eski ölçütteki kurum varsayımları CIS kabul değeri değildir.</x:v>
      </x:c>
      <x:c r="F576" s="6" t="str">
        <x:v>Firewall policy exportu ve rule review</x:v>
      </x:c>
    </x:row>
    <x:row r="577" ht="40" customHeight="1">
      <x:c r="A577" s="6" t="str">
        <x:v>V6</x:v>
      </x:c>
      <x:c r="B577" s="6" t="str">
        <x:v>FTG-K05/S02</x:v>
      </x:c>
      <x:c r="C577" s="6" t="str">
        <x:v>FGC-017</x:v>
      </x:c>
      <x:c r="D577" s="6" t="str">
        <x:v>Birleştirildi</x:v>
      </x:c>
      <x:c r="E577" s="6" t="str">
        <x:v>Aynı kontrol amacı korunarak tek soruya veya bileşen testlerine bağlandı; eski ölçütteki kurum varsayımları CIS kabul değeri değildir.</x:v>
      </x:c>
      <x:c r="F577" s="6" t="str">
        <x:v>Policy metadata, change ticket ve recertification</x:v>
      </x:c>
    </x:row>
    <x:row r="578" ht="40" customHeight="1">
      <x:c r="A578" s="6" t="str">
        <x:v>V6</x:v>
      </x:c>
      <x:c r="B578" s="6" t="str">
        <x:v>FTG-K05/S03</x:v>
      </x:c>
      <x:c r="C578" s="6" t="str">
        <x:v>FGT-007
FGT-011</x:v>
      </x:c>
      <x:c r="D578" s="6" t="str">
        <x:v>Birleştirildi</x:v>
      </x:c>
      <x:c r="E578" s="6" t="str">
        <x:v>Aynı kontrol amacı korunarak tek soruya veya bileşen testlerine bağlandı; eski ölçütteki kurum varsayımları CIS kabul değeri değildir.</x:v>
      </x:c>
      <x:c r="F578" s="6" t="str">
        <x:v>Object ve policy exportu</x:v>
      </x:c>
    </x:row>
    <x:row r="579" ht="40" customHeight="1">
      <x:c r="A579" s="6" t="str">
        <x:v>V6</x:v>
      </x:c>
      <x:c r="B579" s="6" t="str">
        <x:v>FTG-K06/S01</x:v>
      </x:c>
      <x:c r="C579" s="6" t="str">
        <x:v>FTG-V06-01</x:v>
      </x:c>
      <x:c r="D579" s="6" t="str">
        <x:v>Eklendi</x:v>
      </x:c>
      <x:c r="E579" s="6" t="str">
        <x:v>Aynı kontrol amacı korunarak tek soruya veya bileşen testlerine bağlandı; eski ölçütteki kurum varsayımları CIS kabul değeri değildir.</x:v>
      </x:c>
      <x:c r="F579" s="6" t="str">
        <x:v>Routing table/config ve reachability test</x:v>
      </x:c>
    </x:row>
    <x:row r="580" ht="40" customHeight="1">
      <x:c r="A580" s="6" t="str">
        <x:v>V6</x:v>
      </x:c>
      <x:c r="B580" s="6" t="str">
        <x:v>FTG-K06/S02</x:v>
      </x:c>
      <x:c r="C580" s="6" t="str">
        <x:v>FTG-V06-02</x:v>
      </x:c>
      <x:c r="D580" s="6" t="str">
        <x:v>Eklendi</x:v>
      </x:c>
      <x:c r="E580" s="6" t="str">
        <x:v>Aynı kontrol amacı korunarak tek soruya veya bileşen testlerine bağlandı; eski ölçütteki kurum varsayımları CIS kabul değeri değildir.</x:v>
      </x:c>
      <x:c r="F580" s="6" t="str">
        <x:v>Interface/system settings ve test trafiği</x:v>
      </x:c>
    </x:row>
    <x:row r="581" ht="40" customHeight="1">
      <x:c r="A581" s="6" t="str">
        <x:v>V6</x:v>
      </x:c>
      <x:c r="B581" s="6" t="str">
        <x:v>FTG-K06/S03</x:v>
      </x:c>
      <x:c r="C581" s="6" t="str">
        <x:v>FTG-V06-03</x:v>
      </x:c>
      <x:c r="D581" s="6" t="str">
        <x:v>Eklendi</x:v>
      </x:c>
      <x:c r="E581" s="6" t="str">
        <x:v>Aynı kontrol amacı korunarak tek soruya veya bileşen testlerine bağlandı; eski ölçütteki kurum varsayımları CIS kabul değeri değildir.</x:v>
      </x:c>
      <x:c r="F581" s="6" t="str">
        <x:v>VIP/NAT/policy exportu ve dış tarama</x:v>
      </x:c>
    </x:row>
    <x:row r="582" ht="40" customHeight="1">
      <x:c r="A582" s="6" t="str">
        <x:v>V6</x:v>
      </x:c>
      <x:c r="B582" s="6" t="str">
        <x:v>FTG-K07/S01</x:v>
      </x:c>
      <x:c r="C582" s="6" t="str">
        <x:v>FGT-010</x:v>
      </x:c>
      <x:c r="D582" s="6" t="str">
        <x:v>Birleştirildi</x:v>
      </x:c>
      <x:c r="E582" s="6" t="str">
        <x:v>Aynı kontrol amacı korunarak tek soruya veya bileşen testlerine bağlandı; eski ölçütteki kurum varsayımları CIS kabul değeri değildir.</x:v>
      </x:c>
      <x:c r="F582" s="6" t="str">
        <x:v>DoS policy, anomaly log ve kapasite raporu</x:v>
      </x:c>
    </x:row>
    <x:row r="583" ht="40" customHeight="1">
      <x:c r="A583" s="6" t="str">
        <x:v>V6</x:v>
      </x:c>
      <x:c r="B583" s="6" t="str">
        <x:v>FTG-K07/S02</x:v>
      </x:c>
      <x:c r="C583" s="6" t="str">
        <x:v>IPS-012</x:v>
      </x:c>
      <x:c r="D583" s="6" t="str">
        <x:v>Birleştirildi</x:v>
      </x:c>
      <x:c r="E583" s="6" t="str">
        <x:v>Aynı kontrol amacı korunarak tek soruya veya bileşen testlerine bağlandı; eski ölçütteki kurum varsayımları CIS kabul değeri değildir.</x:v>
      </x:c>
      <x:c r="F583" s="6" t="str">
        <x:v>Performans trendi ve yük testi</x:v>
      </x:c>
    </x:row>
    <x:row r="584" ht="40" customHeight="1">
      <x:c r="A584" s="6" t="str">
        <x:v>V6</x:v>
      </x:c>
      <x:c r="B584" s="6" t="str">
        <x:v>FTG-K08/S01</x:v>
      </x:c>
      <x:c r="C584" s="6" t="str">
        <x:v>FGC-019
FGC-031</x:v>
      </x:c>
      <x:c r="D584" s="6" t="str">
        <x:v>Birleştirildi</x:v>
      </x:c>
      <x:c r="E584" s="6" t="str">
        <x:v>Aynı kontrol amacı korunarak tek soruya veya bileşen testlerine bağlandı; eski ölçütteki kurum varsayımları CIS kabul değeri değildir.</x:v>
      </x:c>
      <x:c r="F584" s="6" t="str">
        <x:v>Log settings ve SIEM örnekleri</x:v>
      </x:c>
    </x:row>
    <x:row r="585" ht="55" customHeight="1">
      <x:c r="A585" s="6" t="str">
        <x:v>V6</x:v>
      </x:c>
      <x:c r="B585" s="6" t="str">
        <x:v>FTG-K08/S02</x:v>
      </x:c>
      <x:c r="C585" s="6" t="str">
        <x:v>FGC-032
FGC-033
GNL-09-03</x:v>
      </x:c>
      <x:c r="D585" s="6" t="str">
        <x:v>Birleştirildi</x:v>
      </x:c>
      <x:c r="E585" s="6" t="str">
        <x:v>Aynı kontrol amacı korunarak tek soruya veya bileşen testlerine bağlandı; eski ölçütteki kurum varsayımları CIS kabul değeri değildir.</x:v>
      </x:c>
      <x:c r="F585" s="6" t="str">
        <x:v>Log target config ve kesinti testi</x:v>
      </x:c>
    </x:row>
    <x:row r="586" ht="40" customHeight="1">
      <x:c r="A586" s="6" t="str">
        <x:v>V6</x:v>
      </x:c>
      <x:c r="B586" s="6" t="str">
        <x:v>FTG-K09/S01</x:v>
      </x:c>
      <x:c r="C586" s="6" t="str">
        <x:v>GNL-07-03</x:v>
      </x:c>
      <x:c r="D586" s="6" t="str">
        <x:v>Birleştirildi</x:v>
      </x:c>
      <x:c r="E586" s="6" t="str">
        <x:v>Aynı kontrol amacı korunarak tek soruya veya bileşen testlerine bağlandı; eski ölçütteki kurum varsayımları CIS kabul değeri değildir.</x:v>
      </x:c>
      <x:c r="F586" s="6" t="str">
        <x:v>Revision history, install preview ve ticket</x:v>
      </x:c>
    </x:row>
    <x:row r="587" ht="40" customHeight="1">
      <x:c r="A587" s="6" t="str">
        <x:v>V6</x:v>
      </x:c>
      <x:c r="B587" s="6" t="str">
        <x:v>FTG-K09/S02</x:v>
      </x:c>
      <x:c r="C587" s="6" t="str">
        <x:v>FTG-V09-02</x:v>
      </x:c>
      <x:c r="D587" s="6" t="str">
        <x:v>Eklendi</x:v>
      </x:c>
      <x:c r="E587" s="6" t="str">
        <x:v>Aynı kontrol amacı korunarak tek soruya veya bileşen testlerine bağlandı; eski ölçütteki kurum varsayımları CIS kabul değeri değildir.</x:v>
      </x:c>
      <x:c r="F587" s="6" t="str">
        <x:v>Config backup/revision ve restore testi</x:v>
      </x:c>
    </x:row>
    <x:row r="588" ht="40" customHeight="1">
      <x:c r="A588" s="6" t="str">
        <x:v>V6</x:v>
      </x:c>
      <x:c r="B588" s="6" t="str">
        <x:v>FTG-K10/S01</x:v>
      </x:c>
      <x:c r="C588" s="6" t="str">
        <x:v>FGC-005
FGC-021</x:v>
      </x:c>
      <x:c r="D588" s="6" t="str">
        <x:v>Birleştirildi</x:v>
      </x:c>
      <x:c r="E588" s="6" t="str">
        <x:v>Aynı kontrol amacı korunarak tek soruya veya bileşen testlerine bağlandı; eski ölçütteki kurum varsayımları CIS kabul değeri değildir.</x:v>
      </x:c>
      <x:c r="F588" s="6" t="str">
        <x:v>System status, FortiGuard ve PSIRT takibi</x:v>
      </x:c>
    </x:row>
    <x:row r="589" ht="40" customHeight="1">
      <x:c r="A589" s="6" t="str">
        <x:v>V6</x:v>
      </x:c>
      <x:c r="B589" s="6" t="str">
        <x:v>FTG-K10/S02</x:v>
      </x:c>
      <x:c r="C589" s="6" t="str">
        <x:v>FGC-021</x:v>
      </x:c>
      <x:c r="D589" s="6" t="str">
        <x:v>Birleştirildi</x:v>
      </x:c>
      <x:c r="E589" s="6" t="str">
        <x:v>Aynı kontrol amacı korunarak tek soruya veya bileşen testlerine bağlandı; eski ölçütteki kurum varsayımları CIS kabul değeri değildir.</x:v>
      </x:c>
      <x:c r="F589" s="6" t="str">
        <x:v>FortiGuard status, license ve SIEM alarmı</x:v>
      </x:c>
    </x:row>
    <x:row r="590" ht="40" customHeight="1">
      <x:c r="A590" s="6" t="str">
        <x:v>V6</x:v>
      </x:c>
      <x:c r="B590" s="6" t="str">
        <x:v>FTG-K11/S01</x:v>
      </x:c>
      <x:c r="C590" s="6" t="str">
        <x:v>FGC-020</x:v>
      </x:c>
      <x:c r="D590" s="6" t="str">
        <x:v>Birleştirildi</x:v>
      </x:c>
      <x:c r="E590" s="6" t="str">
        <x:v>Aynı kontrol amacı korunarak tek soruya veya bileşen testlerine bağlandı; eski ölçütteki kurum varsayımları CIS kabul değeri değildir.</x:v>
      </x:c>
      <x:c r="F590" s="6" t="str">
        <x:v>Policy-sensor mapping ve coverage raporu</x:v>
      </x:c>
    </x:row>
    <x:row r="591" ht="40" customHeight="1">
      <x:c r="A591" s="6" t="str">
        <x:v>V6</x:v>
      </x:c>
      <x:c r="B591" s="6" t="str">
        <x:v>FTG-K11/S02</x:v>
      </x:c>
      <x:c r="C591" s="6" t="str">
        <x:v>IPS-009</x:v>
      </x:c>
      <x:c r="D591" s="6" t="str">
        <x:v>Birleştirildi</x:v>
      </x:c>
      <x:c r="E591" s="6" t="str">
        <x:v>Aynı kontrol amacı korunarak tek soruya veya bileşen testlerine bağlandı; eski ölçütteki kurum varsayımları CIS kabul değeri değildir.</x:v>
      </x:c>
      <x:c r="F591" s="6" t="str">
        <x:v>IPS sensor override ve log örnekleri</x:v>
      </x:c>
    </x:row>
    <x:row r="592" ht="40" customHeight="1">
      <x:c r="A592" s="6" t="str">
        <x:v>V6</x:v>
      </x:c>
      <x:c r="B592" s="6" t="str">
        <x:v>FTG-K11/S03</x:v>
      </x:c>
      <x:c r="C592" s="6" t="str">
        <x:v>IPS-011</x:v>
      </x:c>
      <x:c r="D592" s="6" t="str">
        <x:v>Birleştirildi</x:v>
      </x:c>
      <x:c r="E592" s="6" t="str">
        <x:v>Aynı kontrol amacı korunarak tek soruya veya bileşen testlerine bağlandı; eski ölçütteki kurum varsayımları CIS kabul değeri değildir.</x:v>
      </x:c>
      <x:c r="F592" s="6" t="str">
        <x:v>IPS exception listesi ve biletler</x:v>
      </x:c>
    </x:row>
    <x:row r="593" ht="40" customHeight="1">
      <x:c r="A593" s="6" t="str">
        <x:v>V6</x:v>
      </x:c>
      <x:c r="B593" s="6" t="str">
        <x:v>FTG-K11/S04</x:v>
      </x:c>
      <x:c r="C593" s="6" t="str">
        <x:v>IPS-010</x:v>
      </x:c>
      <x:c r="D593" s="6" t="str">
        <x:v>Birleştirildi</x:v>
      </x:c>
      <x:c r="E593" s="6" t="str">
        <x:v>Aynı kontrol amacı korunarak tek soruya veya bileşen testlerine bağlandı; eski ölçütteki kurum varsayımları CIS kabul değeri değildir.</x:v>
      </x:c>
      <x:c r="F593" s="6" t="str">
        <x:v>SSL profile, CA ve exemption listesi</x:v>
      </x:c>
    </x:row>
    <x:row r="594" ht="40" customHeight="1">
      <x:c r="A594" s="6" t="str">
        <x:v>V6</x:v>
      </x:c>
      <x:c r="B594" s="6" t="str">
        <x:v>FTG-K12/S01</x:v>
      </x:c>
      <x:c r="C594" s="6" t="str">
        <x:v>FTG-V12-01</x:v>
      </x:c>
      <x:c r="D594" s="6" t="str">
        <x:v>Eklendi</x:v>
      </x:c>
      <x:c r="E594" s="6" t="str">
        <x:v>Aynı kontrol amacı korunarak tek soruya veya bileşen testlerine bağlandı; eski ölçütteki kurum varsayımları CIS kabul değeri değildir.</x:v>
      </x:c>
      <x:c r="F594" s="6" t="str">
        <x:v>IPsec/SSL VPN config ve erişim testi</x:v>
      </x:c>
    </x:row>
    <x:row r="595" ht="40" customHeight="1">
      <x:c r="A595" s="6" t="str">
        <x:v>V6</x:v>
      </x:c>
      <x:c r="B595" s="6" t="str">
        <x:v>FTG-K13/S01</x:v>
      </x:c>
      <x:c r="C595" s="6" t="str">
        <x:v>GNL-18-02</x:v>
      </x:c>
      <x:c r="D595" s="6" t="str">
        <x:v>Birleştirildi</x:v>
      </x:c>
      <x:c r="E595" s="6" t="str">
        <x:v>Aynı kontrol amacı korunarak tek soruya veya bileşen testlerine bağlandı; eski ölçütteki kurum varsayımları CIS kabul değeri değildir.</x:v>
      </x:c>
      <x:c r="F595" s="6" t="str">
        <x:v>VDOM offboarding checklist ve config diff</x:v>
      </x:c>
    </x:row>
    <x:row r="596" ht="40" customHeight="1">
      <x:c r="A596" s="6" t="str">
        <x:v>V6</x:v>
      </x:c>
      <x:c r="B596" s="6" t="str">
        <x:v>FTG-K13/S02</x:v>
      </x:c>
      <x:c r="C596" s="6" t="str">
        <x:v>GNL-06-01</x:v>
      </x:c>
      <x:c r="D596" s="6" t="str">
        <x:v>Birleştirildi</x:v>
      </x:c>
      <x:c r="E596" s="6" t="str">
        <x:v>Aynı kontrol amacı korunarak tek soruya veya bileşen testlerine bağlandı; eski ölçütteki kurum varsayımları CIS kabul değeri değildir.</x:v>
      </x:c>
      <x:c r="F596" s="6" t="str">
        <x:v>CIS-CAT/eşdeğer audit ve remediation kayıtları</x:v>
      </x:c>
    </x:row>
    <x:row r="597" ht="40" customHeight="1">
      <x:c r="A597" s="6" t="str">
        <x:v>V6</x:v>
      </x:c>
      <x:c r="B597" s="6" t="str">
        <x:v>SPL-K01/S01</x:v>
      </x:c>
      <x:c r="C597" s="6" t="str">
        <x:v>SPL-007</x:v>
      </x:c>
      <x:c r="D597" s="6" t="str">
        <x:v>Birleştirildi</x:v>
      </x:c>
      <x:c r="E597" s="6" t="str">
        <x:v>Aynı kontrol amacı korunarak tek soruya veya bileşen testlerine bağlandı; eski ölçütteki kurum varsayımları CIS kabul değeri değildir.</x:v>
      </x:c>
      <x:c r="F597" s="6" t="str">
        <x:v>indexes/inputs/authorize exportu ve tenant matrisi</x:v>
      </x:c>
    </x:row>
    <x:row r="598" ht="40" customHeight="1">
      <x:c r="A598" s="6" t="str">
        <x:v>V6</x:v>
      </x:c>
      <x:c r="B598" s="6" t="str">
        <x:v>SPL-K01/S02</x:v>
      </x:c>
      <x:c r="C598" s="6" t="str">
        <x:v>SPL-007</x:v>
      </x:c>
      <x:c r="D598" s="6" t="str">
        <x:v>Birleştirildi</x:v>
      </x:c>
      <x:c r="E598" s="6" t="str">
        <x:v>Aynı kontrol amacı korunarak tek soruya veya bileşen testlerine bağlandı; eski ölçütteki kurum varsayımları CIS kabul değeri değildir.</x:v>
      </x:c>
      <x:c r="F598" s="6" t="str">
        <x:v>Role/search filter ve negatif SPL testleri</x:v>
      </x:c>
    </x:row>
    <x:row r="599" ht="40" customHeight="1">
      <x:c r="A599" s="6" t="str">
        <x:v>V6</x:v>
      </x:c>
      <x:c r="B599" s="6" t="str">
        <x:v>SPL-K01/S03</x:v>
      </x:c>
      <x:c r="C599" s="6" t="str">
        <x:v>SPL-013</x:v>
      </x:c>
      <x:c r="D599" s="6" t="str">
        <x:v>Birleştirildi</x:v>
      </x:c>
      <x:c r="E599" s="6" t="str">
        <x:v>Aynı kontrol amacı korunarak tek soruya veya bileşen testlerine bağlandı; eski ölçütteki kurum varsayımları CIS kabul değeri değildir.</x:v>
      </x:c>
      <x:c r="F599" s="6" t="str">
        <x:v>Knowledge object ACL exportu</x:v>
      </x:c>
    </x:row>
    <x:row r="600" ht="40" customHeight="1">
      <x:c r="A600" s="6" t="str">
        <x:v>V6</x:v>
      </x:c>
      <x:c r="B600" s="6" t="str">
        <x:v>SPL-K01/S04</x:v>
      </x:c>
      <x:c r="C600" s="6" t="str">
        <x:v>SPL-007</x:v>
      </x:c>
      <x:c r="D600" s="6" t="str">
        <x:v>Birleştirildi</x:v>
      </x:c>
      <x:c r="E600" s="6" t="str">
        <x:v>Aynı kontrol amacı korunarak tek soruya veya bileşen testlerine bağlandı; eski ölçütteki kurum varsayımları CIS kabul değeri değildir.</x:v>
      </x:c>
      <x:c r="F600" s="6" t="str">
        <x:v>ES role/ACL ve negatif test</x:v>
      </x:c>
    </x:row>
    <x:row r="601" ht="40" customHeight="1">
      <x:c r="A601" s="6" t="str">
        <x:v>V6</x:v>
      </x:c>
      <x:c r="B601" s="6" t="str">
        <x:v>SPL-K02/S01</x:v>
      </x:c>
      <x:c r="C601" s="6" t="str">
        <x:v>SPL-007</x:v>
      </x:c>
      <x:c r="D601" s="6" t="str">
        <x:v>Birleştirildi</x:v>
      </x:c>
      <x:c r="E601" s="6" t="str">
        <x:v>Aynı kontrol amacı korunarak tek soruya veya bileşen testlerine bağlandı; eski ölçütteki kurum varsayımları CIS kabul değeri değildir.</x:v>
      </x:c>
      <x:c r="F601" s="6" t="str">
        <x:v>authorize.conf/REST rol exportu</x:v>
      </x:c>
    </x:row>
    <x:row r="602" ht="40" customHeight="1">
      <x:c r="A602" s="6" t="str">
        <x:v>V6</x:v>
      </x:c>
      <x:c r="B602" s="6" t="str">
        <x:v>SPL-K02/S02</x:v>
      </x:c>
      <x:c r="C602" s="6" t="str">
        <x:v>GNL-04-04
GNL-05-01</x:v>
      </x:c>
      <x:c r="D602" s="6" t="str">
        <x:v>Birleştirildi</x:v>
      </x:c>
      <x:c r="E602" s="6" t="str">
        <x:v>Aynı kontrol amacı korunarak tek soruya veya bileşen testlerine bağlandı; eski ölçütteki kurum varsayımları CIS kabul değeri değildir.</x:v>
      </x:c>
      <x:c r="F602" s="6" t="str">
        <x:v>authentication/authorize config ve login logları</x:v>
      </x:c>
    </x:row>
    <x:row r="603" ht="40" customHeight="1">
      <x:c r="A603" s="6" t="str">
        <x:v>V6</x:v>
      </x:c>
      <x:c r="B603" s="6" t="str">
        <x:v>SPL-K02/S03</x:v>
      </x:c>
      <x:c r="C603" s="6" t="str">
        <x:v>GNL-05-03</x:v>
      </x:c>
      <x:c r="D603" s="6" t="str">
        <x:v>Birleştirildi</x:v>
      </x:c>
      <x:c r="E603" s="6" t="str">
        <x:v>Aynı kontrol amacı korunarak tek soruya veya bileşen testlerine bağlandı; eski ölçütteki kurum varsayımları CIS kabul değeri değildir.</x:v>
      </x:c>
      <x:c r="F603" s="6" t="str">
        <x:v>Admin listesi, PAM ve audit log</x:v>
      </x:c>
    </x:row>
    <x:row r="604" ht="40" customHeight="1">
      <x:c r="A604" s="6" t="str">
        <x:v>V6</x:v>
      </x:c>
      <x:c r="B604" s="6" t="str">
        <x:v>SPL-K03/S01</x:v>
      </x:c>
      <x:c r="C604" s="6" t="str">
        <x:v>SPL-V03-01</x:v>
      </x:c>
      <x:c r="D604" s="6" t="str">
        <x:v>Eklendi</x:v>
      </x:c>
      <x:c r="E604" s="6" t="str">
        <x:v>Aynı kontrol amacı korunarak tek soruya veya bileşen testlerine bağlandı; eski ölçütteki kurum varsayımları CIS kabul değeri değildir.</x:v>
      </x:c>
      <x:c r="F604" s="6" t="str">
        <x:v>Token envanteri, inputs ve kullanım logları</x:v>
      </x:c>
    </x:row>
    <x:row r="605" ht="40" customHeight="1">
      <x:c r="A605" s="6" t="str">
        <x:v>V6</x:v>
      </x:c>
      <x:c r="B605" s="6" t="str">
        <x:v>SPL-K03/S02</x:v>
      </x:c>
      <x:c r="C605" s="6" t="str">
        <x:v>SPL-008</x:v>
      </x:c>
      <x:c r="D605" s="6" t="str">
        <x:v>Birleştirildi</x:v>
      </x:c>
      <x:c r="E605" s="6" t="str">
        <x:v>Aynı kontrol amacı korunarak tek soruya veya bileşen testlerine bağlandı; eski ölçütteki kurum varsayımları CIS kabul değeri değildir.</x:v>
      </x:c>
      <x:c r="F605" s="6" t="str">
        <x:v>server/outputs/deployment config ve sertifika envanteri</x:v>
      </x:c>
    </x:row>
    <x:row r="606" ht="40" customHeight="1">
      <x:c r="A606" s="6" t="str">
        <x:v>V6</x:v>
      </x:c>
      <x:c r="B606" s="6" t="str">
        <x:v>SPL-K04/S01</x:v>
      </x:c>
      <x:c r="C606" s="6" t="str">
        <x:v>SPL-V04-01</x:v>
      </x:c>
      <x:c r="D606" s="6" t="str">
        <x:v>Eklendi</x:v>
      </x:c>
      <x:c r="E606" s="6" t="str">
        <x:v>Aynı kontrol amacı korunarak tek soruya veya bileşen testlerine bağlandı; eski ölçütteki kurum varsayımları CIS kabul değeri değildir.</x:v>
      </x:c>
      <x:c r="F606" s="6" t="str">
        <x:v>Firewall, server/web config ve TLS taraması</x:v>
      </x:c>
    </x:row>
    <x:row r="607" ht="40" customHeight="1">
      <x:c r="A607" s="6" t="str">
        <x:v>V6</x:v>
      </x:c>
      <x:c r="B607" s="6" t="str">
        <x:v>SPL-K04/S02</x:v>
      </x:c>
      <x:c r="C607" s="6" t="str">
        <x:v>SPL-V04-02</x:v>
      </x:c>
      <x:c r="D607" s="6" t="str">
        <x:v>Eklendi</x:v>
      </x:c>
      <x:c r="E607" s="6" t="str">
        <x:v>Aynı kontrol amacı korunarak tek soruya veya bileşen testlerine bağlandı; eski ölçütteki kurum varsayımları CIS kabul değeri değildir.</x:v>
      </x:c>
      <x:c r="F607" s="6" t="str">
        <x:v>Rol/ağ exportu ve audit log</x:v>
      </x:c>
    </x:row>
    <x:row r="608" ht="40" customHeight="1">
      <x:c r="A608" s="6" t="str">
        <x:v>V6</x:v>
      </x:c>
      <x:c r="B608" s="6" t="str">
        <x:v>SPL-K05/S01</x:v>
      </x:c>
      <x:c r="C608" s="6" t="str">
        <x:v>SPL-009</x:v>
      </x:c>
      <x:c r="D608" s="6" t="str">
        <x:v>Birleştirildi</x:v>
      </x:c>
      <x:c r="E608" s="6" t="str">
        <x:v>Aynı kontrol amacı korunarak tek soruya veya bileşen testlerine bağlandı; eski ölçütteki kurum varsayımları CIS kabul değeri değildir.</x:v>
      </x:c>
      <x:c r="F608" s="6" t="str">
        <x:v>Source catalog ve _internal/_introspection mutabakatı</x:v>
      </x:c>
    </x:row>
    <x:row r="609" ht="40" customHeight="1">
      <x:c r="A609" s="6" t="str">
        <x:v>V6</x:v>
      </x:c>
      <x:c r="B609" s="6" t="str">
        <x:v>SPL-K05/S02</x:v>
      </x:c>
      <x:c r="C609" s="6" t="str">
        <x:v>SPL-010
SPL-012</x:v>
      </x:c>
      <x:c r="D609" s="6" t="str">
        <x:v>Birleştirildi</x:v>
      </x:c>
      <x:c r="E609" s="6" t="str">
        <x:v>Aynı kontrol amacı korunarak tek soruya veya bileşen testlerine bağlandı; eski ölçütteki kurum varsayımları CIS kabul değeri değildir.</x:v>
      </x:c>
      <x:c r="F609" s="6" t="str">
        <x:v>Data quality dashboard ve test olayları</x:v>
      </x:c>
    </x:row>
    <x:row r="610" ht="40" customHeight="1">
      <x:c r="A610" s="6" t="str">
        <x:v>V6</x:v>
      </x:c>
      <x:c r="B610" s="6" t="str">
        <x:v>SPL-K05/S03</x:v>
      </x:c>
      <x:c r="C610" s="6" t="str">
        <x:v>SPL-V05-03</x:v>
      </x:c>
      <x:c r="D610" s="6" t="str">
        <x:v>Eklendi</x:v>
      </x:c>
      <x:c r="E610" s="6" t="str">
        <x:v>Aynı kontrol amacı korunarak tek soruya veya bileşen testlerine bağlandı; eski ölçütteki kurum varsayımları CIS kabul değeri değildir.</x:v>
      </x:c>
      <x:c r="F610" s="6" t="str">
        <x:v>NTP config ve time-skew dashboard</x:v>
      </x:c>
    </x:row>
    <x:row r="611" ht="40" customHeight="1">
      <x:c r="A611" s="6" t="str">
        <x:v>V6</x:v>
      </x:c>
      <x:c r="B611" s="6" t="str">
        <x:v>SPL-K06/S01</x:v>
      </x:c>
      <x:c r="C611" s="6" t="str">
        <x:v>SPL-013</x:v>
      </x:c>
      <x:c r="D611" s="6" t="str">
        <x:v>Birleştirildi</x:v>
      </x:c>
      <x:c r="E611" s="6" t="str">
        <x:v>Aynı kontrol amacı korunarak tek soruya veya bileşen testlerine bağlandı; eski ölçütteki kurum varsayımları CIS kabul değeri değildir.</x:v>
      </x:c>
      <x:c r="F611" s="6" t="str">
        <x:v>Props/transforms/ingest action ve örnek ham olay</x:v>
      </x:c>
    </x:row>
    <x:row r="612" ht="40" customHeight="1">
      <x:c r="A612" s="6" t="str">
        <x:v>V6</x:v>
      </x:c>
      <x:c r="B612" s="6" t="str">
        <x:v>SPL-K06/S02</x:v>
      </x:c>
      <x:c r="C612" s="6" t="str">
        <x:v>GNL-07-01</x:v>
      </x:c>
      <x:c r="D612" s="6" t="str">
        <x:v>Birleştirildi</x:v>
      </x:c>
      <x:c r="E612" s="6" t="str">
        <x:v>Aynı kontrol amacı korunarak tek soruya veya bileşen testlerine bağlandı; eski ölçütteki kurum varsayımları CIS kabul değeri değildir.</x:v>
      </x:c>
      <x:c r="F612" s="6" t="str">
        <x:v>Git/package/change kayıtları ve deployment log</x:v>
      </x:c>
    </x:row>
    <x:row r="613" ht="40" customHeight="1">
      <x:c r="A613" s="6" t="str">
        <x:v>V6</x:v>
      </x:c>
      <x:c r="B613" s="6" t="str">
        <x:v>SPL-K06/S03</x:v>
      </x:c>
      <x:c r="C613" s="6" t="str">
        <x:v>SPL-013</x:v>
      </x:c>
      <x:c r="D613" s="6" t="str">
        <x:v>Birleştirildi</x:v>
      </x:c>
      <x:c r="E613" s="6" t="str">
        <x:v>Aynı kontrol amacı korunarak tek soruya veya bileşen testlerine bağlandı; eski ölçütteki kurum varsayımları CIS kabul değeri değildir.</x:v>
      </x:c>
      <x:c r="F613" s="6" t="str">
        <x:v>Capabilities, audit ve export testleri</x:v>
      </x:c>
    </x:row>
    <x:row r="614" ht="40" customHeight="1">
      <x:c r="A614" s="6" t="str">
        <x:v>V6</x:v>
      </x:c>
      <x:c r="B614" s="6" t="str">
        <x:v>SPL-K07/S01</x:v>
      </x:c>
      <x:c r="C614" s="6" t="str">
        <x:v>SPL-V07-01</x:v>
      </x:c>
      <x:c r="D614" s="6" t="str">
        <x:v>Eklendi</x:v>
      </x:c>
      <x:c r="E614" s="6" t="str">
        <x:v>Aynı kontrol amacı korunarak tek soruya veya bileşen testlerine bağlandı; eski ölçütteki kurum varsayımları CIS kabul değeri değildir.</x:v>
      </x:c>
      <x:c r="F614" s="6" t="str">
        <x:v>indexes.conf ve retention matrisi</x:v>
      </x:c>
    </x:row>
    <x:row r="615" ht="40" customHeight="1">
      <x:c r="A615" s="6" t="str">
        <x:v>V6</x:v>
      </x:c>
      <x:c r="B615" s="6" t="str">
        <x:v>SPL-K07/S02</x:v>
      </x:c>
      <x:c r="C615" s="6" t="str">
        <x:v>GNL-09-04</x:v>
      </x:c>
      <x:c r="D615" s="6" t="str">
        <x:v>Birleştirildi</x:v>
      </x:c>
      <x:c r="E615" s="6" t="str">
        <x:v>Aynı kontrol amacı korunarak tek soruya veya bileşen testlerine bağlandı; eski ölçütteki kurum varsayımları CIS kabul değeri değildir.</x:v>
      </x:c>
      <x:c r="F615" s="6" t="str">
        <x:v>Index storage, rol ve archive ayarları</x:v>
      </x:c>
    </x:row>
    <x:row r="616" ht="40" customHeight="1">
      <x:c r="A616" s="6" t="str">
        <x:v>V6</x:v>
      </x:c>
      <x:c r="B616" s="6" t="str">
        <x:v>SPL-K08/S01</x:v>
      </x:c>
      <x:c r="C616" s="6" t="str">
        <x:v>SPL-014</x:v>
      </x:c>
      <x:c r="D616" s="6" t="str">
        <x:v>Birleştirildi</x:v>
      </x:c>
      <x:c r="E616" s="6" t="str">
        <x:v>Aynı kontrol amacı korunarak tek soruya veya bileşen testlerine bağlandı; eski ölçütteki kurum varsayımları CIS kabul değeri değildir.</x:v>
      </x:c>
      <x:c r="F616" s="6" t="str">
        <x:v>_audit örnek aramaları ve retention</x:v>
      </x:c>
    </x:row>
    <x:row r="617" ht="40" customHeight="1">
      <x:c r="A617" s="6" t="str">
        <x:v>V6</x:v>
      </x:c>
      <x:c r="B617" s="6" t="str">
        <x:v>SPL-K08/S02</x:v>
      </x:c>
      <x:c r="C617" s="6" t="str">
        <x:v>SPL-014</x:v>
      </x:c>
      <x:c r="D617" s="6" t="str">
        <x:v>Birleştirildi</x:v>
      </x:c>
      <x:c r="E617" s="6" t="str">
        <x:v>Aynı kontrol amacı korunarak tek soruya veya bileşen testlerine bağlandı; eski ölçütteki kurum varsayımları CIS kabul değeri değildir.</x:v>
      </x:c>
      <x:c r="F617" s="6" t="str">
        <x:v>Detection içerikleri ve test sonucu</x:v>
      </x:c>
    </x:row>
    <x:row r="618" ht="40" customHeight="1">
      <x:c r="A618" s="6" t="str">
        <x:v>V6</x:v>
      </x:c>
      <x:c r="B618" s="6" t="str">
        <x:v>SPL-K09/S01</x:v>
      </x:c>
      <x:c r="C618" s="6" t="str">
        <x:v>SPL-V09-01</x:v>
      </x:c>
      <x:c r="D618" s="6" t="str">
        <x:v>Eklendi</x:v>
      </x:c>
      <x:c r="E618" s="6" t="str">
        <x:v>Aynı kontrol amacı korunarak tek soruya veya bileşen testlerine bağlandı; eski ölçütteki kurum varsayımları CIS kabul değeri değildir.</x:v>
      </x:c>
      <x:c r="F618" s="6" t="str">
        <x:v>limits/authorize/workload config ve yük testi</x:v>
      </x:c>
    </x:row>
    <x:row r="619" ht="40" customHeight="1">
      <x:c r="A619" s="6" t="str">
        <x:v>V6</x:v>
      </x:c>
      <x:c r="B619" s="6" t="str">
        <x:v>SPL-K09/S02</x:v>
      </x:c>
      <x:c r="C619" s="6" t="str">
        <x:v>SPL-012</x:v>
      </x:c>
      <x:c r="D619" s="6" t="str">
        <x:v>Birleştirildi</x:v>
      </x:c>
      <x:c r="E619" s="6" t="str">
        <x:v>Aynı kontrol amacı korunarak tek soruya veya bileşen testlerine bağlandı; eski ölçütteki kurum varsayımları CIS kabul değeri değildir.</x:v>
      </x:c>
      <x:c r="F619" s="6" t="str">
        <x:v>Monitoring Console ve alertler</x:v>
      </x:c>
    </x:row>
    <x:row r="620" ht="40" customHeight="1">
      <x:c r="A620" s="6" t="str">
        <x:v>V6</x:v>
      </x:c>
      <x:c r="B620" s="6" t="str">
        <x:v>SPL-K09/S03</x:v>
      </x:c>
      <x:c r="C620" s="6" t="str">
        <x:v>SPL-012</x:v>
      </x:c>
      <x:c r="D620" s="6" t="str">
        <x:v>Birleştirildi</x:v>
      </x:c>
      <x:c r="E620" s="6" t="str">
        <x:v>Aynı kontrol amacı korunarak tek soruya veya bileşen testlerine bağlandı; eski ölçütteki kurum varsayımları CIS kabul değeri değildir.</x:v>
      </x:c>
      <x:c r="F620" s="6" t="str">
        <x:v>Monitoring Console ve alarm kayıtları</x:v>
      </x:c>
    </x:row>
    <x:row r="621" ht="40" customHeight="1">
      <x:c r="A621" s="6" t="str">
        <x:v>V6</x:v>
      </x:c>
      <x:c r="B621" s="6" t="str">
        <x:v>SPL-K10/S01</x:v>
      </x:c>
      <x:c r="C621" s="6" t="str">
        <x:v>SPL-V10-01</x:v>
      </x:c>
      <x:c r="D621" s="6" t="str">
        <x:v>Eklendi</x:v>
      </x:c>
      <x:c r="E621" s="6" t="str">
        <x:v>Aynı kontrol amacı korunarak tek soruya veya bileşen testlerine bağlandı; eski ölçütteki kurum varsayımları CIS kabul değeri değildir.</x:v>
      </x:c>
      <x:c r="F621" s="6" t="str">
        <x:v>Saved search owner ve account exportu</x:v>
      </x:c>
    </x:row>
    <x:row r="622" ht="40" customHeight="1">
      <x:c r="A622" s="6" t="str">
        <x:v>V6</x:v>
      </x:c>
      <x:c r="B622" s="6" t="str">
        <x:v>SPL-K10/S02</x:v>
      </x:c>
      <x:c r="C622" s="6" t="str">
        <x:v>SPL-011</x:v>
      </x:c>
      <x:c r="D622" s="6" t="str">
        <x:v>Birleştirildi</x:v>
      </x:c>
      <x:c r="E622" s="6" t="str">
        <x:v>Aynı kontrol amacı korunarak tek soruya veya bileşen testlerine bağlandı; eski ölçütteki kurum varsayımları CIS kabul değeri değildir.</x:v>
      </x:c>
      <x:c r="F622" s="6" t="str">
        <x:v>Use-case katalog, SPL ve test kanıtı</x:v>
      </x:c>
    </x:row>
    <x:row r="623" ht="40" customHeight="1">
      <x:c r="A623" s="6" t="str">
        <x:v>V6</x:v>
      </x:c>
      <x:c r="B623" s="6" t="str">
        <x:v>SPL-K10/S03</x:v>
      </x:c>
      <x:c r="C623" s="6" t="str">
        <x:v>SPL-V10-03</x:v>
      </x:c>
      <x:c r="D623" s="6" t="str">
        <x:v>Eklendi</x:v>
      </x:c>
      <x:c r="E623" s="6" t="str">
        <x:v>Aynı kontrol amacı korunarak tek soruya veya bileşen testlerine bağlandı; eski ölçütteki kurum varsayımları CIS kabul değeri değildir.</x:v>
      </x:c>
      <x:c r="F623" s="6" t="str">
        <x:v>Exception lookup/config ve onaylar</x:v>
      </x:c>
    </x:row>
    <x:row r="624" ht="40" customHeight="1">
      <x:c r="A624" s="6" t="str">
        <x:v>V6</x:v>
      </x:c>
      <x:c r="B624" s="6" t="str">
        <x:v>SPL-K10/S04</x:v>
      </x:c>
      <x:c r="C624" s="6" t="str">
        <x:v>SPL-V10-04</x:v>
      </x:c>
      <x:c r="D624" s="6" t="str">
        <x:v>Eklendi</x:v>
      </x:c>
      <x:c r="E624" s="6" t="str">
        <x:v>Aynı kontrol amacı korunarak tek soruya veya bileşen testlerine bağlandı; eski ölçütteki kurum varsayımları CIS kabul değeri değildir.</x:v>
      </x:c>
      <x:c r="F624" s="6" t="str">
        <x:v>Risk rule/config ve test verisi</x:v>
      </x:c>
    </x:row>
    <x:row r="625" ht="40" customHeight="1">
      <x:c r="A625" s="6" t="str">
        <x:v>V6</x:v>
      </x:c>
      <x:c r="B625" s="6" t="str">
        <x:v>SPL-K11/S01</x:v>
      </x:c>
      <x:c r="C625" s="6" t="str">
        <x:v>SPL-V11-01</x:v>
      </x:c>
      <x:c r="D625" s="6" t="str">
        <x:v>Eklendi</x:v>
      </x:c>
      <x:c r="E625" s="6" t="str">
        <x:v>Aynı kontrol amacı korunarak tek soruya veya bileşen testlerine bağlandı; eski ölçütteki kurum varsayımları CIS kabul değeri değildir.</x:v>
      </x:c>
      <x:c r="F625" s="6" t="str">
        <x:v>App envanteri, review ve deployment kayıtları</x:v>
      </x:c>
    </x:row>
    <x:row r="626" ht="40" customHeight="1">
      <x:c r="A626" s="6" t="str">
        <x:v>V6</x:v>
      </x:c>
      <x:c r="B626" s="6" t="str">
        <x:v>SPL-K11/S02</x:v>
      </x:c>
      <x:c r="C626" s="6" t="str">
        <x:v>SPL-V11-02</x:v>
      </x:c>
      <x:c r="D626" s="6" t="str">
        <x:v>Eklendi</x:v>
      </x:c>
      <x:c r="E626" s="6" t="str">
        <x:v>Aynı kontrol amacı korunarak tek soruya veya bileşen testlerine bağlandı; eski ölçütteki kurum varsayımları CIS kabul değeri değildir.</x:v>
      </x:c>
      <x:c r="F626" s="6" t="str">
        <x:v>Kod envanteri, review ve sandbox test</x:v>
      </x:c>
    </x:row>
    <x:row r="627" ht="40" customHeight="1">
      <x:c r="A627" s="6" t="str">
        <x:v>V6</x:v>
      </x:c>
      <x:c r="B627" s="6" t="str">
        <x:v>SPL-K12/S01</x:v>
      </x:c>
      <x:c r="C627" s="6" t="str">
        <x:v>GNL-08-01</x:v>
      </x:c>
      <x:c r="D627" s="6" t="str">
        <x:v>Birleştirildi</x:v>
      </x:c>
      <x:c r="E627" s="6" t="str">
        <x:v>Aynı kontrol amacı korunarak tek soruya veya bileşen testlerine bağlandı; eski ölçütteki kurum varsayımları CIS kabul değeri değildir.</x:v>
      </x:c>
      <x:c r="F627" s="6" t="str">
        <x:v>Version inventory ve upgrade planı</x:v>
      </x:c>
    </x:row>
    <x:row r="628" ht="40" customHeight="1">
      <x:c r="A628" s="6" t="str">
        <x:v>V6</x:v>
      </x:c>
      <x:c r="B628" s="6" t="str">
        <x:v>SPL-K12/S02</x:v>
      </x:c>
      <x:c r="C628" s="6" t="str">
        <x:v>SPL-008</x:v>
      </x:c>
      <x:c r="D628" s="6" t="str">
        <x:v>Birleştirildi</x:v>
      </x:c>
      <x:c r="E628" s="6" t="str">
        <x:v>Aynı kontrol amacı korunarak tek soruya veya bileşen testlerine bağlandı; eski ölçütteki kurum varsayımları CIS kabul değeri değildir.</x:v>
      </x:c>
      <x:c r="F628" s="6" t="str">
        <x:v>inputs/outputs ve sertifika taraması</x:v>
      </x:c>
    </x:row>
    <x:row r="629" ht="40" customHeight="1">
      <x:c r="A629" s="6" t="str">
        <x:v>V6</x:v>
      </x:c>
      <x:c r="B629" s="6" t="str">
        <x:v>SPL-K13/S01</x:v>
      </x:c>
      <x:c r="C629" s="6" t="str">
        <x:v>SPL-V13-01</x:v>
      </x:c>
      <x:c r="D629" s="6" t="str">
        <x:v>Eklendi</x:v>
      </x:c>
      <x:c r="E629" s="6" t="str">
        <x:v>Aynı kontrol amacı korunarak tek soruya veya bileşen testlerine bağlandı; eski ölçütteki kurum varsayımları CIS kabul değeri değildir.</x:v>
      </x:c>
      <x:c r="F629" s="6" t="str">
        <x:v>Backup kapsamı ve restore testi</x:v>
      </x:c>
    </x:row>
    <x:row r="630" ht="40" customHeight="1">
      <x:c r="A630" s="6" t="str">
        <x:v>V6</x:v>
      </x:c>
      <x:c r="B630" s="6" t="str">
        <x:v>SPL-K14/S01</x:v>
      </x:c>
      <x:c r="C630" s="6" t="str">
        <x:v>GNL-18-02</x:v>
      </x:c>
      <x:c r="D630" s="6" t="str">
        <x:v>Birleştirildi</x:v>
      </x:c>
      <x:c r="E630" s="6" t="str">
        <x:v>Aynı kontrol amacı korunarak tek soruya veya bileşen testlerine bağlandı; eski ölçütteki kurum varsayımları CIS kabul değeri değildir.</x:v>
      </x:c>
      <x:c r="F630" s="6" t="str">
        <x:v>Offboarding ve deletion search/config</x:v>
      </x:c>
    </x:row>
    <x:row r="631" ht="40" customHeight="1">
      <x:c r="A631" s="6" t="str">
        <x:v>V6</x:v>
      </x:c>
      <x:c r="B631" s="6" t="str">
        <x:v>ESA-K01/S01</x:v>
      </x:c>
      <x:c r="C631" s="6" t="str">
        <x:v>ESA-007</x:v>
      </x:c>
      <x:c r="D631" s="6" t="str">
        <x:v>Birleştirildi</x:v>
      </x:c>
      <x:c r="E631" s="6" t="str">
        <x:v>Aynı kontrol amacı korunarak tek soruya veya bileşen testlerine bağlandı; eski ölçütteki kurum varsayımları CIS kabul değeri değildir.</x:v>
      </x:c>
      <x:c r="F631" s="6" t="str">
        <x:v>Listener/HAT/RAT exportu ve relay testi</x:v>
      </x:c>
    </x:row>
    <x:row r="632" ht="40" customHeight="1">
      <x:c r="A632" s="6" t="str">
        <x:v>V6</x:v>
      </x:c>
      <x:c r="B632" s="6" t="str">
        <x:v>ESA-K01/S02</x:v>
      </x:c>
      <x:c r="C632" s="6" t="str">
        <x:v>ESA-V01-02</x:v>
      </x:c>
      <x:c r="D632" s="6" t="str">
        <x:v>Eklendi</x:v>
      </x:c>
      <x:c r="E632" s="6" t="str">
        <x:v>Aynı kontrol amacı korunarak tek soruya veya bileşen testlerine bağlandı; eski ölçütteki kurum varsayımları CIS kabul değeri değildir.</x:v>
      </x:c>
      <x:c r="F632" s="6" t="str">
        <x:v>Interface/listener/firewall config</x:v>
      </x:c>
    </x:row>
    <x:row r="633" ht="40" customHeight="1">
      <x:c r="A633" s="6" t="str">
        <x:v>V6</x:v>
      </x:c>
      <x:c r="B633" s="6" t="str">
        <x:v>ESA-K01/S03</x:v>
      </x:c>
      <x:c r="C633" s="6" t="str">
        <x:v>ESA-V01-03</x:v>
      </x:c>
      <x:c r="D633" s="6" t="str">
        <x:v>Eklendi</x:v>
      </x:c>
      <x:c r="E633" s="6" t="str">
        <x:v>Aynı kontrol amacı korunarak tek soruya veya bileşen testlerine bağlandı; eski ölçütteki kurum varsayımları CIS kabul değeri değildir.</x:v>
      </x:c>
      <x:c r="F633" s="6" t="str">
        <x:v>Routing config, change ve test mesajı</x:v>
      </x:c>
    </x:row>
    <x:row r="634" ht="40" customHeight="1">
      <x:c r="A634" s="6" t="str">
        <x:v>V6</x:v>
      </x:c>
      <x:c r="B634" s="6" t="str">
        <x:v>ESA-K01/S04</x:v>
      </x:c>
      <x:c r="C634" s="6" t="str">
        <x:v>ESA-V01-04</x:v>
      </x:c>
      <x:c r="D634" s="6" t="str">
        <x:v>Eklendi</x:v>
      </x:c>
      <x:c r="E634" s="6" t="str">
        <x:v>Aynı kontrol amacı korunarak tek soruya veya bileşen testlerine bağlandı; eski ölçütteki kurum varsayımları CIS kabul değeri değildir.</x:v>
      </x:c>
      <x:c r="F634" s="6" t="str">
        <x:v>Bounce/LDAP acceptance/HAT config ve test</x:v>
      </x:c>
    </x:row>
    <x:row r="635" ht="40" customHeight="1">
      <x:c r="A635" s="6" t="str">
        <x:v>V6</x:v>
      </x:c>
      <x:c r="B635" s="6" t="str">
        <x:v>ESA-K02/S01</x:v>
      </x:c>
      <x:c r="C635" s="6" t="str">
        <x:v>GNL-04-04
GNL-05-01</x:v>
      </x:c>
      <x:c r="D635" s="6" t="str">
        <x:v>Birleştirildi</x:v>
      </x:c>
      <x:c r="E635" s="6" t="str">
        <x:v>Aynı kontrol amacı korunarak tek soruya veya bileşen testlerine bağlandı; eski ölçütteki kurum varsayımları CIS kabul değeri değildir.</x:v>
      </x:c>
      <x:c r="F635" s="6" t="str">
        <x:v>User/role/auth config ve login log</x:v>
      </x:c>
    </x:row>
    <x:row r="636" ht="40" customHeight="1">
      <x:c r="A636" s="6" t="str">
        <x:v>V6</x:v>
      </x:c>
      <x:c r="B636" s="6" t="str">
        <x:v>ESA-K02/S02</x:v>
      </x:c>
      <x:c r="C636" s="6" t="str">
        <x:v>GNL-12-01</x:v>
      </x:c>
      <x:c r="D636" s="6" t="str">
        <x:v>Birleştirildi</x:v>
      </x:c>
      <x:c r="E636" s="6" t="str">
        <x:v>Aynı kontrol amacı korunarak tek soruya veya bileşen testlerine bağlandı; eski ölçütteki kurum varsayımları CIS kabul değeri değildir.</x:v>
      </x:c>
      <x:c r="F636" s="6" t="str">
        <x:v>Credential/config ve vault kayıtları</x:v>
      </x:c>
    </x:row>
    <x:row r="637" ht="40" customHeight="1">
      <x:c r="A637" s="6" t="str">
        <x:v>V6</x:v>
      </x:c>
      <x:c r="B637" s="6" t="str">
        <x:v>ESA-K03/S01</x:v>
      </x:c>
      <x:c r="C637" s="6" t="str">
        <x:v>ESA-011</x:v>
      </x:c>
      <x:c r="D637" s="6" t="str">
        <x:v>Birleştirildi</x:v>
      </x:c>
      <x:c r="E637" s="6" t="str">
        <x:v>Aynı kontrol amacı korunarak tek soruya veya bileşen testlerine bağlandı; eski ölçütteki kurum varsayımları CIS kabul değeri değildir.</x:v>
      </x:c>
      <x:c r="F637" s="6" t="str">
        <x:v>TLS policy, destination controls ve TLS test</x:v>
      </x:c>
    </x:row>
    <x:row r="638" ht="40" customHeight="1">
      <x:c r="A638" s="6" t="str">
        <x:v>V6</x:v>
      </x:c>
      <x:c r="B638" s="6" t="str">
        <x:v>ESA-K03/S02</x:v>
      </x:c>
      <x:c r="C638" s="6" t="str">
        <x:v>GNL-11-02
ESA-009</x:v>
      </x:c>
      <x:c r="D638" s="6" t="str">
        <x:v>Birleştirildi</x:v>
      </x:c>
      <x:c r="E638" s="6" t="str">
        <x:v>Aynı kontrol amacı korunarak tek soruya veya bileşen testlerine bağlandı; eski ölçütteki kurum varsayımları CIS kabul değeri değildir.</x:v>
      </x:c>
      <x:c r="F638" s="6" t="str">
        <x:v>Certificate/DKIM profile ve alarm</x:v>
      </x:c>
    </x:row>
    <x:row r="639" ht="40" customHeight="1">
      <x:c r="A639" s="6" t="str">
        <x:v>V6</x:v>
      </x:c>
      <x:c r="B639" s="6" t="str">
        <x:v>ESA-K04/S01</x:v>
      </x:c>
      <x:c r="C639" s="6" t="str">
        <x:v>ESA-008</x:v>
      </x:c>
      <x:c r="D639" s="6" t="str">
        <x:v>Birleştirildi</x:v>
      </x:c>
      <x:c r="E639" s="6" t="str">
        <x:v>Aynı kontrol amacı korunarak tek soruya veya bileşen testlerine bağlandı; eski ölçütteki kurum varsayımları CIS kabul değeri değildir.</x:v>
      </x:c>
      <x:c r="F639" s="6" t="str">
        <x:v>Authentication profile/policy ve örnek log</x:v>
      </x:c>
    </x:row>
    <x:row r="640" ht="40" customHeight="1">
      <x:c r="A640" s="6" t="str">
        <x:v>V6</x:v>
      </x:c>
      <x:c r="B640" s="6" t="str">
        <x:v>ESA-K04/S02</x:v>
      </x:c>
      <x:c r="C640" s="6" t="str">
        <x:v>ESA-009</x:v>
      </x:c>
      <x:c r="D640" s="6" t="str">
        <x:v>Birleştirildi</x:v>
      </x:c>
      <x:c r="E640" s="6" t="str">
        <x:v>Aynı kontrol amacı korunarak tek soruya veya bileşen testlerine bağlandı; eski ölçütteki kurum varsayımları CIS kabul değeri değildir.</x:v>
      </x:c>
      <x:c r="F640" s="6" t="str">
        <x:v>DKIM signing profile ve DNS doğrulaması</x:v>
      </x:c>
    </x:row>
    <x:row r="641" ht="40" customHeight="1">
      <x:c r="A641" s="6" t="str">
        <x:v>V6</x:v>
      </x:c>
      <x:c r="B641" s="6" t="str">
        <x:v>ESA-K05/S01</x:v>
      </x:c>
      <x:c r="C641" s="6" t="str">
        <x:v>ESA-V05-01</x:v>
      </x:c>
      <x:c r="D641" s="6" t="str">
        <x:v>Eklendi</x:v>
      </x:c>
      <x:c r="E641" s="6" t="str">
        <x:v>Aynı kontrol amacı korunarak tek soruya veya bileşen testlerine bağlandı; eski ölçütteki kurum varsayımları CIS kabul değeri değildir.</x:v>
      </x:c>
      <x:c r="F641" s="6" t="str">
        <x:v>Security service status ve policy mapping</x:v>
      </x:c>
    </x:row>
    <x:row r="642" ht="40" customHeight="1">
      <x:c r="A642" s="6" t="str">
        <x:v>V6</x:v>
      </x:c>
      <x:c r="B642" s="6" t="str">
        <x:v>ESA-K05/S02</x:v>
      </x:c>
      <x:c r="C642" s="6" t="str">
        <x:v>ESA-010</x:v>
      </x:c>
      <x:c r="D642" s="6" t="str">
        <x:v>Birleştirildi</x:v>
      </x:c>
      <x:c r="E642" s="6" t="str">
        <x:v>Aynı kontrol amacı korunarak tek soruya veya bileşen testlerine bağlandı; eski ölçütteki kurum varsayımları CIS kabul değeri değildir.</x:v>
      </x:c>
      <x:c r="F642" s="6" t="str">
        <x:v>Content/message filter exportu ve test mesajları</x:v>
      </x:c>
    </x:row>
    <x:row r="643" ht="40" customHeight="1">
      <x:c r="A643" s="6" t="str">
        <x:v>V6</x:v>
      </x:c>
      <x:c r="B643" s="6" t="str">
        <x:v>ESA-K05/S03</x:v>
      </x:c>
      <x:c r="C643" s="6" t="str">
        <x:v>ESA-V05-03</x:v>
      </x:c>
      <x:c r="D643" s="6" t="str">
        <x:v>Eklendi</x:v>
      </x:c>
      <x:c r="E643" s="6" t="str">
        <x:v>Aynı kontrol amacı korunarak tek soruya veya bileşen testlerine bağlandı; eski ölçütteki kurum varsayımları CIS kabul değeri değildir.</x:v>
      </x:c>
      <x:c r="F643" s="6" t="str">
        <x:v>Allow/block/bypass listesi ve onaylar</x:v>
      </x:c>
    </x:row>
    <x:row r="644" ht="40" customHeight="1">
      <x:c r="A644" s="6" t="str">
        <x:v>V6</x:v>
      </x:c>
      <x:c r="B644" s="6" t="str">
        <x:v>ESA-K06/S01</x:v>
      </x:c>
      <x:c r="C644" s="6" t="str">
        <x:v>ESA-010</x:v>
      </x:c>
      <x:c r="D644" s="6" t="str">
        <x:v>Birleştirildi</x:v>
      </x:c>
      <x:c r="E644" s="6" t="str">
        <x:v>Aynı kontrol amacı korunarak tek soruya veya bileşen testlerine bağlandı; eski ölçütteki kurum varsayımları CIS kabul değeri değildir.</x:v>
      </x:c>
      <x:c r="F644" s="6" t="str">
        <x:v>DLP policy ve test mesajı/log</x:v>
      </x:c>
    </x:row>
    <x:row r="645" ht="40" customHeight="1">
      <x:c r="A645" s="6" t="str">
        <x:v>V6</x:v>
      </x:c>
      <x:c r="B645" s="6" t="str">
        <x:v>ESA-K06/S02</x:v>
      </x:c>
      <x:c r="C645" s="6" t="str">
        <x:v>ESA-012</x:v>
      </x:c>
      <x:c r="D645" s="6" t="str">
        <x:v>Birleştirildi</x:v>
      </x:c>
      <x:c r="E645" s="6" t="str">
        <x:v>Aynı kontrol amacı korunarak tek soruya veya bileşen testlerine bağlandı; eski ölçütteki kurum varsayımları CIS kabul değeri değildir.</x:v>
      </x:c>
      <x:c r="F645" s="6" t="str">
        <x:v>Quarantine role/config ve negatif test</x:v>
      </x:c>
    </x:row>
    <x:row r="646" ht="40" customHeight="1">
      <x:c r="A646" s="6" t="str">
        <x:v>V6</x:v>
      </x:c>
      <x:c r="B646" s="6" t="str">
        <x:v>ESA-K06/S03</x:v>
      </x:c>
      <x:c r="C646" s="6" t="str">
        <x:v>ESA-012</x:v>
      </x:c>
      <x:c r="D646" s="6" t="str">
        <x:v>Birleştirildi</x:v>
      </x:c>
      <x:c r="E646" s="6" t="str">
        <x:v>Aynı kontrol amacı korunarak tek soruya veya bileşen testlerine bağlandı; eski ölçütteki kurum varsayımları CIS kabul değeri değildir.</x:v>
      </x:c>
      <x:c r="F646" s="6" t="str">
        <x:v>Quarantine roles ve audit log</x:v>
      </x:c>
    </x:row>
    <x:row r="647" ht="40" customHeight="1">
      <x:c r="A647" s="6" t="str">
        <x:v>V6</x:v>
      </x:c>
      <x:c r="B647" s="6" t="str">
        <x:v>ESA-K06/S04</x:v>
      </x:c>
      <x:c r="C647" s="6" t="str">
        <x:v>ESA-V06-04</x:v>
      </x:c>
      <x:c r="D647" s="6" t="str">
        <x:v>Eklendi</x:v>
      </x:c>
      <x:c r="E647" s="6" t="str">
        <x:v>Aynı kontrol amacı korunarak tek soruya veya bileşen testlerine bağlandı; eski ölçütteki kurum varsayımları CIS kabul değeri değildir.</x:v>
      </x:c>
      <x:c r="F647" s="6" t="str">
        <x:v>Log subscription, tracking role ve örnek kayıt</x:v>
      </x:c>
    </x:row>
    <x:row r="648" ht="40" customHeight="1">
      <x:c r="A648" s="6" t="str">
        <x:v>V6</x:v>
      </x:c>
      <x:c r="B648" s="6" t="str">
        <x:v>ESA-K07/S01</x:v>
      </x:c>
      <x:c r="C648" s="6" t="str">
        <x:v>GNL-09-02</x:v>
      </x:c>
      <x:c r="D648" s="6" t="str">
        <x:v>Birleştirildi</x:v>
      </x:c>
      <x:c r="E648" s="6" t="str">
        <x:v>Aynı kontrol amacı korunarak tek soruya veya bileşen testlerine bağlandı; eski ölçütteki kurum varsayımları CIS kabul değeri değildir.</x:v>
      </x:c>
      <x:c r="F648" s="6" t="str">
        <x:v>Log subscriptions ve SIEM örnekleri</x:v>
      </x:c>
    </x:row>
    <x:row r="649" ht="40" customHeight="1">
      <x:c r="A649" s="6" t="str">
        <x:v>V6</x:v>
      </x:c>
      <x:c r="B649" s="6" t="str">
        <x:v>ESA-K07/S02</x:v>
      </x:c>
      <x:c r="C649" s="6" t="str">
        <x:v>ESA-V07-02</x:v>
      </x:c>
      <x:c r="D649" s="6" t="str">
        <x:v>Eklendi</x:v>
      </x:c>
      <x:c r="E649" s="6" t="str">
        <x:v>Aynı kontrol amacı korunarak tek soruya veya bileşen testlerine bağlandı; eski ölçütteki kurum varsayımları CIS kabul değeri değildir.</x:v>
      </x:c>
      <x:c r="F649" s="6" t="str">
        <x:v>Alert config ve olay kayıtları</x:v>
      </x:c>
    </x:row>
    <x:row r="650" ht="40" customHeight="1">
      <x:c r="A650" s="6" t="str">
        <x:v>V6</x:v>
      </x:c>
      <x:c r="B650" s="6" t="str">
        <x:v>ESA-K08/S01</x:v>
      </x:c>
      <x:c r="C650" s="6" t="str">
        <x:v>ESA-V08-01</x:v>
      </x:c>
      <x:c r="D650" s="6" t="str">
        <x:v>Eklendi</x:v>
      </x:c>
      <x:c r="E650" s="6" t="str">
        <x:v>Aynı kontrol amacı korunarak tek soruya veya bileşen testlerine bağlandı; eski ölçütteki kurum varsayımları CIS kabul değeri değildir.</x:v>
      </x:c>
      <x:c r="F650" s="6" t="str">
        <x:v>Cluster config ve policy inheritance incelemesi</x:v>
      </x:c>
    </x:row>
    <x:row r="651" ht="40" customHeight="1">
      <x:c r="A651" s="6" t="str">
        <x:v>V6</x:v>
      </x:c>
      <x:c r="B651" s="6" t="str">
        <x:v>ESA-K08/S02</x:v>
      </x:c>
      <x:c r="C651" s="6" t="str">
        <x:v>GNL-08-01</x:v>
      </x:c>
      <x:c r="D651" s="6" t="str">
        <x:v>Birleştirildi</x:v>
      </x:c>
      <x:c r="E651" s="6" t="str">
        <x:v>Aynı kontrol amacı korunarak tek soruya veya bileşen testlerine bağlandı; eski ölçütteki kurum varsayımları CIS kabul değeri değildir.</x:v>
      </x:c>
      <x:c r="F651" s="6" t="str">
        <x:v>Version/service status ve advisory takibi</x:v>
      </x:c>
    </x:row>
    <x:row r="652" ht="40" customHeight="1">
      <x:c r="A652" s="6" t="str">
        <x:v>V6</x:v>
      </x:c>
      <x:c r="B652" s="6" t="str">
        <x:v>ESA-K08/S03</x:v>
      </x:c>
      <x:c r="C652" s="6" t="str">
        <x:v>ESA-V08-03</x:v>
      </x:c>
      <x:c r="D652" s="6" t="str">
        <x:v>Eklendi</x:v>
      </x:c>
      <x:c r="E652" s="6" t="str">
        <x:v>Aynı kontrol amacı korunarak tek soruya veya bileşen testlerine bağlandı; eski ölçütteki kurum varsayımları CIS kabul değeri değildir.</x:v>
      </x:c>
      <x:c r="F652" s="6" t="str">
        <x:v>Config backup ve restore testi</x:v>
      </x:c>
    </x:row>
    <x:row r="653" ht="40" customHeight="1">
      <x:c r="A653" s="6" t="str">
        <x:v>V6</x:v>
      </x:c>
      <x:c r="B653" s="6" t="str">
        <x:v>ESA-K09/S01</x:v>
      </x:c>
      <x:c r="C653" s="6" t="str">
        <x:v>ESA-V09-01</x:v>
      </x:c>
      <x:c r="D653" s="6" t="str">
        <x:v>Eklendi</x:v>
      </x:c>
      <x:c r="E653" s="6" t="str">
        <x:v>Aynı kontrol amacı korunarak tek soruya veya bileşen testlerine bağlandı; eski ölçütteki kurum varsayımları CIS kabul değeri değildir.</x:v>
      </x:c>
      <x:c r="F653" s="6" t="str">
        <x:v>Capacity dashboard ve load/incident kayıtları</x:v>
      </x:c>
    </x:row>
    <x:row r="654" ht="40" customHeight="1">
      <x:c r="A654" s="6" t="str">
        <x:v>V6</x:v>
      </x:c>
      <x:c r="B654" s="6" t="str">
        <x:v>ESA-K10/S01</x:v>
      </x:c>
      <x:c r="C654" s="6" t="str">
        <x:v>GNL-18-02</x:v>
      </x:c>
      <x:c r="D654" s="6" t="str">
        <x:v>Birleştirildi</x:v>
      </x:c>
      <x:c r="E654" s="6" t="str">
        <x:v>Aynı kontrol amacı korunarak tek soruya veya bileşen testlerine bağlandı; eski ölçütteki kurum varsayımları CIS kabul değeri değildir.</x:v>
      </x:c>
      <x:c r="F654" s="6" t="str">
        <x:v>Offboarding checklist ve config diff</x:v>
      </x:c>
    </x:row>
    <x:row r="655" ht="40" customHeight="1">
      <x:c r="A655" s="6" t="str">
        <x:v>V6</x:v>
      </x:c>
      <x:c r="B655" s="6" t="str">
        <x:v>KNG-K01/S01</x:v>
      </x:c>
      <x:c r="C655" s="6" t="str">
        <x:v>KNG-007</x:v>
      </x:c>
      <x:c r="D655" s="6" t="str">
        <x:v>Birleştirildi</x:v>
      </x:c>
      <x:c r="E655" s="6" t="str">
        <x:v>Aynı kontrol amacı korunarak tek soruya veya bileşen testlerine bağlandı; eski ölçütteki kurum varsayımları CIS kabul değeri değildir.</x:v>
      </x:c>
      <x:c r="F655" s="6" t="str">
        <x:v>Mimari, firewall/ingress ve endpoint taraması</x:v>
      </x:c>
    </x:row>
    <x:row r="656" ht="40" customHeight="1">
      <x:c r="A656" s="6" t="str">
        <x:v>V6</x:v>
      </x:c>
      <x:c r="B656" s="6" t="str">
        <x:v>KNG-K01/S02</x:v>
      </x:c>
      <x:c r="C656" s="6" t="str">
        <x:v>KNG-007
GNL-05-01</x:v>
      </x:c>
      <x:c r="D656" s="6" t="str">
        <x:v>Birleştirildi</x:v>
      </x:c>
      <x:c r="E656" s="6" t="str">
        <x:v>Aynı kontrol amacı korunarak tek soruya veya bileşen testlerine bağlandı; eski ölçütteki kurum varsayımları CIS kabul değeri değildir.</x:v>
      </x:c>
      <x:c r="F656" s="6" t="str">
        <x:v>Admin endpoint, RBAC ve access log</x:v>
      </x:c>
    </x:row>
    <x:row r="657" ht="40" customHeight="1">
      <x:c r="A657" s="6" t="str">
        <x:v>V6</x:v>
      </x:c>
      <x:c r="B657" s="6" t="str">
        <x:v>KNG-K02/S01</x:v>
      </x:c>
      <x:c r="C657" s="6" t="str">
        <x:v>KNG-009</x:v>
      </x:c>
      <x:c r="D657" s="6" t="str">
        <x:v>Birleştirildi</x:v>
      </x:c>
      <x:c r="E657" s="6" t="str">
        <x:v>Aynı kontrol amacı korunarak tek soruya veya bileşen testlerine bağlandı; eski ölçütteki kurum varsayımları CIS kabul değeri değildir.</x:v>
      </x:c>
      <x:c r="F657" s="6" t="str">
        <x:v>Workspace/team/resource exportu</x:v>
      </x:c>
    </x:row>
    <x:row r="658" ht="40" customHeight="1">
      <x:c r="A658" s="6" t="str">
        <x:v>V6</x:v>
      </x:c>
      <x:c r="B658" s="6" t="str">
        <x:v>KNG-K02/S02</x:v>
      </x:c>
      <x:c r="C658" s="6" t="str">
        <x:v>KNG-V02-02</x:v>
      </x:c>
      <x:c r="D658" s="6" t="str">
        <x:v>Eklendi</x:v>
      </x:c>
      <x:c r="E658" s="6" t="str">
        <x:v>Aynı kontrol amacı korunarak tek soruya veya bileşen testlerine bağlandı; eski ölçütteki kurum varsayımları CIS kabul değeri değildir.</x:v>
      </x:c>
      <x:c r="F658" s="6" t="str">
        <x:v>Route-service-upstream-target matrisi ve test</x:v>
      </x:c>
    </x:row>
    <x:row r="659" ht="40" customHeight="1">
      <x:c r="A659" s="6" t="str">
        <x:v>V6</x:v>
      </x:c>
      <x:c r="B659" s="6" t="str">
        <x:v>KNG-K03/S01</x:v>
      </x:c>
      <x:c r="C659" s="6" t="str">
        <x:v>KNG-008</x:v>
      </x:c>
      <x:c r="D659" s="6" t="str">
        <x:v>Birleştirildi</x:v>
      </x:c>
      <x:c r="E659" s="6" t="str">
        <x:v>Aynı kontrol amacı korunarak tek soruya veya bileşen testlerine bağlandı; eski ölçütteki kurum varsayımları CIS kabul değeri değildir.</x:v>
      </x:c>
      <x:c r="F659" s="6" t="str">
        <x:v>RBAC role/permission exportu</x:v>
      </x:c>
    </x:row>
    <x:row r="660" ht="40" customHeight="1">
      <x:c r="A660" s="6" t="str">
        <x:v>V6</x:v>
      </x:c>
      <x:c r="B660" s="6" t="str">
        <x:v>KNG-K03/S02</x:v>
      </x:c>
      <x:c r="C660" s="6" t="str">
        <x:v>GNL-05-01</x:v>
      </x:c>
      <x:c r="D660" s="6" t="str">
        <x:v>Birleştirildi</x:v>
      </x:c>
      <x:c r="E660" s="6" t="str">
        <x:v>Aynı kontrol amacı korunarak tek soruya veya bileşen testlerine bağlandı; eski ölçütteki kurum varsayımları CIS kabul değeri değildir.</x:v>
      </x:c>
      <x:c r="F660" s="6" t="str">
        <x:v>IdP/OIDC/SAML ve session config</x:v>
      </x:c>
    </x:row>
    <x:row r="661" ht="40" customHeight="1">
      <x:c r="A661" s="6" t="str">
        <x:v>V6</x:v>
      </x:c>
      <x:c r="B661" s="6" t="str">
        <x:v>KNG-K04/S01</x:v>
      </x:c>
      <x:c r="C661" s="6" t="str">
        <x:v>GNL-12-01</x:v>
      </x:c>
      <x:c r="D661" s="6" t="str">
        <x:v>Birleştirildi</x:v>
      </x:c>
      <x:c r="E661" s="6" t="str">
        <x:v>Aynı kontrol amacı korunarak tek soruya veya bileşen testlerine bağlandı; eski ölçütteki kurum varsayımları CIS kabul değeri değildir.</x:v>
      </x:c>
      <x:c r="F661" s="6" t="str">
        <x:v>Token/credential envanteri, pipeline secret config</x:v>
      </x:c>
    </x:row>
    <x:row r="662" ht="40" customHeight="1">
      <x:c r="A662" s="6" t="str">
        <x:v>V6</x:v>
      </x:c>
      <x:c r="B662" s="6" t="str">
        <x:v>KNG-K04/S02</x:v>
      </x:c>
      <x:c r="C662" s="6" t="str">
        <x:v>GNL-12-01</x:v>
      </x:c>
      <x:c r="D662" s="6" t="str">
        <x:v>Birleştirildi</x:v>
      </x:c>
      <x:c r="E662" s="6" t="str">
        <x:v>Aynı kontrol amacı korunarak tek soruya veya bileşen testlerine bağlandı; eski ölçütteki kurum varsayımları CIS kabul değeri değildir.</x:v>
      </x:c>
      <x:c r="F662" s="6" t="str">
        <x:v>Vault references ve secret taraması</x:v>
      </x:c>
    </x:row>
    <x:row r="663" ht="40" customHeight="1">
      <x:c r="A663" s="6" t="str">
        <x:v>V6</x:v>
      </x:c>
      <x:c r="B663" s="6" t="str">
        <x:v>KNG-K04/S03</x:v>
      </x:c>
      <x:c r="C663" s="6" t="str">
        <x:v>GNL-12-01</x:v>
      </x:c>
      <x:c r="D663" s="6" t="str">
        <x:v>Birleştirildi</x:v>
      </x:c>
      <x:c r="E663" s="6" t="str">
        <x:v>Aynı kontrol amacı korunarak tek soruya veya bileşen testlerine bağlandı; eski ölçütteki kurum varsayımları CIS kabul değeri değildir.</x:v>
      </x:c>
      <x:c r="F663" s="6" t="str">
        <x:v>Consumer credential exportu ve kullanım logu</x:v>
      </x:c>
    </x:row>
    <x:row r="664" ht="40" customHeight="1">
      <x:c r="A664" s="6" t="str">
        <x:v>V6</x:v>
      </x:c>
      <x:c r="B664" s="6" t="str">
        <x:v>KNG-K05/S01</x:v>
      </x:c>
      <x:c r="C664" s="6" t="str">
        <x:v>KNG-V05-01</x:v>
      </x:c>
      <x:c r="D664" s="6" t="str">
        <x:v>Eklendi</x:v>
      </x:c>
      <x:c r="E664" s="6" t="str">
        <x:v>Aynı kontrol amacı korunarak tek soruya veya bileşen testlerine bağlandı; eski ölçütteki kurum varsayımları CIS kabul değeri değildir.</x:v>
      </x:c>
      <x:c r="F664" s="6" t="str">
        <x:v>Cluster mTLS config ve certificate inventory</x:v>
      </x:c>
    </x:row>
    <x:row r="665" ht="40" customHeight="1">
      <x:c r="A665" s="6" t="str">
        <x:v>V6</x:v>
      </x:c>
      <x:c r="B665" s="6" t="str">
        <x:v>KNG-K05/S02</x:v>
      </x:c>
      <x:c r="C665" s="6" t="str">
        <x:v>KNG-013</x:v>
      </x:c>
      <x:c r="D665" s="6" t="str">
        <x:v>Birleştirildi</x:v>
      </x:c>
      <x:c r="E665" s="6" t="str">
        <x:v>Aynı kontrol amacı korunarak tek soruya veya bileşen testlerine bağlandı; eski ölçütteki kurum varsayımları CIS kabul değeri değildir.</x:v>
      </x:c>
      <x:c r="F665" s="6" t="str">
        <x:v>TLS config ve aktif tarama</x:v>
      </x:c>
    </x:row>
    <x:row r="666" ht="40" customHeight="1">
      <x:c r="A666" s="6" t="str">
        <x:v>V6</x:v>
      </x:c>
      <x:c r="B666" s="6" t="str">
        <x:v>KNG-K05/S03</x:v>
      </x:c>
      <x:c r="C666" s="6" t="str">
        <x:v>KNG-V05-03</x:v>
      </x:c>
      <x:c r="D666" s="6" t="str">
        <x:v>Eklendi</x:v>
      </x:c>
      <x:c r="E666" s="6" t="str">
        <x:v>Aynı kontrol amacı korunarak tek soruya veya bileşen testlerine bağlandı; eski ölçütteki kurum varsayımları CIS kabul değeri değildir.</x:v>
      </x:c>
      <x:c r="F666" s="6" t="str">
        <x:v>mTLS auth config, CA/CRL ve test çağrıları</x:v>
      </x:c>
    </x:row>
    <x:row r="667" ht="40" customHeight="1">
      <x:c r="A667" s="6" t="str">
        <x:v>V6</x:v>
      </x:c>
      <x:c r="B667" s="6" t="str">
        <x:v>KNG-K06/S01</x:v>
      </x:c>
      <x:c r="C667" s="6" t="str">
        <x:v>KNG-V06-01</x:v>
      </x:c>
      <x:c r="D667" s="6" t="str">
        <x:v>Eklendi</x:v>
      </x:c>
      <x:c r="E667" s="6" t="str">
        <x:v>Aynı kontrol amacı korunarak tek soruya veya bileşen testlerine bağlandı; eski ölçütteki kurum varsayımları CIS kabul değeri değildir.</x:v>
      </x:c>
      <x:c r="F667" s="6" t="str">
        <x:v>Auth plugin config ve negatif testler</x:v>
      </x:c>
    </x:row>
    <x:row r="668" ht="40" customHeight="1">
      <x:c r="A668" s="6" t="str">
        <x:v>V6</x:v>
      </x:c>
      <x:c r="B668" s="6" t="str">
        <x:v>KNG-K06/S02</x:v>
      </x:c>
      <x:c r="C668" s="6" t="str">
        <x:v>KNG-010
KNG-011</x:v>
      </x:c>
      <x:c r="D668" s="6" t="str">
        <x:v>Birleştirildi</x:v>
      </x:c>
      <x:c r="E668" s="6" t="str">
        <x:v>Aynı kontrol amacı korunarak tek soruya veya bileşen testlerine bağlandı; eski ölçütteki kurum varsayımları CIS kabul değeri değildir.</x:v>
      </x:c>
      <x:c r="F668" s="6" t="str">
        <x:v>Plugin/route config ve negatif API testleri</x:v>
      </x:c>
    </x:row>
    <x:row r="669" ht="40" customHeight="1">
      <x:c r="A669" s="6" t="str">
        <x:v>V6</x:v>
      </x:c>
      <x:c r="B669" s="6" t="str">
        <x:v>KNG-K07/S01</x:v>
      </x:c>
      <x:c r="C669" s="6" t="str">
        <x:v>KNG-012</x:v>
      </x:c>
      <x:c r="D669" s="6" t="str">
        <x:v>Birleştirildi</x:v>
      </x:c>
      <x:c r="E669" s="6" t="str">
        <x:v>Aynı kontrol amacı korunarak tek soruya veya bileşen testlerine bağlandı; eski ölçütteki kurum varsayımları CIS kabul değeri değildir.</x:v>
      </x:c>
      <x:c r="F669" s="6" t="str">
        <x:v>Rate limiting config ve yük testi</x:v>
      </x:c>
    </x:row>
    <x:row r="670" ht="40" customHeight="1">
      <x:c r="A670" s="6" t="str">
        <x:v>V6</x:v>
      </x:c>
      <x:c r="B670" s="6" t="str">
        <x:v>KNG-K07/S02</x:v>
      </x:c>
      <x:c r="C670" s="6" t="str">
        <x:v>KNG-V07-02</x:v>
      </x:c>
      <x:c r="D670" s="6" t="str">
        <x:v>Eklendi</x:v>
      </x:c>
      <x:c r="E670" s="6" t="str">
        <x:v>Aynı kontrol amacı korunarak tek soruya veya bileşen testlerine bağlandı; eski ölçütteki kurum varsayımları CIS kabul değeri değildir.</x:v>
      </x:c>
      <x:c r="F670" s="6" t="str">
        <x:v>Plugin strategy/store config ve çok node testi</x:v>
      </x:c>
    </x:row>
    <x:row r="671" ht="40" customHeight="1">
      <x:c r="A671" s="6" t="str">
        <x:v>V6</x:v>
      </x:c>
      <x:c r="B671" s="6" t="str">
        <x:v>KNG-K08/S01</x:v>
      </x:c>
      <x:c r="C671" s="6" t="str">
        <x:v>KNG-V08-01</x:v>
      </x:c>
      <x:c r="D671" s="6" t="str">
        <x:v>Eklendi</x:v>
      </x:c>
      <x:c r="E671" s="6" t="str">
        <x:v>Aynı kontrol amacı korunarak tek soruya veya bileşen testlerine bağlandı; eski ölçütteki kurum varsayımları CIS kabul değeri değildir.</x:v>
      </x:c>
      <x:c r="F671" s="6" t="str">
        <x:v>OpenAPI/schema validation plugin ve negatif test</x:v>
      </x:c>
    </x:row>
    <x:row r="672" ht="40" customHeight="1">
      <x:c r="A672" s="6" t="str">
        <x:v>V6</x:v>
      </x:c>
      <x:c r="B672" s="6" t="str">
        <x:v>KNG-K08/S02</x:v>
      </x:c>
      <x:c r="C672" s="6" t="str">
        <x:v>KNG-V08-02</x:v>
      </x:c>
      <x:c r="D672" s="6" t="str">
        <x:v>Eklendi</x:v>
      </x:c>
      <x:c r="E672" s="6" t="str">
        <x:v>Aynı kontrol amacı korunarak tek soruya veya bileşen testlerine bağlandı; eski ölçütteki kurum varsayımları CIS kabul değeri değildir.</x:v>
      </x:c>
      <x:c r="F672" s="6" t="str">
        <x:v>Response transform/config ve testler</x:v>
      </x:c>
    </x:row>
    <x:row r="673" ht="40" customHeight="1">
      <x:c r="A673" s="6" t="str">
        <x:v>V6</x:v>
      </x:c>
      <x:c r="B673" s="6" t="str">
        <x:v>KNG-K08/S03</x:v>
      </x:c>
      <x:c r="C673" s="6" t="str">
        <x:v>KNG-V08-03</x:v>
      </x:c>
      <x:c r="D673" s="6" t="str">
        <x:v>Eklendi</x:v>
      </x:c>
      <x:c r="E673" s="6" t="str">
        <x:v>Aynı kontrol amacı korunarak tek soruya veya bileşen testlerine bağlandı; eski ölçütteki kurum varsayımları CIS kabul değeri değildir.</x:v>
      </x:c>
      <x:c r="F673" s="6" t="str">
        <x:v>CORS plugin config ve browser/preflight testi</x:v>
      </x:c>
    </x:row>
    <x:row r="674" ht="40" customHeight="1">
      <x:c r="A674" s="6" t="str">
        <x:v>V6</x:v>
      </x:c>
      <x:c r="B674" s="6" t="str">
        <x:v>KNG-K09/S01</x:v>
      </x:c>
      <x:c r="C674" s="6" t="str">
        <x:v>KNG-V09-01</x:v>
      </x:c>
      <x:c r="D674" s="6" t="str">
        <x:v>Eklendi</x:v>
      </x:c>
      <x:c r="E674" s="6" t="str">
        <x:v>Aynı kontrol amacı korunarak tek soruya veya bileşen testlerine bağlandı; eski ölçütteki kurum varsayımları CIS kabul değeri değildir.</x:v>
      </x:c>
      <x:c r="F674" s="6" t="str">
        <x:v>IP restriction/ingress config ve test</x:v>
      </x:c>
    </x:row>
    <x:row r="675" ht="40" customHeight="1">
      <x:c r="A675" s="6" t="str">
        <x:v>V6</x:v>
      </x:c>
      <x:c r="B675" s="6" t="str">
        <x:v>KNG-K09/S02</x:v>
      </x:c>
      <x:c r="C675" s="6" t="str">
        <x:v>KNG-V09-02</x:v>
      </x:c>
      <x:c r="D675" s="6" t="str">
        <x:v>Eklendi</x:v>
      </x:c>
      <x:c r="E675" s="6" t="str">
        <x:v>Aynı kontrol amacı korunarak tek soruya veya bileşen testlerine bağlandı; eski ölçütteki kurum varsayımları CIS kabul değeri değildir.</x:v>
      </x:c>
      <x:c r="F675" s="6" t="str">
        <x:v>Nginx/Kong trusted IP config ve spoof testi</x:v>
      </x:c>
    </x:row>
    <x:row r="676" ht="40" customHeight="1">
      <x:c r="A676" s="6" t="str">
        <x:v>V6</x:v>
      </x:c>
      <x:c r="B676" s="6" t="str">
        <x:v>KNG-K09/S03</x:v>
      </x:c>
      <x:c r="C676" s="6" t="str">
        <x:v>KNG-V09-03</x:v>
      </x:c>
      <x:c r="D676" s="6" t="str">
        <x:v>Eklendi</x:v>
      </x:c>
      <x:c r="E676" s="6" t="str">
        <x:v>Aynı kontrol amacı korunarak tek soruya veya bileşen testlerine bağlandı; eski ölçütteki kurum varsayımları CIS kabul değeri değildir.</x:v>
      </x:c>
      <x:c r="F676" s="6" t="str">
        <x:v>Upstream/service config ve failure test</x:v>
      </x:c>
    </x:row>
    <x:row r="677" ht="40" customHeight="1">
      <x:c r="A677" s="6" t="str">
        <x:v>V6</x:v>
      </x:c>
      <x:c r="B677" s="6" t="str">
        <x:v>KNG-K10/S01</x:v>
      </x:c>
      <x:c r="C677" s="6" t="str">
        <x:v>KNG-V10-01</x:v>
      </x:c>
      <x:c r="D677" s="6" t="str">
        <x:v>Eklendi</x:v>
      </x:c>
      <x:c r="E677" s="6" t="str">
        <x:v>Aynı kontrol amacı korunarak tek soruya veya bileşen testlerine bağlandı; eski ölçütteki kurum varsayımları CIS kabul değeri değildir.</x:v>
      </x:c>
      <x:c r="F677" s="6" t="str">
        <x:v>Plugin inventory ve enabled_plugins config</x:v>
      </x:c>
    </x:row>
    <x:row r="678" ht="40" customHeight="1">
      <x:c r="A678" s="6" t="str">
        <x:v>V6</x:v>
      </x:c>
      <x:c r="B678" s="6" t="str">
        <x:v>KNG-K10/S02</x:v>
      </x:c>
      <x:c r="C678" s="6" t="str">
        <x:v>KNG-V10-02</x:v>
      </x:c>
      <x:c r="D678" s="6" t="str">
        <x:v>Eklendi</x:v>
      </x:c>
      <x:c r="E678" s="6" t="str">
        <x:v>Aynı kontrol amacı korunarak tek soruya veya bileşen testlerine bağlandı; eski ölçütteki kurum varsayımları CIS kabul değeri değildir.</x:v>
      </x:c>
      <x:c r="F678" s="6" t="str">
        <x:v>Repo, CI güvenlik sonuçları ve artifact provenance</x:v>
      </x:c>
    </x:row>
    <x:row r="679" ht="40" customHeight="1">
      <x:c r="A679" s="6" t="str">
        <x:v>V6</x:v>
      </x:c>
      <x:c r="B679" s="6" t="str">
        <x:v>KNG-K11/S01</x:v>
      </x:c>
      <x:c r="C679" s="6" t="str">
        <x:v>KNG-014</x:v>
      </x:c>
      <x:c r="D679" s="6" t="str">
        <x:v>Birleştirildi</x:v>
      </x:c>
      <x:c r="E679" s="6" t="str">
        <x:v>Aynı kontrol amacı korunarak tek soruya veya bileşen testlerine bağlandı; eski ölçütteki kurum varsayımları CIS kabul değeri değildir.</x:v>
      </x:c>
      <x:c r="F679" s="6" t="str">
        <x:v>Git PR, pipeline ve sync diff</x:v>
      </x:c>
    </x:row>
    <x:row r="680" ht="40" customHeight="1">
      <x:c r="A680" s="6" t="str">
        <x:v>V6</x:v>
      </x:c>
      <x:c r="B680" s="6" t="str">
        <x:v>KNG-K11/S02</x:v>
      </x:c>
      <x:c r="C680" s="6" t="str">
        <x:v>GNL-06-02</x:v>
      </x:c>
      <x:c r="D680" s="6" t="str">
        <x:v>Birleştirildi</x:v>
      </x:c>
      <x:c r="E680" s="6" t="str">
        <x:v>Aynı kontrol amacı korunarak tek soruya veya bileşen testlerine bağlandı; eski ölçütteki kurum varsayımları CIS kabul değeri değildir.</x:v>
      </x:c>
      <x:c r="F680" s="6" t="str">
        <x:v>decK diff/eşdeğer rapor</x:v>
      </x:c>
    </x:row>
    <x:row r="681" ht="40" customHeight="1">
      <x:c r="A681" s="6" t="str">
        <x:v>V6</x:v>
      </x:c>
      <x:c r="B681" s="6" t="str">
        <x:v>KNG-K12/S01</x:v>
      </x:c>
      <x:c r="C681" s="6" t="str">
        <x:v>GNL-09-02</x:v>
      </x:c>
      <x:c r="D681" s="6" t="str">
        <x:v>Birleştirildi</x:v>
      </x:c>
      <x:c r="E681" s="6" t="str">
        <x:v>Aynı kontrol amacı korunarak tek soruya veya bileşen testlerine bağlandı; eski ölçütteki kurum varsayımları CIS kabul değeri değildir.</x:v>
      </x:c>
      <x:c r="F681" s="6" t="str">
        <x:v>Audit log ve test değişikliği</x:v>
      </x:c>
    </x:row>
    <x:row r="682" ht="40" customHeight="1">
      <x:c r="A682" s="6" t="str">
        <x:v>V6</x:v>
      </x:c>
      <x:c r="B682" s="6" t="str">
        <x:v>KNG-K12/S02</x:v>
      </x:c>
      <x:c r="C682" s="6" t="str">
        <x:v>KNG-V12-02</x:v>
      </x:c>
      <x:c r="D682" s="6" t="str">
        <x:v>Eklendi</x:v>
      </x:c>
      <x:c r="E682" s="6" t="str">
        <x:v>Aynı kontrol amacı korunarak tek soruya veya bileşen testlerine bağlandı; eski ölçütteki kurum varsayımları CIS kabul değeri değildir.</x:v>
      </x:c>
      <x:c r="F682" s="6" t="str">
        <x:v>Logging plugin formatı ve örnek log</x:v>
      </x:c>
    </x:row>
    <x:row r="683" ht="40" customHeight="1">
      <x:c r="A683" s="6" t="str">
        <x:v>V6</x:v>
      </x:c>
      <x:c r="B683" s="6" t="str">
        <x:v>KNG-K12/S03</x:v>
      </x:c>
      <x:c r="C683" s="6" t="str">
        <x:v>KNG-V12-03</x:v>
      </x:c>
      <x:c r="D683" s="6" t="str">
        <x:v>Eklendi</x:v>
      </x:c>
      <x:c r="E683" s="6" t="str">
        <x:v>Aynı kontrol amacı korunarak tek soruya veya bileşen testlerine bağlandı; eski ölçütteki kurum varsayımları CIS kabul değeri değildir.</x:v>
      </x:c>
      <x:c r="F683" s="6" t="str">
        <x:v>Log plugin/queue config ve kesinti testi</x:v>
      </x:c>
    </x:row>
    <x:row r="684" ht="40" customHeight="1">
      <x:c r="A684" s="6" t="str">
        <x:v>V6</x:v>
      </x:c>
      <x:c r="B684" s="6" t="str">
        <x:v>KNG-K13/S01</x:v>
      </x:c>
      <x:c r="C684" s="6" t="str">
        <x:v>GNL-02-01</x:v>
      </x:c>
      <x:c r="D684" s="6" t="str">
        <x:v>Birleştirildi</x:v>
      </x:c>
      <x:c r="E684" s="6" t="str">
        <x:v>Aynı kontrol amacı korunarak tek soruya veya bileşen testlerine bağlandı; eski ölçütteki kurum varsayımları CIS kabul değeri değildir.</x:v>
      </x:c>
      <x:c r="F684" s="6" t="str">
        <x:v>Admin API/declarative export ve CMDB/API katalog mutabakatı</x:v>
      </x:c>
    </x:row>
    <x:row r="685" ht="40" customHeight="1">
      <x:c r="A685" s="6" t="str">
        <x:v>V6</x:v>
      </x:c>
      <x:c r="B685" s="6" t="str">
        <x:v>KNG-K13/S02</x:v>
      </x:c>
      <x:c r="C685" s="6" t="str">
        <x:v>GNL-08-01</x:v>
      </x:c>
      <x:c r="D685" s="6" t="str">
        <x:v>Birleştirildi</x:v>
      </x:c>
      <x:c r="E685" s="6" t="str">
        <x:v>Aynı kontrol amacı korunarak tek soruya veya bileşen testlerine bağlandı; eski ölçütteki kurum varsayımları CIS kabul değeri değildir.</x:v>
      </x:c>
      <x:c r="F685" s="6" t="str">
        <x:v>Version/SBOM/image scan ve patch kayıtları</x:v>
      </x:c>
    </x:row>
    <x:row r="686" ht="40" customHeight="1">
      <x:c r="A686" s="6" t="str">
        <x:v>V6</x:v>
      </x:c>
      <x:c r="B686" s="6" t="str">
        <x:v>KNG-K14/S01</x:v>
      </x:c>
      <x:c r="C686" s="6" t="str">
        <x:v>KNG-V14-01</x:v>
      </x:c>
      <x:c r="D686" s="6" t="str">
        <x:v>Eklendi</x:v>
      </x:c>
      <x:c r="E686" s="6" t="str">
        <x:v>Aynı kontrol amacı korunarak tek soruya veya bileşen testlerine bağlandı; eski ölçütteki kurum varsayımları CIS kabul değeri değildir.</x:v>
      </x:c>
      <x:c r="F686" s="6" t="str">
        <x:v>Backup kapsamı ve DR testi</x:v>
      </x:c>
    </x:row>
    <x:row r="687" ht="40" customHeight="1">
      <x:c r="A687" s="6" t="str">
        <x:v>V6</x:v>
      </x:c>
      <x:c r="B687" s="6" t="str">
        <x:v>KNG-K14/S02</x:v>
      </x:c>
      <x:c r="C687" s="6" t="str">
        <x:v>KNG-V14-02</x:v>
      </x:c>
      <x:c r="D687" s="6" t="str">
        <x:v>Eklendi</x:v>
      </x:c>
      <x:c r="E687" s="6" t="str">
        <x:v>Aynı kontrol amacı korunarak tek soruya veya bileşen testlerine bağlandı; eski ölçütteki kurum varsayımları CIS kabul değeri değildir.</x:v>
      </x:c>
      <x:c r="F687" s="6" t="str">
        <x:v>Architecture, SLO ve load/failover test</x:v>
      </x:c>
    </x:row>
    <x:row r="688" ht="40" customHeight="1">
      <x:c r="A688" s="6" t="str">
        <x:v>V6</x:v>
      </x:c>
      <x:c r="B688" s="6" t="str">
        <x:v>KNG-K15/S01</x:v>
      </x:c>
      <x:c r="C688" s="6" t="str">
        <x:v>KNG-V15-01</x:v>
      </x:c>
      <x:c r="D688" s="6" t="str">
        <x:v>Eklendi</x:v>
      </x:c>
      <x:c r="E688" s="6" t="str">
        <x:v>Aynı kontrol amacı korunarak tek soruya veya bileşen testlerine bağlandı; eski ölçütteki kurum varsayımları CIS kabul değeri değildir.</x:v>
      </x:c>
      <x:c r="F688" s="6" t="str">
        <x:v>Portal/spec exportu ve erişim testi</x:v>
      </x:c>
    </x:row>
    <x:row r="689" ht="40" customHeight="1">
      <x:c r="A689" s="6" t="str">
        <x:v>V6</x:v>
      </x:c>
      <x:c r="B689" s="6" t="str">
        <x:v>KNG-K16/S01</x:v>
      </x:c>
      <x:c r="C689" s="6" t="str">
        <x:v>GNL-18-02</x:v>
      </x:c>
      <x:c r="D689" s="6" t="str">
        <x:v>Birleştirildi</x:v>
      </x:c>
      <x:c r="E689" s="6" t="str">
        <x:v>Aynı kontrol amacı korunarak tek soruya veya bileşen testlerine bağlandı; eski ölçütteki kurum varsayımları CIS kabul değeri değildir.</x:v>
      </x:c>
      <x:c r="F689" s="6" t="str">
        <x:v>Offboarding diff, token revoke ve deletion kayıtları</x:v>
      </x:c>
    </x:row>
    <x:row r="690" ht="40" customHeight="1">
      <x:c r="A690" s="6" t="str">
        <x:v>V6</x:v>
      </x:c>
      <x:c r="B690" s="6" t="str">
        <x:v>KNG-K17/S01</x:v>
      </x:c>
      <x:c r="C690" s="6" t="str">
        <x:v>GNL-19-02</x:v>
      </x:c>
      <x:c r="D690" s="6" t="str">
        <x:v>Birleştirildi</x:v>
      </x:c>
      <x:c r="E690" s="6" t="str">
        <x:v>Aynı kontrol amacı korunarak tek soruya veya bileşen testlerine bağlandı; eski ölçütteki kurum varsayımları CIS kabul değeri değildir.</x:v>
      </x:c>
      <x:c r="F690" s="6" t="str">
        <x:v>Pen-test/API security test ve retest</x:v>
      </x:c>
    </x:row>
    <x:row r="691" ht="40" customHeight="1">
      <x:c r="A691" s="6" t="str">
        <x:v>V6</x:v>
      </x:c>
      <x:c r="B691" s="6" t="str">
        <x:v>EXC-K01/S01</x:v>
      </x:c>
      <x:c r="C691" s="6" t="str">
        <x:v>EXC-001</x:v>
      </x:c>
      <x:c r="D691" s="6" t="str">
        <x:v>Birleştirildi</x:v>
      </x:c>
      <x:c r="E691" s="6" t="str">
        <x:v>Aynı kontrol amacı korunarak tek soruya veya bileşen testlerine bağlandı; eski ölçütteki kurum varsayımları CIS kabul değeri değildir.</x:v>
      </x:c>
      <x:c r="F691" s="6" t="str">
        <x:v>Sender ID ve sender filter ajan yapılandırma çıktıları; son 30 günün aksiyon istatistiği</x:v>
      </x:c>
    </x:row>
    <x:row r="692" ht="40" customHeight="1">
      <x:c r="A692" s="6" t="str">
        <x:v>V6</x:v>
      </x:c>
      <x:c r="B692" s="6" t="str">
        <x:v>EXC-K01/S02</x:v>
      </x:c>
      <x:c r="C692" s="6" t="str">
        <x:v>EXC-002</x:v>
      </x:c>
      <x:c r="D692" s="6" t="str">
        <x:v>Birleştirildi</x:v>
      </x:c>
      <x:c r="E692" s="6" t="str">
        <x:v>Aynı kontrol amacı korunarak tek soruya veya bileşen testlerine bağlandı; eski ölçütteki kurum varsayımları CIS kabul değeri değildir.</x:v>
      </x:c>
      <x:c r="F692" s="6" t="str">
        <x:v>Sender reputation yapılandırma çıktısı; eşik değeri onay kaydı</x:v>
      </x:c>
    </x:row>
    <x:row r="693" ht="40" customHeight="1">
      <x:c r="A693" s="6" t="str">
        <x:v>V6</x:v>
      </x:c>
      <x:c r="B693" s="6" t="str">
        <x:v>EXC-K01/S03</x:v>
      </x:c>
      <x:c r="C693" s="6" t="str">
        <x:v>EXC-004</x:v>
      </x:c>
      <x:c r="D693" s="6" t="str">
        <x:v>Birleştirildi</x:v>
      </x:c>
      <x:c r="E693" s="6" t="str">
        <x:v>Kısmi değiştirme: boş gönderici/S-MIME/alfanümerik çelişkileri veya geniş MAPI/connector iddiası çıkarıldı; yalnız hedef sorudaki doğrulanmış kapsam korunur.</x:v>
      </x:c>
      <x:c r="F693" s="6" t="str">
        <x:v>Blank sender ve nonexistent recipient ayar çıktıları; reddedilen bağlantı istatistiği</x:v>
      </x:c>
    </x:row>
    <x:row r="694" ht="40" customHeight="1">
      <x:c r="A694" s="6" t="str">
        <x:v>V6</x:v>
      </x:c>
      <x:c r="B694" s="6" t="str">
        <x:v>EXC-K01/S04</x:v>
      </x:c>
      <x:c r="C694" s="6" t="str">
        <x:v>EXC-004</x:v>
      </x:c>
      <x:c r="D694" s="6" t="str">
        <x:v>Birleştirildi</x:v>
      </x:c>
      <x:c r="E694" s="6" t="str">
        <x:v>Aynı kontrol amacı korunarak tek soruya veya bileşen testlerine bağlandı; eski ölçütteki kurum varsayımları CIS kabul değeri değildir.</x:v>
      </x:c>
      <x:c r="F694" s="6" t="str">
        <x:v>Recipient filter yapılandırma çıktısı; dizin doğrulama durumu</x:v>
      </x:c>
    </x:row>
    <x:row r="695" ht="40" customHeight="1">
      <x:c r="A695" s="6" t="str">
        <x:v>V6</x:v>
      </x:c>
      <x:c r="B695" s="6" t="str">
        <x:v>EXC-K02/S01</x:v>
      </x:c>
      <x:c r="C695" s="6" t="str">
        <x:v>EXC-003</x:v>
      </x:c>
      <x:c r="D695" s="6" t="str">
        <x:v>Birleştirildi</x:v>
      </x:c>
      <x:c r="E695" s="6" t="str">
        <x:v>Aynı kontrol amacı korunarak tek soruya veya bileşen testlerine bağlandı; eski ölçütteki kurum varsayımları CIS kabul değeri değildir.</x:v>
      </x:c>
      <x:c r="F695" s="6" t="str">
        <x:v>SCL eşik ayarları çıktısı; karantinaya düşen mesaj istatistiği</x:v>
      </x:c>
    </x:row>
    <x:row r="696" ht="40" customHeight="1">
      <x:c r="A696" s="6" t="str">
        <x:v>V6</x:v>
      </x:c>
      <x:c r="B696" s="6" t="str">
        <x:v>EXC-K02/S02</x:v>
      </x:c>
      <x:c r="C696" s="6" t="str">
        <x:v>EXC-003</x:v>
      </x:c>
      <x:c r="D696" s="6" t="str">
        <x:v>Birleştirildi</x:v>
      </x:c>
      <x:c r="E696" s="6" t="str">
        <x:v>Aynı kontrol amacı korunarak tek soruya veya bileşen testlerine bağlandı; eski ölçütteki kurum varsayımları CIS kabul değeri değildir.</x:v>
      </x:c>
      <x:c r="F696" s="6" t="str">
        <x:v>Karantina posta kutusu tanımı; erişim yetkisi listesi ve kutu boyut/saklama ayarı</x:v>
      </x:c>
    </x:row>
    <x:row r="697" ht="40" customHeight="1">
      <x:c r="A697" s="6" t="str">
        <x:v>V6</x:v>
      </x:c>
      <x:c r="B697" s="6" t="str">
        <x:v>EXC-K02/S03</x:v>
      </x:c>
      <x:c r="C697" s="6" t="str">
        <x:v>EXC-005</x:v>
      </x:c>
      <x:c r="D697" s="6" t="str">
        <x:v>Birleştirildi</x:v>
      </x:c>
      <x:c r="E697" s="6" t="str">
        <x:v>Aynı kontrol amacı korunarak tek soruya veya bileşen testlerine bağlandı; eski ölçütteki kurum varsayımları CIS kabul değeri değildir.</x:v>
      </x:c>
      <x:c r="F697" s="6" t="str">
        <x:v>Attachment filtering ajan yapılandırması; engellenen uzantı/tür listesi ve istisna kaydı</x:v>
      </x:c>
    </x:row>
    <x:row r="698" ht="40" customHeight="1">
      <x:c r="A698" s="6" t="str">
        <x:v>V6</x:v>
      </x:c>
      <x:c r="B698" s="6" t="str">
        <x:v>EXC-K03/S01</x:v>
      </x:c>
      <x:c r="C698" s="6" t="str">
        <x:v>EXC-006</x:v>
      </x:c>
      <x:c r="D698" s="6" t="str">
        <x:v>Birleştirildi</x:v>
      </x:c>
      <x:c r="E698" s="6" t="str">
        <x:v>Aynı kontrol amacı korunarak tek soruya veya bileşen testlerine bağlandı; eski ölçütteki kurum varsayımları CIS kabul değeri değildir.</x:v>
      </x:c>
      <x:c r="F698" s="6" t="str">
        <x:v>Organizasyon ve bağlayıcı boyut sınırı çıktıları</x:v>
      </x:c>
    </x:row>
    <x:row r="699" ht="40" customHeight="1">
      <x:c r="A699" s="6" t="str">
        <x:v>V6</x:v>
      </x:c>
      <x:c r="B699" s="6" t="str">
        <x:v>EXC-K03/S02</x:v>
      </x:c>
      <x:c r="C699" s="6" t="str">
        <x:v>EXC-011</x:v>
      </x:c>
      <x:c r="D699" s="6" t="str">
        <x:v>Birleştirildi</x:v>
      </x:c>
      <x:c r="E699" s="6" t="str">
        <x:v>Aynı kontrol amacı korunarak tek soruya veya bileşen testlerine bağlandı; eski ölçütteki kurum varsayımları CIS kabul değeri değildir.</x:v>
      </x:c>
      <x:c r="F699" s="6" t="str">
        <x:v>Send/receive connector timeout çıktıları</x:v>
      </x:c>
    </x:row>
    <x:row r="700" ht="40" customHeight="1">
      <x:c r="A700" s="6" t="str">
        <x:v>V6</x:v>
      </x:c>
      <x:c r="B700" s="6" t="str">
        <x:v>EXC-K03/S03</x:v>
      </x:c>
      <x:c r="C700" s="6" t="str">
        <x:v>EXC-007</x:v>
      </x:c>
      <x:c r="D700" s="6" t="str">
        <x:v>Birleştirildi</x:v>
      </x:c>
      <x:c r="E700" s="6" t="str">
        <x:v>Aynı kontrol amacı korunarak tek soruya veya bileşen testlerine bağlandı; eski ölçütteki kurum varsayımları CIS kabul değeri değildir.</x:v>
      </x:c>
      <x:c r="F700" s="6" t="str">
        <x:v>Pickup directory yapılandırma çıktısı; dizin erişim yetkileri</x:v>
      </x:c>
    </x:row>
    <x:row r="701" ht="40" customHeight="1">
      <x:c r="A701" s="6" t="str">
        <x:v>V6</x:v>
      </x:c>
      <x:c r="B701" s="6" t="str">
        <x:v>EXC-K03/S04</x:v>
      </x:c>
      <x:c r="C701" s="6" t="str">
        <x:v>EXC-008</x:v>
      </x:c>
      <x:c r="D701" s="6" t="str">
        <x:v>Birleştirildi</x:v>
      </x:c>
      <x:c r="E701" s="6" t="str">
        <x:v>Aynı kontrol amacı korunarak tek soruya veya bileşen testlerine bağlandı; eski ölçütteki kurum varsayımları CIS kabul değeri değildir.</x:v>
      </x:c>
      <x:c r="F701" s="6" t="str">
        <x:v>Mailbox quota ayar çıktıları; kota aşımı raporu</x:v>
      </x:c>
    </x:row>
    <x:row r="702" ht="40" customHeight="1">
      <x:c r="A702" s="6" t="str">
        <x:v>V6</x:v>
      </x:c>
      <x:c r="B702" s="6" t="str">
        <x:v>EXC-K04/S01</x:v>
      </x:c>
      <x:c r="C702" s="6" t="str">
        <x:v>EXC-012</x:v>
      </x:c>
      <x:c r="D702" s="6" t="str">
        <x:v>Birleştirildi</x:v>
      </x:c>
      <x:c r="E702" s="6" t="str">
        <x:v>Kısmi değiştirme: boş gönderici/S-MIME/alfanümerik çelişkileri veya geniş MAPI/connector iddiası çıkarıldı; yalnız hedef sorudaki doğrulanmış kapsam korunur.</x:v>
      </x:c>
      <x:c r="F702" s="6" t="str">
        <x:v>Send connector kimlik doğrulama ve DNS routing ayar çıktıları</x:v>
      </x:c>
    </x:row>
    <x:row r="703" ht="40" customHeight="1">
      <x:c r="A703" s="6" t="str">
        <x:v>V6</x:v>
      </x:c>
      <x:c r="B703" s="6" t="str">
        <x:v>EXC-K04/S02</x:v>
      </x:c>
      <x:c r="C703" s="6" t="str"/>
      <x:c r="D703" s="6" t="str">
        <x:v>Doğrulama bekliyor</x:v>
      </x:c>
      <x:c r="E703" s="6" t="str">
        <x:v>Connector TLS/kimlik ölçütü bağımsız rol ve üretici doğrulaması olmadan eklenmedi; CIS-EXC açık konularına bakınız.</x:v>
      </x:c>
      <x:c r="F703" s="6" t="str">
        <x:v>IgnoreStartTLS ayarı ve receive connector TLS ayar çıktıları; hassas alan adları için TLS zorlama listesi</x:v>
      </x:c>
    </x:row>
    <x:row r="704" ht="40" customHeight="1">
      <x:c r="A704" s="6" t="str">
        <x:v>V6</x:v>
      </x:c>
      <x:c r="B704" s="6" t="str">
        <x:v>EXC-K04/S03</x:v>
      </x:c>
      <x:c r="C704" s="6" t="str">
        <x:v>EXC-017</x:v>
      </x:c>
      <x:c r="D704" s="6" t="str">
        <x:v>Birleştirildi</x:v>
      </x:c>
      <x:c r="E704" s="6" t="str">
        <x:v>Aynı kontrol amacı korunarak tek soruya veya bileşen testlerine bağlandı; eski ölçütteki kurum varsayımları CIS kabul değeri değildir.</x:v>
      </x:c>
      <x:c r="F704" s="6" t="str">
        <x:v>SMTP banner çıktısı (dış ağdan alınmış)</x:v>
      </x:c>
    </x:row>
    <x:row r="705" ht="40" customHeight="1">
      <x:c r="A705" s="6" t="str">
        <x:v>V6</x:v>
      </x:c>
      <x:c r="B705" s="6" t="str">
        <x:v>EXC-K05/S01</x:v>
      </x:c>
      <x:c r="C705" s="6" t="str">
        <x:v>EXC-009</x:v>
      </x:c>
      <x:c r="D705" s="6" t="str">
        <x:v>Birleştirildi</x:v>
      </x:c>
      <x:c r="E705" s="6" t="str">
        <x:v>Aynı kontrol amacı korunarak tek soruya veya bileşen testlerine bağlandı; eski ölçütteki kurum varsayımları CIS kabul değeri değildir.</x:v>
      </x:c>
      <x:c r="F705" s="6" t="str">
        <x:v>Deleted item retention ayar çıktısı; kurum saklama politikası</x:v>
      </x:c>
    </x:row>
    <x:row r="706" ht="40" customHeight="1">
      <x:c r="A706" s="6" t="str">
        <x:v>V6</x:v>
      </x:c>
      <x:c r="B706" s="6" t="str">
        <x:v>EXC-K05/S02</x:v>
      </x:c>
      <x:c r="C706" s="6" t="str">
        <x:v>EXC-009</x:v>
      </x:c>
      <x:c r="D706" s="6" t="str">
        <x:v>Birleştirildi</x:v>
      </x:c>
      <x:c r="E706" s="6" t="str">
        <x:v>Aynı kontrol amacı korunarak tek soruya veya bileşen testlerine bağlandı; eski ölçütteki kurum varsayımları CIS kabul değeri değildir.</x:v>
      </x:c>
      <x:c r="F706" s="6" t="str">
        <x:v>Mailbox retention ayar çıktısı; ayrılan personel posta kutusu işlem kaydı</x:v>
      </x:c>
    </x:row>
    <x:row r="707" ht="40" customHeight="1">
      <x:c r="A707" s="6" t="str">
        <x:v>V6</x:v>
      </x:c>
      <x:c r="B707" s="6" t="str">
        <x:v>EXC-K05/S03</x:v>
      </x:c>
      <x:c r="C707" s="6" t="str">
        <x:v>GNL-18-01</x:v>
      </x:c>
      <x:c r="D707" s="6" t="str">
        <x:v>Birleştirildi</x:v>
      </x:c>
      <x:c r="E707" s="6" t="str">
        <x:v>Aynı kontrol amacı korunarak tek soruya veya bileşen testlerine bağlandı; eski ölçütteki kurum varsayımları CIS kabul değeri değildir.</x:v>
      </x:c>
      <x:c r="F707" s="6" t="str">
        <x:v>Yasal saklama (litigation hold) kapsamındaki posta kutusu listesi; imha işlem kaydı</x:v>
      </x:c>
    </x:row>
    <x:row r="708" ht="40" customHeight="1">
      <x:c r="A708" s="6" t="str">
        <x:v>V6</x:v>
      </x:c>
      <x:c r="B708" s="6" t="str">
        <x:v>EXC-K06/S01</x:v>
      </x:c>
      <x:c r="C708" s="6" t="str">
        <x:v>EXC-013</x:v>
      </x:c>
      <x:c r="D708" s="6" t="str">
        <x:v>Birleştirildi</x:v>
      </x:c>
      <x:c r="E708" s="6" t="str">
        <x:v>Aynı kontrol amacı korunarak tek soruya veya bileşen testlerine bağlandı; eski ölçütteki kurum varsayımları CIS kabul değeri değildir.</x:v>
      </x:c>
      <x:c r="F708" s="6" t="str">
        <x:v>Remote domain otomatik yönlendirme ayar çıktısı; yönlendirme kuralı taraması</x:v>
      </x:c>
    </x:row>
    <x:row r="709" ht="40" customHeight="1">
      <x:c r="A709" s="6" t="str">
        <x:v>V6</x:v>
      </x:c>
      <x:c r="B709" s="6" t="str">
        <x:v>EXC-K06/S02</x:v>
      </x:c>
      <x:c r="C709" s="6" t="str">
        <x:v>EXC-013</x:v>
      </x:c>
      <x:c r="D709" s="6" t="str">
        <x:v>Birleştirildi</x:v>
      </x:c>
      <x:c r="E709" s="6" t="str">
        <x:v>Aynı kontrol amacı korunarak tek soruya veya bileşen testlerine bağlandı; eski ölçütteki kurum varsayımları CIS kabul değeri değildir.</x:v>
      </x:c>
      <x:c r="F709" s="6" t="str">
        <x:v>Otomatik yanıt ve OOF ayar çıktıları</x:v>
      </x:c>
    </x:row>
    <x:row r="710" ht="40" customHeight="1">
      <x:c r="A710" s="6" t="str">
        <x:v>V6</x:v>
      </x:c>
      <x:c r="B710" s="6" t="str">
        <x:v>EXC-K06/S03</x:v>
      </x:c>
      <x:c r="C710" s="6" t="str">
        <x:v>EXC-013</x:v>
      </x:c>
      <x:c r="D710" s="6" t="str">
        <x:v>Birleştirildi</x:v>
      </x:c>
      <x:c r="E710" s="6" t="str">
        <x:v>Aynı kontrol amacı korunarak tek soruya veya bileşen testlerine bağlandı; eski ölçütteki kurum varsayımları CIS kabul değeri değildir.</x:v>
      </x:c>
      <x:c r="F710" s="6" t="str">
        <x:v>NDR ayar çıktısı; backscatter izleme kaydı</x:v>
      </x:c>
    </x:row>
    <x:row r="711" ht="40" customHeight="1">
      <x:c r="A711" s="6" t="str">
        <x:v>V6</x:v>
      </x:c>
      <x:c r="B711" s="6" t="str">
        <x:v>EXC-K07/S01</x:v>
      </x:c>
      <x:c r="C711" s="6" t="str">
        <x:v>EXC-014</x:v>
      </x:c>
      <x:c r="D711" s="6" t="str">
        <x:v>Birleştirildi</x:v>
      </x:c>
      <x:c r="E711" s="6" t="str">
        <x:v>Kısmi değiştirme: boş gönderici/S-MIME/alfanümerik çelişkileri veya geniş MAPI/connector iddiası çıkarıldı; yalnız hedef sorudaki doğrulanmış kapsam korunur.</x:v>
      </x:c>
      <x:c r="F711" s="6" t="str">
        <x:v>MAPI encryption ayar çıktısı; istemci bağlantı raporu</x:v>
      </x:c>
    </x:row>
    <x:row r="712" ht="40" customHeight="1">
      <x:c r="A712" s="6" t="str">
        <x:v>V6</x:v>
      </x:c>
      <x:c r="B712" s="6" t="str">
        <x:v>EXC-K07/S02</x:v>
      </x:c>
      <x:c r="C712" s="6" t="str">
        <x:v>EXC-015</x:v>
      </x:c>
      <x:c r="D712" s="6" t="str">
        <x:v>Birleştirildi</x:v>
      </x:c>
      <x:c r="E712" s="6" t="str">
        <x:v>Aynı kontrol amacı korunarak tek soruya veya bileşen testlerine bağlandı; eski ölçütteki kurum varsayımları CIS kabul değeri değildir.</x:v>
      </x:c>
      <x:c r="F712" s="6" t="str">
        <x:v>POP3/IMAP4 Windows servis durum çıktıları; kullanım ihtiyacı değerlendirmesi</x:v>
      </x:c>
    </x:row>
    <x:row r="713" ht="40" customHeight="1">
      <x:c r="A713" s="6" t="str">
        <x:v>V6</x:v>
      </x:c>
      <x:c r="B713" s="6" t="str">
        <x:v>EXC-K07/S03</x:v>
      </x:c>
      <x:c r="C713" s="6" t="str">
        <x:v>EXC-016</x:v>
      </x:c>
      <x:c r="D713" s="6" t="str">
        <x:v>Birleştirildi</x:v>
      </x:c>
      <x:c r="E713" s="6" t="str">
        <x:v>Kısmi değiştirme: boş gönderici/S-MIME/alfanümerik çelişkileri veya geniş MAPI/connector iddiası çıkarıldı; yalnız hedef sorudaki doğrulanmış kapsam korunur.</x:v>
      </x:c>
      <x:c r="F713" s="6" t="str">
        <x:v>S/MIME ayar çıktısı; müşteri deneyimi raporlama ayarı</x:v>
      </x:c>
    </x:row>
    <x:row r="714" ht="40" customHeight="1">
      <x:c r="A714" s="6" t="str">
        <x:v>V6</x:v>
      </x:c>
      <x:c r="B714" s="6" t="str">
        <x:v>EXC-K08/S01</x:v>
      </x:c>
      <x:c r="C714" s="6" t="str">
        <x:v>EXC-018</x:v>
      </x:c>
      <x:c r="D714" s="6" t="str">
        <x:v>Birleştirildi</x:v>
      </x:c>
      <x:c r="E714" s="6" t="str">
        <x:v>Kısmi değiştirme: boş gönderici/S-MIME/alfanümerik çelişkileri veya geniş MAPI/connector iddiası çıkarıldı; yalnız hedef sorudaki doğrulanmış kapsam korunur.</x:v>
      </x:c>
      <x:c r="F714" s="6" t="str">
        <x:v>Mobile device mailbox policy çıktısı; politikaya bağlı cihaz sayısı</x:v>
      </x:c>
    </x:row>
    <x:row r="715" ht="40" customHeight="1">
      <x:c r="A715" s="6" t="str">
        <x:v>V6</x:v>
      </x:c>
      <x:c r="B715" s="6" t="str">
        <x:v>EXC-K08/S02</x:v>
      </x:c>
      <x:c r="C715" s="6" t="str">
        <x:v>EXC-018
EXC-020</x:v>
      </x:c>
      <x:c r="D715" s="6" t="str">
        <x:v>Birleştirildi</x:v>
      </x:c>
      <x:c r="E715" s="6" t="str">
        <x:v>Aynı kontrol amacı korunarak tek soruya veya bileşen testlerine bağlandı; eski ölçütteki kurum varsayımları CIS kabul değeri değildir.</x:v>
      </x:c>
      <x:c r="F715" s="6" t="str">
        <x:v>Parola geçmişi, deneme sayısı, süre sonu ve yenileme aralığı ayar çıktıları</x:v>
      </x:c>
    </x:row>
    <x:row r="716" ht="40" customHeight="1">
      <x:c r="A716" s="6" t="str">
        <x:v>V6</x:v>
      </x:c>
      <x:c r="B716" s="6" t="str">
        <x:v>EXC-K08/S03</x:v>
      </x:c>
      <x:c r="C716" s="6" t="str">
        <x:v>EXC-019</x:v>
      </x:c>
      <x:c r="D716" s="6" t="str">
        <x:v>Birleştirildi</x:v>
      </x:c>
      <x:c r="E716" s="6" t="str">
        <x:v>Aynı kontrol amacı korunarak tek soruya veya bileşen testlerine bağlandı; eski ölçütteki kurum varsayımları CIS kabul değeri değildir.</x:v>
      </x:c>
      <x:c r="F716" s="6" t="str">
        <x:v>Require device encryption ayar çıktısı; uyumsuz cihaz raporu</x:v>
      </x:c>
    </x:row>
    <x:row r="717" ht="40" customHeight="1">
      <x:c r="A717" s="6" t="str">
        <x:v>V6</x:v>
      </x:c>
      <x:c r="B717" s="6" t="str">
        <x:v>EXC-K08/S04</x:v>
      </x:c>
      <x:c r="C717" s="6" t="str">
        <x:v>EXC-019</x:v>
      </x:c>
      <x:c r="D717" s="6" t="str">
        <x:v>Birleştirildi</x:v>
      </x:c>
      <x:c r="E717" s="6" t="str">
        <x:v>Aynı kontrol amacı korunarak tek soruya veya bileşen testlerine bağlandı; eski ölçütteki kurum varsayımları CIS kabul değeri değildir.</x:v>
      </x:c>
      <x:c r="F717" s="6" t="str">
        <x:v>Yönetilmeyen cihaz erişim ayarı; karantinadaki cihaz listesi ve işlem kaydı</x:v>
      </x:c>
    </x:row>
    <x:row r="718" ht="40" customHeight="1">
      <x:c r="A718" s="6" t="str">
        <x:v>V6</x:v>
      </x:c>
      <x:c r="B718" s="6" t="str">
        <x:v>EXC-K09/S01</x:v>
      </x:c>
      <x:c r="C718" s="6" t="str">
        <x:v>EXC-022</x:v>
      </x:c>
      <x:c r="D718" s="6" t="str">
        <x:v>Birleştirildi</x:v>
      </x:c>
      <x:c r="E718" s="6" t="str">
        <x:v>Aynı kontrol amacı korunarak tek soruya veya bileşen testlerine bağlandı; eski ölçütteki kurum varsayımları CIS kabul değeri değildir.</x:v>
      </x:c>
      <x:c r="F718" s="6" t="str">
        <x:v>Receive/send connector protocol logging ayar çıktıları; örnek kayıt satırları</x:v>
      </x:c>
    </x:row>
    <x:row r="719" ht="40" customHeight="1">
      <x:c r="A719" s="6" t="str">
        <x:v>V6</x:v>
      </x:c>
      <x:c r="B719" s="6" t="str">
        <x:v>EXC-K09/S02</x:v>
      </x:c>
      <x:c r="C719" s="6" t="str">
        <x:v>EXC-023</x:v>
      </x:c>
      <x:c r="D719" s="6" t="str">
        <x:v>Birleştirildi</x:v>
      </x:c>
      <x:c r="E719" s="6" t="str">
        <x:v>Aynı kontrol amacı korunarak tek soruya veya bileşen testlerine bağlandı; eski ölçütteki kurum varsayımları CIS kabul değeri değildir.</x:v>
      </x:c>
      <x:c r="F719" s="6" t="str">
        <x:v>Admin audit log yapılandırması; saklama süresi ve erişim yetkisi listesi</x:v>
      </x:c>
    </x:row>
    <x:row r="720" ht="40" customHeight="1">
      <x:c r="A720" s="6" t="str">
        <x:v>V6</x:v>
      </x:c>
      <x:c r="B720" s="6" t="str">
        <x:v>EXC-K09/S03</x:v>
      </x:c>
      <x:c r="C720" s="6" t="str">
        <x:v>EXC-022</x:v>
      </x:c>
      <x:c r="D720" s="6" t="str">
        <x:v>Birleştirildi</x:v>
      </x:c>
      <x:c r="E720" s="6" t="str">
        <x:v>Aynı kontrol amacı korunarak tek soruya veya bileşen testlerine bağlandı; eski ölçütteki kurum varsayımları CIS kabul değeri değildir.</x:v>
      </x:c>
      <x:c r="F720" s="6" t="str">
        <x:v>Message tracking ve connectivity logging ayar çıktıları; SIEM kaynak tanımı</x:v>
      </x:c>
    </x:row>
    <x:row r="721" ht="40" customHeight="1">
      <x:c r="A721" s="6" t="str">
        <x:v>V6</x:v>
      </x:c>
      <x:c r="B721" s="6" t="str">
        <x:v>ADS-K01/S01</x:v>
      </x:c>
      <x:c r="C721" s="6" t="str">
        <x:v>ADS-V01-01</x:v>
      </x:c>
      <x:c r="D721" s="6" t="str">
        <x:v>Eklendi</x:v>
      </x:c>
      <x:c r="E721" s="6" t="str">
        <x:v>Aynı kontrol amacı korunarak tek soruya veya bileşen testlerine bağlandı; eski ölçütteki kurum varsayımları CIS kabul değeri değildir.</x:v>
      </x:c>
      <x:c r="F721" s="6" t="str">
        <x:v>Dizin topolojisi dokümanı; güven ilişkisi listesi ve son güncelleme tarihi</x:v>
      </x:c>
    </x:row>
    <x:row r="722" ht="40" customHeight="1">
      <x:c r="A722" s="6" t="str">
        <x:v>V6</x:v>
      </x:c>
      <x:c r="B722" s="6" t="str">
        <x:v>ADS-K01/S02</x:v>
      </x:c>
      <x:c r="C722" s="6" t="str">
        <x:v>ADS-V01-02</x:v>
      </x:c>
      <x:c r="D722" s="6" t="str">
        <x:v>Eklendi</x:v>
      </x:c>
      <x:c r="E722" s="6" t="str">
        <x:v>Aynı kontrol amacı korunarak tek soruya veya bileşen testlerine bağlandı; eski ölçütteki kurum varsayımları CIS kabul değeri değildir.</x:v>
      </x:c>
      <x:c r="F722" s="6" t="str">
        <x:v>FSMO rol sahipliği çıktısı; rol devir ve acil durum (seize) prosedürü</x:v>
      </x:c>
    </x:row>
    <x:row r="723" ht="40" customHeight="1">
      <x:c r="A723" s="6" t="str">
        <x:v>V6</x:v>
      </x:c>
      <x:c r="B723" s="6" t="str">
        <x:v>ADS-K01/S03</x:v>
      </x:c>
      <x:c r="C723" s="6" t="str">
        <x:v>ADS-V01-03</x:v>
      </x:c>
      <x:c r="D723" s="6" t="str">
        <x:v>Eklendi</x:v>
      </x:c>
      <x:c r="E723" s="6" t="str">
        <x:v>Aynı kontrol amacı korunarak tek soruya veya bileşen testlerine bağlandı; eski ölçütteki kurum varsayımları CIS kabul değeri değildir.</x:v>
      </x:c>
      <x:c r="F723" s="6" t="str">
        <x:v>DC envanteri; çoğaltma sağlık raporu; RODC parola çoğaltma politikası</x:v>
      </x:c>
    </x:row>
    <x:row r="724" ht="40" customHeight="1">
      <x:c r="A724" s="6" t="str">
        <x:v>V6</x:v>
      </x:c>
      <x:c r="B724" s="6" t="str">
        <x:v>ADS-K02/S01</x:v>
      </x:c>
      <x:c r="C724" s="6" t="str">
        <x:v>ADS-V02-01</x:v>
      </x:c>
      <x:c r="D724" s="6" t="str">
        <x:v>Eklendi</x:v>
      </x:c>
      <x:c r="E724" s="6" t="str">
        <x:v>Aynı kontrol amacı korunarak tek soruya veya bileşen testlerine bağlandı; eski ölçütteki kurum varsayımları CIS kabul değeri değildir.</x:v>
      </x:c>
      <x:c r="F724" s="6" t="str">
        <x:v>OU ağacı çıktısı; adlandırma standardı; kullanıcı/bilgisayar nesnelerinin varsayılan konteynerde kalmadığının kanıtı</x:v>
      </x:c>
    </x:row>
    <x:row r="725" ht="40" customHeight="1">
      <x:c r="A725" s="6" t="str">
        <x:v>V6</x:v>
      </x:c>
      <x:c r="B725" s="6" t="str">
        <x:v>ADS-K02/S02</x:v>
      </x:c>
      <x:c r="C725" s="6" t="str">
        <x:v>ADS-V02-02</x:v>
      </x:c>
      <x:c r="D725" s="6" t="str">
        <x:v>Eklendi</x:v>
      </x:c>
      <x:c r="E725" s="6" t="str">
        <x:v>Aynı kontrol amacı korunarak tek soruya veya bileşen testlerine bağlandı; eski ölçütteki kurum varsayımları CIS kabul değeri değildir.</x:v>
      </x:c>
      <x:c r="F725" s="6" t="str">
        <x:v>Ayrıcalıklı grup üyelik çıktısı; üyelik değişikliği alarm kaydı</x:v>
      </x:c>
    </x:row>
    <x:row r="726" ht="40" customHeight="1">
      <x:c r="A726" s="6" t="str">
        <x:v>V6</x:v>
      </x:c>
      <x:c r="B726" s="6" t="str">
        <x:v>ADS-K02/S03</x:v>
      </x:c>
      <x:c r="C726" s="6" t="str">
        <x:v>ADS-V02-03</x:v>
      </x:c>
      <x:c r="D726" s="6" t="str">
        <x:v>Eklendi</x:v>
      </x:c>
      <x:c r="E726" s="6" t="str">
        <x:v>Aynı kontrol amacı korunarak tek soruya veya bileşen testlerine bağlandı; eski ölçütteki kurum varsayımları CIS kabul değeri değildir.</x:v>
      </x:c>
      <x:c r="F726" s="6" t="str">
        <x:v>Delegation raporu; son gözden geçirme kaydı</x:v>
      </x:c>
    </x:row>
    <x:row r="727" ht="40" customHeight="1">
      <x:c r="A727" s="6" t="str">
        <x:v>V6</x:v>
      </x:c>
      <x:c r="B727" s="6" t="str">
        <x:v>ADS-K03/S01</x:v>
      </x:c>
      <x:c r="C727" s="6" t="str">
        <x:v>ADS-V03-01</x:v>
      </x:c>
      <x:c r="D727" s="6" t="str">
        <x:v>Eklendi</x:v>
      </x:c>
      <x:c r="E727" s="6" t="str">
        <x:v>Aynı kontrol amacı korunarak tek soruya veya bileşen testlerine bağlandı; eski ölçütteki kurum varsayımları CIS kabul değeri değildir.</x:v>
      </x:c>
      <x:c r="F727" s="6" t="str">
        <x:v>GPO değişiklik talep ve onay kayıtları; GPO sürüm/değişiklik raporu</x:v>
      </x:c>
    </x:row>
    <x:row r="728" ht="40" customHeight="1">
      <x:c r="A728" s="6" t="str">
        <x:v>V6</x:v>
      </x:c>
      <x:c r="B728" s="6" t="str">
        <x:v>ADS-K03/S02</x:v>
      </x:c>
      <x:c r="C728" s="6" t="str">
        <x:v>ADS-V03-02</x:v>
      </x:c>
      <x:c r="D728" s="6" t="str">
        <x:v>Eklendi</x:v>
      </x:c>
      <x:c r="E728" s="6" t="str">
        <x:v>Aynı kontrol amacı korunarak tek soruya veya bileşen testlerine bağlandı; eski ölçütteki kurum varsayımları CIS kabul değeri değildir.</x:v>
      </x:c>
      <x:c r="F728" s="6" t="str">
        <x:v>GPO yedekleme iş kaydı; yedek konumu ve erişim yetkileri</x:v>
      </x:c>
    </x:row>
    <x:row r="729" ht="40" customHeight="1">
      <x:c r="A729" s="6" t="str">
        <x:v>V6</x:v>
      </x:c>
      <x:c r="B729" s="6" t="str">
        <x:v>ADS-K03/S03</x:v>
      </x:c>
      <x:c r="C729" s="6" t="str">
        <x:v>ADS-V03-02</x:v>
      </x:c>
      <x:c r="D729" s="6" t="str">
        <x:v>Birleştirildi</x:v>
      </x:c>
      <x:c r="E729" s="6" t="str">
        <x:v>Aynı kontrol amacı korunarak tek soruya veya bileşen testlerine bağlandı; eski ölçütteki kurum varsayımları CIS kabul değeri değildir.</x:v>
      </x:c>
      <x:c r="F729" s="6" t="str">
        <x:v>Geri yükleme testi kaydı; test edilen GPO listesi ve sonuç</x:v>
      </x:c>
    </x:row>
    <x:row r="730" ht="40" customHeight="1">
      <x:c r="A730" s="6" t="str">
        <x:v>V6</x:v>
      </x:c>
      <x:c r="B730" s="6" t="str">
        <x:v>ADS-K04/S01</x:v>
      </x:c>
      <x:c r="C730" s="6" t="str">
        <x:v>ADS-V04-01</x:v>
      </x:c>
      <x:c r="D730" s="6" t="str">
        <x:v>Eklendi</x:v>
      </x:c>
      <x:c r="E730" s="6" t="str">
        <x:v>Aynı kontrol amacı korunarak tek soruya veya bileşen testlerine bağlandı; eski ölçütteki kurum varsayımları CIS kabul değeri değildir.</x:v>
      </x:c>
      <x:c r="F730" s="6" t="str">
        <x:v>GPO bağlantı ve öncelik raporu; enforced/blocked bağlantı listesi ve gerekçeleri</x:v>
      </x:c>
    </x:row>
    <x:row r="731" ht="40" customHeight="1">
      <x:c r="A731" s="6" t="str">
        <x:v>V6</x:v>
      </x:c>
      <x:c r="B731" s="6" t="str">
        <x:v>ADS-K04/S02</x:v>
      </x:c>
      <x:c r="C731" s="6" t="str">
        <x:v>ADS-V04-01</x:v>
      </x:c>
      <x:c r="D731" s="6" t="str">
        <x:v>Birleştirildi</x:v>
      </x:c>
      <x:c r="E731" s="6" t="str">
        <x:v>Aynı kontrol amacı korunarak tek soruya veya bileşen testlerine bağlandı; eski ölçütteki kurum varsayımları CIS kabul değeri değildir.</x:v>
      </x:c>
      <x:c r="F731" s="6" t="str">
        <x:v>Güvenlik filtreleme ve WMI filtre listesi; sonuç kümesi (RSoP) örnekleri</x:v>
      </x:c>
    </x:row>
    <x:row r="732" ht="40" customHeight="1">
      <x:c r="A732" s="6" t="str">
        <x:v>V6</x:v>
      </x:c>
      <x:c r="B732" s="6" t="str">
        <x:v>ADS-K04/S03</x:v>
      </x:c>
      <x:c r="C732" s="6" t="str">
        <x:v>ADS-V04-03</x:v>
      </x:c>
      <x:c r="D732" s="6" t="str">
        <x:v>Eklendi</x:v>
      </x:c>
      <x:c r="E732" s="6" t="str">
        <x:v>Aynı kontrol amacı korunarak tek soruya veya bileşen testlerine bağlandı; eski ölçütteki kurum varsayımları CIS kabul değeri değildir.</x:v>
      </x:c>
      <x:c r="F732" s="6" t="str">
        <x:v>Varsayılan iki GPO'nun ayar raporu; merkezi şablon deposu (central store) içerik listesi</x:v>
      </x:c>
    </x:row>
  </x:sheetData>
  <x:pageMargins left="0.7" right="0.7" top="0.75" bottom="0.75" header="0.3" footer="0.3"/>
  <x:tableParts count="1">
    <x:tablePart xmlns:r="http://schemas.openxmlformats.org/officeDocument/2006/relationships" r:id="Re6051b67d485469d"/>
  </x:tableParts>
</x:worksheet>
</file>

<file path=xl/worksheets/sheet3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23" hidden="0" customWidth="1"/>
    <x:col min="3" max="3" width="38" hidden="0" customWidth="1"/>
    <x:col min="4" max="4" width="113" hidden="0" customWidth="1"/>
    <x:col min="5" max="5" width="101" hidden="0" customWidth="1"/>
    <x:col min="6" max="6" width="22" hidden="0" customWidth="1"/>
    <x:col min="7" max="7" width="48" hidden="0" customWidth="1"/>
  </x:cols>
  <x:sheetData>
    <x:row r="1">
      <x:c r="A1" s="1"/>
      <x:c r="B1" s="1"/>
      <x:c r="C1" s="1"/>
      <x:c r="D1" s="1"/>
      <x:c r="E1" s="1"/>
      <x:c r="F1" s="1"/>
      <x:c r="G1" s="1"/>
    </x:row>
    <x:row r="2" ht="29" customHeight="1">
      <x:c r="A2" s="2" t="str">
        <x:v>Açık Konular</x:v>
      </x:c>
      <x:c r="B2" s="2"/>
      <x:c r="C2" s="2"/>
      <x:c r="D2" s="2"/>
      <x:c r="E2" s="2"/>
      <x:c r="F2" s="2"/>
      <x:c r="G2" s="2"/>
    </x:row>
    <x:row r="3" ht="8" customHeight="1">
      <x:c r="A3" s="3"/>
      <x:c r="B3" s="3"/>
      <x:c r="C3" s="3"/>
      <x:c r="D3" s="3"/>
      <x:c r="E3" s="3"/>
      <x:c r="F3" s="3"/>
      <x:c r="G3" s="3"/>
    </x:row>
    <x:row r="4" ht="24" customHeight="1">
      <x:c r="A4" s="4" t="str">
        <x:v>Kaynak çelişkileri, dışarıda bırakılan ölçütler ve kurumdan gereken kapsam bilgileri. Gerçek kurum bulgusu değildir.</x:v>
      </x:c>
      <x:c r="B4" s="4"/>
      <x:c r="C4" s="4"/>
      <x:c r="D4" s="4"/>
      <x:c r="E4" s="4"/>
      <x:c r="F4" s="4"/>
      <x:c r="G4" s="4"/>
    </x:row>
    <x:row r="5" ht="36" customHeight="1">
      <x:c r="A5" s="10" t="str">
        <x:v>KayıtID</x:v>
      </x:c>
      <x:c r="B5" s="10" t="str">
        <x:v>Kaynak</x:v>
      </x:c>
      <x:c r="C5" s="10" t="str">
        <x:v>Madde / konu</x:v>
      </x:c>
      <x:c r="D5" s="10" t="str">
        <x:v>Doğrulanan sorun veya sınır</x:v>
      </x:c>
      <x:c r="E5" s="10" t="str">
        <x:v>Tamamlama için gereken</x:v>
      </x:c>
      <x:c r="F5" s="10" t="str">
        <x:v>Takip durumu</x:v>
      </x:c>
      <x:c r="G5" s="10" t="str">
        <x:v>Sorumlu / karar kaydı</x:v>
      </x:c>
    </x:row>
    <x:row r="6" ht="40" customHeight="1">
      <x:c r="A6" s="6" t="str">
        <x:v>AK-001</x:v>
      </x:c>
      <x:c r="B6" s="6" t="str">
        <x:v>CIS-ESX8</x:v>
      </x:c>
      <x:c r="C6" s="6" t="str">
        <x:v>1.9</x:v>
      </x:c>
      <x:c r="D6" s="6" t="str">
        <x:v>Audit AMD-V desteğini gösteriyor; SEV-ES etkinliğini kanıtlamıyor. SEV-ES için sürüme özgü bağımsız üretici doğrulaması olmadan aktif ölçüt yapılmadı.</x:v>
      </x:c>
      <x:c r="E6" s="6" t="str">
        <x:v>İlgili kurulu sürüm için açık ve tutarlı üretici/standart dayanağı ile bağımsız teknik doğrulama; çözülene kadar çıkarılan ölçüt uygulanmaz.</x:v>
      </x:c>
      <x:c r="F6" s="12" t="str">
        <x:v>Açık</x:v>
      </x:c>
      <x:c r="G6" s="12" t="str"/>
    </x:row>
    <x:row r="7" ht="40" customHeight="1">
      <x:c r="A7" s="6" t="str">
        <x:v>AK-002</x:v>
      </x:c>
      <x:c r="B7" s="6" t="str">
        <x:v>CIS-ESX8</x:v>
      </x:c>
      <x:c r="C7" s="6" t="str">
        <x:v>6.5.1</x:v>
      </x:c>
      <x:c r="D7" s="6" t="str">
        <x:v>Algoritma adı tek başına FIPS doğrulanmış modül ve çalışma modu kanıtı değildir. Sürüm/modül sertifika kapsamı doğrulanmadan FIPS uygunluk maddesi eklenmedi.</x:v>
      </x:c>
      <x:c r="E7" s="6" t="str">
        <x:v>İlgili kurulu sürüm için açık ve tutarlı üretici/standart dayanağı ile bağımsız teknik doğrulama; çözülene kadar çıkarılan ölçüt uygulanmaz.</x:v>
      </x:c>
      <x:c r="F7" s="12" t="str">
        <x:v>Açık</x:v>
      </x:c>
      <x:c r="G7" s="12" t="str"/>
    </x:row>
    <x:row r="8" ht="40" customHeight="1">
      <x:c r="A8" s="6" t="str">
        <x:v>AK-003</x:v>
      </x:c>
      <x:c r="B8" s="6" t="str">
        <x:v>CIS-ESX8</x:v>
      </x:c>
      <x:c r="C8" s="6" t="str">
        <x:v>6.5.2</x:v>
      </x:c>
      <x:c r="D8" s="6" t="str">
        <x:v>Platform binarysinin kullanılması FIPS sertifika kapsamını tek başına kanıtlamaz. Kurulu build için modül/sertifika/çalışma modu belgesi gerekir.</x:v>
      </x:c>
      <x:c r="E8" s="6" t="str">
        <x:v>İlgili kurulu sürüm için açık ve tutarlı üretici/standart dayanağı ile bağımsız teknik doğrulama; çözülene kadar çıkarılan ölçüt uygulanmaz.</x:v>
      </x:c>
      <x:c r="F8" s="12" t="str">
        <x:v>Açık</x:v>
      </x:c>
      <x:c r="G8" s="12" t="str"/>
    </x:row>
    <x:row r="9" ht="40" customHeight="1">
      <x:c r="A9" s="6" t="str">
        <x:v>AK-004</x:v>
      </x:c>
      <x:c r="B9" s="6" t="str">
        <x:v>CIS-FGT</x:v>
      </x:c>
      <x:c r="C9" s="6" t="str">
        <x:v>2.1.11</x:v>
      </x:c>
      <x:c r="D9" s="6" t="str">
        <x:v>gui-cdn-usage: kaynak Impact bunu güvenlik kontrolü olarak tanımlamıyor; performans ayarı aktif güvenlik sorusu yapılmadı.</x:v>
      </x:c>
      <x:c r="E9" s="6" t="str">
        <x:v>İlgili kurulu sürüm için açık ve tutarlı üretici/standart dayanağı ile bağımsız teknik doğrulama; çözülene kadar çıkarılan ölçüt uygulanmaz.</x:v>
      </x:c>
      <x:c r="F9" s="12" t="str">
        <x:v>Açık</x:v>
      </x:c>
      <x:c r="G9" s="12" t="str"/>
    </x:row>
    <x:row r="10" ht="40" customHeight="1">
      <x:c r="A10" s="6" t="str">
        <x:v>AK-005</x:v>
      </x:c>
      <x:c r="B10" s="6" t="str">
        <x:v>CIS-FGT</x:v>
      </x:c>
      <x:c r="C10" s="6" t="str">
        <x:v>2.3.4</x:v>
      </x:c>
      <x:c r="D10" s="6" t="str">
        <x:v>Bellek trap eşikleri kaynak açıklamasında ve CLI örneğinde farklı. Sayısal CIS ölçütü doğrulanamadı; izleme amacı ortak kontrollerde korunur.</x:v>
      </x:c>
      <x:c r="E10" s="6" t="str">
        <x:v>İlgili kurulu sürüm için açık ve tutarlı üretici/standart dayanağı ile bağımsız teknik doğrulama; çözülene kadar çıkarılan ölçüt uygulanmaz.</x:v>
      </x:c>
      <x:c r="F10" s="12" t="str">
        <x:v>Açık</x:v>
      </x:c>
      <x:c r="G10" s="12" t="str"/>
    </x:row>
    <x:row r="11" ht="40" customHeight="1">
      <x:c r="A11" s="6" t="str">
        <x:v>AK-006</x:v>
      </x:c>
      <x:c r="B11" s="6" t="str">
        <x:v>CIS-FGT</x:v>
      </x:c>
      <x:c r="C11" s="6" t="str">
        <x:v>3.2</x:v>
      </x:c>
      <x:c r="D11" s="6" t="str">
        <x:v>Tüm kurallarda ALL servisini yasaklayan metin, 3.3 içindeki deny ALL örneğiyle çelişiyor. İzin kurallarının en az yetki denetimi NIST AC-4/SC-7 ile ayrı korunur; literal CIS sonucu üretilmez.</x:v>
      </x:c>
      <x:c r="E11" s="6" t="str">
        <x:v>İlgili kurulu sürüm için açık ve tutarlı üretici/standart dayanağı ile bağımsız teknik doğrulama; çözülene kadar çıkarılan ölçüt uygulanmaz.</x:v>
      </x:c>
      <x:c r="F11" s="12" t="str">
        <x:v>Açık</x:v>
      </x:c>
      <x:c r="G11" s="12" t="str"/>
    </x:row>
    <x:row r="12" ht="40" customHeight="1">
      <x:c r="A12" s="6" t="str">
        <x:v>AK-007</x:v>
      </x:c>
      <x:c r="B12" s="6" t="str">
        <x:v>CIS-EXC</x:v>
      </x:c>
      <x:c r="C12" s="6" t="str">
        <x:v>1.4</x:v>
      </x:c>
      <x:c r="D12" s="6" t="str">
        <x:v>BlankSenderBlockingEnabled=true/null sender ret ölçütü için meşru DSN etkisi ve rol gereksinimi bağımsız doğrulanamadı. Genel zorunlu ret sorusuna çevrilmedi.</x:v>
      </x:c>
      <x:c r="E12" s="6" t="str">
        <x:v>İlgili kurulu sürüm için açık ve tutarlı üretici/standart dayanağı ile bağımsız teknik doğrulama; çözülene kadar çıkarılan ölçüt uygulanmaz.</x:v>
      </x:c>
      <x:c r="F12" s="12" t="str">
        <x:v>Açık</x:v>
      </x:c>
      <x:c r="G12" s="12" t="str"/>
    </x:row>
    <x:row r="13" ht="40" customHeight="1">
      <x:c r="A13" s="6" t="str">
        <x:v>AK-008</x:v>
      </x:c>
      <x:c r="B13" s="6" t="str">
        <x:v>CIS-EXC</x:v>
      </x:c>
      <x:c r="C13" s="6" t="str">
        <x:v>1.12</x:v>
      </x:c>
      <x:c r="D13" s="6" t="str">
        <x:v>İnternet ReceiveConnector AuthMechanism listesi 2.4.3 ile rol bazında uzlaştırılmadan tüm connectorlara uygulanamaz; kaynak Impact BasicAuthRequireTLS davranışıyla da çelişiyor.</x:v>
      </x:c>
      <x:c r="E13" s="6" t="str">
        <x:v>İlgili kurulu sürüm için açık ve tutarlı üretici/standart dayanağı ile bağımsız teknik doğrulama; çözülene kadar çıkarılan ölçüt uygulanmaz.</x:v>
      </x:c>
      <x:c r="F13" s="12" t="str">
        <x:v>Açık</x:v>
      </x:c>
      <x:c r="G13" s="12" t="str"/>
    </x:row>
    <x:row r="14" ht="40" customHeight="1">
      <x:c r="A14" s="6" t="str">
        <x:v>AK-009</x:v>
      </x:c>
      <x:c r="B14" s="6" t="str">
        <x:v>CIS-EXC</x:v>
      </x:c>
      <x:c r="C14" s="6" t="str">
        <x:v>2.2.9</x:v>
      </x:c>
      <x:c r="D14" s="6" t="str">
        <x:v>IgnoreSTARTTLS=false tek başına zorunlu TLS kanıtı değildir; kaynak anlatımı ve gerçek partner TLS gereksinimi doğrulanmadan yeterli ölçüt yapılmadı.</x:v>
      </x:c>
      <x:c r="E14" s="6" t="str">
        <x:v>İlgili kurulu sürüm için açık ve tutarlı üretici/standart dayanağı ile bağımsız teknik doğrulama; çözülene kadar çıkarılan ölçüt uygulanmaz.</x:v>
      </x:c>
      <x:c r="F14" s="12" t="str">
        <x:v>Açık</x:v>
      </x:c>
      <x:c r="G14" s="12" t="str"/>
    </x:row>
    <x:row r="15" ht="40" customHeight="1">
      <x:c r="A15" s="6" t="str">
        <x:v>AK-010</x:v>
      </x:c>
      <x:c r="B15" s="6" t="str">
        <x:v>CIS-EXC</x:v>
      </x:c>
      <x:c r="C15" s="6" t="str">
        <x:v>2.2.10</x:v>
      </x:c>
      <x:c r="D15" s="6" t="str">
        <x:v>DomainSecureEnabled=true yalnız karşılıklı TLS partner tasarımıyla anlamlıdır; tüm send connectorlara zorunlu uygulanması doğrulanamadı.</x:v>
      </x:c>
      <x:c r="E15" s="6" t="str">
        <x:v>İlgili kurulu sürüm için açık ve tutarlı üretici/standart dayanağı ile bağımsız teknik doğrulama; çözülene kadar çıkarılan ölçüt uygulanmaz.</x:v>
      </x:c>
      <x:c r="F15" s="12" t="str">
        <x:v>Açık</x:v>
      </x:c>
      <x:c r="G15" s="12" t="str"/>
    </x:row>
    <x:row r="16" ht="40" customHeight="1">
      <x:c r="A16" s="6" t="str">
        <x:v>AK-011</x:v>
      </x:c>
      <x:c r="B16" s="6" t="str">
        <x:v>CIS-EXC</x:v>
      </x:c>
      <x:c r="C16" s="6" t="str">
        <x:v>2.3.5</x:v>
      </x:c>
      <x:c r="D16" s="6" t="str">
        <x:v>SMimeEnabled, Microsoft Set-OwaVirtualDirectory belgesine göre yalnız Exchange 2010’da işlevsel. Exchange 2019 CIS ölçütü aktif setten çıkarıldı; EXC-OWA kaynağı.</x:v>
      </x:c>
      <x:c r="E16" s="6" t="str">
        <x:v>İlgili kurulu sürüm için açık ve tutarlı üretici/standart dayanağı ile bağımsız teknik doğrulama; çözülene kadar çıkarılan ölçüt uygulanmaz.</x:v>
      </x:c>
      <x:c r="F16" s="12" t="str">
        <x:v>Açık</x:v>
      </x:c>
      <x:c r="G16" s="12" t="str"/>
    </x:row>
    <x:row r="17" ht="40" customHeight="1">
      <x:c r="A17" s="6" t="str">
        <x:v>AK-012</x:v>
      </x:c>
      <x:c r="B17" s="6" t="str">
        <x:v>CIS-EXC</x:v>
      </x:c>
      <x:c r="C17" s="6" t="str">
        <x:v>2.4.3</x:v>
      </x:c>
      <x:c r="D17" s="6" t="str">
        <x:v>Receive AuthMechanism=Tls tek başına her connector rolü için doğru kabul edilemez; 1.12 ile rol bazlı kaynak çatışması açık.</x:v>
      </x:c>
      <x:c r="E17" s="6" t="str">
        <x:v>İlgili kurulu sürüm için açık ve tutarlı üretici/standart dayanağı ile bağımsız teknik doğrulama; çözülene kadar çıkarılan ölçüt uygulanmaz.</x:v>
      </x:c>
      <x:c r="F17" s="12" t="str">
        <x:v>Açık</x:v>
      </x:c>
      <x:c r="G17" s="12" t="str"/>
    </x:row>
    <x:row r="18" ht="40" customHeight="1">
      <x:c r="A18" s="6" t="str">
        <x:v>AK-013</x:v>
      </x:c>
      <x:c r="B18" s="6" t="str">
        <x:v>CIS-EXC</x:v>
      </x:c>
      <x:c r="C18" s="6" t="str">
        <x:v>3.8</x:v>
      </x:c>
      <x:c r="D18" s="6" t="str">
        <x:v>AlphanumericPasswordRequired başlığı True, Audit beklenen değeri False diyor; tek anlamlı CIS sonucu üretilemedi.</x:v>
      </x:c>
      <x:c r="E18" s="6" t="str">
        <x:v>İlgili kurulu sürüm için açık ve tutarlı üretici/standart dayanağı ile bağımsız teknik doğrulama; çözülene kadar çıkarılan ölçüt uygulanmaz.</x:v>
      </x:c>
      <x:c r="F18" s="12" t="str">
        <x:v>Açık</x:v>
      </x:c>
      <x:c r="G18" s="12" t="str"/>
    </x:row>
    <x:row r="19" ht="40" customHeight="1">
      <x:c r="A19" s="6" t="str">
        <x:v>AK-014</x:v>
      </x:c>
      <x:c r="B19" s="6" t="str">
        <x:v>V6</x:v>
      </x:c>
      <x:c r="C19" s="6" t="str">
        <x:v>MSP-K20/S02</x:v>
      </x:c>
      <x:c r="D19" s="6" t="str">
        <x:v>Güncel resmî BDDK konsolide metni doğrulanamadı; Md.25 ülke zorunluluğuna ilişkin uygunluk sorusu aktif setten çıkarıldı. Konum envanteri GNL-20-01 ve GNL-02-04 ile sürer.</x:v>
      </x:c>
      <x:c r="E19" s="6" t="str">
        <x:v>İlgili kurulu sürüm için açık ve tutarlı üretici/standart dayanağı ile bağımsız teknik doğrulama; çözülene kadar çıkarılan ölçüt uygulanmaz.</x:v>
      </x:c>
      <x:c r="F19" s="12" t="str">
        <x:v>Açık</x:v>
      </x:c>
      <x:c r="G19" s="12" t="str"/>
    </x:row>
    <x:row r="20" ht="40" customHeight="1">
      <x:c r="A20" s="6" t="str">
        <x:v>AK-015</x:v>
      </x:c>
      <x:c r="B20" s="6" t="str">
        <x:v>V6</x:v>
      </x:c>
      <x:c r="C20" s="6" t="str">
        <x:v>MSP-K26/S02</x:v>
      </x:c>
      <x:c r="D20" s="6" t="str">
        <x:v>Güncel BDDK Md.18/7 metni doğrulanamadı; yasal yıllık sıklık iddiası aktif setten çıkarıldı. Risk temelli sızma testi GNL-19-02 ile sürer.</x:v>
      </x:c>
      <x:c r="E20" s="6" t="str">
        <x:v>İlgili kurulu sürüm için açık ve tutarlı üretici/standart dayanağı ile bağımsız teknik doğrulama; çözülene kadar çıkarılan ölçüt uygulanmaz.</x:v>
      </x:c>
      <x:c r="F20" s="12" t="str">
        <x:v>Açık</x:v>
      </x:c>
      <x:c r="G20" s="12" t="str"/>
    </x:row>
    <x:row r="21" ht="40" customHeight="1">
      <x:c r="A21" s="6" t="str">
        <x:v>AK-016</x:v>
      </x:c>
      <x:c r="B21" s="6" t="str">
        <x:v>A</x:v>
      </x:c>
      <x:c r="C21" s="6" t="str">
        <x:v>MSP-007</x:v>
      </x:c>
      <x:c r="D21" s="6" t="str">
        <x:v>Güncel BDDK konsolide madde doğrulaması olmadan aktif hukuki kabul ölçütüne alınmadı.</x:v>
      </x:c>
      <x:c r="E21" s="6" t="str">
        <x:v>İlgili kurulu sürüm için açık ve tutarlı üretici/standart dayanağı ile bağımsız teknik doğrulama; çözülene kadar çıkarılan ölçüt uygulanmaz.</x:v>
      </x:c>
      <x:c r="F21" s="12" t="str">
        <x:v>Açık</x:v>
      </x:c>
      <x:c r="G21" s="12" t="str"/>
    </x:row>
    <x:row r="22" ht="40" customHeight="1">
      <x:c r="A22" s="6" t="str">
        <x:v>AK-017</x:v>
      </x:c>
      <x:c r="B22" s="6" t="str">
        <x:v>A</x:v>
      </x:c>
      <x:c r="C22" s="6" t="str">
        <x:v>MSP-008</x:v>
      </x:c>
      <x:c r="D22" s="6" t="str">
        <x:v>Güncel BDDK konsolide madde doğrulaması olmadan aktif hukuki kabul ölçütüne alınmadı.</x:v>
      </x:c>
      <x:c r="E22" s="6" t="str">
        <x:v>İlgili kurulu sürüm için açık ve tutarlı üretici/standart dayanağı ile bağımsız teknik doğrulama; çözülene kadar çıkarılan ölçüt uygulanmaz.</x:v>
      </x:c>
      <x:c r="F22" s="12" t="str">
        <x:v>Açık</x:v>
      </x:c>
      <x:c r="G22" s="12" t="str"/>
    </x:row>
    <x:row r="23" ht="40" customHeight="1">
      <x:c r="A23" s="6" t="str">
        <x:v>AK-018</x:v>
      </x:c>
      <x:c r="B23" s="6" t="str">
        <x:v>V6</x:v>
      </x:c>
      <x:c r="C23" s="6" t="str">
        <x:v>EXC-K04/S02</x:v>
      </x:c>
      <x:c r="D23" s="6" t="str">
        <x:v>Connector TLS/kimlik ölçütü bağımsız rol ve üretici doğrulaması olmadan eklenmedi; CIS-EXC açık konularına bakınız.</x:v>
      </x:c>
      <x:c r="E23" s="6" t="str">
        <x:v>İlgili kurulu sürüm için açık ve tutarlı üretici/standart dayanağı ile bağımsız teknik doğrulama; çözülene kadar çıkarılan ölçüt uygulanmaz.</x:v>
      </x:c>
      <x:c r="F23" s="12" t="str">
        <x:v>Açık</x:v>
      </x:c>
      <x:c r="G23" s="12" t="str"/>
    </x:row>
    <x:row r="24" ht="40" customHeight="1">
      <x:c r="A24" s="6" t="str">
        <x:v>AK-019</x:v>
      </x:c>
      <x:c r="B24" s="6" t="str">
        <x:v>KAPSAM</x:v>
      </x:c>
      <x:c r="C24" s="6" t="str">
        <x:v>Ürün sürümleri</x:v>
      </x:c>
      <x:c r="D24" s="6" t="str">
        <x:v>Kurulu build, dağıtım, lisans, donanım ve müşteri modeli verilmedi. Hiçbir hedef için uygulanabilirlik veya uygunluk doldurulmadı. Kapsam kaydı ve kaynak sürümü eşleşmeden test sonucu verilmez.</x:v>
      </x:c>
      <x:c r="E24" s="6" t="str">
        <x:v>Kurulu sürüm/lisans/donanım envanteri ve hizmet sahibinin kapsam onayı.</x:v>
      </x:c>
      <x:c r="F24" s="12" t="str">
        <x:v>Açık</x:v>
      </x:c>
      <x:c r="G24" s="12" t="str"/>
    </x:row>
    <x:row r="25" ht="55" customHeight="1">
      <x:c r="A25" s="6" t="str">
        <x:v>AK-020</x:v>
      </x:c>
      <x:c r="B25" s="6" t="str">
        <x:v>BDDK-GUNCEL</x:v>
      </x:c>
      <x:c r="C25" s="6" t="str">
        <x:v>Güncel yürürlük</x:v>
      </x:c>
      <x:c r="D25" s="6" t="str">
        <x:v>Resmî Gazete ve resmî konsolide mevzuat erişimi doğrulanamadı. 2020 metninden güncel hukuk hükmü türetilmedi; eski doğrudan mevzuat uygunluk iddiaları çıkarıldı. Önceki A:MSP-002 yürürlük karşılaştırması da bu açık konudadır; hizmet kataloğuyla eşdeğer sayılmadı.</x:v>
      </x:c>
      <x:c r="E25" s="6" t="str">
        <x:v>Denetim tarihinde yürürlükteki resmî metin, değişiklikler ve hukuk/uyum uygulanabilirlik kararı.</x:v>
      </x:c>
      <x:c r="F25" s="12" t="str">
        <x:v>Açık</x:v>
      </x:c>
      <x:c r="G25" s="12" t="str"/>
    </x:row>
    <x:row r="26" ht="40" customHeight="1">
      <x:c r="A26" s="6" t="str">
        <x:v>AK-021</x:v>
      </x:c>
      <x:c r="B26" s="6" t="str">
        <x:v>ISO-01</x:v>
      </x:c>
      <x:c r="C26" s="6" t="str">
        <x:v>Annex A eşlemesi</x:v>
      </x:c>
      <x:c r="D26" s="6" t="str">
        <x:v>Lisanslı ISO/IEC 27001:2022 tam metni elde değil. Önceki v6 Annex A madde eşlemeleri doğrulanmış gibi taşınmadı. Kamuya açık ISO komite notlarıyla kapsam/SoA kontrolleri korundu.</x:v>
      </x:c>
      <x:c r="E26" s="6" t="str">
        <x:v>Lisanslı standardın ilgili hükümleri ve onaylı SoA; sonra madde düzeyinde bağımsız eşleme.</x:v>
      </x:c>
      <x:c r="F26" s="12" t="str">
        <x:v>Açık</x:v>
      </x:c>
      <x:c r="G26" s="12" t="str"/>
    </x:row>
    <x:row r="27" ht="40" customHeight="1">
      <x:c r="A27" s="6" t="str">
        <x:v>AK-022</x:v>
      </x:c>
      <x:c r="B27" s="6" t="str">
        <x:v>CIS-AD</x:v>
      </x:c>
      <x:c r="C27" s="6" t="str">
        <x:v>Belgenin kullanım sınırı</x:v>
      </x:c>
      <x:c r="D27" s="6" t="str">
        <x:v>AD Guide 2024-11 genel öğretici metindir; kendi uyarısı referans olarak kullanılmamasını ister. Numaralı ürün benchmarkı sayılmadı. AD soruları Microsoft ve NIST kaynaklarından kuruldu.</x:v>
      </x:c>
      <x:c r="E27" s="6" t="str">
        <x:v>Kurulu Windows Server/AD sürümüne uygun gerçek benchmark veya üretici güvenlik bazını belirleme.</x:v>
      </x:c>
      <x:c r="F27" s="12" t="str">
        <x:v>Açık</x:v>
      </x:c>
      <x:c r="G27" s="12" t="str"/>
    </x:row>
    <x:row r="28" ht="40" customHeight="1">
      <x:c r="A28" s="6" t="str">
        <x:v>AK-023</x:v>
      </x:c>
      <x:c r="B28" s="6" t="str">
        <x:v>VMW-SCG</x:v>
      </x:c>
      <x:c r="C28" s="6" t="str">
        <x:v>ESXi süre farkı</x:v>
      </x:c>
      <x:c r="D28" s="6" t="str">
        <x:v>Önceki SCG 8.0.3 shell idle 900 / servis 600 saniye; verilen CIS sürümleri idle en çok 300 / servis en çok 3600 saniye içeriyor. Kaynak bazları eşdeğer değildir.</x:v>
      </x:c>
      <x:c r="E28" s="6" t="str">
        <x:v>Test kaydında seçilen kaynak/profil ve sapma sonucu ayrı; kurumsal istisna CIS başarısına çevrilmez.</x:v>
      </x:c>
      <x:c r="F28" s="12" t="str">
        <x:v>Açık</x:v>
      </x:c>
      <x:c r="G28" s="12" t="str"/>
    </x:row>
    <x:row r="29" ht="40" customHeight="1">
      <x:c r="A29" s="6" t="str">
        <x:v>AK-024</x:v>
      </x:c>
      <x:c r="B29" s="6" t="str">
        <x:v>CIS-FGT</x:v>
      </x:c>
      <x:c r="C29" s="6" t="str">
        <x:v>7.3.2 ve 7.3.3</x:v>
      </x:c>
      <x:c r="D29" s="6" t="str">
        <x:v>İki madde aynı syslog amacını yineliyor. Kaynakta FAZ açıklaması ve syslog komutu karışmış. FGC-033 yalnız doğrulanan TLS/mode alanlarıyla tekilleştirildi.</x:v>
      </x:c>
      <x:c r="E29" s="6" t="str">
        <x:v>FGT-SYSLOG üretici açıklaması, kurulu sürüm etkin ayarı ve fiili TLS alıcı kaydı.</x:v>
      </x:c>
      <x:c r="F29" s="12" t="str">
        <x:v>Açık</x:v>
      </x:c>
      <x:c r="G29" s="12" t="str"/>
    </x:row>
    <x:row r="30" ht="40" customHeight="1">
      <x:c r="A30" s="6" t="str">
        <x:v>AK-025</x:v>
      </x:c>
      <x:c r="B30" s="6" t="str">
        <x:v>CIS-EXC</x:v>
      </x:c>
      <x:c r="C30" s="6" t="str">
        <x:v>1.5</x:v>
      </x:c>
      <x:c r="D30" s="6" t="str">
        <x:v>Başlıktaki boş QuarantineMailbox ifadesi Audit ile çelişiyor. EXC-003 için açık Audit ölçütü olan geçerli hedef kullanıldı.</x:v>
      </x:c>
      <x:c r="E30" s="6" t="str">
        <x:v>Gerçek karantina teslim testi ve yetki kanıtı.</x:v>
      </x:c>
      <x:c r="F30" s="12" t="str">
        <x:v>Açık</x:v>
      </x:c>
      <x:c r="G30" s="12" t="str"/>
    </x:row>
    <x:row r="31" ht="40" customHeight="1">
      <x:c r="A31" s="6" t="str">
        <x:v>AK-026</x:v>
      </x:c>
      <x:c r="B31" s="6" t="str">
        <x:v>CIS-EXC</x:v>
      </x:c>
      <x:c r="C31" s="6" t="str">
        <x:v>3.5</x:v>
      </x:c>
      <x:c r="D31" s="6" t="str">
        <x:v>Kaynak başarısız parola etkisini yalnız hesap kilidi gibi açıklıyor. Üretici cihaz davranışı wipe riski gösterebilir. EXC-020 üretimde deneme döngüsü içermez.</x:v>
      </x:c>
      <x:c r="E31" s="6" t="str">
        <x:v>İstemci/OS desteği ve yalnız onaylı test cihazında davranış doğrulaması.</x:v>
      </x:c>
      <x:c r="F31" s="12" t="str">
        <x:v>Açık</x:v>
      </x:c>
      <x:c r="G31" s="12" t="str"/>
    </x:row>
    <x:row r="32" ht="40" customHeight="1">
      <x:c r="A32" s="6" t="str">
        <x:v>AK-027</x:v>
      </x:c>
      <x:c r="B32" s="6" t="str">
        <x:v>CIS-FGT</x:v>
      </x:c>
      <x:c r="C32" s="6" t="str">
        <x:v>2.3.2</x:v>
      </x:c>
      <x:c r="D32" s="6" t="str">
        <x:v>notify-hosts trap hedefini gösterir; sorgu yapan kaynağın ACL kanıtı değildir. FGC-010 bu ayrımı korur.</x:v>
      </x:c>
      <x:c r="E32" s="6" t="str">
        <x:v>SNMP sorgu kaynağı için ek arayüz/local-in/erişim kanıtı.</x:v>
      </x:c>
      <x:c r="F32" s="12" t="str">
        <x:v>Açık</x:v>
      </x:c>
      <x:c r="G32" s="12" t="str"/>
    </x:row>
    <x:row r="33" ht="40" customHeight="1">
      <x:c r="A33" s="6" t="str">
        <x:v>AK-028</x:v>
      </x:c>
      <x:c r="B33" s="6" t="str">
        <x:v>KAPSAM</x:v>
      </x:c>
      <x:c r="C33" s="6" t="str">
        <x:v>AD/Exchange ek kapsam</x:v>
      </x:c>
      <x:c r="D33" s="6" t="str">
        <x:v>AD ve Exchange v6 içinde bulunduğu ve yeni CIS belgeleriyle desteklendiği için ayrı sayfalara alındı. Kurumda gerçekten sunulan hizmet oldukları varsayılmadı.</x:v>
      </x:c>
      <x:c r="E33" s="6" t="str">
        <x:v>Hizmet kataloğu ve sorumlu kapsam onayı.</x:v>
      </x:c>
      <x:c r="F33" s="12" t="str">
        <x:v>Açık</x:v>
      </x:c>
      <x:c r="G33" s="12" t="str"/>
    </x:row>
  </x:sheetData>
  <x:dataValidations count="1">
    <x:dataValidation type="list" errorStyle="stop" showErrorMessage="1" errorTitle="Geçersiz seçim" error="Listede tanımlı bir değer seçin." sqref="F6:F33">
      <x:formula1>"Açık,Kaynak sağlandı,Teknik incelemede,Çözüldü"</x:formula1>
    </x:dataValidation>
  </x:dataValidations>
  <x:pageMargins left="0.7" right="0.7" top="0.75" bottom="0.75" header="0.3" footer="0.3"/>
  <x:tableParts count="1">
    <x:tablePart xmlns:r="http://schemas.openxmlformats.org/officeDocument/2006/relationships" r:id="R2d35362c887f4af4"/>
  </x:tableParts>
</x:worksheet>
</file>

<file path=xl/worksheets/sheet3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3" hidden="0" customWidth="1"/>
    <x:col min="2" max="2" width="103" hidden="0" customWidth="1"/>
    <x:col min="3" max="3" width="24" hidden="0" customWidth="1"/>
    <x:col min="4" max="4" width="24" hidden="0" customWidth="1"/>
  </x:cols>
  <x:sheetData>
    <x:row r="1">
      <x:c r="A1" s="1"/>
      <x:c r="B1" s="1"/>
      <x:c r="C1" s="1"/>
      <x:c r="D1" s="1"/>
    </x:row>
    <x:row r="2" ht="29" customHeight="1">
      <x:c r="A2" s="2" t="str">
        <x:v>NIST Dizini</x:v>
      </x:c>
      <x:c r="B2" s="2"/>
      <x:c r="C2" s="2"/>
      <x:c r="D2" s="2"/>
    </x:row>
    <x:row r="3" ht="8" customHeight="1">
      <x:c r="A3" s="3"/>
      <x:c r="B3" s="3"/>
      <x:c r="C3" s="3"/>
      <x:c r="D3" s="3"/>
    </x:row>
    <x:row r="4" ht="24" customHeight="1">
      <x:c r="A4" s="4" t="str">
        <x:v>118 kontrol kimliği resmi OSCAL kataloğuyla eşleştirildi. Ürün soruları kontrol amacının denetçi tarafından uygulanmasıdır.</x:v>
      </x:c>
      <x:c r="B4" s="4"/>
      <x:c r="C4" s="4"/>
      <x:c r="D4" s="4"/>
    </x:row>
    <x:row r="5" ht="36" customHeight="1">
      <x:c r="A5" s="10" t="str">
        <x:v>Kontrol ID</x:v>
      </x:c>
      <x:c r="B5" s="10" t="str">
        <x:v>Resmî kontrol başlığı</x:v>
      </x:c>
      <x:c r="C5" s="10" t="str">
        <x:v>KaynakID</x:v>
      </x:c>
      <x:c r="D5" s="10" t="str">
        <x:v>OSCAL kimliği</x:v>
      </x:c>
    </x:row>
    <x:row r="6" ht="35" customHeight="1">
      <x:c r="A6" s="6" t="str">
        <x:v>AC-11</x:v>
      </x:c>
      <x:c r="B6" s="6" t="str">
        <x:v>Device Lock</x:v>
      </x:c>
      <x:c r="C6" s="6" t="str">
        <x:v>NIST-OSCAL</x:v>
      </x:c>
      <x:c r="D6" s="6" t="str">
        <x:v>ac-11</x:v>
      </x:c>
    </x:row>
    <x:row r="7" ht="35" customHeight="1">
      <x:c r="A7" s="6" t="str">
        <x:v>AC-12</x:v>
      </x:c>
      <x:c r="B7" s="6" t="str">
        <x:v>Session Termination</x:v>
      </x:c>
      <x:c r="C7" s="6" t="str">
        <x:v>NIST-OSCAL</x:v>
      </x:c>
      <x:c r="D7" s="6" t="str">
        <x:v>ac-12</x:v>
      </x:c>
    </x:row>
    <x:row r="8" ht="35" customHeight="1">
      <x:c r="A8" s="6" t="str">
        <x:v>AC-17</x:v>
      </x:c>
      <x:c r="B8" s="6" t="str">
        <x:v>Remote Access</x:v>
      </x:c>
      <x:c r="C8" s="6" t="str">
        <x:v>NIST-OSCAL</x:v>
      </x:c>
      <x:c r="D8" s="6" t="str">
        <x:v>ac-17</x:v>
      </x:c>
    </x:row>
    <x:row r="9" ht="35" customHeight="1">
      <x:c r="A9" s="6" t="str">
        <x:v>AC-19</x:v>
      </x:c>
      <x:c r="B9" s="6" t="str">
        <x:v>Access Control for Mobile Devices</x:v>
      </x:c>
      <x:c r="C9" s="6" t="str">
        <x:v>NIST-OSCAL</x:v>
      </x:c>
      <x:c r="D9" s="6" t="str">
        <x:v>ac-19</x:v>
      </x:c>
    </x:row>
    <x:row r="10" ht="35" customHeight="1">
      <x:c r="A10" s="6" t="str">
        <x:v>AC-2</x:v>
      </x:c>
      <x:c r="B10" s="6" t="str">
        <x:v>Account Management</x:v>
      </x:c>
      <x:c r="C10" s="6" t="str">
        <x:v>NIST-OSCAL</x:v>
      </x:c>
      <x:c r="D10" s="6" t="str">
        <x:v>ac-2</x:v>
      </x:c>
    </x:row>
    <x:row r="11" ht="35" customHeight="1">
      <x:c r="A11" s="6" t="str">
        <x:v>AC-2(7)</x:v>
      </x:c>
      <x:c r="B11" s="6" t="str">
        <x:v>Privileged User Accounts</x:v>
      </x:c>
      <x:c r="C11" s="6" t="str">
        <x:v>NIST-OSCAL</x:v>
      </x:c>
      <x:c r="D11" s="6" t="str">
        <x:v>ac-2.7</x:v>
      </x:c>
    </x:row>
    <x:row r="12" ht="35" customHeight="1">
      <x:c r="A12" s="6" t="str">
        <x:v>AC-22</x:v>
      </x:c>
      <x:c r="B12" s="6" t="str">
        <x:v>Publicly Accessible Content</x:v>
      </x:c>
      <x:c r="C12" s="6" t="str">
        <x:v>NIST-OSCAL</x:v>
      </x:c>
      <x:c r="D12" s="6" t="str">
        <x:v>ac-22</x:v>
      </x:c>
    </x:row>
    <x:row r="13" ht="35" customHeight="1">
      <x:c r="A13" s="6" t="str">
        <x:v>AC-3</x:v>
      </x:c>
      <x:c r="B13" s="6" t="str">
        <x:v>Access Enforcement</x:v>
      </x:c>
      <x:c r="C13" s="6" t="str">
        <x:v>NIST-OSCAL</x:v>
      </x:c>
      <x:c r="D13" s="6" t="str">
        <x:v>ac-3</x:v>
      </x:c>
    </x:row>
    <x:row r="14" ht="35" customHeight="1">
      <x:c r="A14" s="6" t="str">
        <x:v>AC-4</x:v>
      </x:c>
      <x:c r="B14" s="6" t="str">
        <x:v>Information Flow Enforcement</x:v>
      </x:c>
      <x:c r="C14" s="6" t="str">
        <x:v>NIST-OSCAL</x:v>
      </x:c>
      <x:c r="D14" s="6" t="str">
        <x:v>ac-4</x:v>
      </x:c>
    </x:row>
    <x:row r="15" ht="35" customHeight="1">
      <x:c r="A15" s="6" t="str">
        <x:v>AC-5</x:v>
      </x:c>
      <x:c r="B15" s="6" t="str">
        <x:v>Separation of Duties</x:v>
      </x:c>
      <x:c r="C15" s="6" t="str">
        <x:v>NIST-OSCAL</x:v>
      </x:c>
      <x:c r="D15" s="6" t="str">
        <x:v>ac-5</x:v>
      </x:c>
    </x:row>
    <x:row r="16" ht="35" customHeight="1">
      <x:c r="A16" s="6" t="str">
        <x:v>AC-6</x:v>
      </x:c>
      <x:c r="B16" s="6" t="str">
        <x:v>Least Privilege</x:v>
      </x:c>
      <x:c r="C16" s="6" t="str">
        <x:v>NIST-OSCAL</x:v>
      </x:c>
      <x:c r="D16" s="6" t="str">
        <x:v>ac-6</x:v>
      </x:c>
    </x:row>
    <x:row r="17" ht="35" customHeight="1">
      <x:c r="A17" s="6" t="str">
        <x:v>AC-7</x:v>
      </x:c>
      <x:c r="B17" s="6" t="str">
        <x:v>Unsuccessful Logon Attempts</x:v>
      </x:c>
      <x:c r="C17" s="6" t="str">
        <x:v>NIST-OSCAL</x:v>
      </x:c>
      <x:c r="D17" s="6" t="str">
        <x:v>ac-7</x:v>
      </x:c>
    </x:row>
    <x:row r="18" ht="35" customHeight="1">
      <x:c r="A18" s="6" t="str">
        <x:v>AC-8</x:v>
      </x:c>
      <x:c r="B18" s="6" t="str">
        <x:v>System Use Notification</x:v>
      </x:c>
      <x:c r="C18" s="6" t="str">
        <x:v>NIST-OSCAL</x:v>
      </x:c>
      <x:c r="D18" s="6" t="str">
        <x:v>ac-8</x:v>
      </x:c>
    </x:row>
    <x:row r="19" ht="35" customHeight="1">
      <x:c r="A19" s="6" t="str">
        <x:v>AT-2</x:v>
      </x:c>
      <x:c r="B19" s="6" t="str">
        <x:v>Literacy Training and Awareness</x:v>
      </x:c>
      <x:c r="C19" s="6" t="str">
        <x:v>NIST-OSCAL</x:v>
      </x:c>
      <x:c r="D19" s="6" t="str">
        <x:v>at-2</x:v>
      </x:c>
    </x:row>
    <x:row r="20" ht="35" customHeight="1">
      <x:c r="A20" s="6" t="str">
        <x:v>AT-3</x:v>
      </x:c>
      <x:c r="B20" s="6" t="str">
        <x:v>Role-based Training</x:v>
      </x:c>
      <x:c r="C20" s="6" t="str">
        <x:v>NIST-OSCAL</x:v>
      </x:c>
      <x:c r="D20" s="6" t="str">
        <x:v>at-3</x:v>
      </x:c>
    </x:row>
    <x:row r="21" ht="35" customHeight="1">
      <x:c r="A21" s="6" t="str">
        <x:v>AU-11</x:v>
      </x:c>
      <x:c r="B21" s="6" t="str">
        <x:v>Audit Record Retention</x:v>
      </x:c>
      <x:c r="C21" s="6" t="str">
        <x:v>NIST-OSCAL</x:v>
      </x:c>
      <x:c r="D21" s="6" t="str">
        <x:v>au-11</x:v>
      </x:c>
    </x:row>
    <x:row r="22" ht="35" customHeight="1">
      <x:c r="A22" s="6" t="str">
        <x:v>AU-12</x:v>
      </x:c>
      <x:c r="B22" s="6" t="str">
        <x:v>Audit Record Generation</x:v>
      </x:c>
      <x:c r="C22" s="6" t="str">
        <x:v>NIST-OSCAL</x:v>
      </x:c>
      <x:c r="D22" s="6" t="str">
        <x:v>au-12</x:v>
      </x:c>
    </x:row>
    <x:row r="23" ht="35" customHeight="1">
      <x:c r="A23" s="6" t="str">
        <x:v>AU-2</x:v>
      </x:c>
      <x:c r="B23" s="6" t="str">
        <x:v>Event Logging</x:v>
      </x:c>
      <x:c r="C23" s="6" t="str">
        <x:v>NIST-OSCAL</x:v>
      </x:c>
      <x:c r="D23" s="6" t="str">
        <x:v>au-2</x:v>
      </x:c>
    </x:row>
    <x:row r="24" ht="35" customHeight="1">
      <x:c r="A24" s="6" t="str">
        <x:v>AU-3</x:v>
      </x:c>
      <x:c r="B24" s="6" t="str">
        <x:v>Content of Audit Records</x:v>
      </x:c>
      <x:c r="C24" s="6" t="str">
        <x:v>NIST-OSCAL</x:v>
      </x:c>
      <x:c r="D24" s="6" t="str">
        <x:v>au-3</x:v>
      </x:c>
    </x:row>
    <x:row r="25" ht="35" customHeight="1">
      <x:c r="A25" s="6" t="str">
        <x:v>AU-4</x:v>
      </x:c>
      <x:c r="B25" s="6" t="str">
        <x:v>Audit Log Storage Capacity</x:v>
      </x:c>
      <x:c r="C25" s="6" t="str">
        <x:v>NIST-OSCAL</x:v>
      </x:c>
      <x:c r="D25" s="6" t="str">
        <x:v>au-4</x:v>
      </x:c>
    </x:row>
    <x:row r="26" ht="35" customHeight="1">
      <x:c r="A26" s="6" t="str">
        <x:v>AU-5</x:v>
      </x:c>
      <x:c r="B26" s="6" t="str">
        <x:v>Response to Audit Logging Process Failures</x:v>
      </x:c>
      <x:c r="C26" s="6" t="str">
        <x:v>NIST-OSCAL</x:v>
      </x:c>
      <x:c r="D26" s="6" t="str">
        <x:v>au-5</x:v>
      </x:c>
    </x:row>
    <x:row r="27" ht="35" customHeight="1">
      <x:c r="A27" s="6" t="str">
        <x:v>AU-6</x:v>
      </x:c>
      <x:c r="B27" s="6" t="str">
        <x:v>Audit Record Review, Analysis, and Reporting</x:v>
      </x:c>
      <x:c r="C27" s="6" t="str">
        <x:v>NIST-OSCAL</x:v>
      </x:c>
      <x:c r="D27" s="6" t="str">
        <x:v>au-6</x:v>
      </x:c>
    </x:row>
    <x:row r="28" ht="35" customHeight="1">
      <x:c r="A28" s="6" t="str">
        <x:v>AU-8</x:v>
      </x:c>
      <x:c r="B28" s="6" t="str">
        <x:v>Time Stamps</x:v>
      </x:c>
      <x:c r="C28" s="6" t="str">
        <x:v>NIST-OSCAL</x:v>
      </x:c>
      <x:c r="D28" s="6" t="str">
        <x:v>au-8</x:v>
      </x:c>
    </x:row>
    <x:row r="29" ht="35" customHeight="1">
      <x:c r="A29" s="6" t="str">
        <x:v>AU-9</x:v>
      </x:c>
      <x:c r="B29" s="6" t="str">
        <x:v>Protection of Audit Information</x:v>
      </x:c>
      <x:c r="C29" s="6" t="str">
        <x:v>NIST-OSCAL</x:v>
      </x:c>
      <x:c r="D29" s="6" t="str">
        <x:v>au-9</x:v>
      </x:c>
    </x:row>
    <x:row r="30" ht="35" customHeight="1">
      <x:c r="A30" s="6" t="str">
        <x:v>CA-2</x:v>
      </x:c>
      <x:c r="B30" s="6" t="str">
        <x:v>Control Assessments</x:v>
      </x:c>
      <x:c r="C30" s="6" t="str">
        <x:v>NIST-OSCAL</x:v>
      </x:c>
      <x:c r="D30" s="6" t="str">
        <x:v>ca-2</x:v>
      </x:c>
    </x:row>
    <x:row r="31" ht="35" customHeight="1">
      <x:c r="A31" s="6" t="str">
        <x:v>CA-3</x:v>
      </x:c>
      <x:c r="B31" s="6" t="str">
        <x:v>Information Exchange</x:v>
      </x:c>
      <x:c r="C31" s="6" t="str">
        <x:v>NIST-OSCAL</x:v>
      </x:c>
      <x:c r="D31" s="6" t="str">
        <x:v>ca-3</x:v>
      </x:c>
    </x:row>
    <x:row r="32" ht="35" customHeight="1">
      <x:c r="A32" s="6" t="str">
        <x:v>CA-5</x:v>
      </x:c>
      <x:c r="B32" s="6" t="str">
        <x:v>Plan of Action and Milestones</x:v>
      </x:c>
      <x:c r="C32" s="6" t="str">
        <x:v>NIST-OSCAL</x:v>
      </x:c>
      <x:c r="D32" s="6" t="str">
        <x:v>ca-5</x:v>
      </x:c>
    </x:row>
    <x:row r="33" ht="35" customHeight="1">
      <x:c r="A33" s="6" t="str">
        <x:v>CA-7</x:v>
      </x:c>
      <x:c r="B33" s="6" t="str">
        <x:v>Continuous Monitoring</x:v>
      </x:c>
      <x:c r="C33" s="6" t="str">
        <x:v>NIST-OSCAL</x:v>
      </x:c>
      <x:c r="D33" s="6" t="str">
        <x:v>ca-7</x:v>
      </x:c>
    </x:row>
    <x:row r="34" ht="35" customHeight="1">
      <x:c r="A34" s="6" t="str">
        <x:v>CA-8</x:v>
      </x:c>
      <x:c r="B34" s="6" t="str">
        <x:v>Penetration Testing</x:v>
      </x:c>
      <x:c r="C34" s="6" t="str">
        <x:v>NIST-OSCAL</x:v>
      </x:c>
      <x:c r="D34" s="6" t="str">
        <x:v>ca-8</x:v>
      </x:c>
    </x:row>
    <x:row r="35" ht="35" customHeight="1">
      <x:c r="A35" s="6" t="str">
        <x:v>CM-12</x:v>
      </x:c>
      <x:c r="B35" s="6" t="str">
        <x:v>Information Location</x:v>
      </x:c>
      <x:c r="C35" s="6" t="str">
        <x:v>NIST-OSCAL</x:v>
      </x:c>
      <x:c r="D35" s="6" t="str">
        <x:v>cm-12</x:v>
      </x:c>
    </x:row>
    <x:row r="36" ht="35" customHeight="1">
      <x:c r="A36" s="6" t="str">
        <x:v>CM-2</x:v>
      </x:c>
      <x:c r="B36" s="6" t="str">
        <x:v>Baseline Configuration</x:v>
      </x:c>
      <x:c r="C36" s="6" t="str">
        <x:v>NIST-OSCAL</x:v>
      </x:c>
      <x:c r="D36" s="6" t="str">
        <x:v>cm-2</x:v>
      </x:c>
    </x:row>
    <x:row r="37" ht="35" customHeight="1">
      <x:c r="A37" s="6" t="str">
        <x:v>CM-3</x:v>
      </x:c>
      <x:c r="B37" s="6" t="str">
        <x:v>Configuration Change Control</x:v>
      </x:c>
      <x:c r="C37" s="6" t="str">
        <x:v>NIST-OSCAL</x:v>
      </x:c>
      <x:c r="D37" s="6" t="str">
        <x:v>cm-3</x:v>
      </x:c>
    </x:row>
    <x:row r="38" ht="35" customHeight="1">
      <x:c r="A38" s="6" t="str">
        <x:v>CM-4</x:v>
      </x:c>
      <x:c r="B38" s="6" t="str">
        <x:v>Impact Analyses</x:v>
      </x:c>
      <x:c r="C38" s="6" t="str">
        <x:v>NIST-OSCAL</x:v>
      </x:c>
      <x:c r="D38" s="6" t="str">
        <x:v>cm-4</x:v>
      </x:c>
    </x:row>
    <x:row r="39" ht="35" customHeight="1">
      <x:c r="A39" s="6" t="str">
        <x:v>CM-5</x:v>
      </x:c>
      <x:c r="B39" s="6" t="str">
        <x:v>Access Restrictions for Change</x:v>
      </x:c>
      <x:c r="C39" s="6" t="str">
        <x:v>NIST-OSCAL</x:v>
      </x:c>
      <x:c r="D39" s="6" t="str">
        <x:v>cm-5</x:v>
      </x:c>
    </x:row>
    <x:row r="40" ht="35" customHeight="1">
      <x:c r="A40" s="6" t="str">
        <x:v>CM-6</x:v>
      </x:c>
      <x:c r="B40" s="6" t="str">
        <x:v>Configuration Settings</x:v>
      </x:c>
      <x:c r="C40" s="6" t="str">
        <x:v>NIST-OSCAL</x:v>
      </x:c>
      <x:c r="D40" s="6" t="str">
        <x:v>cm-6</x:v>
      </x:c>
    </x:row>
    <x:row r="41" ht="35" customHeight="1">
      <x:c r="A41" s="6" t="str">
        <x:v>CM-7</x:v>
      </x:c>
      <x:c r="B41" s="6" t="str">
        <x:v>Least Functionality</x:v>
      </x:c>
      <x:c r="C41" s="6" t="str">
        <x:v>NIST-OSCAL</x:v>
      </x:c>
      <x:c r="D41" s="6" t="str">
        <x:v>cm-7</x:v>
      </x:c>
    </x:row>
    <x:row r="42" ht="35" customHeight="1">
      <x:c r="A42" s="6" t="str">
        <x:v>CM-8</x:v>
      </x:c>
      <x:c r="B42" s="6" t="str">
        <x:v>System Component Inventory</x:v>
      </x:c>
      <x:c r="C42" s="6" t="str">
        <x:v>NIST-OSCAL</x:v>
      </x:c>
      <x:c r="D42" s="6" t="str">
        <x:v>cm-8</x:v>
      </x:c>
    </x:row>
    <x:row r="43" ht="35" customHeight="1">
      <x:c r="A43" s="6" t="str">
        <x:v>CP-10</x:v>
      </x:c>
      <x:c r="B43" s="6" t="str">
        <x:v>System Recovery and Reconstitution</x:v>
      </x:c>
      <x:c r="C43" s="6" t="str">
        <x:v>NIST-OSCAL</x:v>
      </x:c>
      <x:c r="D43" s="6" t="str">
        <x:v>cp-10</x:v>
      </x:c>
    </x:row>
    <x:row r="44" ht="35" customHeight="1">
      <x:c r="A44" s="6" t="str">
        <x:v>CP-2</x:v>
      </x:c>
      <x:c r="B44" s="6" t="str">
        <x:v>Contingency Plan</x:v>
      </x:c>
      <x:c r="C44" s="6" t="str">
        <x:v>NIST-OSCAL</x:v>
      </x:c>
      <x:c r="D44" s="6" t="str">
        <x:v>cp-2</x:v>
      </x:c>
    </x:row>
    <x:row r="45" ht="35" customHeight="1">
      <x:c r="A45" s="6" t="str">
        <x:v>CP-4</x:v>
      </x:c>
      <x:c r="B45" s="6" t="str">
        <x:v>Contingency Plan Testing</x:v>
      </x:c>
      <x:c r="C45" s="6" t="str">
        <x:v>NIST-OSCAL</x:v>
      </x:c>
      <x:c r="D45" s="6" t="str">
        <x:v>cp-4</x:v>
      </x:c>
    </x:row>
    <x:row r="46" ht="35" customHeight="1">
      <x:c r="A46" s="6" t="str">
        <x:v>CP-9</x:v>
      </x:c>
      <x:c r="B46" s="6" t="str">
        <x:v>System Backup</x:v>
      </x:c>
      <x:c r="C46" s="6" t="str">
        <x:v>NIST-OSCAL</x:v>
      </x:c>
      <x:c r="D46" s="6" t="str">
        <x:v>cp-9</x:v>
      </x:c>
    </x:row>
    <x:row r="47" ht="35" customHeight="1">
      <x:c r="A47" s="6" t="str">
        <x:v>IA-2</x:v>
      </x:c>
      <x:c r="B47" s="6" t="str">
        <x:v>Identification and Authentication (Organizational Users)</x:v>
      </x:c>
      <x:c r="C47" s="6" t="str">
        <x:v>NIST-OSCAL</x:v>
      </x:c>
      <x:c r="D47" s="6" t="str">
        <x:v>ia-2</x:v>
      </x:c>
    </x:row>
    <x:row r="48" ht="35" customHeight="1">
      <x:c r="A48" s="6" t="str">
        <x:v>IA-3</x:v>
      </x:c>
      <x:c r="B48" s="6" t="str">
        <x:v>Device Identification and Authentication</x:v>
      </x:c>
      <x:c r="C48" s="6" t="str">
        <x:v>NIST-OSCAL</x:v>
      </x:c>
      <x:c r="D48" s="6" t="str">
        <x:v>ia-3</x:v>
      </x:c>
    </x:row>
    <x:row r="49" ht="35" customHeight="1">
      <x:c r="A49" s="6" t="str">
        <x:v>IA-4</x:v>
      </x:c>
      <x:c r="B49" s="6" t="str">
        <x:v>Identifier Management</x:v>
      </x:c>
      <x:c r="C49" s="6" t="str">
        <x:v>NIST-OSCAL</x:v>
      </x:c>
      <x:c r="D49" s="6" t="str">
        <x:v>ia-4</x:v>
      </x:c>
    </x:row>
    <x:row r="50" ht="35" customHeight="1">
      <x:c r="A50" s="6" t="str">
        <x:v>IA-5</x:v>
      </x:c>
      <x:c r="B50" s="6" t="str">
        <x:v>Authenticator Management</x:v>
      </x:c>
      <x:c r="C50" s="6" t="str">
        <x:v>NIST-OSCAL</x:v>
      </x:c>
      <x:c r="D50" s="6" t="str">
        <x:v>ia-5</x:v>
      </x:c>
    </x:row>
    <x:row r="51" ht="35" customHeight="1">
      <x:c r="A51" s="6" t="str">
        <x:v>IA-8</x:v>
      </x:c>
      <x:c r="B51" s="6" t="str">
        <x:v>Identification and Authentication (Non-organizational Users)</x:v>
      </x:c>
      <x:c r="C51" s="6" t="str">
        <x:v>NIST-OSCAL</x:v>
      </x:c>
      <x:c r="D51" s="6" t="str">
        <x:v>ia-8</x:v>
      </x:c>
    </x:row>
    <x:row r="52" ht="35" customHeight="1">
      <x:c r="A52" s="6" t="str">
        <x:v>IA-9</x:v>
      </x:c>
      <x:c r="B52" s="6" t="str">
        <x:v>Service Identification and Authentication</x:v>
      </x:c>
      <x:c r="C52" s="6" t="str">
        <x:v>NIST-OSCAL</x:v>
      </x:c>
      <x:c r="D52" s="6" t="str">
        <x:v>ia-9</x:v>
      </x:c>
    </x:row>
    <x:row r="53" ht="35" customHeight="1">
      <x:c r="A53" s="6" t="str">
        <x:v>IR-3</x:v>
      </x:c>
      <x:c r="B53" s="6" t="str">
        <x:v>Incident Response Testing</x:v>
      </x:c>
      <x:c r="C53" s="6" t="str">
        <x:v>NIST-OSCAL</x:v>
      </x:c>
      <x:c r="D53" s="6" t="str">
        <x:v>ir-3</x:v>
      </x:c>
    </x:row>
    <x:row r="54" ht="35" customHeight="1">
      <x:c r="A54" s="6" t="str">
        <x:v>IR-4</x:v>
      </x:c>
      <x:c r="B54" s="6" t="str">
        <x:v>Incident Handling</x:v>
      </x:c>
      <x:c r="C54" s="6" t="str">
        <x:v>NIST-OSCAL</x:v>
      </x:c>
      <x:c r="D54" s="6" t="str">
        <x:v>ir-4</x:v>
      </x:c>
    </x:row>
    <x:row r="55" ht="35" customHeight="1">
      <x:c r="A55" s="6" t="str">
        <x:v>IR-6</x:v>
      </x:c>
      <x:c r="B55" s="6" t="str">
        <x:v>Incident Reporting</x:v>
      </x:c>
      <x:c r="C55" s="6" t="str">
        <x:v>NIST-OSCAL</x:v>
      </x:c>
      <x:c r="D55" s="6" t="str">
        <x:v>ir-6</x:v>
      </x:c>
    </x:row>
    <x:row r="56" ht="35" customHeight="1">
      <x:c r="A56" s="6" t="str">
        <x:v>IR-8</x:v>
      </x:c>
      <x:c r="B56" s="6" t="str">
        <x:v>Incident Response Plan</x:v>
      </x:c>
      <x:c r="C56" s="6" t="str">
        <x:v>NIST-OSCAL</x:v>
      </x:c>
      <x:c r="D56" s="6" t="str">
        <x:v>ir-8</x:v>
      </x:c>
    </x:row>
    <x:row r="57" ht="35" customHeight="1">
      <x:c r="A57" s="6" t="str">
        <x:v>MA-2</x:v>
      </x:c>
      <x:c r="B57" s="6" t="str">
        <x:v>Controlled Maintenance</x:v>
      </x:c>
      <x:c r="C57" s="6" t="str">
        <x:v>NIST-OSCAL</x:v>
      </x:c>
      <x:c r="D57" s="6" t="str">
        <x:v>ma-2</x:v>
      </x:c>
    </x:row>
    <x:row r="58" ht="35" customHeight="1">
      <x:c r="A58" s="6" t="str">
        <x:v>MA-5</x:v>
      </x:c>
      <x:c r="B58" s="6" t="str">
        <x:v>Maintenance Personnel</x:v>
      </x:c>
      <x:c r="C58" s="6" t="str">
        <x:v>NIST-OSCAL</x:v>
      </x:c>
      <x:c r="D58" s="6" t="str">
        <x:v>ma-5</x:v>
      </x:c>
    </x:row>
    <x:row r="59" ht="35" customHeight="1">
      <x:c r="A59" s="6" t="str">
        <x:v>MP-6</x:v>
      </x:c>
      <x:c r="B59" s="6" t="str">
        <x:v>Media Sanitization</x:v>
      </x:c>
      <x:c r="C59" s="6" t="str">
        <x:v>NIST-OSCAL</x:v>
      </x:c>
      <x:c r="D59" s="6" t="str">
        <x:v>mp-6</x:v>
      </x:c>
    </x:row>
    <x:row r="60" ht="35" customHeight="1">
      <x:c r="A60" s="6" t="str">
        <x:v>PE-11</x:v>
      </x:c>
      <x:c r="B60" s="6" t="str">
        <x:v>Emergency Power</x:v>
      </x:c>
      <x:c r="C60" s="6" t="str">
        <x:v>NIST-OSCAL</x:v>
      </x:c>
      <x:c r="D60" s="6" t="str">
        <x:v>pe-11</x:v>
      </x:c>
    </x:row>
    <x:row r="61" ht="35" customHeight="1">
      <x:c r="A61" s="6" t="str">
        <x:v>PE-13</x:v>
      </x:c>
      <x:c r="B61" s="6" t="str">
        <x:v>Fire Protection</x:v>
      </x:c>
      <x:c r="C61" s="6" t="str">
        <x:v>NIST-OSCAL</x:v>
      </x:c>
      <x:c r="D61" s="6" t="str">
        <x:v>pe-13</x:v>
      </x:c>
    </x:row>
    <x:row r="62" ht="35" customHeight="1">
      <x:c r="A62" s="6" t="str">
        <x:v>PE-14</x:v>
      </x:c>
      <x:c r="B62" s="6" t="str">
        <x:v>Environmental Controls</x:v>
      </x:c>
      <x:c r="C62" s="6" t="str">
        <x:v>NIST-OSCAL</x:v>
      </x:c>
      <x:c r="D62" s="6" t="str">
        <x:v>pe-14</x:v>
      </x:c>
    </x:row>
    <x:row r="63" ht="35" customHeight="1">
      <x:c r="A63" s="6" t="str">
        <x:v>PE-15</x:v>
      </x:c>
      <x:c r="B63" s="6" t="str">
        <x:v>Water Damage Protection</x:v>
      </x:c>
      <x:c r="C63" s="6" t="str">
        <x:v>NIST-OSCAL</x:v>
      </x:c>
      <x:c r="D63" s="6" t="str">
        <x:v>pe-15</x:v>
      </x:c>
    </x:row>
    <x:row r="64" ht="35" customHeight="1">
      <x:c r="A64" s="6" t="str">
        <x:v>PE-16</x:v>
      </x:c>
      <x:c r="B64" s="6" t="str">
        <x:v>Delivery and Removal</x:v>
      </x:c>
      <x:c r="C64" s="6" t="str">
        <x:v>NIST-OSCAL</x:v>
      </x:c>
      <x:c r="D64" s="6" t="str">
        <x:v>pe-16</x:v>
      </x:c>
    </x:row>
    <x:row r="65" ht="35" customHeight="1">
      <x:c r="A65" s="6" t="str">
        <x:v>PE-2</x:v>
      </x:c>
      <x:c r="B65" s="6" t="str">
        <x:v>Physical Access Authorizations</x:v>
      </x:c>
      <x:c r="C65" s="6" t="str">
        <x:v>NIST-OSCAL</x:v>
      </x:c>
      <x:c r="D65" s="6" t="str">
        <x:v>pe-2</x:v>
      </x:c>
    </x:row>
    <x:row r="66" ht="35" customHeight="1">
      <x:c r="A66" s="6" t="str">
        <x:v>PE-3</x:v>
      </x:c>
      <x:c r="B66" s="6" t="str">
        <x:v>Physical Access Control</x:v>
      </x:c>
      <x:c r="C66" s="6" t="str">
        <x:v>NIST-OSCAL</x:v>
      </x:c>
      <x:c r="D66" s="6" t="str">
        <x:v>pe-3</x:v>
      </x:c>
    </x:row>
    <x:row r="67" ht="35" customHeight="1">
      <x:c r="A67" s="6" t="str">
        <x:v>PE-4</x:v>
      </x:c>
      <x:c r="B67" s="6" t="str">
        <x:v>Access Control for Transmission</x:v>
      </x:c>
      <x:c r="C67" s="6" t="str">
        <x:v>NIST-OSCAL</x:v>
      </x:c>
      <x:c r="D67" s="6" t="str">
        <x:v>pe-4</x:v>
      </x:c>
    </x:row>
    <x:row r="68" ht="35" customHeight="1">
      <x:c r="A68" s="6" t="str">
        <x:v>PE-6</x:v>
      </x:c>
      <x:c r="B68" s="6" t="str">
        <x:v>Monitoring Physical Access</x:v>
      </x:c>
      <x:c r="C68" s="6" t="str">
        <x:v>NIST-OSCAL</x:v>
      </x:c>
      <x:c r="D68" s="6" t="str">
        <x:v>pe-6</x:v>
      </x:c>
    </x:row>
    <x:row r="69" ht="35" customHeight="1">
      <x:c r="A69" s="6" t="str">
        <x:v>PE-9</x:v>
      </x:c>
      <x:c r="B69" s="6" t="str">
        <x:v>Power Equipment and Cabling</x:v>
      </x:c>
      <x:c r="C69" s="6" t="str">
        <x:v>NIST-OSCAL</x:v>
      </x:c>
      <x:c r="D69" s="6" t="str">
        <x:v>pe-9</x:v>
      </x:c>
    </x:row>
    <x:row r="70" ht="35" customHeight="1">
      <x:c r="A70" s="6" t="str">
        <x:v>PL-1</x:v>
      </x:c>
      <x:c r="B70" s="6" t="str">
        <x:v>Policy and Procedures</x:v>
      </x:c>
      <x:c r="C70" s="6" t="str">
        <x:v>NIST-OSCAL</x:v>
      </x:c>
      <x:c r="D70" s="6" t="str">
        <x:v>pl-1</x:v>
      </x:c>
    </x:row>
    <x:row r="71" ht="35" customHeight="1">
      <x:c r="A71" s="6" t="str">
        <x:v>PL-2</x:v>
      </x:c>
      <x:c r="B71" s="6" t="str">
        <x:v>System Security and Privacy Plans</x:v>
      </x:c>
      <x:c r="C71" s="6" t="str">
        <x:v>NIST-OSCAL</x:v>
      </x:c>
      <x:c r="D71" s="6" t="str">
        <x:v>pl-2</x:v>
      </x:c>
    </x:row>
    <x:row r="72" ht="35" customHeight="1">
      <x:c r="A72" s="6" t="str">
        <x:v>PM-1</x:v>
      </x:c>
      <x:c r="B72" s="6" t="str">
        <x:v>Information Security Program Plan</x:v>
      </x:c>
      <x:c r="C72" s="6" t="str">
        <x:v>NIST-OSCAL</x:v>
      </x:c>
      <x:c r="D72" s="6" t="str">
        <x:v>pm-1</x:v>
      </x:c>
    </x:row>
    <x:row r="73" ht="35" customHeight="1">
      <x:c r="A73" s="6" t="str">
        <x:v>PM-2</x:v>
      </x:c>
      <x:c r="B73" s="6" t="str">
        <x:v>Information Security Program Leadership Role</x:v>
      </x:c>
      <x:c r="C73" s="6" t="str">
        <x:v>NIST-OSCAL</x:v>
      </x:c>
      <x:c r="D73" s="6" t="str">
        <x:v>pm-2</x:v>
      </x:c>
    </x:row>
    <x:row r="74" ht="35" customHeight="1">
      <x:c r="A74" s="6" t="str">
        <x:v>PM-5</x:v>
      </x:c>
      <x:c r="B74" s="6" t="str">
        <x:v>System Inventory</x:v>
      </x:c>
      <x:c r="C74" s="6" t="str">
        <x:v>NIST-OSCAL</x:v>
      </x:c>
      <x:c r="D74" s="6" t="str">
        <x:v>pm-5</x:v>
      </x:c>
    </x:row>
    <x:row r="75" ht="35" customHeight="1">
      <x:c r="A75" s="6" t="str">
        <x:v>PM-6</x:v>
      </x:c>
      <x:c r="B75" s="6" t="str">
        <x:v>Measures of Performance</x:v>
      </x:c>
      <x:c r="C75" s="6" t="str">
        <x:v>NIST-OSCAL</x:v>
      </x:c>
      <x:c r="D75" s="6" t="str">
        <x:v>pm-6</x:v>
      </x:c>
    </x:row>
    <x:row r="76" ht="35" customHeight="1">
      <x:c r="A76" s="6" t="str">
        <x:v>PM-9</x:v>
      </x:c>
      <x:c r="B76" s="6" t="str">
        <x:v>Risk Management Strategy</x:v>
      </x:c>
      <x:c r="C76" s="6" t="str">
        <x:v>NIST-OSCAL</x:v>
      </x:c>
      <x:c r="D76" s="6" t="str">
        <x:v>pm-9</x:v>
      </x:c>
    </x:row>
    <x:row r="77" ht="35" customHeight="1">
      <x:c r="A77" s="6" t="str">
        <x:v>PS-3</x:v>
      </x:c>
      <x:c r="B77" s="6" t="str">
        <x:v>Personnel Screening</x:v>
      </x:c>
      <x:c r="C77" s="6" t="str">
        <x:v>NIST-OSCAL</x:v>
      </x:c>
      <x:c r="D77" s="6" t="str">
        <x:v>ps-3</x:v>
      </x:c>
    </x:row>
    <x:row r="78" ht="35" customHeight="1">
      <x:c r="A78" s="6" t="str">
        <x:v>PS-4</x:v>
      </x:c>
      <x:c r="B78" s="6" t="str">
        <x:v>Personnel Termination</x:v>
      </x:c>
      <x:c r="C78" s="6" t="str">
        <x:v>NIST-OSCAL</x:v>
      </x:c>
      <x:c r="D78" s="6" t="str">
        <x:v>ps-4</x:v>
      </x:c>
    </x:row>
    <x:row r="79" ht="35" customHeight="1">
      <x:c r="A79" s="6" t="str">
        <x:v>PS-5</x:v>
      </x:c>
      <x:c r="B79" s="6" t="str">
        <x:v>Personnel Transfer</x:v>
      </x:c>
      <x:c r="C79" s="6" t="str">
        <x:v>NIST-OSCAL</x:v>
      </x:c>
      <x:c r="D79" s="6" t="str">
        <x:v>ps-5</x:v>
      </x:c>
    </x:row>
    <x:row r="80" ht="35" customHeight="1">
      <x:c r="A80" s="6" t="str">
        <x:v>PS-6</x:v>
      </x:c>
      <x:c r="B80" s="6" t="str">
        <x:v>Access Agreements</x:v>
      </x:c>
      <x:c r="C80" s="6" t="str">
        <x:v>NIST-OSCAL</x:v>
      </x:c>
      <x:c r="D80" s="6" t="str">
        <x:v>ps-6</x:v>
      </x:c>
    </x:row>
    <x:row r="81" ht="35" customHeight="1">
      <x:c r="A81" s="6" t="str">
        <x:v>PS-7</x:v>
      </x:c>
      <x:c r="B81" s="6" t="str">
        <x:v>External Personnel Security</x:v>
      </x:c>
      <x:c r="C81" s="6" t="str">
        <x:v>NIST-OSCAL</x:v>
      </x:c>
      <x:c r="D81" s="6" t="str">
        <x:v>ps-7</x:v>
      </x:c>
    </x:row>
    <x:row r="82" ht="35" customHeight="1">
      <x:c r="A82" s="6" t="str">
        <x:v>PS-8</x:v>
      </x:c>
      <x:c r="B82" s="6" t="str">
        <x:v>Personnel Sanctions</x:v>
      </x:c>
      <x:c r="C82" s="6" t="str">
        <x:v>NIST-OSCAL</x:v>
      </x:c>
      <x:c r="D82" s="6" t="str">
        <x:v>ps-8</x:v>
      </x:c>
    </x:row>
    <x:row r="83" ht="35" customHeight="1">
      <x:c r="A83" s="6" t="str">
        <x:v>PT-3</x:v>
      </x:c>
      <x:c r="B83" s="6" t="str">
        <x:v>Personally Identifiable Information Processing Purposes</x:v>
      </x:c>
      <x:c r="C83" s="6" t="str">
        <x:v>NIST-OSCAL</x:v>
      </x:c>
      <x:c r="D83" s="6" t="str">
        <x:v>pt-3</x:v>
      </x:c>
    </x:row>
    <x:row r="84" ht="35" customHeight="1">
      <x:c r="A84" s="6" t="str">
        <x:v>RA-3</x:v>
      </x:c>
      <x:c r="B84" s="6" t="str">
        <x:v>Risk Assessment</x:v>
      </x:c>
      <x:c r="C84" s="6" t="str">
        <x:v>NIST-OSCAL</x:v>
      </x:c>
      <x:c r="D84" s="6" t="str">
        <x:v>ra-3</x:v>
      </x:c>
    </x:row>
    <x:row r="85" ht="35" customHeight="1">
      <x:c r="A85" s="6" t="str">
        <x:v>RA-5</x:v>
      </x:c>
      <x:c r="B85" s="6" t="str">
        <x:v>Vulnerability Monitoring and Scanning</x:v>
      </x:c>
      <x:c r="C85" s="6" t="str">
        <x:v>NIST-OSCAL</x:v>
      </x:c>
      <x:c r="D85" s="6" t="str">
        <x:v>ra-5</x:v>
      </x:c>
    </x:row>
    <x:row r="86" ht="35" customHeight="1">
      <x:c r="A86" s="6" t="str">
        <x:v>RA-7</x:v>
      </x:c>
      <x:c r="B86" s="6" t="str">
        <x:v>Risk Response</x:v>
      </x:c>
      <x:c r="C86" s="6" t="str">
        <x:v>NIST-OSCAL</x:v>
      </x:c>
      <x:c r="D86" s="6" t="str">
        <x:v>ra-7</x:v>
      </x:c>
    </x:row>
    <x:row r="87" ht="35" customHeight="1">
      <x:c r="A87" s="6" t="str">
        <x:v>SA-11</x:v>
      </x:c>
      <x:c r="B87" s="6" t="str">
        <x:v>Developer Testing and Evaluation</x:v>
      </x:c>
      <x:c r="C87" s="6" t="str">
        <x:v>NIST-OSCAL</x:v>
      </x:c>
      <x:c r="D87" s="6" t="str">
        <x:v>sa-11</x:v>
      </x:c>
    </x:row>
    <x:row r="88" ht="35" customHeight="1">
      <x:c r="A88" s="6" t="str">
        <x:v>SA-22</x:v>
      </x:c>
      <x:c r="B88" s="6" t="str">
        <x:v>Unsupported System Components</x:v>
      </x:c>
      <x:c r="C88" s="6" t="str">
        <x:v>NIST-OSCAL</x:v>
      </x:c>
      <x:c r="D88" s="6" t="str">
        <x:v>sa-22</x:v>
      </x:c>
    </x:row>
    <x:row r="89" ht="35" customHeight="1">
      <x:c r="A89" s="6" t="str">
        <x:v>SA-4</x:v>
      </x:c>
      <x:c r="B89" s="6" t="str">
        <x:v>Acquisition Process</x:v>
      </x:c>
      <x:c r="C89" s="6" t="str">
        <x:v>NIST-OSCAL</x:v>
      </x:c>
      <x:c r="D89" s="6" t="str">
        <x:v>sa-4</x:v>
      </x:c>
    </x:row>
    <x:row r="90" ht="35" customHeight="1">
      <x:c r="A90" s="6" t="str">
        <x:v>SA-5</x:v>
      </x:c>
      <x:c r="B90" s="6" t="str">
        <x:v>System Documentation</x:v>
      </x:c>
      <x:c r="C90" s="6" t="str">
        <x:v>NIST-OSCAL</x:v>
      </x:c>
      <x:c r="D90" s="6" t="str">
        <x:v>sa-5</x:v>
      </x:c>
    </x:row>
    <x:row r="91" ht="35" customHeight="1">
      <x:c r="A91" s="6" t="str">
        <x:v>SA-8</x:v>
      </x:c>
      <x:c r="B91" s="6" t="str">
        <x:v>Security and Privacy Engineering Principles</x:v>
      </x:c>
      <x:c r="C91" s="6" t="str">
        <x:v>NIST-OSCAL</x:v>
      </x:c>
      <x:c r="D91" s="6" t="str">
        <x:v>sa-8</x:v>
      </x:c>
    </x:row>
    <x:row r="92" ht="35" customHeight="1">
      <x:c r="A92" s="6" t="str">
        <x:v>SA-9</x:v>
      </x:c>
      <x:c r="B92" s="6" t="str">
        <x:v>External System Services</x:v>
      </x:c>
      <x:c r="C92" s="6" t="str">
        <x:v>NIST-OSCAL</x:v>
      </x:c>
      <x:c r="D92" s="6" t="str">
        <x:v>sa-9</x:v>
      </x:c>
    </x:row>
    <x:row r="93" ht="35" customHeight="1">
      <x:c r="A93" s="6" t="str">
        <x:v>SC-12</x:v>
      </x:c>
      <x:c r="B93" s="6" t="str">
        <x:v>Cryptographic Key Establishment and Management</x:v>
      </x:c>
      <x:c r="C93" s="6" t="str">
        <x:v>NIST-OSCAL</x:v>
      </x:c>
      <x:c r="D93" s="6" t="str">
        <x:v>sc-12</x:v>
      </x:c>
    </x:row>
    <x:row r="94" ht="35" customHeight="1">
      <x:c r="A94" s="6" t="str">
        <x:v>SC-13</x:v>
      </x:c>
      <x:c r="B94" s="6" t="str">
        <x:v>Cryptographic Protection</x:v>
      </x:c>
      <x:c r="C94" s="6" t="str">
        <x:v>NIST-OSCAL</x:v>
      </x:c>
      <x:c r="D94" s="6" t="str">
        <x:v>sc-13</x:v>
      </x:c>
    </x:row>
    <x:row r="95" ht="35" customHeight="1">
      <x:c r="A95" s="6" t="str">
        <x:v>SC-17</x:v>
      </x:c>
      <x:c r="B95" s="6" t="str">
        <x:v>Public Key Infrastructure Certificates</x:v>
      </x:c>
      <x:c r="C95" s="6" t="str">
        <x:v>NIST-OSCAL</x:v>
      </x:c>
      <x:c r="D95" s="6" t="str">
        <x:v>sc-17</x:v>
      </x:c>
    </x:row>
    <x:row r="96" ht="35" customHeight="1">
      <x:c r="A96" s="6" t="str">
        <x:v>SC-2</x:v>
      </x:c>
      <x:c r="B96" s="6" t="str">
        <x:v>Separation of System and User Functionality</x:v>
      </x:c>
      <x:c r="C96" s="6" t="str">
        <x:v>NIST-OSCAL</x:v>
      </x:c>
      <x:c r="D96" s="6" t="str">
        <x:v>sc-2</x:v>
      </x:c>
    </x:row>
    <x:row r="97" ht="35" customHeight="1">
      <x:c r="A97" s="6" t="str">
        <x:v>SC-20</x:v>
      </x:c>
      <x:c r="B97" s="6" t="str">
        <x:v>Secure Name/Address Resolution Service (Authoritative Source)</x:v>
      </x:c>
      <x:c r="C97" s="6" t="str">
        <x:v>NIST-OSCAL</x:v>
      </x:c>
      <x:c r="D97" s="6" t="str">
        <x:v>sc-20</x:v>
      </x:c>
    </x:row>
    <x:row r="98" ht="35" customHeight="1">
      <x:c r="A98" s="6" t="str">
        <x:v>SC-23</x:v>
      </x:c>
      <x:c r="B98" s="6" t="str">
        <x:v>Session Authenticity</x:v>
      </x:c>
      <x:c r="C98" s="6" t="str">
        <x:v>NIST-OSCAL</x:v>
      </x:c>
      <x:c r="D98" s="6" t="str">
        <x:v>sc-23</x:v>
      </x:c>
    </x:row>
    <x:row r="99" ht="35" customHeight="1">
      <x:c r="A99" s="6" t="str">
        <x:v>SC-24</x:v>
      </x:c>
      <x:c r="B99" s="6" t="str">
        <x:v>Fail in Known State</x:v>
      </x:c>
      <x:c r="C99" s="6" t="str">
        <x:v>NIST-OSCAL</x:v>
      </x:c>
      <x:c r="D99" s="6" t="str">
        <x:v>sc-24</x:v>
      </x:c>
    </x:row>
    <x:row r="100" ht="35" customHeight="1">
      <x:c r="A100" s="6" t="str">
        <x:v>SC-28</x:v>
      </x:c>
      <x:c r="B100" s="6" t="str">
        <x:v>Protection of Information at Rest</x:v>
      </x:c>
      <x:c r="C100" s="6" t="str">
        <x:v>NIST-OSCAL</x:v>
      </x:c>
      <x:c r="D100" s="6" t="str">
        <x:v>sc-28</x:v>
      </x:c>
    </x:row>
    <x:row r="101" ht="35" customHeight="1">
      <x:c r="A101" s="6" t="str">
        <x:v>SC-3</x:v>
      </x:c>
      <x:c r="B101" s="6" t="str">
        <x:v>Security Function Isolation</x:v>
      </x:c>
      <x:c r="C101" s="6" t="str">
        <x:v>NIST-OSCAL</x:v>
      </x:c>
      <x:c r="D101" s="6" t="str">
        <x:v>sc-3</x:v>
      </x:c>
    </x:row>
    <x:row r="102" ht="35" customHeight="1">
      <x:c r="A102" s="6" t="str">
        <x:v>SC-32</x:v>
      </x:c>
      <x:c r="B102" s="6" t="str">
        <x:v>System Partitioning</x:v>
      </x:c>
      <x:c r="C102" s="6" t="str">
        <x:v>NIST-OSCAL</x:v>
      </x:c>
      <x:c r="D102" s="6" t="str">
        <x:v>sc-32</x:v>
      </x:c>
    </x:row>
    <x:row r="103" ht="35" customHeight="1">
      <x:c r="A103" s="6" t="str">
        <x:v>SC-39</x:v>
      </x:c>
      <x:c r="B103" s="6" t="str">
        <x:v>Process Isolation</x:v>
      </x:c>
      <x:c r="C103" s="6" t="str">
        <x:v>NIST-OSCAL</x:v>
      </x:c>
      <x:c r="D103" s="6" t="str">
        <x:v>sc-39</x:v>
      </x:c>
    </x:row>
    <x:row r="104" ht="35" customHeight="1">
      <x:c r="A104" s="6" t="str">
        <x:v>SC-4</x:v>
      </x:c>
      <x:c r="B104" s="6" t="str">
        <x:v>Information in Shared System Resources</x:v>
      </x:c>
      <x:c r="C104" s="6" t="str">
        <x:v>NIST-OSCAL</x:v>
      </x:c>
      <x:c r="D104" s="6" t="str">
        <x:v>sc-4</x:v>
      </x:c>
    </x:row>
    <x:row r="105" ht="35" customHeight="1">
      <x:c r="A105" s="6" t="str">
        <x:v>SC-45</x:v>
      </x:c>
      <x:c r="B105" s="6" t="str">
        <x:v>System Time Synchronization</x:v>
      </x:c>
      <x:c r="C105" s="6" t="str">
        <x:v>NIST-OSCAL</x:v>
      </x:c>
      <x:c r="D105" s="6" t="str">
        <x:v>sc-45</x:v>
      </x:c>
    </x:row>
    <x:row r="106" ht="35" customHeight="1">
      <x:c r="A106" s="6" t="str">
        <x:v>SC-5</x:v>
      </x:c>
      <x:c r="B106" s="6" t="str">
        <x:v>Denial-of-service Protection</x:v>
      </x:c>
      <x:c r="C106" s="6" t="str">
        <x:v>NIST-OSCAL</x:v>
      </x:c>
      <x:c r="D106" s="6" t="str">
        <x:v>sc-5</x:v>
      </x:c>
    </x:row>
    <x:row r="107" ht="35" customHeight="1">
      <x:c r="A107" s="6" t="str">
        <x:v>SC-6</x:v>
      </x:c>
      <x:c r="B107" s="6" t="str">
        <x:v>Resource Availability</x:v>
      </x:c>
      <x:c r="C107" s="6" t="str">
        <x:v>NIST-OSCAL</x:v>
      </x:c>
      <x:c r="D107" s="6" t="str">
        <x:v>sc-6</x:v>
      </x:c>
    </x:row>
    <x:row r="108" ht="35" customHeight="1">
      <x:c r="A108" s="6" t="str">
        <x:v>SC-7</x:v>
      </x:c>
      <x:c r="B108" s="6" t="str">
        <x:v>Boundary Protection</x:v>
      </x:c>
      <x:c r="C108" s="6" t="str">
        <x:v>NIST-OSCAL</x:v>
      </x:c>
      <x:c r="D108" s="6" t="str">
        <x:v>sc-7</x:v>
      </x:c>
    </x:row>
    <x:row r="109" ht="35" customHeight="1">
      <x:c r="A109" s="6" t="str">
        <x:v>SC-8</x:v>
      </x:c>
      <x:c r="B109" s="6" t="str">
        <x:v>Transmission Confidentiality and Integrity</x:v>
      </x:c>
      <x:c r="C109" s="6" t="str">
        <x:v>NIST-OSCAL</x:v>
      </x:c>
      <x:c r="D109" s="6" t="str">
        <x:v>sc-8</x:v>
      </x:c>
    </x:row>
    <x:row r="110" ht="35" customHeight="1">
      <x:c r="A110" s="6" t="str">
        <x:v>SI-10</x:v>
      </x:c>
      <x:c r="B110" s="6" t="str">
        <x:v>Information Input Validation</x:v>
      </x:c>
      <x:c r="C110" s="6" t="str">
        <x:v>NIST-OSCAL</x:v>
      </x:c>
      <x:c r="D110" s="6" t="str">
        <x:v>si-10</x:v>
      </x:c>
    </x:row>
    <x:row r="111" ht="35" customHeight="1">
      <x:c r="A111" s="6" t="str">
        <x:v>SI-11</x:v>
      </x:c>
      <x:c r="B111" s="6" t="str">
        <x:v>Error Handling</x:v>
      </x:c>
      <x:c r="C111" s="6" t="str">
        <x:v>NIST-OSCAL</x:v>
      </x:c>
      <x:c r="D111" s="6" t="str">
        <x:v>si-11</x:v>
      </x:c>
    </x:row>
    <x:row r="112" ht="35" customHeight="1">
      <x:c r="A112" s="6" t="str">
        <x:v>SI-12</x:v>
      </x:c>
      <x:c r="B112" s="6" t="str">
        <x:v>Information Management and Retention</x:v>
      </x:c>
      <x:c r="C112" s="6" t="str">
        <x:v>NIST-OSCAL</x:v>
      </x:c>
      <x:c r="D112" s="6" t="str">
        <x:v>si-12</x:v>
      </x:c>
    </x:row>
    <x:row r="113" ht="35" customHeight="1">
      <x:c r="A113" s="6" t="str">
        <x:v>SI-13</x:v>
      </x:c>
      <x:c r="B113" s="6" t="str">
        <x:v>Predictable Failure Prevention</x:v>
      </x:c>
      <x:c r="C113" s="6" t="str">
        <x:v>NIST-OSCAL</x:v>
      </x:c>
      <x:c r="D113" s="6" t="str">
        <x:v>si-13</x:v>
      </x:c>
    </x:row>
    <x:row r="114" ht="35" customHeight="1">
      <x:c r="A114" s="6" t="str">
        <x:v>SI-2</x:v>
      </x:c>
      <x:c r="B114" s="6" t="str">
        <x:v>Flaw Remediation</x:v>
      </x:c>
      <x:c r="C114" s="6" t="str">
        <x:v>NIST-OSCAL</x:v>
      </x:c>
      <x:c r="D114" s="6" t="str">
        <x:v>si-2</x:v>
      </x:c>
    </x:row>
    <x:row r="115" ht="35" customHeight="1">
      <x:c r="A115" s="6" t="str">
        <x:v>SI-3</x:v>
      </x:c>
      <x:c r="B115" s="6" t="str">
        <x:v>Malicious Code Protection</x:v>
      </x:c>
      <x:c r="C115" s="6" t="str">
        <x:v>NIST-OSCAL</x:v>
      </x:c>
      <x:c r="D115" s="6" t="str">
        <x:v>si-3</x:v>
      </x:c>
    </x:row>
    <x:row r="116" ht="35" customHeight="1">
      <x:c r="A116" s="6" t="str">
        <x:v>SI-4</x:v>
      </x:c>
      <x:c r="B116" s="6" t="str">
        <x:v>System Monitoring</x:v>
      </x:c>
      <x:c r="C116" s="6" t="str">
        <x:v>NIST-OSCAL</x:v>
      </x:c>
      <x:c r="D116" s="6" t="str">
        <x:v>si-4</x:v>
      </x:c>
    </x:row>
    <x:row r="117" ht="35" customHeight="1">
      <x:c r="A117" s="6" t="str">
        <x:v>SI-5</x:v>
      </x:c>
      <x:c r="B117" s="6" t="str">
        <x:v>Security Alerts, Advisories, and Directives</x:v>
      </x:c>
      <x:c r="C117" s="6" t="str">
        <x:v>NIST-OSCAL</x:v>
      </x:c>
      <x:c r="D117" s="6" t="str">
        <x:v>si-5</x:v>
      </x:c>
    </x:row>
    <x:row r="118" ht="35" customHeight="1">
      <x:c r="A118" s="6" t="str">
        <x:v>SI-7</x:v>
      </x:c>
      <x:c r="B118" s="6" t="str">
        <x:v>Software, Firmware, and Information Integrity</x:v>
      </x:c>
      <x:c r="C118" s="6" t="str">
        <x:v>NIST-OSCAL</x:v>
      </x:c>
      <x:c r="D118" s="6" t="str">
        <x:v>si-7</x:v>
      </x:c>
    </x:row>
    <x:row r="119" ht="35" customHeight="1">
      <x:c r="A119" s="6" t="str">
        <x:v>SI-8</x:v>
      </x:c>
      <x:c r="B119" s="6" t="str">
        <x:v>Spam Protection</x:v>
      </x:c>
      <x:c r="C119" s="6" t="str">
        <x:v>NIST-OSCAL</x:v>
      </x:c>
      <x:c r="D119" s="6" t="str">
        <x:v>si-8</x:v>
      </x:c>
    </x:row>
    <x:row r="120" ht="35" customHeight="1">
      <x:c r="A120" s="6" t="str">
        <x:v>SR-11</x:v>
      </x:c>
      <x:c r="B120" s="6" t="str">
        <x:v>Component Authenticity</x:v>
      </x:c>
      <x:c r="C120" s="6" t="str">
        <x:v>NIST-OSCAL</x:v>
      </x:c>
      <x:c r="D120" s="6" t="str">
        <x:v>sr-11</x:v>
      </x:c>
    </x:row>
    <x:row r="121" ht="35" customHeight="1">
      <x:c r="A121" s="6" t="str">
        <x:v>SR-2</x:v>
      </x:c>
      <x:c r="B121" s="6" t="str">
        <x:v>Supply Chain Risk Management Plan</x:v>
      </x:c>
      <x:c r="C121" s="6" t="str">
        <x:v>NIST-OSCAL</x:v>
      </x:c>
      <x:c r="D121" s="6" t="str">
        <x:v>sr-2</x:v>
      </x:c>
    </x:row>
    <x:row r="122" ht="35" customHeight="1">
      <x:c r="A122" s="6" t="str">
        <x:v>SR-3</x:v>
      </x:c>
      <x:c r="B122" s="6" t="str">
        <x:v>Supply Chain Controls and Processes</x:v>
      </x:c>
      <x:c r="C122" s="6" t="str">
        <x:v>NIST-OSCAL</x:v>
      </x:c>
      <x:c r="D122" s="6" t="str">
        <x:v>sr-3</x:v>
      </x:c>
    </x:row>
    <x:row r="123" ht="35" customHeight="1">
      <x:c r="A123" s="6" t="str">
        <x:v>SR-6</x:v>
      </x:c>
      <x:c r="B123" s="6" t="str">
        <x:v>Supplier Assessments and Reviews</x:v>
      </x:c>
      <x:c r="C123" s="6" t="str">
        <x:v>NIST-OSCAL</x:v>
      </x:c>
      <x:c r="D123" s="6" t="str">
        <x:v>sr-6</x:v>
      </x:c>
    </x:row>
  </x:sheetData>
  <x:pageMargins left="0.7" right="0.7" top="0.75" bottom="0.75" header="0.3" footer="0.3"/>
  <x:tableParts count="1">
    <x:tablePart xmlns:r="http://schemas.openxmlformats.org/officeDocument/2006/relationships" r:id="R87af8770c9a94314"/>
  </x:tableParts>
</x:worksheet>
</file>

<file path=xl/worksheets/sheet3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6" hidden="0" customWidth="1"/>
    <x:col min="2" max="2" width="23" hidden="0" customWidth="1"/>
    <x:col min="3" max="3" width="23" hidden="0" customWidth="1"/>
    <x:col min="4" max="4" width="114" hidden="0" customWidth="1"/>
    <x:col min="5" max="5" width="23" hidden="0" customWidth="1"/>
  </x:cols>
  <x:sheetData>
    <x:row r="1">
      <x:c r="A1" s="1"/>
      <x:c r="B1" s="1"/>
      <x:c r="C1" s="1"/>
      <x:c r="D1" s="1"/>
      <x:c r="E1" s="1"/>
    </x:row>
    <x:row r="2" ht="29" customHeight="1">
      <x:c r="A2" s="2" t="str">
        <x:v>BİGR Konumları</x:v>
      </x:c>
      <x:c r="B2" s="2"/>
      <x:c r="C2" s="2"/>
      <x:c r="D2" s="2"/>
      <x:c r="E2" s="2"/>
    </x:row>
    <x:row r="3" ht="8" customHeight="1">
      <x:c r="A3" s="3"/>
      <x:c r="B3" s="3"/>
      <x:c r="C3" s="3"/>
      <x:c r="D3" s="3"/>
      <x:c r="E3" s="3"/>
    </x:row>
    <x:row r="4" ht="24" customHeight="1">
      <x:c r="A4" s="4" t="str">
        <x:v>BİGR v1.1 kullanıcı nüshası. Özellikle 3.1.8 bölümü PDF 63 / basılı 59’dadır.</x:v>
      </x:c>
      <x:c r="B4" s="4"/>
      <x:c r="C4" s="4"/>
      <x:c r="D4" s="4"/>
      <x:c r="E4" s="4"/>
    </x:row>
    <x:row r="5" ht="36" customHeight="1">
      <x:c r="A5" s="10" t="str">
        <x:v>Bölüm</x:v>
      </x:c>
      <x:c r="B5" s="10" t="str">
        <x:v>Basılı sayfa</x:v>
      </x:c>
      <x:c r="C5" s="10" t="str">
        <x:v>PDF sayfası</x:v>
      </x:c>
      <x:c r="D5" s="10" t="str">
        <x:v>Konumun anlamı</x:v>
      </x:c>
      <x:c r="E5" s="10" t="str">
        <x:v>KaynakID</x:v>
      </x:c>
    </x:row>
    <x:row r="6" ht="35" customHeight="1">
      <x:c r="A6" s="6" t="str">
        <x:v>2.1.1</x:v>
      </x:c>
      <x:c r="B6" s="6" t="n">
        <x:v>21</x:v>
      </x:c>
      <x:c r="C6" s="6" t="n">
        <x:v>25</x:v>
      </x:c>
      <x:c r="D6" s="6" t="str">
        <x:v>Bölüm başlangıcı; tekil tedbir uygunluğu veya seviyesi bu satırdan türetilmez.</x:v>
      </x:c>
      <x:c r="E6" s="6" t="str">
        <x:v>BIGR</x:v>
      </x:c>
    </x:row>
    <x:row r="7" ht="35" customHeight="1">
      <x:c r="A7" s="6" t="str">
        <x:v>2.1.2</x:v>
      </x:c>
      <x:c r="B7" s="6" t="n">
        <x:v>24</x:v>
      </x:c>
      <x:c r="C7" s="6" t="n">
        <x:v>28</x:v>
      </x:c>
      <x:c r="D7" s="6" t="str">
        <x:v>Bölüm başlangıcı; tekil tedbir uygunluğu veya seviyesi bu satırdan türetilmez.</x:v>
      </x:c>
      <x:c r="E7" s="6" t="str">
        <x:v>BIGR</x:v>
      </x:c>
    </x:row>
    <x:row r="8" ht="35" customHeight="1">
      <x:c r="A8" s="6" t="str">
        <x:v>2.1.3</x:v>
      </x:c>
      <x:c r="B8" s="6" t="n">
        <x:v>27</x:v>
      </x:c>
      <x:c r="C8" s="6" t="n">
        <x:v>31</x:v>
      </x:c>
      <x:c r="D8" s="6" t="str">
        <x:v>Bölüm başlangıcı; tekil tedbir uygunluğu veya seviyesi bu satırdan türetilmez.</x:v>
      </x:c>
      <x:c r="E8" s="6" t="str">
        <x:v>BIGR</x:v>
      </x:c>
    </x:row>
    <x:row r="9" ht="35" customHeight="1">
      <x:c r="A9" s="6" t="str">
        <x:v>3.1.1</x:v>
      </x:c>
      <x:c r="B9" s="6" t="n">
        <x:v>36</x:v>
      </x:c>
      <x:c r="C9" s="6" t="n">
        <x:v>40</x:v>
      </x:c>
      <x:c r="D9" s="6" t="str">
        <x:v>Bölüm başlangıcı; tekil tedbir uygunluğu veya seviyesi bu satırdan türetilmez.</x:v>
      </x:c>
      <x:c r="E9" s="6" t="str">
        <x:v>BIGR</x:v>
      </x:c>
    </x:row>
    <x:row r="10" ht="35" customHeight="1">
      <x:c r="A10" s="6" t="str">
        <x:v>3.1.2</x:v>
      </x:c>
      <x:c r="B10" s="6" t="n">
        <x:v>38</x:v>
      </x:c>
      <x:c r="C10" s="6" t="n">
        <x:v>42</x:v>
      </x:c>
      <x:c r="D10" s="6" t="str">
        <x:v>Bölüm başlangıcı; tekil tedbir uygunluğu veya seviyesi bu satırdan türetilmez.</x:v>
      </x:c>
      <x:c r="E10" s="6" t="str">
        <x:v>BIGR</x:v>
      </x:c>
    </x:row>
    <x:row r="11" ht="35" customHeight="1">
      <x:c r="A11" s="6" t="str">
        <x:v>3.1.3</x:v>
      </x:c>
      <x:c r="B11" s="6" t="n">
        <x:v>40</x:v>
      </x:c>
      <x:c r="C11" s="6" t="n">
        <x:v>44</x:v>
      </x:c>
      <x:c r="D11" s="6" t="str">
        <x:v>Bölüm başlangıcı; tekil tedbir uygunluğu veya seviyesi bu satırdan türetilmez.</x:v>
      </x:c>
      <x:c r="E11" s="6" t="str">
        <x:v>BIGR</x:v>
      </x:c>
    </x:row>
    <x:row r="12" ht="35" customHeight="1">
      <x:c r="A12" s="6" t="str">
        <x:v>3.1.4</x:v>
      </x:c>
      <x:c r="B12" s="6" t="n">
        <x:v>44</x:v>
      </x:c>
      <x:c r="C12" s="6" t="n">
        <x:v>48</x:v>
      </x:c>
      <x:c r="D12" s="6" t="str">
        <x:v>Bölüm başlangıcı; tekil tedbir uygunluğu veya seviyesi bu satırdan türetilmez.</x:v>
      </x:c>
      <x:c r="E12" s="6" t="str">
        <x:v>BIGR</x:v>
      </x:c>
    </x:row>
    <x:row r="13" ht="35" customHeight="1">
      <x:c r="A13" s="6" t="str">
        <x:v>3.1.5</x:v>
      </x:c>
      <x:c r="B13" s="6" t="n">
        <x:v>47</x:v>
      </x:c>
      <x:c r="C13" s="6" t="n">
        <x:v>51</x:v>
      </x:c>
      <x:c r="D13" s="6" t="str">
        <x:v>Bölüm başlangıcı; tekil tedbir uygunluğu veya seviyesi bu satırdan türetilmez.</x:v>
      </x:c>
      <x:c r="E13" s="6" t="str">
        <x:v>BIGR</x:v>
      </x:c>
    </x:row>
    <x:row r="14" ht="35" customHeight="1">
      <x:c r="A14" s="6" t="str">
        <x:v>3.1.6</x:v>
      </x:c>
      <x:c r="B14" s="6" t="n">
        <x:v>49</x:v>
      </x:c>
      <x:c r="C14" s="6" t="n">
        <x:v>53</x:v>
      </x:c>
      <x:c r="D14" s="6" t="str">
        <x:v>Bölüm başlangıcı; tekil tedbir uygunluğu veya seviyesi bu satırdan türetilmez.</x:v>
      </x:c>
      <x:c r="E14" s="6" t="str">
        <x:v>BIGR</x:v>
      </x:c>
    </x:row>
    <x:row r="15" ht="35" customHeight="1">
      <x:c r="A15" s="6" t="str">
        <x:v>3.1.7</x:v>
      </x:c>
      <x:c r="B15" s="6" t="n">
        <x:v>57</x:v>
      </x:c>
      <x:c r="C15" s="6" t="n">
        <x:v>61</x:v>
      </x:c>
      <x:c r="D15" s="6" t="str">
        <x:v>Bölüm başlangıcı; tekil tedbir uygunluğu veya seviyesi bu satırdan türetilmez.</x:v>
      </x:c>
      <x:c r="E15" s="6" t="str">
        <x:v>BIGR</x:v>
      </x:c>
    </x:row>
    <x:row r="16" ht="35" customHeight="1">
      <x:c r="A16" s="6" t="str">
        <x:v>3.1.8</x:v>
      </x:c>
      <x:c r="B16" s="6" t="n">
        <x:v>59</x:v>
      </x:c>
      <x:c r="C16" s="6" t="n">
        <x:v>63</x:v>
      </x:c>
      <x:c r="D16" s="6" t="str">
        <x:v>Bölüm başlangıcı; tekil tedbir uygunluğu veya seviyesi bu satırdan türetilmez.</x:v>
      </x:c>
      <x:c r="E16" s="6" t="str">
        <x:v>BIGR</x:v>
      </x:c>
    </x:row>
    <x:row r="17" ht="35" customHeight="1">
      <x:c r="A17" s="6" t="str">
        <x:v>3.1.9</x:v>
      </x:c>
      <x:c r="B17" s="6" t="n">
        <x:v>61</x:v>
      </x:c>
      <x:c r="C17" s="6" t="n">
        <x:v>65</x:v>
      </x:c>
      <x:c r="D17" s="6" t="str">
        <x:v>Bölüm başlangıcı; tekil tedbir uygunluğu veya seviyesi bu satırdan türetilmez.</x:v>
      </x:c>
      <x:c r="E17" s="6" t="str">
        <x:v>BIGR</x:v>
      </x:c>
    </x:row>
    <x:row r="18" ht="35" customHeight="1">
      <x:c r="A18" s="6" t="str">
        <x:v>3.1.10</x:v>
      </x:c>
      <x:c r="B18" s="6" t="n">
        <x:v>64</x:v>
      </x:c>
      <x:c r="C18" s="6" t="n">
        <x:v>68</x:v>
      </x:c>
      <x:c r="D18" s="6" t="str">
        <x:v>Bölüm başlangıcı; tekil tedbir uygunluğu veya seviyesi bu satırdan türetilmez.</x:v>
      </x:c>
      <x:c r="E18" s="6" t="str">
        <x:v>BIGR</x:v>
      </x:c>
    </x:row>
    <x:row r="19" ht="35" customHeight="1">
      <x:c r="A19" s="6" t="str">
        <x:v>3.1.11</x:v>
      </x:c>
      <x:c r="B19" s="6" t="n">
        <x:v>66</x:v>
      </x:c>
      <x:c r="C19" s="6" t="n">
        <x:v>70</x:v>
      </x:c>
      <x:c r="D19" s="6" t="str">
        <x:v>Bölüm başlangıcı; tekil tedbir uygunluğu veya seviyesi bu satırdan türetilmez.</x:v>
      </x:c>
      <x:c r="E19" s="6" t="str">
        <x:v>BIGR</x:v>
      </x:c>
    </x:row>
    <x:row r="20" ht="35" customHeight="1">
      <x:c r="A20" s="6" t="str">
        <x:v>3.1.12</x:v>
      </x:c>
      <x:c r="B20" s="6" t="n">
        <x:v>68</x:v>
      </x:c>
      <x:c r="C20" s="6" t="n">
        <x:v>72</x:v>
      </x:c>
      <x:c r="D20" s="6" t="str">
        <x:v>Bölüm başlangıcı; tekil tedbir uygunluğu veya seviyesi bu satırdan türetilmez.</x:v>
      </x:c>
      <x:c r="E20" s="6" t="str">
        <x:v>BIGR</x:v>
      </x:c>
    </x:row>
    <x:row r="21" ht="35" customHeight="1">
      <x:c r="A21" s="6" t="str">
        <x:v>3.1.13</x:v>
      </x:c>
      <x:c r="B21" s="6" t="n">
        <x:v>74</x:v>
      </x:c>
      <x:c r="C21" s="6" t="n">
        <x:v>78</x:v>
      </x:c>
      <x:c r="D21" s="6" t="str">
        <x:v>Bölüm başlangıcı; tekil tedbir uygunluğu veya seviyesi bu satırdan türetilmez.</x:v>
      </x:c>
      <x:c r="E21" s="6" t="str">
        <x:v>BIGR</x:v>
      </x:c>
    </x:row>
    <x:row r="22" ht="35" customHeight="1">
      <x:c r="A22" s="6" t="str">
        <x:v>3.5</x:v>
      </x:c>
      <x:c r="B22" s="6" t="n">
        <x:v>128</x:v>
      </x:c>
      <x:c r="C22" s="6" t="n">
        <x:v>132</x:v>
      </x:c>
      <x:c r="D22" s="6" t="str">
        <x:v>Bölüm başlangıcı; tekil tedbir uygunluğu veya seviyesi bu satırdan türetilmez.</x:v>
      </x:c>
      <x:c r="E22" s="6" t="str">
        <x:v>BIGR</x:v>
      </x:c>
    </x:row>
    <x:row r="23" ht="35" customHeight="1">
      <x:c r="A23" s="6" t="str">
        <x:v>3.6.1</x:v>
      </x:c>
      <x:c r="B23" s="6" t="n">
        <x:v>135</x:v>
      </x:c>
      <x:c r="C23" s="6" t="n">
        <x:v>139</x:v>
      </x:c>
      <x:c r="D23" s="6" t="str">
        <x:v>Bölüm başlangıcı; tekil tedbir uygunluğu veya seviyesi bu satırdan türetilmez.</x:v>
      </x:c>
      <x:c r="E23" s="6" t="str">
        <x:v>BIGR</x:v>
      </x:c>
    </x:row>
    <x:row r="24" ht="35" customHeight="1">
      <x:c r="A24" s="6" t="str">
        <x:v>3.6.2</x:v>
      </x:c>
      <x:c r="B24" s="6" t="n">
        <x:v>141</x:v>
      </x:c>
      <x:c r="C24" s="6" t="n">
        <x:v>145</x:v>
      </x:c>
      <x:c r="D24" s="6" t="str">
        <x:v>Bölüm başlangıcı; tekil tedbir uygunluğu veya seviyesi bu satırdan türetilmez.</x:v>
      </x:c>
      <x:c r="E24" s="6" t="str">
        <x:v>BIGR</x:v>
      </x:c>
    </x:row>
    <x:row r="25" ht="35" customHeight="1">
      <x:c r="A25" s="6" t="str">
        <x:v>4.3.1</x:v>
      </x:c>
      <x:c r="B25" s="6" t="n">
        <x:v>164</x:v>
      </x:c>
      <x:c r="C25" s="6" t="n">
        <x:v>168</x:v>
      </x:c>
      <x:c r="D25" s="6" t="str">
        <x:v>Bölüm başlangıcı; tekil tedbir uygunluğu veya seviyesi bu satırdan türetilmez.</x:v>
      </x:c>
      <x:c r="E25" s="6" t="str">
        <x:v>BIGR</x:v>
      </x:c>
    </x:row>
    <x:row r="26" ht="35" customHeight="1">
      <x:c r="A26" s="6" t="str">
        <x:v>4.4.1</x:v>
      </x:c>
      <x:c r="B26" s="6" t="n">
        <x:v>168</x:v>
      </x:c>
      <x:c r="C26" s="6" t="n">
        <x:v>172</x:v>
      </x:c>
      <x:c r="D26" s="6" t="str">
        <x:v>Bölüm başlangıcı; tekil tedbir uygunluğu veya seviyesi bu satırdan türetilmez.</x:v>
      </x:c>
      <x:c r="E26" s="6" t="str">
        <x:v>BIGR</x:v>
      </x:c>
    </x:row>
    <x:row r="27" ht="35" customHeight="1">
      <x:c r="A27" s="6" t="str">
        <x:v>4.4.2</x:v>
      </x:c>
      <x:c r="B27" s="6" t="n">
        <x:v>170</x:v>
      </x:c>
      <x:c r="C27" s="6" t="n">
        <x:v>174</x:v>
      </x:c>
      <x:c r="D27" s="6" t="str">
        <x:v>Bölüm başlangıcı; tekil tedbir uygunluğu veya seviyesi bu satırdan türetilmez.</x:v>
      </x:c>
      <x:c r="E27" s="6" t="str">
        <x:v>BIGR</x:v>
      </x:c>
    </x:row>
  </x:sheetData>
  <x:pageMargins left="0.7" right="0.7" top="0.75" bottom="0.75" header="0.3" footer="0.3"/>
  <x:tableParts count="1">
    <x:tablePart xmlns:r="http://schemas.openxmlformats.org/officeDocument/2006/relationships" r:id="R758321f7037b4ab6"/>
  </x:tableParts>
</x:worksheet>
</file>

<file path=xl/worksheets/sheet3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6" hidden="0" customWidth="1"/>
    <x:col min="2" max="2" width="72" hidden="0" customWidth="1"/>
    <x:col min="3" max="3" width="99" hidden="0" customWidth="1"/>
    <x:col min="4" max="4" width="54" hidden="0" customWidth="1"/>
  </x:cols>
  <x:sheetData>
    <x:row r="1">
      <x:c r="A1" s="1"/>
      <x:c r="B1" s="1"/>
      <x:c r="C1" s="1"/>
      <x:c r="D1" s="1"/>
    </x:row>
    <x:row r="2" ht="29" customHeight="1">
      <x:c r="A2" s="2" t="str">
        <x:v>Terimler</x:v>
      </x:c>
      <x:c r="B2" s="2"/>
      <x:c r="C2" s="2"/>
      <x:c r="D2" s="2"/>
    </x:row>
    <x:row r="3" ht="8" customHeight="1">
      <x:c r="A3" s="3"/>
      <x:c r="B3" s="3"/>
      <x:c r="C3" s="3"/>
      <x:c r="D3" s="3"/>
    </x:row>
    <x:row r="4" ht="24" customHeight="1">
      <x:c r="A4" s="4" t="str">
        <x:v>Açıklamalar çalışma bağlamındaki kısa karşılıklardır; standart hükümlerinin yerine geçmez.</x:v>
      </x:c>
      <x:c r="B4" s="4"/>
      <x:c r="C4" s="4"/>
      <x:c r="D4" s="4"/>
    </x:row>
    <x:row r="5" ht="36" customHeight="1">
      <x:c r="A5" s="10" t="str">
        <x:v>Terim</x:v>
      </x:c>
      <x:c r="B5" s="10" t="str">
        <x:v>Açılım</x:v>
      </x:c>
      <x:c r="C5" s="10" t="str">
        <x:v>Çalışmadaki anlamı</x:v>
      </x:c>
      <x:c r="D5" s="10" t="str">
        <x:v>Dayanak / kullanım bağlamı</x:v>
      </x:c>
    </x:row>
    <x:row r="6" ht="35" customHeight="1">
      <x:c r="A6" s="6" t="str">
        <x:v>ACL</x:v>
      </x:c>
      <x:c r="B6" s="6" t="str">
        <x:v>Access Control List</x:v>
      </x:c>
      <x:c r="C6" s="6" t="str">
        <x:v>İzin veya ret kurallarını içeren erişim kontrol listesi.</x:v>
      </x:c>
      <x:c r="D6" s="6" t="str">
        <x:v>NIST-53: AC-3</x:v>
      </x:c>
    </x:row>
    <x:row r="7" ht="35" customHeight="1">
      <x:c r="A7" s="6" t="str">
        <x:v>ADMX/ADML</x:v>
      </x:c>
      <x:c r="B7" s="6" t="str">
        <x:v>Administrative Template XML / language files</x:v>
      </x:c>
      <x:c r="C7" s="6" t="str">
        <x:v>Grup ilkesi yönetim şablonu ve dil dosyaları.</x:v>
      </x:c>
      <x:c r="D7" s="6" t="str">
        <x:v>AD-STORE</x:v>
      </x:c>
    </x:row>
    <x:row r="8" ht="35" customHeight="1">
      <x:c r="A8" s="6" t="str">
        <x:v>API</x:v>
      </x:c>
      <x:c r="B8" s="6" t="str">
        <x:v>Application Programming Interface</x:v>
      </x:c>
      <x:c r="C8" s="6" t="str">
        <x:v>Sistemlerin programatik iletişim kurduğu uygulama arayüzü.</x:v>
      </x:c>
      <x:c r="D8" s="6" t="str">
        <x:v>KONG-SEC</x:v>
      </x:c>
    </x:row>
    <x:row r="9" ht="35" customHeight="1">
      <x:c r="A9" s="6" t="str">
        <x:v>AV</x:v>
      </x:c>
      <x:c r="B9" s="6" t="str">
        <x:v>Antivirus</x:v>
      </x:c>
      <x:c r="C9" s="6" t="str">
        <x:v>Zararlı yazılım tespit ve önleme işlevi.</x:v>
      </x:c>
      <x:c r="D9" s="6" t="str">
        <x:v>NIST-53: SI-3</x:v>
      </x:c>
    </x:row>
    <x:row r="10" ht="35" customHeight="1">
      <x:c r="A10" s="6" t="str">
        <x:v>BDDK</x:v>
      </x:c>
      <x:c r="B10" s="6" t="str">
        <x:v>Bankacılık Düzenleme ve Denetleme Kurumu</x:v>
      </x:c>
      <x:c r="C10" s="6" t="str">
        <x:v>Bankacılık düzenleme ve denetim otoritesi.</x:v>
      </x:c>
      <x:c r="D10" s="6" t="str">
        <x:v>BDDK-2020: md.1</x:v>
      </x:c>
    </x:row>
    <x:row r="11" ht="35" customHeight="1">
      <x:c r="A11" s="6" t="str">
        <x:v>BGYS</x:v>
      </x:c>
      <x:c r="B11" s="6" t="str">
        <x:v>Bilgi Güvenliği Yönetim Sistemi</x:v>
      </x:c>
      <x:c r="C11" s="6" t="str">
        <x:v>Bilgi güvenliği risklerini sistematik yönetmek için kurulan yönetim sistemi.</x:v>
      </x:c>
      <x:c r="D11" s="6" t="str">
        <x:v>ISO-01</x:v>
      </x:c>
    </x:row>
    <x:row r="12" ht="35" customHeight="1">
      <x:c r="A12" s="6" t="str">
        <x:v>BİGR</x:v>
      </x:c>
      <x:c r="B12" s="6" t="str">
        <x:v>Bilgi ve İletişim Güvenliği Rehberi</x:v>
      </x:c>
      <x:c r="C12" s="6" t="str">
        <x:v>Bu çalışmada kullanıcının ilettiği 1.1 sürümlü rehber.</x:v>
      </x:c>
      <x:c r="D12" s="6" t="str">
        <x:v>BIGR: PDF 2</x:v>
      </x:c>
    </x:row>
    <x:row r="13" ht="35" customHeight="1">
      <x:c r="A13" s="6" t="str">
        <x:v>BMC</x:v>
      </x:c>
      <x:c r="B13" s="6" t="str">
        <x:v>Baseboard Management Controller</x:v>
      </x:c>
      <x:c r="C13" s="6" t="str">
        <x:v>Sunucu işletim sisteminden ayrı donanım yönetim denetleyicisi.</x:v>
      </x:c>
      <x:c r="D13" s="6" t="str">
        <x:v>CIS-ESX8:1.5</x:v>
      </x:c>
    </x:row>
    <x:row r="14" ht="35" customHeight="1">
      <x:c r="A14" s="6" t="str">
        <x:v>Build</x:v>
      </x:c>
      <x:c r="B14" s="6" t="str">
        <x:v>Derleme sürümü</x:v>
      </x:c>
      <x:c r="C14" s="6" t="str">
        <x:v>Ürünün kurulu düzeltme seviyesini ayırt eden sürüm bilgisi.</x:v>
      </x:c>
      <x:c r="D14" s="6" t="str">
        <x:v>VMW-SCG</x:v>
      </x:c>
    </x:row>
    <x:row r="15" ht="35" customHeight="1">
      <x:c r="A15" s="6" t="str">
        <x:v>CA</x:v>
      </x:c>
      <x:c r="B15" s="6" t="str">
        <x:v>Certificate Authority</x:v>
      </x:c>
      <x:c r="C15" s="6" t="str">
        <x:v>Dijital sertifikaları yayımlayan sertifika otoritesi.</x:v>
      </x:c>
      <x:c r="D15" s="6" t="str">
        <x:v>NIST-53: SC-17</x:v>
      </x:c>
    </x:row>
    <x:row r="16" ht="35" customHeight="1">
      <x:c r="A16" s="6" t="str">
        <x:v>Canary / pilot</x:v>
      </x:c>
      <x:c r="B16" s="6" t="str">
        <x:v>Sınırlı ön dağıtım</x:v>
      </x:c>
      <x:c r="C16" s="6" t="str">
        <x:v>Güncellemeyi geniş dağıtım öncesi temsilci sistemlerde doğrulama yaklaşımı.</x:v>
      </x:c>
      <x:c r="D16" s="6" t="str">
        <x:v>ENS-TEST</x:v>
      </x:c>
    </x:row>
    <x:row r="17" ht="35" customHeight="1">
      <x:c r="A17" s="6" t="str">
        <x:v>CDR</x:v>
      </x:c>
      <x:c r="B17" s="6" t="str">
        <x:v>Content Disarm and Reconstruction</x:v>
      </x:c>
      <x:c r="C17" s="6" t="str">
        <x:v>Dosya içeriğini ayrıştırıp riskli işlevlerini arındırarak yeniden oluşturma.</x:v>
      </x:c>
      <x:c r="D17" s="6" t="str">
        <x:v>CIS-FGT:4.2.7</x:v>
      </x:c>
    </x:row>
    <x:row r="18" ht="35" customHeight="1">
      <x:c r="A18" s="6" t="str">
        <x:v>CIS</x:v>
      </x:c>
      <x:c r="B18" s="6" t="str">
        <x:v>Center for Internet Security</x:v>
      </x:c>
      <x:c r="C18" s="6" t="str">
        <x:v>Güvenli yapılandırma benchmarkları yayımlayan kuruluş.</x:v>
      </x:c>
      <x:c r="D18" s="6" t="str">
        <x:v>CIS-ESXI; CIS-FGT</x:v>
      </x:c>
    </x:row>
    <x:row r="19" ht="35" customHeight="1">
      <x:c r="A19" s="6" t="str">
        <x:v>CMDB</x:v>
      </x:c>
      <x:c r="B19" s="6" t="str">
        <x:v>Configuration Management Database</x:v>
      </x:c>
      <x:c r="C19" s="6" t="str">
        <x:v>Varlık ve yapılandırma kayıtları için kullanılan yönetim veri tabanı.</x:v>
      </x:c>
      <x:c r="D19" s="6" t="str">
        <x:v>NIST-53: CM-8</x:v>
      </x:c>
    </x:row>
    <x:row r="20" ht="35" customHeight="1">
      <x:c r="A20" s="6" t="str">
        <x:v>CPM</x:v>
      </x:c>
      <x:c r="B20" s="6" t="str">
        <x:v>Central Policy Manager</x:v>
      </x:c>
      <x:c r="C20" s="6" t="str">
        <x:v>CyberArk ortamında hesap parolalarının yönetimi ve değişiminde kullanılan bileşen.</x:v>
      </x:c>
      <x:c r="D20" s="6" t="str">
        <x:v>PAM-HARD</x:v>
      </x:c>
    </x:row>
    <x:row r="21" ht="35" customHeight="1">
      <x:c r="A21" s="6" t="str">
        <x:v>CVE</x:v>
      </x:c>
      <x:c r="B21" s="6" t="str">
        <x:v>Common Vulnerabilities and Exposures</x:v>
      </x:c>
      <x:c r="C21" s="6" t="str">
        <x:v>Yayımlanmış güvenlik açığı tanımlayıcısı.</x:v>
      </x:c>
      <x:c r="D21" s="6" t="str">
        <x:v>CVE-DEF</x:v>
      </x:c>
    </x:row>
    <x:row r="22" ht="35" customHeight="1">
      <x:c r="A22" s="6" t="str">
        <x:v>DCUI</x:v>
      </x:c>
      <x:c r="B22" s="6" t="str">
        <x:v>Direct Console User Interface</x:v>
      </x:c>
      <x:c r="C22" s="6" t="str">
        <x:v>ESXi hostuna doğrudan konsoldan erişim arayüzü.</x:v>
      </x:c>
      <x:c r="D22" s="6" t="str">
        <x:v>VMW-SCG</x:v>
      </x:c>
    </x:row>
    <x:row r="23" ht="40" customHeight="1">
      <x:c r="A23" s="6" t="str">
        <x:v>DDO</x:v>
      </x:c>
      <x:c r="B23" s="6" t="str">
        <x:v>Cumhurbaşkanlığı Dijital Dönüşüm Ofisi</x:v>
      </x:c>
      <x:c r="C23" s="6" t="str">
        <x:v>Rehberin önceki kurumsal bağlamı; ekteki güncel sürüm Siber Güvenlik Başkanlığı yayımıdır.</x:v>
      </x:c>
      <x:c r="D23" s="6" t="str">
        <x:v>BIGR: ön sayfalar</x:v>
      </x:c>
    </x:row>
    <x:row r="24" ht="35" customHeight="1">
      <x:c r="A24" s="6" t="str">
        <x:v>DFW</x:v>
      </x:c>
      <x:c r="B24" s="6" t="str">
        <x:v>Distributed Firewall</x:v>
      </x:c>
      <x:c r="C24" s="6" t="str">
        <x:v>NSX üzerinde dağıtılmış güvenlik duvarı işlevi.</x:v>
      </x:c>
      <x:c r="D24" s="6" t="str">
        <x:v>VMW-NSX</x:v>
      </x:c>
    </x:row>
    <x:row r="25" ht="35" customHeight="1">
      <x:c r="A25" s="6" t="str">
        <x:v>DKIM</x:v>
      </x:c>
      <x:c r="B25" s="6" t="str">
        <x:v>DomainKeys Identified Mail</x:v>
      </x:c>
      <x:c r="C25" s="6" t="str">
        <x:v>E-posta iletisinin alan adıyla ilişkili dijital imzasını doğrulama mekanizması.</x:v>
      </x:c>
      <x:c r="D25" s="6" t="str">
        <x:v>ESA-AUTH</x:v>
      </x:c>
    </x:row>
    <x:row r="26" ht="35" customHeight="1">
      <x:c r="A26" s="6" t="str">
        <x:v>DLP</x:v>
      </x:c>
      <x:c r="B26" s="6" t="str">
        <x:v>Data Loss Prevention</x:v>
      </x:c>
      <x:c r="C26" s="6" t="str">
        <x:v>Hassas verinin yetkisiz aktarımını tespit ve önleme kontrolleri.</x:v>
      </x:c>
      <x:c r="D26" s="6" t="str">
        <x:v>BIGR: 3.1.7</x:v>
      </x:c>
    </x:row>
    <x:row r="27" ht="40" customHeight="1">
      <x:c r="A27" s="6" t="str">
        <x:v>DMARC</x:v>
      </x:c>
      <x:c r="B27" s="6" t="str">
        <x:v>Domain-based Message Authentication, Reporting and Conformance</x:v>
      </x:c>
      <x:c r="C27" s="6" t="str">
        <x:v>Alan adı hizalamasıyla e-posta kimlik doğrulama politikasını ve raporlamayı ilişkilendirir.</x:v>
      </x:c>
      <x:c r="D27" s="6" t="str">
        <x:v>ESA-AUTH</x:v>
      </x:c>
    </x:row>
    <x:row r="28" ht="35" customHeight="1">
      <x:c r="A28" s="6" t="str">
        <x:v>DNS</x:v>
      </x:c>
      <x:c r="B28" s="6" t="str">
        <x:v>Domain Name System</x:v>
      </x:c>
      <x:c r="C28" s="6" t="str">
        <x:v>Alan adlarını ilgili ağ kayıtlarına çözümleyen sistem.</x:v>
      </x:c>
      <x:c r="D28" s="6" t="str">
        <x:v>NIST-53: SC-20</x:v>
      </x:c>
    </x:row>
    <x:row r="29" ht="35" customHeight="1">
      <x:c r="A29" s="6" t="str">
        <x:v>DR</x:v>
      </x:c>
      <x:c r="B29" s="6" t="str">
        <x:v>Disaster Recovery</x:v>
      </x:c>
      <x:c r="C29" s="6" t="str">
        <x:v>Felaket veya ciddi kesinti sonrası hizmetleri kurtarma çalışmaları.</x:v>
      </x:c>
      <x:c r="D29" s="6" t="str">
        <x:v>NIST-53: CP-10</x:v>
      </x:c>
    </x:row>
    <x:row r="30" ht="35" customHeight="1">
      <x:c r="A30" s="6" t="str">
        <x:v>EDR</x:v>
      </x:c>
      <x:c r="B30" s="6" t="str">
        <x:v>Endpoint Detection and Response</x:v>
      </x:c>
      <x:c r="C30" s="6" t="str">
        <x:v>Uç nokta olaylarını tespit, inceleme ve müdahale işlevleri.</x:v>
      </x:c>
      <x:c r="D30" s="6" t="str">
        <x:v>CB-DEF</x:v>
      </x:c>
    </x:row>
    <x:row r="31" ht="40" customHeight="1">
      <x:c r="A31" s="6" t="str">
        <x:v>EDRaaS</x:v>
      </x:c>
      <x:c r="B31" s="6" t="str">
        <x:v>EDR as a Service</x:v>
      </x:c>
      <x:c r="C31" s="6" t="str">
        <x:v>EDR işlevlerinin hizmet olarak sunulması; sağlayıcı/müşteri görev sınırı ayrıca tanımlanır.</x:v>
      </x:c>
      <x:c r="D31" s="6" t="str">
        <x:v>CB-DEF; NIST-53: SA-9</x:v>
      </x:c>
    </x:row>
    <x:row r="32" ht="35" customHeight="1">
      <x:c r="A32" s="6" t="str">
        <x:v>ENS</x:v>
      </x:c>
      <x:c r="B32" s="6" t="str">
        <x:v>Endpoint Security</x:v>
      </x:c>
      <x:c r="C32" s="6" t="str">
        <x:v>Bu çalışmadaki Trellix ürün kapsamı; EDR/HX kapsamı varsayılmaz.</x:v>
      </x:c>
      <x:c r="D32" s="6" t="str">
        <x:v>ENS-TEST</x:v>
      </x:c>
    </x:row>
    <x:row r="33" ht="35" customHeight="1">
      <x:c r="A33" s="6" t="str">
        <x:v>ePO</x:v>
      </x:c>
      <x:c r="B33" s="6" t="str">
        <x:v>ePolicy Orchestrator</x:v>
      </x:c>
      <x:c r="C33" s="6" t="str">
        <x:v>Trellix politika ve uç yönetim platformu; kurumda kullanılıyorsa kapsama alınır.</x:v>
      </x:c>
      <x:c r="D33" s="6" t="str">
        <x:v>EPO-POL</x:v>
      </x:c>
    </x:row>
    <x:row r="34" ht="35" customHeight="1">
      <x:c r="A34" s="6" t="str">
        <x:v>ESXi</x:v>
      </x:c>
      <x:c r="B34" s="6" t="str">
        <x:v>VMware ESXi</x:v>
      </x:c>
      <x:c r="C34" s="6" t="str">
        <x:v>Sanal makineleri çalıştıran VMware hypervisor ürünü.</x:v>
      </x:c>
      <x:c r="D34" s="6" t="str">
        <x:v>VMW-SCG</x:v>
      </x:c>
    </x:row>
    <x:row r="35" ht="35" customHeight="1">
      <x:c r="A35" s="6" t="str">
        <x:v>FIPS</x:v>
      </x:c>
      <x:c r="B35" s="6" t="str">
        <x:v>Federal Information Processing Standards</x:v>
      </x:c>
      <x:c r="C35" s="6" t="str">
        <x:v>Bir algoritma seçimi ile doğrulanmış kriptografik modül kapsamı eşdeğer değildir.</x:v>
      </x:c>
      <x:c r="D35" s="6" t="str">
        <x:v>CIS-ESX8:6.5.1</x:v>
      </x:c>
    </x:row>
    <x:row r="36" ht="35" customHeight="1">
      <x:c r="A36" s="6" t="str">
        <x:v>FSMO</x:v>
      </x:c>
      <x:c r="B36" s="6" t="str">
        <x:v>Flexible Single Master Operations</x:v>
      </x:c>
      <x:c r="C36" s="6" t="str">
        <x:v>AD’de tek rol sahibiyle yürütülen orman/alan işlemleri.</x:v>
      </x:c>
      <x:c r="D36" s="6" t="str">
        <x:v>AD-FSMO</x:v>
      </x:c>
    </x:row>
    <x:row r="37" ht="35" customHeight="1">
      <x:c r="A37" s="6" t="str">
        <x:v>GPO</x:v>
      </x:c>
      <x:c r="B37" s="6" t="str">
        <x:v>Group Policy Object</x:v>
      </x:c>
      <x:c r="C37" s="6" t="str">
        <x:v>Active Directory’de hedeflere politika uygulayan nesne.</x:v>
      </x:c>
      <x:c r="D37" s="6" t="str">
        <x:v>AD-GPO</x:v>
      </x:c>
    </x:row>
    <x:row r="38" ht="35" customHeight="1">
      <x:c r="A38" s="6" t="str">
        <x:v>HA</x:v>
      </x:c>
      <x:c r="B38" s="6" t="str">
        <x:v>High Availability</x:v>
      </x:c>
      <x:c r="C38" s="6" t="str">
        <x:v>Bileşen arızasında hizmet kullanılabilirliğini sürdürmeye yönelik düzenleme.</x:v>
      </x:c>
      <x:c r="D38" s="6" t="str">
        <x:v>NIST-53: CP-10</x:v>
      </x:c>
    </x:row>
    <x:row r="39" ht="35" customHeight="1">
      <x:c r="A39" s="6" t="str">
        <x:v>HAT</x:v>
      </x:c>
      <x:c r="B39" s="6" t="str">
        <x:v>Host Access Table</x:v>
      </x:c>
      <x:c r="C39" s="6" t="str">
        <x:v>Cisco e-posta geçidinde gönderen hostlara yönelik erişim politikası tablosu.</x:v>
      </x:c>
      <x:c r="D39" s="6" t="str">
        <x:v>ESA-HAT</x:v>
      </x:c>
    </x:row>
    <x:row r="40" ht="35" customHeight="1">
      <x:c r="A40" s="6" t="str">
        <x:v>HTTPS</x:v>
      </x:c>
      <x:c r="B40" s="6" t="str">
        <x:v>HTTP over TLS</x:v>
      </x:c>
      <x:c r="C40" s="6" t="str">
        <x:v>HTTP iletişiminin TLS ile korunmuş kullanımı.</x:v>
      </x:c>
      <x:c r="D40" s="6" t="str">
        <x:v>NIST-53: SC-8</x:v>
      </x:c>
    </x:row>
    <x:row r="41" ht="35" customHeight="1">
      <x:c r="A41" s="6" t="str">
        <x:v>IAM</x:v>
      </x:c>
      <x:c r="B41" s="6" t="str">
        <x:v>Identity and Access Management</x:v>
      </x:c>
      <x:c r="C41" s="6" t="str">
        <x:v>Kimliklerin, hesapların ve erişim yetkilerinin yönetimi.</x:v>
      </x:c>
      <x:c r="D41" s="6" t="str">
        <x:v>NIST-53: AC-2; IA-2</x:v>
      </x:c>
    </x:row>
    <x:row r="42" ht="35" customHeight="1">
      <x:c r="A42" s="6" t="str">
        <x:v>IdP</x:v>
      </x:c>
      <x:c r="B42" s="6" t="str">
        <x:v>Identity Provider</x:v>
      </x:c>
      <x:c r="C42" s="6" t="str">
        <x:v>Kullanıcının kimliğini doğrulayıp ilgili hizmete kimlik beyanı sağlayan sistem.</x:v>
      </x:c>
      <x:c r="D42" s="6" t="str">
        <x:v>NIST-53: IA-2</x:v>
      </x:c>
    </x:row>
    <x:row r="43" ht="35" customHeight="1">
      <x:c r="A43" s="6" t="str">
        <x:v>IPS</x:v>
      </x:c>
      <x:c r="B43" s="6" t="str">
        <x:v>Intrusion Prevention System</x:v>
      </x:c>
      <x:c r="C43" s="6" t="str">
        <x:v>Saldırı niteliğindeki trafiği tespit edip politika gereği engelleyen sistem.</x:v>
      </x:c>
      <x:c r="D43" s="6" t="str">
        <x:v>FGT-IPS</x:v>
      </x:c>
    </x:row>
    <x:row r="44" ht="35" customHeight="1">
      <x:c r="A44" s="6" t="str">
        <x:v>IPsec</x:v>
      </x:c>
      <x:c r="B44" s="6" t="str">
        <x:v>Internet Protocol Security</x:v>
      </x:c>
      <x:c r="C44" s="6" t="str">
        <x:v>IP iletişimini kriptografik olarak koruyan protokol ailesi.</x:v>
      </x:c>
      <x:c r="D44" s="6" t="str">
        <x:v>BIGR: 4.3.1.7</x:v>
      </x:c>
    </x:row>
    <x:row r="45" ht="35" customHeight="1">
      <x:c r="A45" s="6" t="str">
        <x:v>ISDB</x:v>
      </x:c>
      <x:c r="B45" s="6" t="str">
        <x:v>Internet Service Database</x:v>
      </x:c>
      <x:c r="C45" s="6" t="str">
        <x:v>FortiGate internet hizmeti adres/kategori nesneleri veritabanı.</x:v>
      </x:c>
      <x:c r="D45" s="6" t="str">
        <x:v>CIS-FGT:3.3</x:v>
      </x:c>
    </x:row>
    <x:row r="46" ht="35" customHeight="1">
      <x:c r="A46" s="6" t="str">
        <x:v>JIT</x:v>
      </x:c>
      <x:c r="B46" s="6" t="str">
        <x:v>Just-in-Time</x:v>
      </x:c>
      <x:c r="C46" s="6" t="str">
        <x:v>İhtiyaç anında ve süreyle sınırlı yetki yaklaşımı; ürün desteği ayrıca kanıtlanır.</x:v>
      </x:c>
      <x:c r="D46" s="6" t="str">
        <x:v>NIST-53:AC-2; AC-6</x:v>
      </x:c>
    </x:row>
    <x:row r="47" ht="35" customHeight="1">
      <x:c r="A47" s="6" t="str">
        <x:v>KMS</x:v>
      </x:c>
      <x:c r="B47" s="6" t="str">
        <x:v>Key Management System</x:v>
      </x:c>
      <x:c r="C47" s="6" t="str">
        <x:v>Şifreleme anahtarlarının yaşam döngüsünü yöneten sistem.</x:v>
      </x:c>
      <x:c r="D47" s="6" t="str">
        <x:v>NIST-53: SC-12</x:v>
      </x:c>
    </x:row>
    <x:row r="48" ht="35" customHeight="1">
      <x:c r="A48" s="6" t="str">
        <x:v>MAC</x:v>
      </x:c>
      <x:c r="B48" s="6" t="str">
        <x:v>Media Access Control address</x:v>
      </x:c>
      <x:c r="C48" s="6" t="str">
        <x:v>Ağ arayüzünün bağlantı katmanı adresi.</x:v>
      </x:c>
      <x:c r="D48" s="6" t="str">
        <x:v>VMW-SCG: dvPortgroup security</x:v>
      </x:c>
    </x:row>
    <x:row r="49" ht="35" customHeight="1">
      <x:c r="A49" s="6" t="str">
        <x:v>MFA</x:v>
      </x:c>
      <x:c r="B49" s="6" t="str">
        <x:v>Multi-factor Authentication</x:v>
      </x:c>
      <x:c r="C49" s="6" t="str">
        <x:v>Birden fazla farklı faktör türüyle kimlik doğrulama.</x:v>
      </x:c>
      <x:c r="D49" s="6" t="str">
        <x:v>NIST-53: IA-2(1)</x:v>
      </x:c>
    </x:row>
    <x:row r="50" ht="35" customHeight="1">
      <x:c r="A50" s="6" t="str">
        <x:v>MSP</x:v>
      </x:c>
      <x:c r="B50" s="6" t="str">
        <x:v>Managed Service Provider</x:v>
      </x:c>
      <x:c r="C50" s="6" t="str">
        <x:v>Müşterileri adına tanımlı BT hizmetlerini işleten hizmet sağlayıcı.</x:v>
      </x:c>
      <x:c r="D50" s="6" t="str">
        <x:v>NIST-53: SA-9</x:v>
      </x:c>
    </x:row>
    <x:row r="51" ht="35" customHeight="1">
      <x:c r="A51" s="6" t="str">
        <x:v>MSSP</x:v>
      </x:c>
      <x:c r="B51" s="6" t="str">
        <x:v>Managed Security Service Provider</x:v>
      </x:c>
      <x:c r="C51" s="6" t="str">
        <x:v>Yönetilen güvenlik hizmetleri sunan sağlayıcı.</x:v>
      </x:c>
      <x:c r="D51" s="6" t="str">
        <x:v>CB-DEF; NIST-53: SA-9</x:v>
      </x:c>
    </x:row>
    <x:row r="52" ht="35" customHeight="1">
      <x:c r="A52" s="6" t="str">
        <x:v>NAT</x:v>
      </x:c>
      <x:c r="B52" s="6" t="str">
        <x:v>Network Address Translation</x:v>
      </x:c>
      <x:c r="C52" s="6" t="str">
        <x:v>Ağ adreslerinin trafik geçişi sırasında dönüştürülmesi.</x:v>
      </x:c>
      <x:c r="D52" s="6" t="str">
        <x:v>FGT-VDOM</x:v>
      </x:c>
    </x:row>
    <x:row r="53" ht="35" customHeight="1">
      <x:c r="A53" s="6" t="str">
        <x:v>NDR</x:v>
      </x:c>
      <x:c r="B53" s="6" t="str">
        <x:v>Non-Delivery Report</x:v>
      </x:c>
      <x:c r="C53" s="6" t="str">
        <x:v>E-posta teslim edilemedi bildirimi.</x:v>
      </x:c>
      <x:c r="D53" s="6" t="str">
        <x:v>CIS-EXC:2.3.1</x:v>
      </x:c>
    </x:row>
    <x:row r="54" ht="35" customHeight="1">
      <x:c r="A54" s="6" t="str">
        <x:v>NIST</x:v>
      </x:c>
      <x:c r="B54" s="6" t="str">
        <x:v>National Institute of Standards and Technology</x:v>
      </x:c>
      <x:c r="C54" s="6" t="str">
        <x:v>Bu çalışmada güvenlik kontrolleri ve değerlendirme yöntemleri kullanılan ABD kurumu.</x:v>
      </x:c>
      <x:c r="D54" s="6" t="str">
        <x:v>NIST-53; NIST-53A</x:v>
      </x:c>
    </x:row>
    <x:row r="55" ht="35" customHeight="1">
      <x:c r="A55" s="6" t="str">
        <x:v>NKP</x:v>
      </x:c>
      <x:c r="B55" s="6" t="str">
        <x:v>Native Key Provider</x:v>
      </x:c>
      <x:c r="C55" s="6" t="str">
        <x:v>vSphere yerleşik anahtar sağlayıcı seçeneği; sürüm ve kurulum uygunluğu doğrulanır.</x:v>
      </x:c>
      <x:c r="D55" s="6" t="str">
        <x:v>VMW-VSAN</x:v>
      </x:c>
    </x:row>
    <x:row r="56" ht="35" customHeight="1">
      <x:c r="A56" s="6" t="str">
        <x:v>NSIP</x:v>
      </x:c>
      <x:c r="B56" s="6" t="str">
        <x:v>NetScaler IP</x:v>
      </x:c>
      <x:c r="C56" s="6" t="str">
        <x:v>NetScaler cihazının yönetim IP adresi.</x:v>
      </x:c>
      <x:c r="D56" s="6" t="str">
        <x:v>ADC-NET</x:v>
      </x:c>
    </x:row>
    <x:row r="57" ht="35" customHeight="1">
      <x:c r="A57" s="6" t="str">
        <x:v>NSX</x:v>
      </x:c>
      <x:c r="B57" s="6" t="str">
        <x:v>VMware NSX</x:v>
      </x:c>
      <x:c r="C57" s="6" t="str">
        <x:v>Sanal ağ ve güvenlik politikaları sağlayan platform.</x:v>
      </x:c>
      <x:c r="D57" s="6" t="str">
        <x:v>VMW-NSX</x:v>
      </x:c>
    </x:row>
    <x:row r="58" ht="35" customHeight="1">
      <x:c r="A58" s="6" t="str">
        <x:v>NTP</x:v>
      </x:c>
      <x:c r="B58" s="6" t="str">
        <x:v>Network Time Protocol</x:v>
      </x:c>
      <x:c r="C58" s="6" t="str">
        <x:v>Sistem saatlerinin senkronizasyonunda kullanılan protokol.</x:v>
      </x:c>
      <x:c r="D58" s="6" t="str">
        <x:v>BIGR: 3.1.8.3</x:v>
      </x:c>
    </x:row>
    <x:row r="59" ht="35" customHeight="1">
      <x:c r="A59" s="6" t="str">
        <x:v>OAS</x:v>
      </x:c>
      <x:c r="B59" s="6" t="str">
        <x:v>On-access Scan</x:v>
      </x:c>
      <x:c r="C59" s="6" t="str">
        <x:v>Dosyaya erişim sırasında çalışan zararlı yazılım taraması.</x:v>
      </x:c>
      <x:c r="D59" s="6" t="str">
        <x:v>ENS-TEST</x:v>
      </x:c>
    </x:row>
    <x:row r="60" ht="35" customHeight="1">
      <x:c r="A60" s="6" t="str">
        <x:v>ODS</x:v>
      </x:c>
      <x:c r="B60" s="6" t="str">
        <x:v>On-demand Scan</x:v>
      </x:c>
      <x:c r="C60" s="6" t="str">
        <x:v>İstek veya plan doğrultusunda başlatılan zararlı yazılım taraması.</x:v>
      </x:c>
      <x:c r="D60" s="6" t="str">
        <x:v>ENS-TEST</x:v>
      </x:c>
    </x:row>
    <x:row r="61" ht="35" customHeight="1">
      <x:c r="A61" s="6" t="str">
        <x:v>OS</x:v>
      </x:c>
      <x:c r="B61" s="6" t="str">
        <x:v>Operating System</x:v>
      </x:c>
      <x:c r="C61" s="6" t="str">
        <x:v>İşletim sistemi.</x:v>
      </x:c>
      <x:c r="D61" s="6" t="str">
        <x:v>BIGR: 3.1.9.4</x:v>
      </x:c>
    </x:row>
    <x:row r="62" ht="35" customHeight="1">
      <x:c r="A62" s="6" t="str">
        <x:v>OU</x:v>
      </x:c>
      <x:c r="B62" s="6" t="str">
        <x:v>Organizational Unit</x:v>
      </x:c>
      <x:c r="C62" s="6" t="str">
        <x:v>Dizin nesnelerinin ve politika/yetki kapsamının düzenlendiği kapsayıcı.</x:v>
      </x:c>
      <x:c r="D62" s="6" t="str">
        <x:v>AD-GPO</x:v>
      </x:c>
    </x:row>
    <x:row r="63" ht="35" customHeight="1">
      <x:c r="A63" s="6" t="str">
        <x:v>OWA</x:v>
      </x:c>
      <x:c r="B63" s="6" t="str">
        <x:v>Outlook on the web / Outlook Web App</x:v>
      </x:c>
      <x:c r="C63" s="6" t="str">
        <x:v>Exchange web posta istemcisi; ad ve özellik sürüme göre değişir.</x:v>
      </x:c>
      <x:c r="D63" s="6" t="str">
        <x:v>EXC-OWA</x:v>
      </x:c>
    </x:row>
    <x:row r="64" ht="35" customHeight="1">
      <x:c r="A64" s="6" t="str">
        <x:v>PAM</x:v>
      </x:c>
      <x:c r="B64" s="6" t="str">
        <x:v>Privileged Access Management</x:v>
      </x:c>
      <x:c r="C64" s="6" t="str">
        <x:v>Ayrıcalıklı hesap ve oturum erişiminin yönetimi.</x:v>
      </x:c>
      <x:c r="D64" s="6" t="str">
        <x:v>PAM-HARD; NIST-53: AC-6</x:v>
      </x:c>
    </x:row>
    <x:row r="65" ht="35" customHeight="1">
      <x:c r="A65" s="6" t="str">
        <x:v>PSIRT</x:v>
      </x:c>
      <x:c r="B65" s="6" t="str">
        <x:v>Product Security Incident Response Team</x:v>
      </x:c>
      <x:c r="C65" s="6" t="str">
        <x:v>Üretici ürün güvenlik olayları/duyuruları ekibi.</x:v>
      </x:c>
      <x:c r="D65" s="6" t="str">
        <x:v>CVE-RES</x:v>
      </x:c>
    </x:row>
    <x:row r="66" ht="35" customHeight="1">
      <x:c r="A66" s="6" t="str">
        <x:v>PSK</x:v>
      </x:c>
      <x:c r="B66" s="6" t="str">
        <x:v>Pre-shared Key</x:v>
      </x:c>
      <x:c r="C66" s="6" t="str">
        <x:v>İletişim öncesinde taraflarla paylaşılmış gizli anahtar.</x:v>
      </x:c>
      <x:c r="D66" s="6" t="str">
        <x:v>ZAB-TLS</x:v>
      </x:c>
    </x:row>
    <x:row r="67" ht="35" customHeight="1">
      <x:c r="A67" s="6" t="str">
        <x:v>PSM</x:v>
      </x:c>
      <x:c r="B67" s="6" t="str">
        <x:v>Privileged Session Manager</x:v>
      </x:c>
      <x:c r="C67" s="6" t="str">
        <x:v>CyberArk ayrıcalıklı oturum yönetimi bileşeni.</x:v>
      </x:c>
      <x:c r="D67" s="6" t="str">
        <x:v>PAM-HARD</x:v>
      </x:c>
    </x:row>
    <x:row r="68" ht="35" customHeight="1">
      <x:c r="A68" s="6" t="str">
        <x:v>PVWA</x:v>
      </x:c>
      <x:c r="B68" s="6" t="str">
        <x:v>Password Vault Web Access</x:v>
      </x:c>
      <x:c r="C68" s="6" t="str">
        <x:v>CyberArk kasasına erişim sağlayan web bileşeni.</x:v>
      </x:c>
      <x:c r="D68" s="6" t="str">
        <x:v>PAM-HARD</x:v>
      </x:c>
    </x:row>
    <x:row r="69" ht="35" customHeight="1">
      <x:c r="A69" s="6" t="str">
        <x:v>RACI</x:v>
      </x:c>
      <x:c r="B69" s="6" t="str">
        <x:v>Responsible, Accountable, Consulted, Informed</x:v>
      </x:c>
      <x:c r="C69" s="6" t="str">
        <x:v>Görev, hesap verme, danışılma ve bilgilendirme sorumluluk matrisi.</x:v>
      </x:c>
      <x:c r="D69" s="6" t="str">
        <x:v>NIST-53:SA-9</x:v>
      </x:c>
    </x:row>
    <x:row r="70" ht="35" customHeight="1">
      <x:c r="A70" s="6" t="str">
        <x:v>RAT</x:v>
      </x:c>
      <x:c r="B70" s="6" t="str">
        <x:v>Recipient Access Table</x:v>
      </x:c>
      <x:c r="C70" s="6" t="str">
        <x:v>Cisco e-posta geçidinde kabul edilen alıcılara yönelik erişim tablosu.</x:v>
      </x:c>
      <x:c r="D70" s="6" t="str">
        <x:v>ESA-HAT</x:v>
      </x:c>
    </x:row>
    <x:row r="71" ht="35" customHeight="1">
      <x:c r="A71" s="6" t="str">
        <x:v>RBAC</x:v>
      </x:c>
      <x:c r="B71" s="6" t="str">
        <x:v>Role-based Access Control</x:v>
      </x:c>
      <x:c r="C71" s="6" t="str">
        <x:v>Yetkilerin görev rollerine göre verilmesi.</x:v>
      </x:c>
      <x:c r="D71" s="6" t="str">
        <x:v>NIST-53: AC-3; AC-6</x:v>
      </x:c>
    </x:row>
    <x:row r="72" ht="35" customHeight="1">
      <x:c r="A72" s="6" t="str">
        <x:v>RODC</x:v>
      </x:c>
      <x:c r="B72" s="6" t="str">
        <x:v>Read-Only Domain Controller</x:v>
      </x:c>
      <x:c r="C72" s="6" t="str">
        <x:v>Salt okunur alan denetleyicisi; operations master rolü taşıyamaz.</x:v>
      </x:c>
      <x:c r="D72" s="6" t="str">
        <x:v>AD-FSMO</x:v>
      </x:c>
    </x:row>
    <x:row r="73" ht="40" customHeight="1">
      <x:c r="A73" s="6" t="str">
        <x:v>RPF</x:v>
      </x:c>
      <x:c r="B73" s="6" t="str">
        <x:v>Reverse Path Forwarding</x:v>
      </x:c>
      <x:c r="C73" s="6" t="str">
        <x:v>Paket kaynağına dönüş yoluyla kaynak doğrulama yaklaşımı; asimetrik yol ayrıca değerlendirilir.</x:v>
      </x:c>
      <x:c r="D73" s="6" t="str">
        <x:v>FGT-RPF</x:v>
      </x:c>
    </x:row>
    <x:row r="74" ht="35" customHeight="1">
      <x:c r="A74" s="6" t="str">
        <x:v>RPO</x:v>
      </x:c>
      <x:c r="B74" s="6" t="str">
        <x:v>Recovery Point Objective</x:v>
      </x:c>
      <x:c r="C74" s="6" t="str">
        <x:v>Kurtarmada kabul edilebilir veri kaybı zaman aralığı hedefi.</x:v>
      </x:c>
      <x:c r="D74" s="6" t="str">
        <x:v>NIST-53: CP-2</x:v>
      </x:c>
    </x:row>
    <x:row r="75" ht="35" customHeight="1">
      <x:c r="A75" s="6" t="str">
        <x:v>RTO</x:v>
      </x:c>
      <x:c r="B75" s="6" t="str">
        <x:v>Recovery Time Objective</x:v>
      </x:c>
      <x:c r="C75" s="6" t="str">
        <x:v>Hizmetin kurtarılması için hedeflenen süre.</x:v>
      </x:c>
      <x:c r="D75" s="6" t="str">
        <x:v>NIST-53: CP-2</x:v>
      </x:c>
    </x:row>
    <x:row r="76" ht="35" customHeight="1">
      <x:c r="A76" s="6" t="str">
        <x:v>SCG</x:v>
      </x:c>
      <x:c r="B76" s="6" t="str">
        <x:v>Security Configuration Guide</x:v>
      </x:c>
      <x:c r="C76" s="6" t="str">
        <x:v>Üreticinin güvenli yapılandırma rehberi; sürüme bağlı değerlendirilir.</x:v>
      </x:c>
      <x:c r="D76" s="6" t="str">
        <x:v>VMW-SCG</x:v>
      </x:c>
    </x:row>
    <x:row r="77" ht="35" customHeight="1">
      <x:c r="A77" s="6" t="str">
        <x:v>SCL</x:v>
      </x:c>
      <x:c r="B77" s="6" t="str">
        <x:v>Spam Confidence Level</x:v>
      </x:c>
      <x:c r="C77" s="6" t="str">
        <x:v>Exchange içerik filtresinin spam güven düzeyi; karantina eşiklerinde kullanılır.</x:v>
      </x:c>
      <x:c r="D77" s="6" t="str">
        <x:v>CIS-EXC:1.6</x:v>
      </x:c>
    </x:row>
    <x:row r="78" ht="35" customHeight="1">
      <x:c r="A78" s="6" t="str">
        <x:v>SGX</x:v>
      </x:c>
      <x:c r="B78" s="6" t="str">
        <x:v>Software Guard Extensions</x:v>
      </x:c>
      <x:c r="C78" s="6" t="str">
        <x:v>Destekleyen Intel işlemcilerde korumalı yürütme alanı işlevi.</x:v>
      </x:c>
      <x:c r="D78" s="6" t="str">
        <x:v>CIS-ESX8:1.10</x:v>
      </x:c>
    </x:row>
    <x:row r="79" ht="35" customHeight="1">
      <x:c r="A79" s="6" t="str">
        <x:v>SIEM</x:v>
      </x:c>
      <x:c r="B79" s="6" t="str">
        <x:v>Security Information and Event Management</x:v>
      </x:c>
      <x:c r="C79" s="6" t="str">
        <x:v>Güvenlik kayıtlarını toplayan, ilişkilendiren ve incelemeyi destekleyen sistem.</x:v>
      </x:c>
      <x:c r="D79" s="6" t="str">
        <x:v>SPL-SEC</x:v>
      </x:c>
    </x:row>
    <x:row r="80" ht="35" customHeight="1">
      <x:c r="A80" s="6" t="str">
        <x:v>SLA</x:v>
      </x:c>
      <x:c r="B80" s="6" t="str">
        <x:v>Service Level Agreement</x:v>
      </x:c>
      <x:c r="C80" s="6" t="str">
        <x:v>Hizmet seviyesi, ölçüm ve sorumlulukları belirleyen anlaşma.</x:v>
      </x:c>
      <x:c r="D80" s="6" t="str">
        <x:v>BDDK-2020: md.29(2)(a)</x:v>
      </x:c>
    </x:row>
    <x:row r="81" ht="35" customHeight="1">
      <x:c r="A81" s="6" t="str">
        <x:v>SNMP</x:v>
      </x:c>
      <x:c r="B81" s="6" t="str">
        <x:v>Simple Network Management Protocol</x:v>
      </x:c>
      <x:c r="C81" s="6" t="str">
        <x:v>Ağ cihazlarının izleme ve yönetiminde kullanılan protokol.</x:v>
      </x:c>
      <x:c r="D81" s="6" t="str">
        <x:v>ADC-NET</x:v>
      </x:c>
    </x:row>
    <x:row r="82" ht="40" customHeight="1">
      <x:c r="A82" s="6" t="str">
        <x:v>SoA</x:v>
      </x:c>
      <x:c r="B82" s="6" t="str">
        <x:v>Statement of Applicability</x:v>
      </x:c>
      <x:c r="C82" s="6" t="str">
        <x:v>Gerekli kontrollerin gerekçe ve uygulanma durumlarını içeren uygulanabilirlik bildirgesi.</x:v>
      </x:c>
      <x:c r="D82" s="6" t="str">
        <x:v>ISO-SOA</x:v>
      </x:c>
    </x:row>
    <x:row r="83" ht="35" customHeight="1">
      <x:c r="A83" s="6" t="str">
        <x:v>SOBR</x:v>
      </x:c>
      <x:c r="B83" s="6" t="str">
        <x:v>Scale-Out Backup Repository</x:v>
      </x:c>
      <x:c r="C83" s="6" t="str">
        <x:v>Veeam ölçeklenebilir depo bileşimi; kapasite ve kopya hedefleri ayrı değerlendirilir.</x:v>
      </x:c>
      <x:c r="D83" s="6" t="str">
        <x:v>VEEAM-SOBR</x:v>
      </x:c>
    </x:row>
    <x:row r="84" ht="35" customHeight="1">
      <x:c r="A84" s="6" t="str">
        <x:v>SOC</x:v>
      </x:c>
      <x:c r="B84" s="6" t="str">
        <x:v>Security Operations Center</x:v>
      </x:c>
      <x:c r="C84" s="6" t="str">
        <x:v>Güvenlik izleme ve olay müdahalesini yürüten operasyon işlevi.</x:v>
      </x:c>
      <x:c r="D84" s="6" t="str">
        <x:v>NIST-53: AU-6; IR-4</x:v>
      </x:c>
    </x:row>
    <x:row r="85" ht="35" customHeight="1">
      <x:c r="A85" s="6" t="str">
        <x:v>SQLi</x:v>
      </x:c>
      <x:c r="B85" s="6" t="str">
        <x:v>SQL Injection</x:v>
      </x:c>
      <x:c r="C85" s="6" t="str">
        <x:v>Girdi üzerinden yetkisiz SQL işlemleri yaptırma saldırı sınıfı.</x:v>
      </x:c>
      <x:c r="D85" s="6" t="str">
        <x:v>WAF-DEP</x:v>
      </x:c>
    </x:row>
    <x:row r="86" ht="35" customHeight="1">
      <x:c r="A86" s="6" t="str">
        <x:v>SSH</x:v>
      </x:c>
      <x:c r="B86" s="6" t="str">
        <x:v>Secure Shell</x:v>
      </x:c>
      <x:c r="C86" s="6" t="str">
        <x:v>Uzak yönetim için şifreli oturum protokolü.</x:v>
      </x:c>
      <x:c r="D86" s="6" t="str">
        <x:v>VMW-SCG</x:v>
      </x:c>
    </x:row>
    <x:row r="87" ht="35" customHeight="1">
      <x:c r="A87" s="6" t="str">
        <x:v>SSO</x:v>
      </x:c>
      <x:c r="B87" s="6" t="str">
        <x:v>Single Sign-On</x:v>
      </x:c>
      <x:c r="C87" s="6" t="str">
        <x:v>Bir kimlik doğrulama bağlamıyla bağlı hizmetlere erişim modeli.</x:v>
      </x:c>
      <x:c r="D87" s="6" t="str">
        <x:v>NIST-53: IA-2</x:v>
      </x:c>
    </x:row>
    <x:row r="88" ht="35" customHeight="1">
      <x:c r="A88" s="6" t="str">
        <x:v>SSRF</x:v>
      </x:c>
      <x:c r="B88" s="6" t="str">
        <x:v>Server-side Request Forgery</x:v>
      </x:c>
      <x:c r="C88" s="6" t="str">
        <x:v>Sunucuyu saldırganın seçtiği hedefe istek göndermeye yönelten saldırı sınıfı.</x:v>
      </x:c>
      <x:c r="D88" s="6" t="str">
        <x:v>GRA-SEC</x:v>
      </x:c>
    </x:row>
    <x:row r="89" ht="35" customHeight="1">
      <x:c r="A89" s="6" t="str">
        <x:v>Tenant</x:v>
      </x:c>
      <x:c r="B89" s="6" t="str">
        <x:v>Kiracı / müşteri alanı</x:v>
      </x:c>
      <x:c r="C89" s="6" t="str">
        <x:v>Paylaşımlı platformda bir müşteriye tahsis edilmiş mantıksal hizmet kapsamı.</x:v>
      </x:c>
      <x:c r="D89" s="6" t="str">
        <x:v>BIGR: 4.3.1.4</x:v>
      </x:c>
    </x:row>
    <x:row r="90" ht="35" customHeight="1">
      <x:c r="A90" s="6" t="str">
        <x:v>TLS</x:v>
      </x:c>
      <x:c r="B90" s="6" t="str">
        <x:v>Transport Layer Security</x:v>
      </x:c>
      <x:c r="C90" s="6" t="str">
        <x:v>İletişimde gizlilik ve bütünlüğü koruyan protokol.</x:v>
      </x:c>
      <x:c r="D90" s="6" t="str">
        <x:v>NIST-53: SC-8; SC-13</x:v>
      </x:c>
    </x:row>
    <x:row r="91" ht="35" customHeight="1">
      <x:c r="A91" s="6" t="str">
        <x:v>TPM</x:v>
      </x:c>
      <x:c r="B91" s="6" t="str">
        <x:v>Trusted Platform Module</x:v>
      </x:c>
      <x:c r="C91" s="6" t="str">
        <x:v>Platform güven/anahtar işlevlerinde kullanılan donanım modülü.</x:v>
      </x:c>
      <x:c r="D91" s="6" t="str">
        <x:v>CIS-ESX8:1.4</x:v>
      </x:c>
    </x:row>
    <x:row r="92" ht="35" customHeight="1">
      <x:c r="A92" s="6" t="str">
        <x:v>TXT</x:v>
      </x:c>
      <x:c r="B92" s="6" t="str">
        <x:v>Trusted Execution Technology</x:v>
      </x:c>
      <x:c r="C92" s="6" t="str">
        <x:v>Intel ölçümlü açılış teknolojisi; donanım desteğine bağlı.</x:v>
      </x:c>
      <x:c r="D92" s="6" t="str">
        <x:v>CIS-ESX8:1.3</x:v>
      </x:c>
    </x:row>
    <x:row r="93" ht="35" customHeight="1">
      <x:c r="A93" s="6" t="str">
        <x:v>UEFI</x:v>
      </x:c>
      <x:c r="B93" s="6" t="str">
        <x:v>Unified Extensible Firmware Interface</x:v>
      </x:c>
      <x:c r="C93" s="6" t="str">
        <x:v>Sistem açılış firmware arayüzü; Secure Boot ayrı etkinlik koşuludur.</x:v>
      </x:c>
      <x:c r="D93" s="6" t="str">
        <x:v>CIS-ESX8:1.2</x:v>
      </x:c>
    </x:row>
    <x:row r="94" ht="35" customHeight="1">
      <x:c r="A94" s="6" t="str">
        <x:v>VCSA</x:v>
      </x:c>
      <x:c r="B94" s="6" t="str">
        <x:v>vCenter Server Appliance</x:v>
      </x:c>
      <x:c r="C94" s="6" t="str">
        <x:v>vCenter yönetim hizmetlerini barındıran sanal cihaz.</x:v>
      </x:c>
      <x:c r="D94" s="6" t="str">
        <x:v>VMW-SCG</x:v>
      </x:c>
    </x:row>
    <x:row r="95" ht="35" customHeight="1">
      <x:c r="A95" s="6" t="str">
        <x:v>VDC</x:v>
      </x:c>
      <x:c r="B95" s="6" t="str">
        <x:v>Virtual Data Center</x:v>
      </x:c>
      <x:c r="C95" s="6" t="str">
        <x:v>Cloud Director organizasyonuna sunulan sanal veri merkezi kaynak kapsamı.</x:v>
      </x:c>
      <x:c r="D95" s="6" t="str">
        <x:v>VMW-VCD</x:v>
      </x:c>
    </x:row>
    <x:row r="96" ht="35" customHeight="1">
      <x:c r="A96" s="6" t="str">
        <x:v>VDOM</x:v>
      </x:c>
      <x:c r="B96" s="6" t="str">
        <x:v>Virtual Domain</x:v>
      </x:c>
      <x:c r="C96" s="6" t="str">
        <x:v>FortiGate üzerinde ayrı yönetim ve ağ kapsamı sağlayan sanal alan.</x:v>
      </x:c>
      <x:c r="D96" s="6" t="str">
        <x:v>FGT-VDOM</x:v>
      </x:c>
    </x:row>
    <x:row r="97" ht="35" customHeight="1">
      <x:c r="A97" s="6" t="str">
        <x:v>VDS</x:v>
      </x:c>
      <x:c r="B97" s="6" t="str">
        <x:v>vSphere Distributed Switch</x:v>
      </x:c>
      <x:c r="C97" s="6" t="str">
        <x:v>Birden fazla hostun sanal ağ yapılandırmasını merkezden yöneten switch.</x:v>
      </x:c>
      <x:c r="D97" s="6" t="str">
        <x:v>VMW-SCG</x:v>
      </x:c>
    </x:row>
    <x:row r="98" ht="35" customHeight="1">
      <x:c r="A98" s="6" t="str">
        <x:v>VIB</x:v>
      </x:c>
      <x:c r="B98" s="6" t="str">
        <x:v>vSphere Installation Bundle</x:v>
      </x:c>
      <x:c r="C98" s="6" t="str">
        <x:v>ESXi yazılım bileşenlerinin kurulum paketi.</x:v>
      </x:c>
      <x:c r="D98" s="6" t="str">
        <x:v>VMW-SCG</x:v>
      </x:c>
    </x:row>
    <x:row r="99" ht="35" customHeight="1">
      <x:c r="A99" s="6" t="str">
        <x:v>VIP</x:v>
      </x:c>
      <x:c r="B99" s="6" t="str">
        <x:v>Virtual IP</x:v>
      </x:c>
      <x:c r="C99" s="6" t="str">
        <x:v>Uygulama hizmetinin sunulduğu sanal IP adresi.</x:v>
      </x:c>
      <x:c r="D99" s="6" t="str">
        <x:v>ADC-SEC</x:v>
      </x:c>
    </x:row>
    <x:row r="100" ht="35" customHeight="1">
      <x:c r="A100" s="6" t="str">
        <x:v>VLAN</x:v>
      </x:c>
      <x:c r="B100" s="6" t="str">
        <x:v>Virtual Local Area Network</x:v>
      </x:c>
      <x:c r="C100" s="6" t="str">
        <x:v>Bağlantı katmanında mantıksal ağ ayrımı.</x:v>
      </x:c>
      <x:c r="D100" s="6" t="str">
        <x:v>VMW-SCG</x:v>
      </x:c>
    </x:row>
    <x:row r="101" ht="35" customHeight="1">
      <x:c r="A101" s="6" t="str">
        <x:v>VM</x:v>
      </x:c>
      <x:c r="B101" s="6" t="str">
        <x:v>Virtual Machine</x:v>
      </x:c>
      <x:c r="C101" s="6" t="str">
        <x:v>Sanal makine.</x:v>
      </x:c>
      <x:c r="D101" s="6" t="str">
        <x:v>BIGR: 3.1.9</x:v>
      </x:c>
    </x:row>
    <x:row r="102" ht="35" customHeight="1">
      <x:c r="A102" s="6" t="str">
        <x:v>vMotion</x:v>
      </x:c>
      <x:c r="B102" s="6" t="str">
        <x:v>VMware vMotion</x:v>
      </x:c>
      <x:c r="C102" s="6" t="str">
        <x:v>Çalışan sanal makinenin başka hosta taşınmasını sağlayan vSphere işlevi.</x:v>
      </x:c>
      <x:c r="D102" s="6" t="str">
        <x:v>VMW-VMOTION</x:v>
      </x:c>
    </x:row>
    <x:row r="103" ht="35" customHeight="1">
      <x:c r="A103" s="6" t="str">
        <x:v>VPN</x:v>
      </x:c>
      <x:c r="B103" s="6" t="str">
        <x:v>Virtual Private Network</x:v>
      </x:c>
      <x:c r="C103" s="6" t="str">
        <x:v>Ortak ağ üzerinde korumalı özel iletişim yolu.</x:v>
      </x:c>
      <x:c r="D103" s="6" t="str">
        <x:v>BIGR: 4.3.1.7</x:v>
      </x:c>
    </x:row>
    <x:row r="104" ht="35" customHeight="1">
      <x:c r="A104" s="6" t="str">
        <x:v>vSAN</x:v>
      </x:c>
      <x:c r="B104" s="6" t="str">
        <x:v>VMware vSAN</x:v>
      </x:c>
      <x:c r="C104" s="6" t="str">
        <x:v>VMware sanallaştırma ortamında yazılım tabanlı depolama ürünü.</x:v>
      </x:c>
      <x:c r="D104" s="6" t="str">
        <x:v>VMW-VSAN</x:v>
      </x:c>
    </x:row>
    <x:row r="105" ht="35" customHeight="1">
      <x:c r="A105" s="6" t="str">
        <x:v>WAF</x:v>
      </x:c>
      <x:c r="B105" s="6" t="str">
        <x:v>Web Application Firewall</x:v>
      </x:c>
      <x:c r="C105" s="6" t="str">
        <x:v>Web uygulama isteklerini güvenlik politikalarıyla inceleyen ve filtreleyen sistem.</x:v>
      </x:c>
      <x:c r="D105" s="6" t="str">
        <x:v>WAF-DEP</x:v>
      </x:c>
    </x:row>
    <x:row r="106" ht="40" customHeight="1">
      <x:c r="A106" s="6" t="str">
        <x:v>WMI</x:v>
      </x:c>
      <x:c r="B106" s="6" t="str">
        <x:v>Windows Management Instrumentation</x:v>
      </x:c>
      <x:c r="C106" s="6" t="str">
        <x:v>GPO uygulanabilirliğinde hedef sistem koşullarını sorgulamak için de kullanılan yönetim altyapısı.</x:v>
      </x:c>
      <x:c r="D106" s="6" t="str">
        <x:v>AD-GPO</x:v>
      </x:c>
    </x:row>
    <x:row r="107" ht="35" customHeight="1">
      <x:c r="A107" s="6" t="str">
        <x:v>XSS</x:v>
      </x:c>
      <x:c r="B107" s="6" t="str">
        <x:v>Cross-site Scripting</x:v>
      </x:c>
      <x:c r="C107" s="6" t="str">
        <x:v>Uygulama çıktısı üzerinden istemcide istenmeyen betik çalıştırma saldırı sınıfı.</x:v>
      </x:c>
      <x:c r="D107" s="6" t="str">
        <x:v>WAF-DEP</x:v>
      </x:c>
    </x:row>
  </x:sheetData>
  <x:pageMargins left="0.7" right="0.7" top="0.75" bottom="0.75" header="0.3" footer="0.3"/>
  <x:tableParts count="1">
    <x:tablePart xmlns:r="http://schemas.openxmlformats.org/officeDocument/2006/relationships" r:id="R139616092b1b4e2c"/>
  </x:tableParts>
</x:worksheet>
</file>

<file path=xl/worksheets/sheet40.xml><?xml version="1.0" encoding="utf-8"?>
<x:worksheet xmlns:x="http://schemas.openxmlformats.org/spreadsheetml/2006/main">
  <x:sheetPr>
    <x:tabColor rgb="FF7A7D7E"/>
  </x:sheetPr>
  <x:sheetViews>
    <x:sheetView showGridLines="0" workbookViewId="0">
      <x:pane ySplit="5" topLeftCell="A6" activePane="bottomLeft" state="frozen"/>
    </x:sheetView>
  </x:sheetViews>
  <x:sheetFormatPr defaultRowHeight="15"/>
  <x:cols>
    <x:col min="1" max="1" width="31" hidden="0" customWidth="1"/>
    <x:col min="2" max="2" width="140" hidden="0" customWidth="1"/>
    <x:col min="3" max="3" width="70" hidden="0" customWidth="1"/>
  </x:cols>
  <x:sheetData>
    <x:row r="1">
      <x:c r="A1" s="1"/>
      <x:c r="B1" s="1"/>
      <x:c r="C1" s="1"/>
    </x:row>
    <x:row r="2" ht="29" customHeight="1">
      <x:c r="A2" s="2" t="str">
        <x:v>Kullanım Yöntemi</x:v>
      </x:c>
      <x:c r="B2" s="2"/>
      <x:c r="C2" s="2"/>
    </x:row>
    <x:row r="3" ht="8" customHeight="1">
      <x:c r="A3" s="3"/>
      <x:c r="B3" s="3"/>
      <x:c r="C3" s="3"/>
    </x:row>
    <x:row r="4">
      <x:c r="A4" s="1"/>
      <x:c r="B4" s="1"/>
      <x:c r="C4" s="1"/>
    </x:row>
    <x:row r="5" ht="36" customHeight="1">
      <x:c r="A5" s="10" t="str">
        <x:v>Konu</x:v>
      </x:c>
      <x:c r="B5" s="10" t="str">
        <x:v>Uygulama</x:v>
      </x:c>
      <x:c r="C5" s="10" t="str">
        <x:v>Dayanak</x:v>
      </x:c>
    </x:row>
    <x:row r="6" ht="40" customHeight="1">
      <x:c r="A6" s="6" t="str">
        <x:v>Amaç</x:v>
      </x:c>
      <x:c r="B6" s="6" t="str">
        <x:v>Bu dosya denetim programıdır. Kurum yapılandırması veya kanıtı incelenmediği için gerçek uygunluk, bulgu ve risk puanı içermez.</x:v>
      </x:c>
      <x:c r="C6" s="6" t="str">
        <x:v>SET-A; SET-V6; NIST-53A</x:v>
      </x:c>
    </x:row>
    <x:row r="7" ht="40" customHeight="1">
      <x:c r="A7" s="6" t="str">
        <x:v>Kaynak sırası</x:v>
      </x:c>
      <x:c r="B7" s="6" t="str">
        <x:v>Önce kurulu ürün ve kapsam, sonra ilgili kaynağın sürümü/profili belirlenir. Kaynağın ürün parametresi ile NIST kontrol amacı ayrı anlam taşır. Kaynak türü Kontrol Dizininde gösterilir.</x:v>
      </x:c>
      <x:c r="C7" s="6" t="str">
        <x:v>NIST-53; CIS Dizini</x:v>
      </x:c>
    </x:row>
    <x:row r="8" ht="40" customHeight="1">
      <x:c r="A8" s="6" t="str">
        <x:v>Kapsam kararı</x:v>
      </x:c>
      <x:c r="B8" s="6" t="str">
        <x:v>Her farklı sürüm, dağıtım, modül ve müşteri hizmet modeli için Kapsam kaydı açılır. Desteklenmeyen özellik varsayılmaz. Uygulanmaz kararı gerekçe ve kanıta dayanır.</x:v>
      </x:c>
      <x:c r="C8" s="6" t="str">
        <x:v>NIST-53A; CM-8; PL-2</x:v>
      </x:c>
    </x:row>
    <x:row r="9" ht="40" customHeight="1">
      <x:c r="A9" s="6" t="str">
        <x:v>Ortak kontroller</x:v>
      </x:c>
      <x:c r="B9" s="6" t="str">
        <x:v>MSP Genel sorularının ürün kapsamındaki uygulaması atlanmaz. Aynı KontrolID için her hedef/tenant veya belgeli homojen örneklemde yeni benzersiz TestID açılır. Ürün sayfaları teknik ayrıntıyı taşır.</x:v>
      </x:c>
      <x:c r="C9" s="6" t="str">
        <x:v>NIST-53A; AC-3; SC-4</x:v>
      </x:c>
    </x:row>
    <x:row r="10" ht="40" customHeight="1">
      <x:c r="A10" s="6" t="str">
        <x:v>Örneklem</x:v>
      </x:c>
      <x:c r="B10" s="6" t="str">
        <x:v>Evren, dönem, seçim yöntemi, seçilen varlıklar, risk gerekçesi ve kapsanmayan bölüm kayıtlı olmalıdır. Eski sabit 3/4/5 örnek sayıları kaldırıldı. İstatistiksel güven düzeyi veya tüm evren uygunluğu kendiliğinden türetilmez.</x:v>
      </x:c>
      <x:c r="C10" s="6" t="str">
        <x:v>NIST-53A</x:v>
      </x:c>
    </x:row>
    <x:row r="11" ht="40" customHeight="1">
      <x:c r="A11" s="6" t="str">
        <x:v>Alt testler</x:v>
      </x:c>
      <x:c r="B11" s="6" t="str">
        <x:v>Gruplanmış bir sorudaki bütün uygulanabilir alt koşullar ayrı fiili değer ve kaynak maddesiyle kaydedilir. Farklı sonuç, sürüm veya profil için ayrı TestID açılabilir. Bir alt koşulun uygunluğu bütün soruyu kapatmaz.</x:v>
      </x:c>
      <x:c r="C11" s="6" t="str">
        <x:v>NIST-53A; CIS Dizini</x:v>
      </x:c>
    </x:row>
    <x:row r="12" ht="55" customHeight="1">
      <x:c r="A12" s="6" t="str">
        <x:v>Güvenli doğrulama</x:v>
      </x:c>
      <x:c r="B12" s="6" t="str">
        <x:v>Kaynak Audit veya Remediation komutları toplu halde çalıştırılmaz. Bu programdaki testler salt okunur inceleme veya önceden onaylı izole test kanıtıdır. Üretimde failover, trafik kesme, şifre değiştirme, sayaç sıfırlama ve wipe denemesi uygulanmaz.</x:v>
      </x:c>
      <x:c r="C12" s="6" t="str">
        <x:v>NIST-53A; CM-3; ilgili CIS Impact/Audit bölümleri</x:v>
      </x:c>
    </x:row>
    <x:row r="13" ht="55" customHeight="1">
      <x:c r="A13" s="6" t="str">
        <x:v>Kanıt zinciri</x:v>
      </x:c>
      <x:c r="B13" s="6" t="str">
        <x:v>Kanıt Takibinde benzersiz KanitID, kaynak, toplama yöntemi, zaman/saat dilimi, hedef, dosya/manifest konumu ve bütünlük bilgisi tutulur. Bir paket birden fazla dosya içerebilir. Aktif parola veya özel anahtar istenmez; yetki/durum kanıtı yeterlidir.</x:v>
      </x:c>
      <x:c r="C13" s="6" t="str">
        <x:v>NIST-53A; AU-9; IA-5</x:v>
      </x:c>
    </x:row>
    <x:row r="14" ht="40" customHeight="1">
      <x:c r="A14" s="6" t="str">
        <x:v>Sonuç kararı</x:v>
      </x:c>
      <x:c r="B14" s="6" t="str">
        <x:v>Denetçi sonucu ile Tasarım/İşleyiş sonucu ayrı girilir. Uygun sonucu için her ikisi Uygun olmalıdır. Kısmi/uygunsuz sonuç bir BulguID’ye bağlanır. Kanıt yetersizliği uygunluk veya sıfır risk değildir.</x:v>
      </x:c>
      <x:c r="C14" s="6" t="str">
        <x:v>NIST-53A; CA-2; CA-5</x:v>
      </x:c>
    </x:row>
    <x:row r="15" ht="55" customHeight="1">
      <x:c r="A15" s="6" t="str">
        <x:v>Kayıt denetimi</x:v>
      </x:c>
      <x:c r="B15" s="6" t="str">
        <x:v>Uygulama V sütunu zorunlu alanlar, benzersiz TestID, geçerli KontrolID/KapsamID ve kabul edilmiş KanitID bağını denetler. W sütunu yalnız kayıt ve bağımsız gözden geçirme tamamlanınca sonucu özete verir. Bu formül teknik kanıtın doğruluğunu otomatik onaylamaz.</x:v>
      </x:c>
      <x:c r="C15" s="6" t="str">
        <x:v>Bu çalışma kayıt mantığı; NIST-53A; CA-2</x:v>
      </x:c>
    </x:row>
    <x:row r="16" ht="40" customHeight="1">
      <x:c r="A16" s="6" t="str">
        <x:v>CIS sapması</x:v>
      </x:c>
      <x:c r="B16" s="6" t="str">
        <x:v>Kaynak ölçütü ile kurum baz değeri farklıysa kaynak/profil ve gerçek sapma ayrı yazılır. Yönetimin risk kabulü veya telafi kontrolü literal CIS başarısı değildir. Açık Konulardaki çıkarılan maddelere sonuç verilmez.</x:v>
      </x:c>
      <x:c r="C16" s="6" t="str">
        <x:v>İlgili CIS sürümünün Audit/Profile bölümü</x:v>
      </x:c>
    </x:row>
    <x:row r="17" ht="55" customHeight="1">
      <x:c r="A17" s="6" t="str">
        <x:v>Risk değerlendirmesi</x:v>
      </x:c>
      <x:c r="B17" s="6" t="str">
        <x:v>Bulgu ve Risk sayfasında olasılık/etki gerekçeleri kurumun onaylı yöntemiyle yazılır; bu dosya katsayı veya eşik uydurmaz. Risk kabulü, teknik düzeltme ve bağımsız kapatma ayrı kararlardır. Kapatma için tekrar test kanıtı, kapatan ve tarih gerekir.</x:v>
      </x:c>
      <x:c r="C17" s="6" t="str">
        <x:v>NIST-53: RA-3; RA-7; CA-5</x:v>
      </x:c>
    </x:row>
    <x:row r="18" ht="40" customHeight="1">
      <x:c r="A18" s="6" t="str">
        <x:v>Mevzuat ve ISO sınırı</x:v>
      </x:c>
      <x:c r="B18" s="6" t="str">
        <x:v>Güncel resmî BDDK konsolide metni ve lisanslı ISO Annex A tam metni doğrulanamadı. Eski madde eşlemeleri güncel uygunluk olarak taşınmadı. Bu alanların tamamlanması Açık Konularda izlenir.</x:v>
      </x:c>
      <x:c r="C18" s="6" t="str">
        <x:v>BDDK-GUNCEL; ISO-01; ISO-SOA; ISO-ANNEX</x:v>
      </x:c>
    </x:row>
    <x:row r="19" ht="40" customHeight="1">
      <x:c r="A19" s="6" t="str">
        <x:v>AD belgesi</x:v>
      </x:c>
      <x:c r="B19" s="6" t="str">
        <x:v>Verilen AD Guide, PDF 6 / basılı 2’de genel öğretici olduğunu ve referans olarak kullanılmaması gerektiğini belirtir. Bu nedenle AD/GPO maddeleri Microsoft ve NIST kaynaklarıyla oluşturuldu; tam AD/CIS sertifikasyonu iddiası yoktur.</x:v>
      </x:c>
      <x:c r="C19" s="6" t="str">
        <x:v>CIS-AD PDF 6; AD-SEC; AD-GPO</x:v>
      </x:c>
    </x:row>
    <x:row r="20" ht="55" customHeight="1">
      <x:c r="A20" s="6" t="str">
        <x:v>Satır ekleme</x:v>
      </x:c>
      <x:c r="B20" s="6" t="str">
        <x:v>Uygulama, Kanıt Takibi ve Bulgu ve Risk tablolarına satır eklenebilir. Önceki satırın doğrulama/format/formüllerini kopyalayın; yeni benzersiz kimlik verin. Özetler Excel tablo sütunlarını kullanır. Kayıt denetimi ve GecerliSonuc hücreleri elle değiştirilmez.</x:v>
      </x:c>
      <x:c r="C20" s="6" t="str">
        <x:v>Bu dosyanın Excel tablo tasarımı</x:v>
      </x:c>
    </x:row>
    <x:row r="21" ht="40" customHeight="1">
      <x:c r="A21" s="6" t="str">
        <x:v>Birleştirme izi</x:v>
      </x:c>
      <x:c r="B21" s="6" t="str">
        <x:v>727 eski sorunun tamamı yeni kontrol, kısmi değiştirme veya çıkarma kararıyla izlenir. Birleştirme İzindeki eski ek kanıt talepleri köken bilgisidir; yürürlükteki kabul ölçütü ürün sayfasındadır.</x:v>
      </x:c>
      <x:c r="C21" s="6" t="str">
        <x:v>SET-A; SET-V6; Birleştirme İzi</x:v>
      </x:c>
    </x:row>
  </x:sheetData>
  <x:pageMargins left="0.7" right="0.7" top="0.75" bottom="0.75" header="0.3" footer="0.3"/>
  <x:tableParts count="1">
    <x:tablePart xmlns:r="http://schemas.openxmlformats.org/officeDocument/2006/relationships" r:id="Rebfa834bd4fb4e79"/>
  </x:tableParts>
</x:worksheet>
</file>